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activeTab="1"/>
  </bookViews>
  <sheets>
    <sheet name="games" sheetId="1" r:id="rId1"/>
    <sheet name="gift_codes" sheetId="3" r:id="rId2"/>
  </sheets>
  <calcPr calcId="152511"/>
</workbook>
</file>

<file path=xl/calcChain.xml><?xml version="1.0" encoding="utf-8"?>
<calcChain xmlns="http://schemas.openxmlformats.org/spreadsheetml/2006/main">
  <c r="F494" i="1" l="1"/>
  <c r="E461" i="3" l="1"/>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D480" i="3" s="1"/>
  <c r="A481" i="3"/>
  <c r="D481" i="3" s="1"/>
  <c r="A482" i="3"/>
  <c r="C482" i="3" s="1"/>
  <c r="A483" i="3"/>
  <c r="C483" i="3" s="1"/>
  <c r="A484" i="3"/>
  <c r="C484" i="3" s="1"/>
  <c r="A485" i="3"/>
  <c r="D485" i="3" s="1"/>
  <c r="A486" i="3"/>
  <c r="D486" i="3" s="1"/>
  <c r="A487" i="3"/>
  <c r="C487" i="3" s="1"/>
  <c r="A488" i="3"/>
  <c r="C488" i="3" s="1"/>
  <c r="A489" i="3"/>
  <c r="C489" i="3" s="1"/>
  <c r="A490" i="3"/>
  <c r="C490" i="3" s="1"/>
  <c r="A491" i="3"/>
  <c r="C491" i="3" s="1"/>
  <c r="A492" i="3"/>
  <c r="C492" i="3" s="1"/>
  <c r="A493" i="3"/>
  <c r="C493" i="3" s="1"/>
  <c r="A494" i="3"/>
  <c r="C494" i="3" s="1"/>
  <c r="A495" i="3"/>
  <c r="C495" i="3" s="1"/>
  <c r="A496" i="3"/>
  <c r="D496" i="3" s="1"/>
  <c r="A497" i="3"/>
  <c r="C497" i="3" s="1"/>
  <c r="A498" i="3"/>
  <c r="C498" i="3" s="1"/>
  <c r="A499" i="3"/>
  <c r="C499" i="3" s="1"/>
  <c r="A500" i="3"/>
  <c r="C500" i="3" s="1"/>
  <c r="A501" i="3"/>
  <c r="D501" i="3" s="1"/>
  <c r="A502" i="3"/>
  <c r="D502" i="3" s="1"/>
  <c r="A503" i="3"/>
  <c r="D503" i="3" s="1"/>
  <c r="A504" i="3"/>
  <c r="C504" i="3" s="1"/>
  <c r="A505" i="3"/>
  <c r="C505" i="3" s="1"/>
  <c r="A506" i="3"/>
  <c r="C506" i="3" s="1"/>
  <c r="A507" i="3"/>
  <c r="C507" i="3" s="1"/>
  <c r="A508" i="3"/>
  <c r="D508" i="3" s="1"/>
  <c r="A509" i="3"/>
  <c r="C509" i="3" s="1"/>
  <c r="A510" i="3"/>
  <c r="C510" i="3" s="1"/>
  <c r="A511" i="3"/>
  <c r="C511" i="3" s="1"/>
  <c r="A512" i="3"/>
  <c r="D512" i="3" s="1"/>
  <c r="A513" i="3"/>
  <c r="D513" i="3" s="1"/>
  <c r="A514" i="3"/>
  <c r="C514" i="3" s="1"/>
  <c r="A515" i="3"/>
  <c r="C515" i="3" s="1"/>
  <c r="A516" i="3"/>
  <c r="C516" i="3" s="1"/>
  <c r="A517" i="3"/>
  <c r="D517" i="3" s="1"/>
  <c r="A518" i="3"/>
  <c r="D518" i="3" s="1"/>
  <c r="A519" i="3"/>
  <c r="D519" i="3" s="1"/>
  <c r="A520" i="3"/>
  <c r="C520" i="3" s="1"/>
  <c r="A521" i="3"/>
  <c r="C521" i="3" s="1"/>
  <c r="A522" i="3"/>
  <c r="C522" i="3" s="1"/>
  <c r="A523" i="3"/>
  <c r="C523" i="3" s="1"/>
  <c r="A524" i="3"/>
  <c r="C524" i="3" s="1"/>
  <c r="A525" i="3"/>
  <c r="C525" i="3" s="1"/>
  <c r="A526" i="3"/>
  <c r="C526" i="3" s="1"/>
  <c r="A527" i="3"/>
  <c r="C527" i="3" s="1"/>
  <c r="A528" i="3"/>
  <c r="D528" i="3" s="1"/>
  <c r="A529" i="3"/>
  <c r="C529" i="3" s="1"/>
  <c r="A530" i="3"/>
  <c r="C530" i="3" s="1"/>
  <c r="A531" i="3"/>
  <c r="C531" i="3" s="1"/>
  <c r="A532" i="3"/>
  <c r="D532" i="3" s="1"/>
  <c r="A533" i="3"/>
  <c r="D533" i="3" s="1"/>
  <c r="A534" i="3"/>
  <c r="D534" i="3" s="1"/>
  <c r="A535" i="3"/>
  <c r="D535" i="3" s="1"/>
  <c r="A536" i="3"/>
  <c r="C536" i="3" s="1"/>
  <c r="A537" i="3"/>
  <c r="D537" i="3" s="1"/>
  <c r="A538" i="3"/>
  <c r="C538" i="3" s="1"/>
  <c r="A539" i="3"/>
  <c r="C539" i="3" s="1"/>
  <c r="A540" i="3"/>
  <c r="C540" i="3" s="1"/>
  <c r="A541" i="3"/>
  <c r="C541" i="3" s="1"/>
  <c r="A542" i="3"/>
  <c r="C542" i="3" s="1"/>
  <c r="A543" i="3"/>
  <c r="C543" i="3" s="1"/>
  <c r="A544" i="3"/>
  <c r="D544" i="3" s="1"/>
  <c r="A545" i="3"/>
  <c r="C545" i="3" s="1"/>
  <c r="A546" i="3"/>
  <c r="C546" i="3" s="1"/>
  <c r="A547" i="3"/>
  <c r="C547" i="3" s="1"/>
  <c r="A548" i="3"/>
  <c r="C548" i="3" s="1"/>
  <c r="A549" i="3"/>
  <c r="D549" i="3" s="1"/>
  <c r="A550" i="3"/>
  <c r="C550" i="3" s="1"/>
  <c r="A551" i="3"/>
  <c r="D551" i="3" s="1"/>
  <c r="A552" i="3"/>
  <c r="C552" i="3" s="1"/>
  <c r="A553" i="3"/>
  <c r="C553" i="3" s="1"/>
  <c r="A554" i="3"/>
  <c r="C554" i="3" s="1"/>
  <c r="A555" i="3"/>
  <c r="C555" i="3" s="1"/>
  <c r="A556" i="3"/>
  <c r="C556" i="3" s="1"/>
  <c r="A557" i="3"/>
  <c r="C557" i="3" s="1"/>
  <c r="A558" i="3"/>
  <c r="C558" i="3" s="1"/>
  <c r="A559" i="3"/>
  <c r="C559" i="3" s="1"/>
  <c r="A560" i="3"/>
  <c r="D560" i="3" s="1"/>
  <c r="A561" i="3"/>
  <c r="D561" i="3" s="1"/>
  <c r="A562" i="3"/>
  <c r="C562" i="3" s="1"/>
  <c r="A563" i="3"/>
  <c r="C563" i="3" s="1"/>
  <c r="A564" i="3"/>
  <c r="C564" i="3" s="1"/>
  <c r="A565" i="3"/>
  <c r="D565" i="3" s="1"/>
  <c r="A566" i="3"/>
  <c r="C566" i="3" s="1"/>
  <c r="A567" i="3"/>
  <c r="D567" i="3" s="1"/>
  <c r="A568" i="3"/>
  <c r="C568" i="3" s="1"/>
  <c r="A569" i="3"/>
  <c r="C569" i="3" s="1"/>
  <c r="A570" i="3"/>
  <c r="C570" i="3" s="1"/>
  <c r="A571" i="3"/>
  <c r="C571" i="3" s="1"/>
  <c r="A572" i="3"/>
  <c r="C572" i="3" s="1"/>
  <c r="A573" i="3"/>
  <c r="C573" i="3" s="1"/>
  <c r="A574" i="3"/>
  <c r="C574" i="3" s="1"/>
  <c r="A575" i="3"/>
  <c r="C575" i="3" s="1"/>
  <c r="A576" i="3"/>
  <c r="D576" i="3" s="1"/>
  <c r="A577" i="3"/>
  <c r="C577" i="3" s="1"/>
  <c r="A578" i="3"/>
  <c r="C578" i="3" s="1"/>
  <c r="A579" i="3"/>
  <c r="C579" i="3" s="1"/>
  <c r="A580" i="3"/>
  <c r="C580" i="3" s="1"/>
  <c r="A581" i="3"/>
  <c r="A582" i="3"/>
  <c r="D540" i="3" l="1"/>
  <c r="D490" i="3"/>
  <c r="D564" i="3"/>
  <c r="C532" i="3"/>
  <c r="C465" i="3"/>
  <c r="C576" i="3"/>
  <c r="D475" i="3"/>
  <c r="D573" i="3"/>
  <c r="D556" i="3"/>
  <c r="C512" i="3"/>
  <c r="C560" i="3"/>
  <c r="C496" i="3"/>
  <c r="D554" i="3"/>
  <c r="C480" i="3"/>
  <c r="C508" i="3"/>
  <c r="D557" i="3"/>
  <c r="D524" i="3"/>
  <c r="D469" i="3"/>
  <c r="D445" i="3"/>
  <c r="C501" i="3"/>
  <c r="C533" i="3"/>
  <c r="D500" i="3"/>
  <c r="C544" i="3"/>
  <c r="D522" i="3"/>
  <c r="C454" i="3"/>
  <c r="D429" i="3"/>
  <c r="C565" i="3"/>
  <c r="D477" i="3"/>
  <c r="D453" i="3"/>
  <c r="D572" i="3"/>
  <c r="C517" i="3"/>
  <c r="D484" i="3"/>
  <c r="D437" i="3"/>
  <c r="C438" i="3"/>
  <c r="C528" i="3"/>
  <c r="D506" i="3"/>
  <c r="D461" i="3"/>
  <c r="C485" i="3"/>
  <c r="C549" i="3"/>
  <c r="D516" i="3"/>
  <c r="D538" i="3"/>
  <c r="D580" i="3"/>
  <c r="D570" i="3"/>
  <c r="D548" i="3"/>
  <c r="D492" i="3"/>
  <c r="C470" i="3"/>
  <c r="D459" i="3"/>
  <c r="C519" i="3"/>
  <c r="C456" i="3"/>
  <c r="C440" i="3"/>
  <c r="D566" i="3"/>
  <c r="C561" i="3"/>
  <c r="D550" i="3"/>
  <c r="C513" i="3"/>
  <c r="C481" i="3"/>
  <c r="D471" i="3"/>
  <c r="C450" i="3"/>
  <c r="C434" i="3"/>
  <c r="D571" i="3"/>
  <c r="D555" i="3"/>
  <c r="D539" i="3"/>
  <c r="C534" i="3"/>
  <c r="D523" i="3"/>
  <c r="C518" i="3"/>
  <c r="D507" i="3"/>
  <c r="C502" i="3"/>
  <c r="D491" i="3"/>
  <c r="C486" i="3"/>
  <c r="D476" i="3"/>
  <c r="D460" i="3"/>
  <c r="C455" i="3"/>
  <c r="D444" i="3"/>
  <c r="C439" i="3"/>
  <c r="D428" i="3"/>
  <c r="C423" i="3"/>
  <c r="C503" i="3"/>
  <c r="D449" i="3"/>
  <c r="D433" i="3"/>
  <c r="C567" i="3"/>
  <c r="D422" i="3"/>
  <c r="D443" i="3"/>
  <c r="D427" i="3"/>
  <c r="D575" i="3"/>
  <c r="D559" i="3"/>
  <c r="D543" i="3"/>
  <c r="D527" i="3"/>
  <c r="D511" i="3"/>
  <c r="D495" i="3"/>
  <c r="D479" i="3"/>
  <c r="D464" i="3"/>
  <c r="D448" i="3"/>
  <c r="D432" i="3"/>
  <c r="D421" i="3"/>
  <c r="D553" i="3"/>
  <c r="D521" i="3"/>
  <c r="D505" i="3"/>
  <c r="D489" i="3"/>
  <c r="D474" i="3"/>
  <c r="D458" i="3"/>
  <c r="D442" i="3"/>
  <c r="D426" i="3"/>
  <c r="D569" i="3"/>
  <c r="D574" i="3"/>
  <c r="D558" i="3"/>
  <c r="D542" i="3"/>
  <c r="C537" i="3"/>
  <c r="D526" i="3"/>
  <c r="D510" i="3"/>
  <c r="D494" i="3"/>
  <c r="D463" i="3"/>
  <c r="D447" i="3"/>
  <c r="D431" i="3"/>
  <c r="C535" i="3"/>
  <c r="D579" i="3"/>
  <c r="D563" i="3"/>
  <c r="D547" i="3"/>
  <c r="D531" i="3"/>
  <c r="D515" i="3"/>
  <c r="D499" i="3"/>
  <c r="D483" i="3"/>
  <c r="D468" i="3"/>
  <c r="D452" i="3"/>
  <c r="D436" i="3"/>
  <c r="D420" i="3"/>
  <c r="D568" i="3"/>
  <c r="D552" i="3"/>
  <c r="D536" i="3"/>
  <c r="D520" i="3"/>
  <c r="D504" i="3"/>
  <c r="D488" i="3"/>
  <c r="D473" i="3"/>
  <c r="D457" i="3"/>
  <c r="D441" i="3"/>
  <c r="D425" i="3"/>
  <c r="C551" i="3"/>
  <c r="D541" i="3"/>
  <c r="D525" i="3"/>
  <c r="D509" i="3"/>
  <c r="D493" i="3"/>
  <c r="D478" i="3"/>
  <c r="D462" i="3"/>
  <c r="D446" i="3"/>
  <c r="D430" i="3"/>
  <c r="D578" i="3"/>
  <c r="D562" i="3"/>
  <c r="D546" i="3"/>
  <c r="D530" i="3"/>
  <c r="D514" i="3"/>
  <c r="D498" i="3"/>
  <c r="D482" i="3"/>
  <c r="D467" i="3"/>
  <c r="D451" i="3"/>
  <c r="D435" i="3"/>
  <c r="D419" i="3"/>
  <c r="D487" i="3"/>
  <c r="D472" i="3"/>
  <c r="D424" i="3"/>
  <c r="D577" i="3"/>
  <c r="D545" i="3"/>
  <c r="D529" i="3"/>
  <c r="D497"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<sst xmlns="http://schemas.openxmlformats.org/spreadsheetml/2006/main" count="13501" uniqueCount="8905">
  <si>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</si>
  <si>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</si>
  <si>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</si>
  <si>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</si>
  <si>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</si>
  <si>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</si>
  <si>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</si>
  <si>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</si>
  <si>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</si>
  <si>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</si>
  <si>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</si>
  <si>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</si>
  <si>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</si>
  <si>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</si>
  <si>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</si>
  <si>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</si>
  <si>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</si>
  <si>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</si>
  <si>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</si>
  <si>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</si>
  <si>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</si>
  <si>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</si>
  <si>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</si>
  <si>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</si>
  <si>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</si>
  <si>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</si>
  <si>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</si>
  <si>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</si>
  <si>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</si>
  <si>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</si>
  <si>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</si>
  <si>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</si>
  <si>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</si>
  <si>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</si>
  <si>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</si>
  <si>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</si>
  <si>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</si>
  <si>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</si>
  <si>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</si>
  <si>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</si>
  <si>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</si>
  <si>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</si>
  <si>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</si>
  <si>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</si>
  <si>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</si>
  <si>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</si>
  <si>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</si>
  <si>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</si>
  <si>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</si>
  <si>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</si>
  <si>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</si>
  <si>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</si>
  <si>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</si>
  <si>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</si>
  <si>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</si>
  <si>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</si>
  <si>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</si>
  <si>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</si>
  <si>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</si>
  <si>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</si>
  <si>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</si>
  <si>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</si>
  <si>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</si>
  <si>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</si>
  <si>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</si>
  <si>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</si>
  <si>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</si>
  <si>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</si>
  <si>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</si>
  <si>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</si>
  <si>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</si>
  <si>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</si>
  <si>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</si>
  <si>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</si>
  <si>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</si>
  <si>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</si>
  <si>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</si>
  <si>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</si>
  <si>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</si>
  <si>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</si>
  <si>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</si>
  <si>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</si>
  <si>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</si>
  <si>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</si>
  <si>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</si>
  <si>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</si>
  <si>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</si>
  <si>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</si>
  <si>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</si>
  <si>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</si>
  <si>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</si>
  <si>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</si>
  <si>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</si>
  <si>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</si>
  <si>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</si>
  <si>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</si>
  <si>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</si>
  <si>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</si>
  <si>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</si>
  <si>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</si>
  <si>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</si>
  <si>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</si>
  <si>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</si>
  <si>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</si>
  <si>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</si>
  <si>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</si>
  <si>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</si>
  <si>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</si>
  <si>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</si>
  <si>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</si>
  <si>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</si>
  <si>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</si>
  <si>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</si>
  <si>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</si>
  <si>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</si>
  <si>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</si>
  <si>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</si>
  <si>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</si>
  <si>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</si>
  <si>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</si>
  <si>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</si>
  <si>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</si>
  <si>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</si>
  <si>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</si>
  <si>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</si>
  <si>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</si>
  <si>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</si>
  <si>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</si>
  <si>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</si>
  <si>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</si>
  <si>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</si>
  <si>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</si>
  <si>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</si>
  <si>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</si>
  <si>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</si>
  <si>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</si>
  <si>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</si>
  <si>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</si>
  <si>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</si>
  <si>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</si>
  <si>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</si>
  <si>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</si>
  <si>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</si>
  <si>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</si>
  <si>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</si>
  <si>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</si>
  <si>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</si>
  <si>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</si>
  <si>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</si>
  <si>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</si>
  <si>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</si>
  <si>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</si>
  <si>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</si>
  <si>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</si>
  <si>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</si>
  <si>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</si>
  <si>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</si>
  <si>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</si>
  <si>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</si>
  <si>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</si>
  <si>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</si>
  <si>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</si>
  <si>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</si>
  <si>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</si>
  <si>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</si>
  <si>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</si>
  <si>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</si>
  <si>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</si>
  <si>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</si>
  <si>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</si>
  <si>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</si>
  <si>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</si>
  <si>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</si>
  <si>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</si>
  <si>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</si>
  <si>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</si>
  <si>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</si>
  <si>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</si>
  <si>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</si>
  <si>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</si>
  <si>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</si>
  <si>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</si>
  <si>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</si>
  <si>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</si>
  <si>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</si>
  <si>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</si>
  <si>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</si>
  <si>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</si>
  <si>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</si>
  <si>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</si>
  <si>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</si>
  <si>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</si>
  <si>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</si>
  <si>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</si>
  <si>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</si>
  <si>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</si>
  <si>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</si>
  <si>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</si>
  <si>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</si>
  <si>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</si>
  <si>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</si>
  <si>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</si>
  <si>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</si>
  <si>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</si>
  <si>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</si>
  <si>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</si>
  <si>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</si>
  <si>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</si>
  <si>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</si>
  <si>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</si>
  <si>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</si>
  <si>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</si>
  <si>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</si>
  <si>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</si>
  <si>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</si>
  <si>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</si>
  <si>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</si>
  <si>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</si>
  <si>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</si>
  <si>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</si>
  <si>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</si>
  <si>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</si>
  <si>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</si>
  <si>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</si>
  <si>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</si>
  <si>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</si>
  <si>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</si>
  <si>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</si>
  <si>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</si>
  <si>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</si>
  <si>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</si>
  <si>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</si>
  <si>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</si>
  <si>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</si>
  <si>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</si>
  <si>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</si>
  <si>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</si>
  <si>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</si>
  <si>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</si>
  <si>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</si>
  <si>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</si>
  <si>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</si>
  <si>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</si>
  <si>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</si>
  <si>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</si>
  <si>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</si>
  <si>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</si>
  <si>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</si>
  <si>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</si>
  <si>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</si>
  <si>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</si>
  <si>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</si>
  <si>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</si>
  <si>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</si>
  <si>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</si>
  <si>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</si>
  <si>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</si>
  <si>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</si>
  <si>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</si>
  <si>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</si>
  <si>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</si>
  <si>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</si>
  <si>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</si>
  <si>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</si>
  <si>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</si>
  <si>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</si>
  <si>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</si>
  <si>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</si>
  <si>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</si>
  <si>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</si>
  <si>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</si>
  <si>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</si>
  <si>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</si>
  <si>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</si>
  <si>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</si>
  <si>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</si>
  <si>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</si>
  <si>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</si>
  <si>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</si>
  <si>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</si>
  <si>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</si>
  <si>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</si>
  <si>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</si>
  <si>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</si>
  <si>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</si>
  <si>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</si>
  <si>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</si>
  <si>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</si>
  <si>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</si>
  <si>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</si>
  <si>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</si>
  <si>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</si>
  <si>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</si>
  <si>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</si>
  <si>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</si>
  <si>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</si>
  <si>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</si>
  <si>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</si>
  <si>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</si>
  <si>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</si>
  <si>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</si>
  <si>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</si>
  <si>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</si>
  <si>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</si>
  <si>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</si>
  <si>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</si>
  <si>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</si>
  <si>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</si>
  <si>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</si>
  <si>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</si>
  <si>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</si>
  <si>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</si>
  <si>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</si>
  <si>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</si>
  <si>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</si>
  <si>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</si>
  <si>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</si>
  <si>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</si>
  <si>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</si>
  <si>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</si>
  <si>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</si>
  <si>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</si>
  <si>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</si>
  <si>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</si>
  <si>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</si>
  <si>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</si>
  <si>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</si>
  <si>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</si>
  <si>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</si>
  <si>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</si>
  <si>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</si>
  <si>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</si>
  <si>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</si>
  <si>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</si>
  <si>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</si>
  <si>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</si>
  <si>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</si>
  <si>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</si>
  <si>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</si>
  <si>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</si>
  <si>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</si>
  <si>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</si>
  <si>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</si>
  <si>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</si>
  <si>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</si>
  <si>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</si>
  <si>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</si>
  <si>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</si>
  <si>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</si>
  <si>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</si>
  <si>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</si>
  <si>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</si>
  <si>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</si>
  <si>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</si>
  <si>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</si>
  <si>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</si>
  <si>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</si>
  <si>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</si>
  <si>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</si>
  <si>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</si>
  <si>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</si>
  <si>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</si>
  <si>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</si>
  <si>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</si>
  <si>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</si>
  <si>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</si>
  <si>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</si>
  <si>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</si>
  <si>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</si>
  <si>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</si>
  <si>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</si>
  <si>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</si>
  <si>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</si>
  <si>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</si>
  <si>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</si>
  <si>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</si>
  <si>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</si>
  <si>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</si>
  <si>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</si>
  <si>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</si>
  <si>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</si>
  <si>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</si>
  <si>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</si>
  <si>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</si>
  <si>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</si>
  <si>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</si>
  <si>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</si>
  <si>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</si>
  <si>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</si>
  <si>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</si>
  <si>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</si>
  <si>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</si>
  <si>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</si>
  <si>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</si>
  <si>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</si>
  <si>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</si>
  <si>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</si>
  <si>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</si>
  <si>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</si>
  <si>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</si>
  <si>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</si>
  <si>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</si>
  <si>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</si>
  <si>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</si>
  <si>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</si>
  <si>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</si>
  <si>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</si>
  <si>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</si>
  <si>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</si>
  <si>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</si>
  <si>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</si>
  <si>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</si>
  <si>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</si>
  <si>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</si>
  <si>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</si>
  <si>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</si>
  <si>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</si>
  <si>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</si>
  <si>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</si>
  <si>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</si>
  <si>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</si>
  <si>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</si>
  <si>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</si>
  <si>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</si>
  <si>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</si>
  <si>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</si>
  <si>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</si>
  <si>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</si>
  <si>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</si>
  <si>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</si>
  <si>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</si>
  <si>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</si>
  <si>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</si>
  <si>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</si>
  <si>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</si>
  <si>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</si>
  <si>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</si>
  <si>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</si>
  <si>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</si>
  <si>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</si>
  <si>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</si>
  <si>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</si>
  <si>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</si>
  <si>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</si>
  <si>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</si>
  <si>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</si>
  <si>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</si>
  <si>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</si>
  <si>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</si>
  <si>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</si>
  <si>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</si>
  <si>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</si>
  <si>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</si>
  <si>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</si>
  <si>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</si>
  <si>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</si>
  <si>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</si>
  <si>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</si>
  <si>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</si>
  <si>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</si>
  <si>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</si>
  <si>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</si>
  <si>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</si>
  <si>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</si>
  <si>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</si>
  <si>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</si>
  <si>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</si>
  <si>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</si>
  <si>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</si>
  <si>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</si>
  <si>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</si>
  <si>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</si>
  <si>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</si>
  <si>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</si>
  <si>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</si>
  <si>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</si>
  <si>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</si>
  <si>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</si>
  <si>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</si>
  <si>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</si>
  <si>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</si>
  <si>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</si>
  <si>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</si>
  <si>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</si>
  <si>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</si>
  <si>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</si>
  <si>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</si>
  <si>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</si>
  <si>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</si>
  <si>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</si>
  <si>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</si>
  <si>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</si>
  <si>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</si>
  <si>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</si>
  <si>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</si>
  <si>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</si>
  <si>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</si>
  <si>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</si>
  <si>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</si>
  <si>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</si>
  <si>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</si>
  <si>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</si>
  <si>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</si>
  <si>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</si>
  <si>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</si>
  <si>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</si>
  <si>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</si>
  <si>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</si>
  <si>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</si>
  <si>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</si>
  <si>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</si>
  <si>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</si>
  <si>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</si>
  <si>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</si>
  <si>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</si>
  <si>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</si>
  <si>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</si>
  <si>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</si>
  <si>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</si>
  <si>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</si>
  <si>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</si>
  <si>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</si>
  <si>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</si>
  <si>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</si>
  <si>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</si>
  <si>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</si>
  <si>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</si>
  <si>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</si>
  <si>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</si>
  <si>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</si>
  <si>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</si>
  <si>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</si>
  <si>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</si>
  <si>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</si>
  <si>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</si>
  <si>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</si>
  <si>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</si>
  <si>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</si>
  <si>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</si>
  <si>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</si>
  <si>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</si>
  <si>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</si>
  <si>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</si>
  <si>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</si>
  <si>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</si>
  <si>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</si>
  <si>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</si>
  <si>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</si>
  <si>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</si>
  <si>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</si>
  <si>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</si>
  <si>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</si>
  <si>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</si>
  <si>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</si>
  <si>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</si>
  <si>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</si>
  <si>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</si>
  <si>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</si>
  <si>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</si>
  <si>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</si>
  <si>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</si>
  <si>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</si>
  <si>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</si>
  <si>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</si>
  <si>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</si>
  <si>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</si>
  <si>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</si>
  <si>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</si>
  <si>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</si>
  <si>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</si>
  <si>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</si>
  <si>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</si>
  <si>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</si>
  <si>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</si>
  <si>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</si>
  <si>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</si>
  <si>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</si>
  <si>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</si>
  <si>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</si>
  <si>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</si>
  <si>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</si>
  <si>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</si>
  <si>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</si>
  <si>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</si>
  <si>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</si>
  <si>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</si>
  <si>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</si>
  <si>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</si>
  <si>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</si>
  <si>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</si>
  <si>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</si>
  <si>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</si>
  <si>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</si>
  <si>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</si>
  <si>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</si>
  <si>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</si>
  <si>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</si>
  <si>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</si>
  <si>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</si>
  <si>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</si>
  <si>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</si>
  <si>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</si>
  <si>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</si>
  <si>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</si>
  <si>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</si>
  <si>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</si>
  <si>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</si>
  <si>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</si>
  <si>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</si>
  <si>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</si>
  <si>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</si>
  <si>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</si>
  <si>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</si>
  <si>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</si>
  <si>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</si>
  <si>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</si>
  <si>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</si>
  <si>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</si>
  <si>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</si>
  <si>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</si>
  <si>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</si>
  <si>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</si>
  <si>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</si>
  <si>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</si>
  <si>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</si>
  <si>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</si>
  <si>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</si>
  <si>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</si>
  <si>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</si>
  <si>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</si>
  <si>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</si>
  <si>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</si>
  <si>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</si>
  <si>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</si>
  <si>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</si>
  <si>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</si>
  <si>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</si>
  <si>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</si>
  <si>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</si>
  <si>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</si>
  <si>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</si>
  <si>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</si>
  <si>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</si>
  <si>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</si>
  <si>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</si>
  <si>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</si>
  <si>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</si>
  <si>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</si>
  <si>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</si>
  <si>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</si>
  <si>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</si>
  <si>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</si>
  <si>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</si>
  <si>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</si>
  <si>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</si>
  <si>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</si>
  <si>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</si>
  <si>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</si>
  <si>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</si>
  <si>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</si>
  <si>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</si>
  <si>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</si>
  <si>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</si>
  <si>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</si>
  <si>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</si>
  <si>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</si>
  <si>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</si>
  <si>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</si>
  <si>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</si>
  <si>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</si>
  <si>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</si>
  <si>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</si>
  <si>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</si>
  <si>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</si>
  <si>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</si>
  <si>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</si>
  <si>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</si>
  <si>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</si>
  <si>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</si>
  <si>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</si>
  <si>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</si>
  <si>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</si>
  <si>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</si>
  <si>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</si>
  <si>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</si>
  <si>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</si>
  <si>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</si>
  <si>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</si>
  <si>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</si>
  <si>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</si>
  <si>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</si>
  <si>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</si>
  <si>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</si>
  <si>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</si>
  <si>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</si>
  <si>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</si>
  <si>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</si>
  <si>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</si>
  <si>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</si>
  <si>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</si>
  <si>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</si>
  <si>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</si>
  <si>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</si>
  <si>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</si>
  <si>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</si>
  <si>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</si>
  <si>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</si>
  <si>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</si>
  <si>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</si>
  <si>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</si>
  <si>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</si>
  <si>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</si>
  <si>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</si>
  <si>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</si>
  <si>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</si>
  <si>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</si>
  <si>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</si>
  <si>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</si>
  <si>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</si>
  <si>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</si>
  <si>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</si>
  <si>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</si>
  <si>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</si>
  <si>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</si>
  <si>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</si>
  <si>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</si>
  <si>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</si>
  <si>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</si>
  <si>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</si>
  <si>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</si>
  <si>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</si>
  <si>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</si>
  <si>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</si>
  <si>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</si>
  <si>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</si>
  <si>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</si>
  <si>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</si>
  <si>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</si>
  <si>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</si>
  <si>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</si>
  <si>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</si>
  <si>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</si>
  <si>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</si>
  <si>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</si>
  <si>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</si>
  <si>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</si>
  <si>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</si>
  <si>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</si>
  <si>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</si>
  <si>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</si>
  <si>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</si>
  <si>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</si>
  <si>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</si>
  <si>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</si>
  <si>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</si>
  <si>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</si>
  <si>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</si>
  <si>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</si>
  <si>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</si>
  <si>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</si>
  <si>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</si>
  <si>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</si>
  <si>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</si>
  <si>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</si>
  <si>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</si>
  <si>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</si>
  <si>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</si>
  <si>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</si>
  <si>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</si>
  <si>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</si>
  <si>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</si>
  <si>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</si>
  <si>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</si>
  <si>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</si>
  <si>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</si>
  <si>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</si>
  <si>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</si>
  <si>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</si>
  <si>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</si>
  <si>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</si>
  <si>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</si>
  <si>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</si>
  <si>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</si>
  <si>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</si>
  <si>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</si>
  <si>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</si>
  <si>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</si>
  <si>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</si>
  <si>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</si>
  <si>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</si>
  <si>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</si>
  <si>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</si>
  <si>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</si>
  <si>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</si>
  <si>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</si>
  <si>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</si>
  <si>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</si>
  <si>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</si>
  <si>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</si>
  <si>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</si>
  <si>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</si>
  <si>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</si>
  <si>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</si>
  <si>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</si>
  <si>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</si>
  <si>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</si>
  <si>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</si>
  <si>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</si>
  <si>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</si>
  <si>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</si>
  <si>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</si>
  <si>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</si>
  <si>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</si>
  <si>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</si>
  <si>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</si>
  <si>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</si>
  <si>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</si>
  <si>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</si>
  <si>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</si>
  <si>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</si>
  <si>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</si>
  <si>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</si>
  <si>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</si>
  <si>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</si>
  <si>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</si>
  <si>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</si>
  <si>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</si>
  <si>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</si>
  <si>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</si>
  <si>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</si>
  <si>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</si>
  <si>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</si>
  <si>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</si>
  <si>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</si>
  <si>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</si>
  <si>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</si>
  <si>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</si>
  <si>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</si>
  <si>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</si>
  <si>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</si>
  <si>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</si>
  <si>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</si>
  <si>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</si>
  <si>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</si>
  <si>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</si>
  <si>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</si>
  <si>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</si>
  <si>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</si>
  <si>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</si>
  <si>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</si>
  <si>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</si>
  <si>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</si>
  <si>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</si>
  <si>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</si>
  <si>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</si>
  <si>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</si>
  <si>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</si>
  <si>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</si>
  <si>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</si>
  <si>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</si>
  <si>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</si>
  <si>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</si>
  <si>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</si>
  <si>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</si>
  <si>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</si>
  <si>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</si>
  <si>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</si>
  <si>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</si>
  <si>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</si>
  <si>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</si>
  <si>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</si>
  <si>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</si>
  <si>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</si>
  <si>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</si>
  <si>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</si>
  <si>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</si>
  <si>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</si>
  <si>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</si>
  <si>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</si>
  <si>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</si>
  <si>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</si>
  <si>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</si>
  <si>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</si>
  <si>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</si>
  <si>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</si>
  <si>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</si>
  <si>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</si>
  <si>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</si>
  <si>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</si>
  <si>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</si>
  <si>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</si>
  <si>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</si>
  <si>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</si>
  <si>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</si>
  <si>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</si>
  <si>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</si>
  <si>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</si>
  <si>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</si>
  <si>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</si>
  <si>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</si>
  <si>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</si>
  <si>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</si>
  <si>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</si>
  <si>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</si>
  <si>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</si>
  <si>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</si>
  <si>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</si>
  <si>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</si>
  <si>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</si>
  <si>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</si>
  <si>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</si>
  <si>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</si>
  <si>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</si>
  <si>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</si>
  <si>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</si>
  <si>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</si>
  <si>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</si>
  <si>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</si>
  <si>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</si>
  <si>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</si>
  <si>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</si>
  <si>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</si>
  <si>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</si>
  <si>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</si>
  <si>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</si>
  <si>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</si>
  <si>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</si>
  <si>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</si>
  <si>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</si>
  <si>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</si>
  <si>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</si>
  <si>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</si>
  <si>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</si>
  <si>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</si>
  <si>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</si>
  <si>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</si>
  <si>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</si>
  <si>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</si>
  <si>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</si>
  <si>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</si>
  <si>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</si>
  <si>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</si>
  <si>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</si>
  <si>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</si>
  <si>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</si>
  <si>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</si>
  <si>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</si>
  <si>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</si>
  <si>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</si>
  <si>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</si>
  <si>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</si>
  <si>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</si>
  <si>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</si>
  <si>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</si>
  <si>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</si>
  <si>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</si>
  <si>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</si>
  <si>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</si>
  <si>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</si>
  <si>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</si>
  <si>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</si>
  <si>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</si>
  <si>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</si>
  <si>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</si>
  <si>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</si>
  <si>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</si>
  <si>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</si>
  <si>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</si>
  <si>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</si>
  <si>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</si>
  <si>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</si>
  <si>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</si>
  <si>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</si>
  <si>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</si>
  <si>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</si>
  <si>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</si>
  <si>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</si>
  <si>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</si>
  <si>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</si>
  <si>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</si>
  <si>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</si>
  <si>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</si>
  <si>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</si>
  <si>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</si>
  <si>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</si>
  <si>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</si>
  <si>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</si>
  <si>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</si>
  <si>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</si>
  <si>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</si>
  <si>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</si>
  <si>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</si>
  <si>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</si>
  <si>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</si>
  <si>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</si>
  <si>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</si>
  <si>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</si>
  <si>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</si>
  <si>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</si>
  <si>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</si>
  <si>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</si>
  <si>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</si>
  <si>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</si>
  <si>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</si>
  <si>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</si>
  <si>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</si>
  <si>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</si>
  <si>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</si>
  <si>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</si>
  <si>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</si>
  <si>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</si>
  <si>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</si>
  <si>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</si>
  <si>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</si>
  <si>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</si>
  <si>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</si>
  <si>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</si>
  <si>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</si>
  <si>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</si>
  <si>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</si>
  <si>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</si>
  <si>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</si>
  <si>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</si>
  <si>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</si>
  <si>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</si>
  <si>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</si>
  <si>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</si>
  <si>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</si>
  <si>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</si>
  <si>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</si>
  <si>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</si>
  <si>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</si>
  <si>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</si>
  <si>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</si>
  <si>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</si>
  <si>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</si>
  <si>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</si>
  <si>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</si>
  <si>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</si>
  <si>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</si>
  <si>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</si>
  <si>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</si>
  <si>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</si>
  <si>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</si>
  <si>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</si>
  <si>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</si>
  <si>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</si>
  <si>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</si>
  <si>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</si>
  <si>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</si>
  <si>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</si>
  <si>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</si>
  <si>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</si>
  <si>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</si>
  <si>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</si>
  <si>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</si>
  <si>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</si>
  <si>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</si>
  <si>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</si>
  <si>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</si>
  <si>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</si>
  <si>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</si>
  <si>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</si>
  <si>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</si>
  <si>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</si>
  <si>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</si>
  <si>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</si>
  <si>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</si>
  <si>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</si>
  <si>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</si>
  <si>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</si>
  <si>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</si>
  <si>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</si>
  <si>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</si>
  <si>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</si>
  <si>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</si>
  <si>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</si>
  <si>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</si>
  <si>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</si>
  <si>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</si>
  <si>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</si>
  <si>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</si>
  <si>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</si>
  <si>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</si>
  <si>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</si>
  <si>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</si>
  <si>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</si>
  <si>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</si>
  <si>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</si>
  <si>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</si>
  <si>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</si>
  <si>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</si>
  <si>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</si>
  <si>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</si>
  <si>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</si>
  <si>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</si>
  <si>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</si>
  <si>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</si>
  <si>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</si>
  <si>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</si>
  <si>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</si>
  <si>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</si>
  <si>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</si>
  <si>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</si>
  <si>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</si>
  <si>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</si>
  <si>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</si>
  <si>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</si>
  <si>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</si>
  <si>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</si>
  <si>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</si>
  <si>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</si>
  <si>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</si>
  <si>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</si>
  <si>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</si>
  <si>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</si>
  <si>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</si>
  <si>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</si>
  <si>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</si>
  <si>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</si>
  <si>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</si>
  <si>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</si>
  <si>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</si>
  <si>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</si>
  <si>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</si>
  <si>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</si>
  <si>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</si>
  <si>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</si>
  <si>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</si>
  <si>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</si>
  <si>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</si>
  <si>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</si>
  <si>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</si>
  <si>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</si>
  <si>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</si>
  <si>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</si>
  <si>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</si>
  <si>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</si>
  <si>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</si>
  <si>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</si>
  <si>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</si>
  <si>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</si>
  <si>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</si>
  <si>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</si>
  <si>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</si>
  <si>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</si>
  <si>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</si>
  <si>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</si>
  <si>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</si>
  <si>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</si>
  <si>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</si>
  <si>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</si>
  <si>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</si>
  <si>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</si>
  <si>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</si>
  <si>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</si>
  <si>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</si>
  <si>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</si>
  <si>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</si>
  <si>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</si>
  <si>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</si>
  <si>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</si>
  <si>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</si>
  <si>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</si>
  <si>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</si>
  <si>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</si>
  <si>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</si>
  <si>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</si>
  <si>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</si>
  <si>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</si>
  <si>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</si>
  <si>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</si>
  <si>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</si>
  <si>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</si>
  <si>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</si>
  <si>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</si>
  <si>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</si>
  <si>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</si>
  <si>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</si>
  <si>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</si>
  <si>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</si>
  <si>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</si>
  <si>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</si>
  <si>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</si>
  <si>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</si>
  <si>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</si>
  <si>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</si>
  <si>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</si>
  <si>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</si>
  <si>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</si>
  <si>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</si>
  <si>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</si>
  <si>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</si>
  <si>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</si>
  <si>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</si>
  <si>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</si>
  <si>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</si>
  <si>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</si>
  <si>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</si>
  <si>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</si>
  <si>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</si>
  <si>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</si>
  <si>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</si>
  <si>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</si>
  <si>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</si>
  <si>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</si>
  <si>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</si>
  <si>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</si>
  <si>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</si>
  <si>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</si>
  <si>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</si>
  <si>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</si>
  <si>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</si>
  <si>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</si>
  <si>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</si>
  <si>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</si>
  <si>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</si>
  <si>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</si>
  <si>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</si>
  <si>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</si>
  <si>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</si>
  <si>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</si>
  <si>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</si>
  <si>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</si>
  <si>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</si>
  <si>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</si>
  <si>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</si>
  <si>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</si>
  <si>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</si>
  <si>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</si>
  <si>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</si>
  <si>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</si>
  <si>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</si>
  <si>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</si>
  <si>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</si>
  <si>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</si>
  <si>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</si>
  <si>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</si>
  <si>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</si>
  <si>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</si>
  <si>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</si>
  <si>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</si>
  <si>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</si>
  <si>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</si>
  <si>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</si>
  <si>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</si>
  <si>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</si>
  <si>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</si>
  <si>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</si>
  <si>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</si>
  <si>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</si>
  <si>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</si>
  <si>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</si>
  <si>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</si>
  <si>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</si>
  <si>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</si>
  <si>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</si>
  <si>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</si>
  <si>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</si>
  <si>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</si>
  <si>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</si>
  <si>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</si>
  <si>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</si>
  <si>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</si>
  <si>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</si>
  <si>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</si>
  <si>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</si>
  <si>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</si>
  <si>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</si>
  <si>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</si>
  <si>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</si>
  <si>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</si>
  <si>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</si>
  <si>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</si>
  <si>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</si>
  <si>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</si>
  <si>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</si>
  <si>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</si>
  <si>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</si>
  <si>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</si>
  <si>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</si>
  <si>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</si>
  <si>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</si>
  <si>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</si>
  <si>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</si>
  <si>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</si>
  <si>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</si>
  <si>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</si>
  <si>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</si>
  <si>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</si>
  <si>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</si>
  <si>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</si>
  <si>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</si>
  <si>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</si>
  <si>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</si>
  <si>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</si>
  <si>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</si>
  <si>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</si>
  <si>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</si>
  <si>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</si>
  <si>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</si>
  <si>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</si>
  <si>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</si>
  <si>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</si>
  <si>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</si>
  <si>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</si>
  <si>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</si>
  <si>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</si>
  <si>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</si>
  <si>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</si>
  <si>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</si>
  <si>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</si>
  <si>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</si>
  <si>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</si>
  <si>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</si>
  <si>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</si>
  <si>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</si>
  <si>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</si>
  <si>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</si>
  <si>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</si>
  <si>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</si>
  <si>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</si>
  <si>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</si>
  <si>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</si>
  <si>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</si>
  <si>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</si>
  <si>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</si>
  <si>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</si>
  <si>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</si>
  <si>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</si>
  <si>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</si>
  <si>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</si>
  <si>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</si>
  <si>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</si>
  <si>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</si>
  <si>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</si>
  <si>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</si>
  <si>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</si>
  <si>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</si>
  <si>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</si>
  <si>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</si>
  <si>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</si>
  <si>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</si>
  <si>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</si>
  <si>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</si>
  <si>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</si>
  <si>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</si>
  <si>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</si>
  <si>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</si>
  <si>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</si>
  <si>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</si>
  <si>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</si>
  <si>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</si>
  <si>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</si>
  <si>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</si>
  <si>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</si>
  <si>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</si>
  <si>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</si>
  <si>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</si>
  <si>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</si>
  <si>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</si>
  <si>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</si>
  <si>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</si>
  <si>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</si>
  <si>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</si>
  <si>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</si>
  <si>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</si>
  <si>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</si>
  <si>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</si>
  <si>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</si>
  <si>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</si>
  <si>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</si>
  <si>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</si>
  <si>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</si>
  <si>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</si>
  <si>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</si>
  <si>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</si>
  <si>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</si>
  <si>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</si>
  <si>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</si>
  <si>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</si>
  <si>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</si>
  <si>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</si>
  <si>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</si>
  <si>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</si>
  <si>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</si>
  <si>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</si>
  <si>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</si>
  <si>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</si>
  <si>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</si>
  <si>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</si>
  <si>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</si>
  <si>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</si>
  <si>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</si>
  <si>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</si>
  <si>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</si>
  <si>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</si>
  <si>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</si>
  <si>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</si>
  <si>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</si>
  <si>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</si>
  <si>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</si>
  <si>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</si>
  <si>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</si>
  <si>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</si>
  <si>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</si>
  <si>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</si>
  <si>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</si>
  <si>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</si>
  <si>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</si>
  <si>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</si>
  <si>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</si>
  <si>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</si>
  <si>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</si>
  <si>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</si>
  <si>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</si>
  <si>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</si>
  <si>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</si>
  <si>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</si>
  <si>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</si>
  <si>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</si>
  <si>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</si>
  <si>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</si>
  <si>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</si>
  <si>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</si>
  <si>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</si>
  <si>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</si>
  <si>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</si>
  <si>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</si>
  <si>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</si>
  <si>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</si>
  <si>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</si>
  <si>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</si>
  <si>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</si>
  <si>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</si>
  <si>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</si>
  <si>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</si>
  <si>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</si>
  <si>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</si>
  <si>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</si>
  <si>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</si>
  <si>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</si>
  <si>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</si>
  <si>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</si>
  <si>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</si>
  <si>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</si>
  <si>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</si>
  <si>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</si>
  <si>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</si>
  <si>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</si>
  <si>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</si>
  <si>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</si>
  <si>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</si>
  <si>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</si>
  <si>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</si>
  <si>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</si>
  <si>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</si>
  <si>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</si>
  <si>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</si>
  <si>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</si>
  <si>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</si>
  <si>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</si>
  <si>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</si>
  <si>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</si>
  <si>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</si>
  <si>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</si>
  <si>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</si>
  <si>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</si>
  <si>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</si>
  <si>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</si>
  <si>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</si>
  <si>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</si>
  <si>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</si>
  <si>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</si>
  <si>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</si>
  <si>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</si>
  <si>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</si>
  <si>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</si>
  <si>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</si>
  <si>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</si>
  <si>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</si>
  <si>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</si>
  <si>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</si>
  <si>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</si>
  <si>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</si>
  <si>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</si>
  <si>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</si>
  <si>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</si>
  <si>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</si>
  <si>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</si>
  <si>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</si>
  <si>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</si>
  <si>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</si>
  <si>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</si>
  <si>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</si>
  <si>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</si>
  <si>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</si>
  <si>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</si>
  <si>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</si>
  <si>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</si>
  <si>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</si>
  <si>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</si>
  <si>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</si>
  <si>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</si>
  <si>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</si>
  <si>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</si>
  <si>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</si>
  <si>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</si>
  <si>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</si>
  <si>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</si>
  <si>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</si>
  <si>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</si>
  <si>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</si>
  <si>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</si>
  <si>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</si>
  <si>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</si>
  <si>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</si>
  <si>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</si>
  <si>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</si>
  <si>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</si>
  <si>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</si>
  <si>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</si>
  <si>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</si>
  <si>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</si>
  <si>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</si>
  <si>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</si>
  <si>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</si>
  <si>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</si>
  <si>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</si>
  <si>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</si>
  <si>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</si>
  <si>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</si>
  <si>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</si>
  <si>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</si>
  <si>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</si>
  <si>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</si>
  <si>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</si>
  <si>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</si>
  <si>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</si>
  <si>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</si>
  <si>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</si>
  <si>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</si>
  <si>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</si>
  <si>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</si>
  <si>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</si>
  <si>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</si>
  <si>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</si>
  <si>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</si>
  <si>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</si>
  <si>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</si>
  <si>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</si>
  <si>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</si>
  <si>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</si>
  <si>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</si>
  <si>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</si>
  <si>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</si>
  <si>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</si>
  <si>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</si>
  <si>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</si>
  <si>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</si>
  <si>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</si>
  <si>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</si>
  <si>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</si>
  <si>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</si>
  <si>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</si>
  <si>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</si>
  <si>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</si>
  <si>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</si>
  <si>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</si>
  <si>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</si>
  <si>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</si>
  <si>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</si>
  <si>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</si>
  <si>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</si>
  <si>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</si>
  <si>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</si>
  <si>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</si>
  <si>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</si>
  <si>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</si>
  <si>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</si>
  <si>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</si>
  <si>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</si>
  <si>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</si>
  <si>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</si>
  <si>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</si>
  <si>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</si>
  <si>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</si>
  <si>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</si>
  <si>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</si>
  <si>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</si>
  <si>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</si>
  <si>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</si>
  <si>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</si>
  <si>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</si>
  <si>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</si>
  <si>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</si>
  <si>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</si>
  <si>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</si>
  <si>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</si>
  <si>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</si>
  <si>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</si>
  <si>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</si>
  <si>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</si>
  <si>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</si>
  <si>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</si>
  <si>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</si>
  <si>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</si>
  <si>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</si>
  <si>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</si>
  <si>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</si>
  <si>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</si>
  <si>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</si>
  <si>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</si>
  <si>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</si>
  <si>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</si>
  <si>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</si>
  <si>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</si>
  <si>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</si>
  <si>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</si>
  <si>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</si>
  <si>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</si>
  <si>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</si>
  <si>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</si>
  <si>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</si>
  <si>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</si>
  <si>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</si>
  <si>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</si>
  <si>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</si>
  <si>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</si>
  <si>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</si>
  <si>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</si>
  <si>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</si>
  <si>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</si>
  <si>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</si>
  <si>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</si>
  <si>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</si>
  <si>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</si>
  <si>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</si>
  <si>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</si>
  <si>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</si>
  <si>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</si>
  <si>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</si>
  <si>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</si>
  <si>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</si>
  <si>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</si>
  <si>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</si>
  <si>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</si>
  <si>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</si>
  <si>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</si>
  <si>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</si>
  <si>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</si>
  <si>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</si>
  <si>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</si>
  <si>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</si>
  <si>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</si>
  <si>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</si>
  <si>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</si>
  <si>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</si>
  <si>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</si>
  <si>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</si>
  <si>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</si>
  <si>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</si>
  <si>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</si>
  <si>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</si>
  <si>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</si>
  <si>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</si>
  <si>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</si>
  <si>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</si>
  <si>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</si>
  <si>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</si>
  <si>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</si>
  <si>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</si>
  <si>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</si>
  <si>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</si>
  <si>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</si>
  <si>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</si>
  <si>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</si>
  <si>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</si>
  <si>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</si>
  <si>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</si>
  <si>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</si>
  <si>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</si>
  <si>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</si>
  <si>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</si>
  <si>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</si>
  <si>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</si>
  <si>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</si>
  <si>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</si>
  <si>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</si>
  <si>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</si>
  <si>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</si>
  <si>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</si>
  <si>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</si>
  <si>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</si>
  <si>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</si>
  <si>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</si>
  <si>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</si>
  <si>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</si>
  <si>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</si>
  <si>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</si>
  <si>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</si>
  <si>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</si>
  <si>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</si>
  <si>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</si>
  <si>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</si>
  <si>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</si>
  <si>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</si>
  <si>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</si>
  <si>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</si>
  <si>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</si>
  <si>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</si>
  <si>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</si>
  <si>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</si>
  <si>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</si>
  <si>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</si>
  <si>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</si>
  <si>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</si>
  <si>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</si>
  <si>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</si>
  <si>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</si>
  <si>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</si>
  <si>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</si>
  <si>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</si>
  <si>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</si>
  <si>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</si>
  <si>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</si>
  <si>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</si>
  <si>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</si>
  <si>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</si>
  <si>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</si>
  <si>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</si>
  <si>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</si>
  <si>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</si>
  <si>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</si>
  <si>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</si>
  <si>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</si>
  <si>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</si>
  <si>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</si>
  <si>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</si>
  <si>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</si>
  <si>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</si>
  <si>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</si>
  <si>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</si>
  <si>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</si>
  <si>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</si>
  <si>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</si>
  <si>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</si>
  <si>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</si>
  <si>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</si>
  <si>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</si>
  <si>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</si>
  <si>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</si>
  <si>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</si>
  <si>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</si>
  <si>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</si>
  <si>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</si>
  <si>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</si>
  <si>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</si>
  <si>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</si>
  <si>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</si>
  <si>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</si>
  <si>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</si>
  <si>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</si>
  <si>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</si>
  <si>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</si>
  <si>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</si>
  <si>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</si>
  <si>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</si>
  <si>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</si>
  <si>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</si>
  <si>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</si>
  <si>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</si>
  <si>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</si>
  <si>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</si>
  <si>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</si>
  <si>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</si>
  <si>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</si>
  <si>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</si>
  <si>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</si>
  <si>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</si>
  <si>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</si>
  <si>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</si>
  <si>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</si>
  <si>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</si>
  <si>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</si>
  <si>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</si>
  <si>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</si>
  <si>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</si>
  <si>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</si>
  <si>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</si>
  <si>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</si>
  <si>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</si>
  <si>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</si>
  <si>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</si>
  <si>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</si>
  <si>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</si>
  <si>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</si>
  <si>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</si>
  <si>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</si>
  <si>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</si>
  <si>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</si>
  <si>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</si>
  <si>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</si>
  <si>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</si>
  <si>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</si>
  <si>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</si>
  <si>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</si>
  <si>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</si>
  <si>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</si>
  <si>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</si>
  <si>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</si>
  <si>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</si>
  <si>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</si>
  <si>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</si>
  <si>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</si>
  <si>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</si>
  <si>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</si>
  <si>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</si>
  <si>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</si>
  <si>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</si>
  <si>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</si>
  <si>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</si>
  <si>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</si>
  <si>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</si>
  <si>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</si>
  <si>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</si>
  <si>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</si>
  <si>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</si>
  <si>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</si>
  <si>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</si>
  <si>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</si>
  <si>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</si>
  <si>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</si>
  <si>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</si>
  <si>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</si>
  <si>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</si>
  <si>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</si>
  <si>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</si>
  <si>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</si>
  <si>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</si>
  <si>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</si>
  <si>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</si>
  <si>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</si>
  <si>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</si>
  <si>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</si>
  <si>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</si>
  <si>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</si>
  <si>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</si>
  <si>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</si>
  <si>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</si>
  <si>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</si>
  <si>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</si>
  <si>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</si>
  <si>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</si>
  <si>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</si>
  <si>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</si>
  <si>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</si>
  <si>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</si>
  <si>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</si>
  <si>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</si>
  <si>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</si>
  <si>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</si>
  <si>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</si>
  <si>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</si>
  <si>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</si>
  <si>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</si>
  <si>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</si>
  <si>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</si>
  <si>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</si>
  <si>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</si>
  <si>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</si>
  <si>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</si>
  <si>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</si>
  <si>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</si>
  <si>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</si>
  <si>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</si>
  <si>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</si>
  <si>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</si>
  <si>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</si>
  <si>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</si>
  <si>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</si>
  <si>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</si>
  <si>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</si>
  <si>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</si>
  <si>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</si>
  <si>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</si>
  <si>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</si>
  <si>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</si>
  <si>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</si>
  <si>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</si>
  <si>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</si>
  <si>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</si>
  <si>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</si>
  <si>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</si>
  <si>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</si>
  <si>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</si>
  <si>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</si>
  <si>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</si>
  <si>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</si>
  <si>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</si>
  <si>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</si>
  <si>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</si>
  <si>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</si>
  <si>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</si>
  <si>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</si>
  <si>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</si>
  <si>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</si>
  <si>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</si>
  <si>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</si>
  <si>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</si>
  <si>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</si>
  <si>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</si>
  <si>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</si>
  <si>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</si>
  <si>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</si>
  <si>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</si>
  <si>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</si>
  <si>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</si>
  <si>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</si>
  <si>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</si>
  <si>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</si>
  <si>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</si>
  <si>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</si>
  <si>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</si>
  <si>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</si>
  <si>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</si>
  <si>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</si>
  <si>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</si>
  <si>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</si>
  <si>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</si>
  <si>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</si>
  <si>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</si>
  <si>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</si>
  <si>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</si>
  <si>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</si>
  <si>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</si>
  <si>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</si>
  <si>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</si>
  <si>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</si>
  <si>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</si>
  <si>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</si>
  <si>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</si>
  <si>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</si>
  <si>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</si>
  <si>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</si>
  <si>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</si>
  <si>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</si>
  <si>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</si>
  <si>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</si>
  <si>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</si>
  <si>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</si>
  <si>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</si>
  <si>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</si>
  <si>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</si>
  <si>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</si>
  <si>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</si>
  <si>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</si>
  <si>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</si>
  <si>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</si>
  <si>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</si>
  <si>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</si>
  <si>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</si>
  <si>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</si>
  <si>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</si>
  <si>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</si>
  <si>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</si>
  <si>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</si>
  <si>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</si>
  <si>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</si>
  <si>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</si>
  <si>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</si>
  <si>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</si>
  <si>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</si>
  <si>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</si>
  <si>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</si>
  <si>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</si>
  <si>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</si>
  <si>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</si>
  <si>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</si>
  <si>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</si>
  <si>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</si>
  <si>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</si>
  <si>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</si>
  <si>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</si>
  <si>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</si>
  <si>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</si>
  <si>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</si>
  <si>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</si>
  <si>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</si>
  <si>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</si>
  <si>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</si>
  <si>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</si>
  <si>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</si>
  <si>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</si>
  <si>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</si>
  <si>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</si>
  <si>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</si>
  <si>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</si>
  <si>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</si>
  <si>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</si>
  <si>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</si>
  <si>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</si>
  <si>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</si>
  <si>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</si>
  <si>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</si>
  <si>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</si>
  <si>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</si>
  <si>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</si>
  <si>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</si>
  <si>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</si>
  <si>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</si>
  <si>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</si>
  <si>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</si>
  <si>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</si>
  <si>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</si>
  <si>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</si>
  <si>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</si>
  <si>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</si>
  <si>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</si>
  <si>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</si>
  <si>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</si>
  <si>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</si>
  <si>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</si>
  <si>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</si>
  <si>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</si>
  <si>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</si>
  <si>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</si>
  <si>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</si>
  <si>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</si>
  <si>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</si>
  <si>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</si>
  <si>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</si>
  <si>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</si>
  <si>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</si>
  <si>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</si>
  <si>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</si>
  <si>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</si>
  <si>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</si>
  <si>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</si>
  <si>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</si>
  <si>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</si>
  <si>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</si>
  <si>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</si>
  <si>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</si>
  <si>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</si>
  <si>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</si>
  <si>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</si>
  <si>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</si>
  <si>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</si>
  <si>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</si>
  <si>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</si>
  <si>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</si>
  <si>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</si>
  <si>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</si>
  <si>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</si>
  <si>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</si>
  <si>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</si>
  <si>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</si>
  <si>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</si>
  <si>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</si>
  <si>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</si>
  <si>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</si>
  <si>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</si>
  <si>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</si>
  <si>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</si>
  <si>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</si>
  <si>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</si>
  <si>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</si>
  <si>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</si>
  <si>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</si>
  <si>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</si>
  <si>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</si>
  <si>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</si>
  <si>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</si>
  <si>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</si>
  <si>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</si>
  <si>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</si>
  <si>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</si>
  <si>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</si>
  <si>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</si>
  <si>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</si>
  <si>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</si>
  <si>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</si>
  <si>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</si>
  <si>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</si>
  <si>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</si>
  <si>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</si>
  <si>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</si>
  <si>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</si>
  <si>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</si>
  <si>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</si>
  <si>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</si>
  <si>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</si>
  <si>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</si>
  <si>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</si>
  <si>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</si>
  <si>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</si>
  <si>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</si>
  <si>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</si>
  <si>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</si>
  <si>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</si>
  <si>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</si>
  <si>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</si>
  <si>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</si>
  <si>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</si>
  <si>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</si>
  <si>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</si>
  <si>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</si>
  <si>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</si>
  <si>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</si>
  <si>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</si>
  <si>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</si>
  <si>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</si>
  <si>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</si>
  <si>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</si>
  <si>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</si>
  <si>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</si>
  <si>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</si>
  <si>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</si>
  <si>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</si>
  <si>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</si>
  <si>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</si>
  <si>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</si>
  <si>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</si>
  <si>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</si>
  <si>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</si>
  <si>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</si>
  <si>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</si>
  <si>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</si>
  <si>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</si>
  <si>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</si>
  <si>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</si>
  <si>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</si>
  <si>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</si>
  <si>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</si>
  <si>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</si>
  <si>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</si>
  <si>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</si>
  <si>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</si>
  <si>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</si>
  <si>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</si>
  <si>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</si>
  <si>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</si>
  <si>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</si>
  <si>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</si>
  <si>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</si>
  <si>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</si>
  <si>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</si>
  <si>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</si>
  <si>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</si>
  <si>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</si>
  <si>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</si>
  <si>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</si>
  <si>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</si>
  <si>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</si>
  <si>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</si>
  <si>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</si>
  <si>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</si>
  <si>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</si>
  <si>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</si>
  <si>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</si>
  <si>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</si>
  <si>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</si>
  <si>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</si>
  <si>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</si>
  <si>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</si>
  <si>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</si>
  <si>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</si>
  <si>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</si>
  <si>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</si>
  <si>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</si>
  <si>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</si>
  <si>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</si>
  <si>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</si>
  <si>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</si>
  <si>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</si>
  <si>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</si>
  <si>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</si>
  <si>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</si>
  <si>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</si>
  <si>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</si>
  <si>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</si>
  <si>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</si>
  <si>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</si>
  <si>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</si>
  <si>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</si>
  <si>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</si>
  <si>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</si>
  <si>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</si>
  <si>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</si>
  <si>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</si>
  <si>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</si>
  <si>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</si>
  <si>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</si>
  <si>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</si>
  <si>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</si>
  <si>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</si>
  <si>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</si>
  <si>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</si>
  <si>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</si>
  <si>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</si>
  <si>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</si>
  <si>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</si>
  <si>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</si>
  <si>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</si>
  <si>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</si>
  <si>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</si>
  <si>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</si>
  <si>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</si>
  <si>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</si>
  <si>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</si>
  <si>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</si>
  <si>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</si>
  <si>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</si>
  <si>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</si>
  <si>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</si>
  <si>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</si>
  <si>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</si>
  <si>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</si>
  <si>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</si>
  <si>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</si>
  <si>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</si>
  <si>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</si>
  <si>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</si>
  <si>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</si>
  <si>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</si>
  <si>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</si>
  <si>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</si>
  <si>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</si>
  <si>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</si>
  <si>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</si>
  <si>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</si>
  <si>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</si>
  <si>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</si>
  <si>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</si>
  <si>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</si>
  <si>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</si>
  <si>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</si>
  <si>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</si>
  <si>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</si>
  <si>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</si>
  <si>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</si>
  <si>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</si>
  <si>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</si>
  <si>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</si>
  <si>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</si>
  <si>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</si>
  <si>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</si>
  <si>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</si>
  <si>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</si>
  <si>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</si>
  <si>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</si>
  <si>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</si>
  <si>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</si>
  <si>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</si>
  <si>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</si>
  <si>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</si>
  <si>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</si>
  <si>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</si>
  <si>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</si>
  <si>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</si>
  <si>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</si>
  <si>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</si>
  <si>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</si>
  <si>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</si>
  <si>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</si>
  <si>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</si>
  <si>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</si>
  <si>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</si>
  <si>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</si>
  <si>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</si>
  <si>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</si>
  <si>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</si>
  <si>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</si>
  <si>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</si>
  <si>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</si>
  <si>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</si>
  <si>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</si>
  <si>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</si>
  <si>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</si>
  <si>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</si>
  <si>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</si>
  <si>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</si>
  <si>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</si>
  <si>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</si>
  <si>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</si>
  <si>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</si>
  <si>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</si>
  <si>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</si>
  <si>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</si>
  <si>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</si>
  <si>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</si>
  <si>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</si>
  <si>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</si>
  <si>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</si>
  <si>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</si>
  <si>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</si>
  <si>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</si>
  <si>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</si>
  <si>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</si>
  <si>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</si>
  <si>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</si>
  <si>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</si>
  <si>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</si>
  <si>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</si>
  <si>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</si>
  <si>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</si>
  <si>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</si>
  <si>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</si>
  <si>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</si>
  <si>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</si>
  <si>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</si>
  <si>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</si>
  <si>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</si>
  <si>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</si>
  <si>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</si>
  <si>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</si>
  <si>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</si>
  <si>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</si>
  <si>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</si>
  <si>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</si>
  <si>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</si>
  <si>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</si>
  <si>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</si>
  <si>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</si>
  <si>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</si>
  <si>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</si>
  <si>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</si>
  <si>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</si>
  <si>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</si>
  <si>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</si>
  <si>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</si>
  <si>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</si>
  <si>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</si>
  <si>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</si>
  <si>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</si>
  <si>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</si>
  <si>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</si>
  <si>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</si>
  <si>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</si>
  <si>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</si>
  <si>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</si>
  <si>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</si>
  <si>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</si>
  <si>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</si>
  <si>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</si>
  <si>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</si>
  <si>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</si>
  <si>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</si>
  <si>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</si>
  <si>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</si>
  <si>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</si>
  <si>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</si>
  <si>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</si>
  <si>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</si>
  <si>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</si>
  <si>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</si>
  <si>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</si>
  <si>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</si>
  <si>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</si>
  <si>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</si>
  <si>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</si>
  <si>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</si>
  <si>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</si>
  <si>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</si>
  <si>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</si>
  <si>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</si>
  <si>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</si>
  <si>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</si>
  <si>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</si>
  <si>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</si>
  <si>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</si>
  <si>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</si>
  <si>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</si>
  <si>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</si>
  <si>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</si>
  <si>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</si>
  <si>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</si>
  <si>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</si>
  <si>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</si>
  <si>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</si>
  <si>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</si>
  <si>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</si>
  <si>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</si>
  <si>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</si>
  <si>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</si>
  <si>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</si>
  <si>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</si>
  <si>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</si>
  <si>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</si>
  <si>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</si>
  <si>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</si>
  <si>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</si>
  <si>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</si>
  <si>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</si>
  <si>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</si>
  <si>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</si>
  <si>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</si>
  <si>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</si>
  <si>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</si>
  <si>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</si>
  <si>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</si>
  <si>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</si>
  <si>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</si>
  <si>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</si>
  <si>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</si>
  <si>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</si>
  <si>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</si>
  <si>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</si>
  <si>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</si>
  <si>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</si>
  <si>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</si>
  <si>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</si>
  <si>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</si>
  <si>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</si>
  <si>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</si>
  <si>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</si>
  <si>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</si>
  <si>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</si>
  <si>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</si>
  <si>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</si>
  <si>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</si>
  <si>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</si>
  <si>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</si>
  <si>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</si>
  <si>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</si>
  <si>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</si>
  <si>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</si>
  <si>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</si>
  <si>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</si>
  <si>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</si>
  <si>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</si>
  <si>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</si>
  <si>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</si>
  <si>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</si>
  <si>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</si>
  <si>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</si>
  <si>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</si>
  <si>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</si>
  <si>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</si>
  <si>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</si>
  <si>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</si>
  <si>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</si>
  <si>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</si>
  <si>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</si>
  <si>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</si>
  <si>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</si>
  <si>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</si>
  <si>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</si>
  <si>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</si>
  <si>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</si>
  <si>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</si>
  <si>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</si>
  <si>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</si>
  <si>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</si>
  <si>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</si>
  <si>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</si>
  <si>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</si>
  <si>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</si>
  <si>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</si>
  <si>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</si>
  <si>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</si>
  <si>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</si>
  <si>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</si>
  <si>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</si>
  <si>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</si>
  <si>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</si>
  <si>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</si>
  <si>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</si>
  <si>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</si>
  <si>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</si>
  <si>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</si>
  <si>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</si>
  <si>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</si>
  <si>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</si>
  <si>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</si>
  <si>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</si>
  <si>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</si>
  <si>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</si>
  <si>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</si>
  <si>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</si>
  <si>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</si>
  <si>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</si>
  <si>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</si>
  <si>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</si>
  <si>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</si>
  <si>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</si>
  <si>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</si>
  <si>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</si>
  <si>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</si>
  <si>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</si>
  <si>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</si>
  <si>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</si>
  <si>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</si>
  <si>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</si>
  <si>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</si>
  <si>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</si>
  <si>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</si>
  <si>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</si>
  <si>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</si>
  <si>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</si>
  <si>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</si>
  <si>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</si>
  <si>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</si>
  <si>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</si>
  <si>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</si>
  <si>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</si>
  <si>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</si>
  <si>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</si>
  <si>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</si>
  <si>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</si>
  <si>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</si>
  <si>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</si>
  <si>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</si>
  <si>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</si>
  <si>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</si>
  <si>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</si>
  <si>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</si>
  <si>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</si>
  <si>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</si>
  <si>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</si>
  <si>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</si>
  <si>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</si>
  <si>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</si>
  <si>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</si>
  <si>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</si>
  <si>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</si>
  <si>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</si>
  <si>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</si>
  <si>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</si>
  <si>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</si>
  <si>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</si>
  <si>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</si>
  <si>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</si>
  <si>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</si>
  <si>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</si>
  <si>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</si>
  <si>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</si>
  <si>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</si>
  <si>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</si>
  <si>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</si>
  <si>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</si>
  <si>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</si>
  <si>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</si>
  <si>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</si>
  <si>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</si>
  <si>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</si>
  <si>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</si>
  <si>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</si>
  <si>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</si>
  <si>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</si>
  <si>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</si>
  <si>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</si>
  <si>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</si>
  <si>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</si>
  <si>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</si>
  <si>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</si>
  <si>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</si>
  <si>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</si>
  <si>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</si>
  <si>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</si>
  <si>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</si>
  <si>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</si>
  <si>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</si>
  <si>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</si>
  <si>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</si>
  <si>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</si>
  <si>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</si>
  <si>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</si>
  <si>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</si>
  <si>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</si>
  <si>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</si>
  <si>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</si>
  <si>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</si>
  <si>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</si>
  <si>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</si>
  <si>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</si>
  <si>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</si>
  <si>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</si>
  <si>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</si>
  <si>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</si>
  <si>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</si>
  <si>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</si>
  <si>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</si>
  <si>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</si>
  <si>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</si>
  <si>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</si>
  <si>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</si>
  <si>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</si>
  <si>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</si>
  <si>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</si>
  <si>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</si>
  <si>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</si>
  <si>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</si>
  <si>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</si>
  <si>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</si>
  <si>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</si>
  <si>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</si>
  <si>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</si>
  <si>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</si>
  <si>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</si>
  <si>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</si>
  <si>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</si>
  <si>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</si>
  <si>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</si>
  <si>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</si>
  <si>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</si>
  <si>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</si>
  <si>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</si>
  <si>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</si>
  <si>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</si>
  <si>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</si>
  <si>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</si>
  <si>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</si>
  <si>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</si>
  <si>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</si>
  <si>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</si>
  <si>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</si>
  <si>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</si>
  <si>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</si>
  <si>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</si>
  <si>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</si>
  <si>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</si>
  <si>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</si>
  <si>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</si>
  <si>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</si>
  <si>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</si>
  <si>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</si>
  <si>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</si>
  <si>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</si>
  <si>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</si>
  <si>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</si>
  <si>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</si>
  <si>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</si>
  <si>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</si>
  <si>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</si>
  <si>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</si>
  <si>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</si>
  <si>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</si>
  <si>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</si>
  <si>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</si>
  <si>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</si>
  <si>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</si>
  <si>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</si>
  <si>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</si>
  <si>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</si>
  <si>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</si>
  <si>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</si>
  <si>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</si>
  <si>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</si>
  <si>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</si>
  <si>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</si>
  <si>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</si>
  <si>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</si>
  <si>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</si>
  <si>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</si>
  <si>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</si>
  <si>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</si>
  <si>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</si>
  <si>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</si>
  <si>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</si>
  <si>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</si>
  <si>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</si>
  <si>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</si>
  <si>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</si>
  <si>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</si>
  <si>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</si>
  <si>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</si>
  <si>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</si>
  <si>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</si>
  <si>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</si>
  <si>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</si>
  <si>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</si>
  <si>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</si>
  <si>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</si>
  <si>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</si>
  <si>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</si>
  <si>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</si>
  <si>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</si>
  <si>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</si>
  <si>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</si>
  <si>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</si>
  <si>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</si>
  <si>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</si>
  <si>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</si>
  <si>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</si>
  <si>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</si>
  <si>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</si>
  <si>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</si>
  <si>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</si>
  <si>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</si>
  <si>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</si>
  <si>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</si>
  <si>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</si>
  <si>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</si>
  <si>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</si>
  <si>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</si>
  <si>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</si>
  <si>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</si>
  <si>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</si>
  <si>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</si>
  <si>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</si>
  <si>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</si>
  <si>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</si>
  <si>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</si>
  <si>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</si>
  <si>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</si>
  <si>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</si>
  <si>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</si>
  <si>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</si>
  <si>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</si>
  <si>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</si>
  <si>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</si>
  <si>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</si>
  <si>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</si>
  <si>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</si>
  <si>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</si>
  <si>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</si>
  <si>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</si>
  <si>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</si>
  <si>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</si>
  <si>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</si>
  <si>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</si>
  <si>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</si>
  <si>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</si>
  <si>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</si>
  <si>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</si>
  <si>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</si>
  <si>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</si>
  <si>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</si>
  <si>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</si>
  <si>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</si>
  <si>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</si>
  <si>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</si>
  <si>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</si>
  <si>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</si>
  <si>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</si>
  <si>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</si>
  <si>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</si>
  <si>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</si>
  <si>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</si>
  <si>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</si>
  <si>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</si>
  <si>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</si>
  <si>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</si>
  <si>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</si>
  <si>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</si>
  <si>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</si>
  <si>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</si>
  <si>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</si>
  <si>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</si>
  <si>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</si>
  <si>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</si>
  <si>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</si>
  <si>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</si>
  <si>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</si>
  <si>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</si>
  <si>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</si>
  <si>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</si>
  <si>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</si>
  <si>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</si>
  <si>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</si>
  <si>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</si>
  <si>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</si>
  <si>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</si>
  <si>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</si>
  <si>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</si>
  <si>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</si>
  <si>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</si>
  <si>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</si>
  <si>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</si>
  <si>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</si>
  <si>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</si>
  <si>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</si>
  <si>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</si>
  <si>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</si>
  <si>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</si>
  <si>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</si>
  <si>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</si>
  <si>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</si>
  <si>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</si>
  <si>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</si>
  <si>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</si>
  <si>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</si>
  <si>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</si>
  <si>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</si>
  <si>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</si>
  <si>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</si>
  <si>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</si>
  <si>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</si>
  <si>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</si>
  <si>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</si>
  <si>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</si>
  <si>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</si>
  <si>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</si>
  <si>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</si>
  <si>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</si>
  <si>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</si>
  <si>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</si>
  <si>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</si>
  <si>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</si>
  <si>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</si>
  <si>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</si>
  <si>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</si>
  <si>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</si>
  <si>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</si>
  <si>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</si>
  <si>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</si>
  <si>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</si>
  <si>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</si>
  <si>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</si>
  <si>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</si>
  <si>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</si>
  <si>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</si>
  <si>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</si>
  <si>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</si>
  <si>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</si>
  <si>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</si>
  <si>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</si>
  <si>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</si>
  <si>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</si>
  <si>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</si>
  <si>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</si>
  <si>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</si>
  <si>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</si>
  <si>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</si>
  <si>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</si>
  <si>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</si>
  <si>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</si>
  <si>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</si>
  <si>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</si>
  <si>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</si>
  <si>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</si>
  <si>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</si>
  <si>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</si>
  <si>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</si>
  <si>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</si>
  <si>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</si>
  <si>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</si>
  <si>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</si>
  <si>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</si>
  <si>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</si>
  <si>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</si>
  <si>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</si>
  <si>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</si>
  <si>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</si>
  <si>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</si>
  <si>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</si>
  <si>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</si>
  <si>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</si>
  <si>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</si>
  <si>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</si>
  <si>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</si>
  <si>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</si>
  <si>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</si>
  <si>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</si>
  <si>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</si>
  <si>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</si>
  <si>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</si>
  <si>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</si>
  <si>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</si>
  <si>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</si>
  <si>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</si>
  <si>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</si>
  <si>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</si>
  <si>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</si>
  <si>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</si>
  <si>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</si>
  <si>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</si>
  <si>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</si>
  <si>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</si>
  <si>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</si>
  <si>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</si>
  <si>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</si>
  <si>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</si>
  <si>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</si>
  <si>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</si>
  <si>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</si>
  <si>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</si>
  <si>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</si>
  <si>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</si>
  <si>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</si>
  <si>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</si>
  <si>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</si>
  <si>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</si>
  <si>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</si>
  <si>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</si>
  <si>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</si>
  <si>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</si>
  <si>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</si>
  <si>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</si>
  <si>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</si>
  <si>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</si>
  <si>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</si>
  <si>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</si>
  <si>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</si>
  <si>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</si>
  <si>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</si>
  <si>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</si>
  <si>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</si>
  <si>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</si>
  <si>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</si>
  <si>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</si>
  <si>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</si>
  <si>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</si>
  <si>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</si>
  <si>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</si>
  <si>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</si>
  <si>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</si>
  <si>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</si>
  <si>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</si>
  <si>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</si>
  <si>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</si>
  <si>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</si>
  <si>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</si>
  <si>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</si>
  <si>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</si>
  <si>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</si>
  <si>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</si>
  <si>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</si>
  <si>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</si>
  <si>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</si>
  <si>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</si>
  <si>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</si>
  <si>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</si>
  <si>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</si>
  <si>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</si>
  <si>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</si>
  <si>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</si>
  <si>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</si>
  <si>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</si>
  <si>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</si>
  <si>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</si>
  <si>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</si>
  <si>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</si>
  <si>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</si>
  <si>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</si>
  <si>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</si>
  <si>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</si>
  <si>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</si>
  <si>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</si>
  <si>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</si>
  <si>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</si>
  <si>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</si>
  <si>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</si>
  <si>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</si>
  <si>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</si>
  <si>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</si>
  <si>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</si>
  <si>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</si>
  <si>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</si>
  <si>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</si>
  <si>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</si>
  <si>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</si>
  <si>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</si>
  <si>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</si>
  <si>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</si>
  <si>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</si>
  <si>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</si>
  <si>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</si>
  <si>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</si>
  <si>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</si>
  <si>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</si>
  <si>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</si>
  <si>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</si>
  <si>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</si>
  <si>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</si>
  <si>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</si>
  <si>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</si>
  <si>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</si>
  <si>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</si>
  <si>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</si>
  <si>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</si>
  <si>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</si>
  <si>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</si>
  <si>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</si>
  <si>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</si>
  <si>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</si>
  <si>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</si>
  <si>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</si>
  <si>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</si>
  <si>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</si>
  <si>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</si>
  <si>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</si>
  <si>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</si>
  <si>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</si>
  <si>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</si>
  <si>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</si>
  <si>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</si>
  <si>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</si>
  <si>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</si>
  <si>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</si>
  <si>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</si>
  <si>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</si>
  <si>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</si>
  <si>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</si>
  <si>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</si>
  <si>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</si>
  <si>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</si>
  <si>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</si>
  <si>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</si>
  <si>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</si>
  <si>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</si>
  <si>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</si>
  <si>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</si>
  <si>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</si>
  <si>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</si>
  <si>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</si>
  <si>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</si>
  <si>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</si>
  <si>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</si>
  <si>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</si>
  <si>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</si>
  <si>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</si>
  <si>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</si>
  <si>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</si>
  <si>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</si>
  <si>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</si>
  <si>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</si>
  <si>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</si>
  <si>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</si>
  <si>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</si>
  <si>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</si>
  <si>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</si>
  <si>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</si>
  <si>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</si>
  <si>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</si>
  <si>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</si>
  <si>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</si>
  <si>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</si>
  <si>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</si>
  <si>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</si>
  <si>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</si>
  <si>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</si>
  <si>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</si>
  <si>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</si>
  <si>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</si>
  <si>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</si>
  <si>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</si>
  <si>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</si>
  <si>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</si>
  <si>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</si>
  <si>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</si>
  <si>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</si>
  <si>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</si>
  <si>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</si>
  <si>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</si>
  <si>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</si>
  <si>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</si>
  <si>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</si>
  <si>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</si>
  <si>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</si>
  <si>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</si>
  <si>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</si>
  <si>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</si>
  <si>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</si>
  <si>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</si>
  <si>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</si>
  <si>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</si>
  <si>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</si>
  <si>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</si>
  <si>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</si>
  <si>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</si>
  <si>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</si>
  <si>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</si>
  <si>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</si>
  <si>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</si>
  <si>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</si>
  <si>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</si>
  <si>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</si>
  <si>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</si>
  <si>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</si>
  <si>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</si>
  <si>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</si>
  <si>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</si>
  <si>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</si>
  <si>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</si>
  <si>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</si>
  <si>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</si>
  <si>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</si>
  <si>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</si>
  <si>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</si>
  <si>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</si>
  <si>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</si>
  <si>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</si>
  <si>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</si>
  <si>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</si>
  <si>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</si>
  <si>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</si>
  <si>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</si>
  <si>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</si>
  <si>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</si>
  <si>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</si>
  <si>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</si>
  <si>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</si>
  <si>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</si>
  <si>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</si>
  <si>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</si>
  <si>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</si>
  <si>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</si>
  <si>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</si>
  <si>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</si>
  <si>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</si>
  <si>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</si>
  <si>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</si>
  <si>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</si>
  <si>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</si>
  <si>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</si>
  <si>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</si>
  <si>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</si>
  <si>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</si>
  <si>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</si>
  <si>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</si>
  <si>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</si>
  <si>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</si>
  <si>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</si>
  <si>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</si>
  <si>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</si>
  <si>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</si>
  <si>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</si>
  <si>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</si>
  <si>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</si>
  <si>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</si>
  <si>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</si>
  <si>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</si>
  <si>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</si>
  <si>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</si>
  <si>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</si>
  <si>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</si>
  <si>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</si>
  <si>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</si>
  <si>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</si>
  <si>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</si>
  <si>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</si>
  <si>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</si>
  <si>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</si>
  <si>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</si>
  <si>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</si>
  <si>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</si>
  <si>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</si>
  <si>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</si>
  <si>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</si>
  <si>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</si>
  <si>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</si>
  <si>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</si>
  <si>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</si>
  <si>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</si>
  <si>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</si>
  <si>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</si>
  <si>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</si>
  <si>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</si>
  <si>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</si>
  <si>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</si>
  <si>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</si>
  <si>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</si>
  <si>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</si>
  <si>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</si>
  <si>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</si>
  <si>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</si>
  <si>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</si>
  <si>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</si>
  <si>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</si>
  <si>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</si>
  <si>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</si>
  <si>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</si>
  <si>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</si>
  <si>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</si>
  <si>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</si>
  <si>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</si>
  <si>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</si>
  <si>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</si>
  <si>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</si>
  <si>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</si>
  <si>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</si>
  <si>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</si>
  <si>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</si>
  <si>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</si>
  <si>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</si>
  <si>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</si>
  <si>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</si>
  <si>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</si>
  <si>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</si>
  <si>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</si>
  <si>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</si>
  <si>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</si>
  <si>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</si>
  <si>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</si>
  <si>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</si>
  <si>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</si>
  <si>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</si>
  <si>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</si>
  <si>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</si>
  <si>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</si>
  <si>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</si>
  <si>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</si>
  <si>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</si>
  <si>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</si>
  <si>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</si>
  <si>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</si>
  <si>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</si>
  <si>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</si>
  <si>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</si>
  <si>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</si>
  <si>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</si>
  <si>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</si>
  <si>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</si>
  <si>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</si>
  <si>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</si>
  <si>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</si>
  <si>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</si>
  <si>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</si>
  <si>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</si>
  <si>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</si>
  <si>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</si>
  <si>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</si>
  <si>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</si>
  <si>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</si>
  <si>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</si>
  <si>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</si>
  <si>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</si>
  <si>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</si>
  <si>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</si>
  <si>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</si>
  <si>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</si>
  <si>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</si>
  <si>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</si>
  <si>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</si>
  <si>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</si>
  <si>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</si>
  <si>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</si>
  <si>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</si>
  <si>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</si>
  <si>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</si>
  <si>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</si>
  <si>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</si>
  <si>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</si>
  <si>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</si>
  <si>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</si>
  <si>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</si>
  <si>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</si>
  <si>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</si>
  <si>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</si>
  <si>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</si>
  <si>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</si>
  <si>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</si>
  <si>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</si>
  <si>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</si>
  <si>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</si>
  <si>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</si>
  <si>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</si>
  <si>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</si>
  <si>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</si>
  <si>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</si>
  <si>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</si>
  <si>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</si>
  <si>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</si>
  <si>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</si>
  <si>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</si>
  <si>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</si>
  <si>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</si>
  <si>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</si>
  <si>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</si>
  <si>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</si>
  <si>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</si>
  <si>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</si>
  <si>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</si>
  <si>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</si>
  <si>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</si>
  <si>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</si>
  <si>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</si>
  <si>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</si>
  <si>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</si>
  <si>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</si>
  <si>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</si>
  <si>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</si>
  <si>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</si>
  <si>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</si>
  <si>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</si>
  <si>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</si>
  <si>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</si>
  <si>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</si>
  <si>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</si>
  <si>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</si>
  <si>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</si>
  <si>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</si>
  <si>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</si>
  <si>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</si>
  <si>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</si>
  <si>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</si>
  <si>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</si>
  <si>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</si>
  <si>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</si>
  <si>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</si>
  <si>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</si>
  <si>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</si>
  <si>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</si>
  <si>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</si>
  <si>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</si>
  <si>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</si>
  <si>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</si>
  <si>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</si>
  <si>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</si>
  <si>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</si>
  <si>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</si>
  <si>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</si>
  <si>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</si>
  <si>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</si>
  <si>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</si>
  <si>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</si>
  <si>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</si>
  <si>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</si>
  <si>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</si>
  <si>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</si>
  <si>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</si>
  <si>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</si>
  <si>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</si>
  <si>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</si>
  <si>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</si>
  <si>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</si>
  <si>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</si>
  <si>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</si>
  <si>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</si>
  <si>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</si>
  <si>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</si>
  <si>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</si>
  <si>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</si>
  <si>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</si>
  <si>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</si>
  <si>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</si>
  <si>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</si>
  <si>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</si>
  <si>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</si>
  <si>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</si>
  <si>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</si>
  <si>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</si>
  <si>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</si>
  <si>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</si>
  <si>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</si>
  <si>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</si>
  <si>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</si>
  <si>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</si>
  <si>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</si>
  <si>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</si>
  <si>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</si>
  <si>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</si>
  <si>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</si>
  <si>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</si>
  <si>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</si>
  <si>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</si>
  <si>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</si>
  <si>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</si>
  <si>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</si>
  <si>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</si>
  <si>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</si>
  <si>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</si>
  <si>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</si>
  <si>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</si>
  <si>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</si>
  <si>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</si>
  <si>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</si>
  <si>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</si>
  <si>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</si>
  <si>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</si>
  <si>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</si>
  <si>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</si>
  <si>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</si>
  <si>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</si>
  <si>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</si>
  <si>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</si>
  <si>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</si>
  <si>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</si>
  <si>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</si>
  <si>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</si>
  <si>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</si>
  <si>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</si>
  <si>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</si>
  <si>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</si>
  <si>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</si>
  <si>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</si>
  <si>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</si>
  <si>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</si>
  <si>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</si>
  <si>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</si>
  <si>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</si>
  <si>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</si>
  <si>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</si>
  <si>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</si>
  <si>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</si>
  <si>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</si>
  <si>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</si>
  <si>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</si>
  <si>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</si>
  <si>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</si>
  <si>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</si>
  <si>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</si>
  <si>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</si>
  <si>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</si>
  <si>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</si>
  <si>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</si>
  <si>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</si>
  <si>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</si>
  <si>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</si>
  <si>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</si>
  <si>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</si>
  <si>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</si>
  <si>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</si>
  <si>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</si>
  <si>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</si>
  <si>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</si>
  <si>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</si>
  <si>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</si>
  <si>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</si>
  <si>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</si>
  <si>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</si>
  <si>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</si>
  <si>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</si>
  <si>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</si>
  <si>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</si>
  <si>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</si>
  <si>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</si>
  <si>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</si>
  <si>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</si>
  <si>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</si>
  <si>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</si>
  <si>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</si>
  <si>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</si>
  <si>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</si>
  <si>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</si>
  <si>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</si>
  <si>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</si>
  <si>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</si>
  <si>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</si>
  <si>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</si>
  <si>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</si>
  <si>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</si>
  <si>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</si>
  <si>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</si>
  <si>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</si>
  <si>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</si>
  <si>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</si>
  <si>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</si>
  <si>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</si>
  <si>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</si>
  <si>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</si>
  <si>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</si>
  <si>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</si>
  <si>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</si>
  <si>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</si>
  <si>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</si>
  <si>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</si>
  <si>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</si>
  <si>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</si>
  <si>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</si>
  <si>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</si>
  <si>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</si>
  <si>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</si>
  <si>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</si>
  <si>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</si>
  <si>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</si>
  <si>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</si>
  <si>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</si>
  <si>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</si>
  <si>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</si>
  <si>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</si>
  <si>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</si>
  <si>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</si>
  <si>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</si>
  <si>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</si>
  <si>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</si>
  <si>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</si>
  <si>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</si>
  <si>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</si>
  <si>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</si>
  <si>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</si>
  <si>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</si>
  <si>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</si>
  <si>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</si>
  <si>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</si>
  <si>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</si>
  <si>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</si>
  <si>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</si>
  <si>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</si>
  <si>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</si>
  <si>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</si>
  <si>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</si>
  <si>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</si>
  <si>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</si>
  <si>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</si>
  <si>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</si>
  <si>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</si>
  <si>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</si>
  <si>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</si>
  <si>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</si>
  <si>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</si>
  <si>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</si>
  <si>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</si>
  <si>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</si>
  <si>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</si>
  <si>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</si>
  <si>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</si>
  <si>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</si>
  <si>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</si>
  <si>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</si>
  <si>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</si>
  <si>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</si>
  <si>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</si>
  <si>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</si>
  <si>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</si>
  <si>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</si>
  <si>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</si>
  <si>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</si>
  <si>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</si>
  <si>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</si>
  <si>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</si>
  <si>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</si>
  <si>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</si>
  <si>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</si>
  <si>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</si>
  <si>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</si>
  <si>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</si>
  <si>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</si>
  <si>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</si>
  <si>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</si>
  <si>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</si>
  <si>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</si>
  <si>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</si>
  <si>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</si>
  <si>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</si>
  <si>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</si>
  <si>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</si>
  <si>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</si>
  <si>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</si>
  <si>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</si>
  <si>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</si>
  <si>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</si>
  <si>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</si>
  <si>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</si>
  <si>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</si>
  <si>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</si>
  <si>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</si>
  <si>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</si>
  <si>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</si>
  <si>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</si>
  <si>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</si>
  <si>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</si>
  <si>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</si>
  <si>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</si>
  <si>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</si>
  <si>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</si>
  <si>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</si>
  <si>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</si>
  <si>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</si>
  <si>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</si>
  <si>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</si>
  <si>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</si>
  <si>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</si>
  <si>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</si>
  <si>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</si>
  <si>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</si>
  <si>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</si>
  <si>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</si>
  <si>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</si>
  <si>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</si>
  <si>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</si>
  <si>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</si>
  <si>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</si>
  <si>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</si>
  <si>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</si>
  <si>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</si>
  <si>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</si>
  <si>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</si>
  <si>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</si>
  <si>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</si>
  <si>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</si>
  <si>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</si>
  <si>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</si>
  <si>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</si>
  <si>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</si>
  <si>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</si>
  <si>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</si>
  <si>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</si>
  <si>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</si>
  <si>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</si>
  <si>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</si>
  <si>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</si>
  <si>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</si>
  <si>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</si>
  <si>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</si>
  <si>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</si>
  <si>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</si>
  <si>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</si>
  <si>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</si>
  <si>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</si>
  <si>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</si>
  <si>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</si>
  <si>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</si>
  <si>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</si>
  <si>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</si>
  <si>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</si>
  <si>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</si>
  <si>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</si>
  <si>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</si>
  <si>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</si>
  <si>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</si>
  <si>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</si>
  <si>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</si>
  <si>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</si>
  <si>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</si>
  <si>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</si>
  <si>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</si>
  <si>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</si>
  <si>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</si>
  <si>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</si>
  <si>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</si>
  <si>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</si>
  <si>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</si>
  <si>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</si>
  <si>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</si>
  <si>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</si>
  <si>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</si>
  <si>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</si>
  <si>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</si>
  <si>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</si>
  <si>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</si>
  <si>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</si>
  <si>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</si>
  <si>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</si>
  <si>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</si>
  <si>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</si>
  <si>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</si>
  <si>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</si>
  <si>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</si>
  <si>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</si>
  <si>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</si>
  <si>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</si>
  <si>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</si>
  <si>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</si>
  <si>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</si>
  <si>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</si>
  <si>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</si>
  <si>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</si>
  <si>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</si>
  <si>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</si>
  <si>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</si>
  <si>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</si>
  <si>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</si>
  <si>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</si>
  <si>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</si>
  <si>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</si>
  <si>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</si>
  <si>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</si>
  <si>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</si>
  <si>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</si>
  <si>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</si>
  <si>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</si>
  <si>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</si>
  <si>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</si>
  <si>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</si>
  <si>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</si>
  <si>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</si>
  <si>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</si>
  <si>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</si>
  <si>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</si>
  <si>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</si>
  <si>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</si>
  <si>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</si>
  <si>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</si>
  <si>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</si>
  <si>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</si>
  <si>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</si>
  <si>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</si>
  <si>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</si>
  <si>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</si>
  <si>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</si>
  <si>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</si>
  <si>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</si>
  <si>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</si>
  <si>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</si>
  <si>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</si>
  <si>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</si>
  <si>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</si>
  <si>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</si>
  <si>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</si>
  <si>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</si>
  <si>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</si>
  <si>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</si>
  <si>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</si>
  <si>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</si>
  <si>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</si>
  <si>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</si>
  <si>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</si>
  <si>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</si>
  <si>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</si>
  <si>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</si>
  <si>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</si>
  <si>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</si>
  <si>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</si>
  <si>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</si>
  <si>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</si>
  <si>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</si>
  <si>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</si>
  <si>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</si>
  <si>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</si>
  <si>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</si>
  <si>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</si>
  <si>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</si>
  <si>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</si>
  <si>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</si>
  <si>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</si>
  <si>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</si>
  <si>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</si>
  <si>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</si>
  <si>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</si>
  <si>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</si>
  <si>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</si>
  <si>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</si>
  <si>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</si>
  <si>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</si>
  <si>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</si>
  <si>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</si>
  <si>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</si>
  <si>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</si>
  <si>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</si>
  <si>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</si>
  <si>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</si>
  <si>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</si>
  <si>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</si>
  <si>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</si>
  <si>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</si>
  <si>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</si>
  <si>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</si>
  <si>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</si>
  <si>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</si>
  <si>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</si>
  <si>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</si>
  <si>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</si>
  <si>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</si>
  <si>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</si>
  <si>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</si>
  <si>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</si>
  <si>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</si>
  <si>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</si>
  <si>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</si>
  <si>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</si>
  <si>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</si>
  <si>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</si>
  <si>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</si>
  <si>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</si>
  <si>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</si>
  <si>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</si>
  <si>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</si>
  <si>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</si>
  <si>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</si>
  <si>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</si>
  <si>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</si>
  <si>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</si>
  <si>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</si>
  <si>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</si>
  <si>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</si>
  <si>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</si>
  <si>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</si>
  <si>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</si>
  <si>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</si>
  <si>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</si>
  <si>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</si>
  <si>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</si>
  <si>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</si>
  <si>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</si>
  <si>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</si>
  <si>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</si>
  <si>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</si>
  <si>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</si>
  <si>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</si>
  <si>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</si>
  <si>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</si>
  <si>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</si>
  <si>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</si>
  <si>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</si>
  <si>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</si>
  <si>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</si>
  <si>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</si>
  <si>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</si>
  <si>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</si>
  <si>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</si>
  <si>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</si>
  <si>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</si>
  <si>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</si>
  <si>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</si>
  <si>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</si>
  <si>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</si>
  <si>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</si>
  <si>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</si>
  <si>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</si>
  <si>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</si>
  <si>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</si>
  <si>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</si>
  <si>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</si>
  <si>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</si>
  <si>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</si>
  <si>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</si>
  <si>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</si>
  <si>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</si>
  <si>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</si>
  <si>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</si>
  <si>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</si>
  <si>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</si>
  <si>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</si>
  <si>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</si>
  <si>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</si>
  <si>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</si>
  <si>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</si>
  <si>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</si>
  <si>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</si>
  <si>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</si>
  <si>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</si>
  <si>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</si>
  <si>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</si>
  <si>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</si>
  <si>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</si>
  <si>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</si>
  <si>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</si>
  <si>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</si>
  <si>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</si>
  <si>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</si>
  <si>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</si>
  <si>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</si>
  <si>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</si>
  <si>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</si>
  <si>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</si>
  <si>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</si>
  <si>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</si>
  <si>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</si>
  <si>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</si>
  <si>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</si>
  <si>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</si>
  <si>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</si>
  <si>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</si>
  <si>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</si>
  <si>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</si>
  <si>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</si>
  <si>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</si>
  <si>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</si>
  <si>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</si>
  <si>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</si>
  <si>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</si>
  <si>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</si>
  <si>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</si>
  <si>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</si>
  <si>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</si>
  <si>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</si>
  <si>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</si>
  <si>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</si>
  <si>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</si>
  <si>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</si>
  <si>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</si>
  <si>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</si>
  <si>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</si>
  <si>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</si>
  <si>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</si>
  <si>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</si>
  <si>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</si>
  <si>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</si>
  <si>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</si>
  <si>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</si>
  <si>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</si>
  <si>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</si>
  <si>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</si>
  <si>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</si>
  <si>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</si>
  <si>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</si>
  <si>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</si>
  <si>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</si>
  <si>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</si>
  <si>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</si>
  <si>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</si>
  <si>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</si>
  <si>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</si>
  <si>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</si>
  <si>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</si>
  <si>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</si>
  <si>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</si>
  <si>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</si>
  <si>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</si>
  <si>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</si>
  <si>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</si>
  <si>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</si>
  <si>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</si>
  <si>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</si>
  <si>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</si>
  <si>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</si>
  <si>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</si>
  <si>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</si>
  <si>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</si>
  <si>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</si>
  <si>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</si>
  <si>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</si>
  <si>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</si>
  <si>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</si>
  <si>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</si>
  <si>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</si>
  <si>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</si>
  <si>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</si>
  <si>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</si>
  <si>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</si>
  <si>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</si>
  <si>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</si>
  <si>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</si>
  <si>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</si>
  <si>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</si>
  <si>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</si>
  <si>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</si>
  <si>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</si>
  <si>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</si>
  <si>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</si>
  <si>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</si>
  <si>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</si>
  <si>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</si>
  <si>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</si>
  <si>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</si>
  <si>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</si>
  <si>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</si>
  <si>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</si>
  <si>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</si>
  <si>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</si>
  <si>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</si>
  <si>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</si>
  <si>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</si>
  <si>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</si>
  <si>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</si>
  <si>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</si>
  <si>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</si>
  <si>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</si>
  <si>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</si>
  <si>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</si>
  <si>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</si>
  <si>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</si>
  <si>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</si>
  <si>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</si>
  <si>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</si>
  <si>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</si>
  <si>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</si>
  <si>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</si>
  <si>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</si>
  <si>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</si>
  <si>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</si>
  <si>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</si>
  <si>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</si>
  <si>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</si>
  <si>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</si>
  <si>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</si>
  <si>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</si>
  <si>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</si>
  <si>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</si>
  <si>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</si>
  <si>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</si>
  <si>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</si>
  <si>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</si>
  <si>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</si>
  <si>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</si>
  <si>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</si>
  <si>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</si>
  <si>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</si>
  <si>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</si>
  <si>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</si>
  <si>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</si>
  <si>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</si>
  <si>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</si>
  <si>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</si>
  <si>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</si>
  <si>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</si>
  <si>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</si>
  <si>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</si>
  <si>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</si>
  <si>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</si>
  <si>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</si>
  <si>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</si>
  <si>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</si>
  <si>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</si>
  <si>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</si>
  <si>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</si>
  <si>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</si>
  <si>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</si>
  <si>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</si>
  <si>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</si>
  <si>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</si>
  <si>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</si>
  <si>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</si>
  <si>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</si>
  <si>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</si>
  <si>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</si>
  <si>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</si>
  <si>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</si>
  <si>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</si>
  <si>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</si>
  <si>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</si>
  <si>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</si>
  <si>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</si>
  <si>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</si>
  <si>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</si>
  <si>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</si>
  <si>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</si>
  <si>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</si>
  <si>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</si>
  <si>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</si>
  <si>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</si>
  <si>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</si>
  <si>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</si>
  <si>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</si>
  <si>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</si>
  <si>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</si>
  <si>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</si>
  <si>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</si>
  <si>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</si>
  <si>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</si>
  <si>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</si>
  <si>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</si>
  <si>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</si>
  <si>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</si>
  <si>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</si>
  <si>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</si>
  <si>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</si>
  <si>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</si>
  <si>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</si>
  <si>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</si>
  <si>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</si>
  <si>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</si>
  <si>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</si>
  <si>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</si>
  <si>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</si>
  <si>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</si>
  <si>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</si>
  <si>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</si>
  <si>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</si>
  <si>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</si>
  <si>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</si>
  <si>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</si>
  <si>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</si>
  <si>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</si>
  <si>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</si>
  <si>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</si>
  <si>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</si>
  <si>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</si>
  <si>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</si>
  <si>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</si>
  <si>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</si>
  <si>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</si>
  <si>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</si>
  <si>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</si>
  <si>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</si>
  <si>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</si>
  <si>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</si>
  <si>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</si>
  <si>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</si>
  <si>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</si>
  <si>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</si>
  <si>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</si>
  <si>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</si>
  <si>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</si>
  <si>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</si>
  <si>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</si>
  <si>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</si>
  <si>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</si>
  <si>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</si>
  <si>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</si>
  <si>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</si>
  <si>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</si>
  <si>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</si>
  <si>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</si>
  <si>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</si>
  <si>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</si>
  <si>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</si>
  <si>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</si>
  <si>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</si>
  <si>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</si>
  <si>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</si>
  <si>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</si>
  <si>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</si>
  <si>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</si>
  <si>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</si>
  <si>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</si>
  <si>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</si>
  <si>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</si>
  <si>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</si>
  <si>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</si>
  <si>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</si>
  <si>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</si>
  <si>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</si>
  <si>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</si>
  <si>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</si>
  <si>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</si>
  <si>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</si>
  <si>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</si>
  <si>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</si>
  <si>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</si>
  <si>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</si>
  <si>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</si>
  <si>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</si>
  <si>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</si>
  <si>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</si>
  <si>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</si>
  <si>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</si>
  <si>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</si>
  <si>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</si>
  <si>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</si>
  <si>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</si>
  <si>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</si>
  <si>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</si>
  <si>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</si>
  <si>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</si>
  <si>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</si>
  <si>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</si>
  <si>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</si>
  <si>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</si>
  <si>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</si>
  <si>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</si>
  <si>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</si>
  <si>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</si>
  <si>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</si>
  <si>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</si>
  <si>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</si>
  <si>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</si>
  <si>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</si>
  <si>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</si>
  <si>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</si>
  <si>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</si>
  <si>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</si>
  <si>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</si>
  <si>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</si>
  <si>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</si>
  <si>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</si>
  <si>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</si>
  <si>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</si>
  <si>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</si>
  <si>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</si>
  <si>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</si>
  <si>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</si>
  <si>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</si>
  <si>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</si>
  <si>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</si>
  <si>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</si>
  <si>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</si>
  <si>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</si>
  <si>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</si>
  <si>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</si>
  <si>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</si>
  <si>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</si>
  <si>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</si>
  <si>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</si>
  <si>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</si>
  <si>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</si>
  <si>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</si>
  <si>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</si>
  <si>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</si>
  <si>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</si>
  <si>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</si>
  <si>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</si>
  <si>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</si>
  <si>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</si>
  <si>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</si>
  <si>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</si>
  <si>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</si>
  <si>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</si>
  <si>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</si>
  <si>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</si>
  <si>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</si>
  <si>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</si>
  <si>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</si>
  <si>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</si>
  <si>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</si>
  <si>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</si>
  <si>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</si>
  <si>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</si>
  <si>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</si>
  <si>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</si>
  <si>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</si>
  <si>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</si>
  <si>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</si>
  <si>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</si>
  <si>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</si>
  <si>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</si>
  <si>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</si>
  <si>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</si>
  <si>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</si>
  <si>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</si>
  <si>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</si>
  <si>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</si>
  <si>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</si>
  <si>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</si>
  <si>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</si>
  <si>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</si>
  <si>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</si>
  <si>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</si>
  <si>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</si>
  <si>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</si>
  <si>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</si>
  <si>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</si>
  <si>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</si>
  <si>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</si>
  <si>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</si>
  <si>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</si>
  <si>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</si>
  <si>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</si>
  <si>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</si>
  <si>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</si>
  <si>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</si>
  <si>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</si>
  <si>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</si>
  <si>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</si>
  <si>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</si>
  <si>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</si>
  <si>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</si>
  <si>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</si>
  <si>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</si>
  <si>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</si>
  <si>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</si>
  <si>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</si>
  <si>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</si>
  <si>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</si>
  <si>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</si>
  <si>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</si>
  <si>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</si>
  <si>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</si>
  <si>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</si>
  <si>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</si>
  <si>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</si>
  <si>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</si>
  <si>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</si>
  <si>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</si>
  <si>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</si>
  <si>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</si>
  <si>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</si>
  <si>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</si>
  <si>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</si>
  <si>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</si>
  <si>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</si>
  <si>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</si>
  <si>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</si>
  <si>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</si>
  <si>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</si>
  <si>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</si>
  <si>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</si>
  <si>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</si>
  <si>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</si>
  <si>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</si>
  <si>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</si>
  <si>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</si>
  <si>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</si>
  <si>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</si>
  <si>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</si>
  <si>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</si>
  <si>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</si>
  <si>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</si>
  <si>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</si>
  <si>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</si>
  <si>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</si>
  <si>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</si>
  <si>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</si>
  <si>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</si>
  <si>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</si>
  <si>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</si>
  <si>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</si>
  <si>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</si>
  <si>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</si>
  <si>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</si>
  <si>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</si>
  <si>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</si>
  <si>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</si>
  <si>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</si>
  <si>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</si>
  <si>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</si>
  <si>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</si>
  <si>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</si>
  <si>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</si>
  <si>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</si>
  <si>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</si>
  <si>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</si>
  <si>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</si>
  <si>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</si>
  <si>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</si>
  <si>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</si>
  <si>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</si>
  <si>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</si>
  <si>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</si>
  <si>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</si>
  <si>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</si>
  <si>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</si>
  <si>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</si>
  <si>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</si>
  <si>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</si>
  <si>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</si>
  <si>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</si>
  <si>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</si>
  <si>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</si>
  <si>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</si>
  <si>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</si>
  <si>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</si>
  <si>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</si>
  <si>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</si>
  <si>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</si>
  <si>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</si>
  <si>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</si>
  <si>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</si>
  <si>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</si>
  <si>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</si>
  <si>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</si>
  <si>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</si>
  <si>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</si>
  <si>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</si>
  <si>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</si>
  <si>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</si>
  <si>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</si>
  <si>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</si>
  <si>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</si>
  <si>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</si>
  <si>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</si>
  <si>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</si>
  <si>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</si>
  <si>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</si>
  <si>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</si>
  <si>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</si>
  <si>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</si>
  <si>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</si>
  <si>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</si>
  <si>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</si>
  <si>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</si>
  <si>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</si>
  <si>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</si>
  <si>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</si>
  <si>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</si>
  <si>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</si>
  <si>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</si>
  <si>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</si>
  <si>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</si>
  <si>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</si>
  <si>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</si>
  <si>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</si>
  <si>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</si>
  <si>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</si>
  <si>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</si>
  <si>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</si>
  <si>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</si>
  <si>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</si>
  <si>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</si>
  <si>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</si>
  <si>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</si>
  <si>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</si>
  <si>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</si>
  <si>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</si>
  <si>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</si>
  <si>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</si>
  <si>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</si>
  <si>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</si>
  <si>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</si>
  <si>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</si>
  <si>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</si>
  <si>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</si>
  <si>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</si>
  <si>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</si>
  <si>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</si>
  <si>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</si>
  <si>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</si>
  <si>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</si>
  <si>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</si>
  <si>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</si>
  <si>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</si>
  <si>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</si>
  <si>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</si>
  <si>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</si>
  <si>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</si>
  <si>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</si>
  <si>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</si>
  <si>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</si>
  <si>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</si>
  <si>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</si>
  <si>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</si>
  <si>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</si>
  <si>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</si>
  <si>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</si>
  <si>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</si>
  <si>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</si>
  <si>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</si>
  <si>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</si>
  <si>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</si>
  <si>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</si>
  <si>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</si>
  <si>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</si>
  <si>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</si>
  <si>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</si>
  <si>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</si>
  <si>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</si>
  <si>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</si>
  <si>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</si>
  <si>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</si>
  <si>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</si>
  <si>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</si>
  <si>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</si>
  <si>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</si>
  <si>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</si>
  <si>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</si>
  <si>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</si>
  <si>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</si>
  <si>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</si>
  <si>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</si>
  <si>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</si>
  <si>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</si>
  <si>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</si>
  <si>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</si>
  <si>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</si>
  <si>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</si>
  <si>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</si>
  <si>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</si>
  <si>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</si>
  <si>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</si>
  <si>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</si>
  <si>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</si>
  <si>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</si>
  <si>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</si>
  <si>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</si>
  <si>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</si>
  <si>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</si>
  <si>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</si>
  <si>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</si>
  <si>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</si>
  <si>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</si>
  <si>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</si>
  <si>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</si>
  <si>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</si>
  <si>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</si>
  <si>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</si>
  <si>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</si>
  <si>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</si>
  <si>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</si>
  <si>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</si>
  <si>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</si>
  <si>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</si>
  <si>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</si>
  <si>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</si>
  <si>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</si>
  <si>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</si>
  <si>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</si>
  <si>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</si>
  <si>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</si>
  <si>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</si>
  <si>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</si>
  <si>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</si>
  <si>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</si>
  <si>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</si>
  <si>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</si>
  <si>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</si>
  <si>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</si>
  <si>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</si>
  <si>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</si>
  <si>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</si>
  <si>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</si>
  <si>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</si>
  <si>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</si>
  <si>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</si>
  <si>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</si>
  <si>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</si>
  <si>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</si>
  <si>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</si>
  <si>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</si>
  <si>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</si>
  <si>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</si>
  <si>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</si>
  <si>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</si>
  <si>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</si>
  <si>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</si>
  <si>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</si>
  <si>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</si>
  <si>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</si>
  <si>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</si>
  <si>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</si>
  <si>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</si>
  <si>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</si>
  <si>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</si>
  <si>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</si>
  <si>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</si>
  <si>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</si>
  <si>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</si>
  <si>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</si>
  <si>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</si>
  <si>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</si>
  <si>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</si>
  <si>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</si>
  <si>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</si>
  <si>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</si>
  <si>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</si>
  <si>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</si>
  <si>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</si>
  <si>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</si>
  <si>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</si>
  <si>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</si>
  <si>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</si>
  <si>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</si>
  <si>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</si>
  <si>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</si>
  <si>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</si>
  <si>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</si>
  <si>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</si>
  <si>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</si>
  <si>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</si>
  <si>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</si>
  <si>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</si>
  <si>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</si>
  <si>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</si>
  <si>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</si>
  <si>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</si>
  <si>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</si>
  <si>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</si>
  <si>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</si>
  <si>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</si>
  <si>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</si>
  <si>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</si>
  <si>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</si>
  <si>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</si>
  <si>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</si>
  <si>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</si>
  <si>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</si>
  <si>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</si>
  <si>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</si>
  <si>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</si>
  <si>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</si>
  <si>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</si>
  <si>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</si>
  <si>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</si>
  <si>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</si>
  <si>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</si>
  <si>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</si>
  <si>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</si>
  <si>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</si>
  <si>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</si>
  <si>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</si>
  <si>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</si>
  <si>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</si>
  <si>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</si>
  <si>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</si>
  <si>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</si>
  <si>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</si>
  <si>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</si>
  <si>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</si>
  <si>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</si>
  <si>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</si>
  <si>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</si>
  <si>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</si>
  <si>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</si>
  <si>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</si>
  <si>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</si>
  <si>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</si>
  <si>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</si>
  <si>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</si>
  <si>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</si>
  <si>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</si>
  <si>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</si>
  <si>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</si>
  <si>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</si>
  <si>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</si>
  <si>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</si>
  <si>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</si>
  <si>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</si>
  <si>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</si>
  <si>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</si>
  <si>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</si>
  <si>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</si>
  <si>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</si>
  <si>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</si>
  <si>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</si>
  <si>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</si>
  <si>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</si>
  <si>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</si>
  <si>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</si>
  <si>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</si>
  <si>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</si>
  <si>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</si>
  <si>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</si>
  <si>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</si>
  <si>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</si>
  <si>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</si>
  <si>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</si>
  <si>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</si>
  <si>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</si>
  <si>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</si>
  <si>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</si>
  <si>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</si>
  <si>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</si>
  <si>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</si>
  <si>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</si>
  <si>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</si>
  <si>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</si>
  <si>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</si>
  <si>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</si>
  <si>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</si>
  <si>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</si>
  <si>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</si>
  <si>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</si>
  <si>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</si>
  <si>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</si>
  <si>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</si>
  <si>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</si>
  <si>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</si>
  <si>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</si>
  <si>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</si>
  <si>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</si>
  <si>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</si>
  <si>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</si>
  <si>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</si>
  <si>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</si>
  <si>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</si>
  <si>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</si>
  <si>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</si>
  <si>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</si>
  <si>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</si>
  <si>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</si>
  <si>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</si>
  <si>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</si>
  <si>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</si>
  <si>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</si>
  <si>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</si>
  <si>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</si>
  <si>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</si>
  <si>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</si>
  <si>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</si>
  <si>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</si>
  <si>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</si>
  <si>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</si>
  <si>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</si>
  <si>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</si>
  <si>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</si>
  <si>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</si>
  <si>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</si>
  <si>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</si>
  <si>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</si>
  <si>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</si>
  <si>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</si>
  <si>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</si>
  <si>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</si>
  <si>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</si>
  <si>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</si>
  <si>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</si>
  <si>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</si>
  <si>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</si>
  <si>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</si>
  <si>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</si>
  <si>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</si>
  <si>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</si>
  <si>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</si>
  <si>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</si>
  <si>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</si>
  <si>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</si>
  <si>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</si>
  <si>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</si>
  <si>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</si>
  <si>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</si>
  <si>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</si>
  <si>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</si>
  <si>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</si>
  <si>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</si>
  <si>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</si>
  <si>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</si>
  <si>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</si>
  <si>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</si>
  <si>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</si>
  <si>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</si>
  <si>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</si>
  <si>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</si>
  <si>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</si>
  <si>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</si>
  <si>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</si>
  <si>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</si>
  <si>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</si>
  <si>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</si>
  <si>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</si>
  <si>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</si>
  <si>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</si>
  <si>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</si>
  <si>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</si>
  <si>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</si>
  <si>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</si>
  <si>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</si>
  <si>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</si>
  <si>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</si>
  <si>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</si>
  <si>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</si>
  <si>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</si>
  <si>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</si>
  <si>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</si>
  <si>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</si>
  <si>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</si>
  <si>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</si>
  <si>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</si>
  <si>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</si>
  <si>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</si>
  <si>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</si>
  <si>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</si>
  <si>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</si>
  <si>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</si>
  <si>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</si>
  <si>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</si>
  <si>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</si>
  <si>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</si>
  <si>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</si>
  <si>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</si>
  <si>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</si>
  <si>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</si>
  <si>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</si>
  <si>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</si>
  <si>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</si>
  <si>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</si>
  <si>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</si>
  <si>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</si>
  <si>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</si>
  <si>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</si>
  <si>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</si>
  <si>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</si>
  <si>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</si>
  <si>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</si>
  <si>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</si>
  <si>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</si>
  <si>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</si>
  <si>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</si>
  <si>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</si>
  <si>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</si>
  <si>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</si>
  <si>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</si>
  <si>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</si>
  <si>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</si>
  <si>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</si>
  <si>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</si>
  <si>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</si>
  <si>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</si>
  <si>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</si>
  <si>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</si>
  <si>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</si>
  <si>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</si>
  <si>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</si>
  <si>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</si>
  <si>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</si>
  <si>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</si>
  <si>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</si>
  <si>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</si>
  <si>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</si>
  <si>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</si>
  <si>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</si>
  <si>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</si>
  <si>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</si>
  <si>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</si>
  <si>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</si>
  <si>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</si>
  <si>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</si>
  <si>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</si>
  <si>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</si>
  <si>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</si>
  <si>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</si>
  <si>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</si>
  <si>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</si>
  <si>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</si>
  <si>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</si>
  <si>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</si>
  <si>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</si>
  <si>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</si>
  <si>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</si>
  <si>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</si>
  <si>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</si>
  <si>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</si>
  <si>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</si>
  <si>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</si>
  <si>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</si>
  <si>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</si>
  <si>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</si>
  <si>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</si>
  <si>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</si>
  <si>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</si>
  <si>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</si>
  <si>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</si>
  <si>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</si>
  <si>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</si>
  <si>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</si>
  <si>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</si>
  <si>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</si>
  <si>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</si>
  <si>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</si>
  <si>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</si>
  <si>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</si>
  <si>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</si>
  <si>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</si>
  <si>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</si>
  <si>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</si>
  <si>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</si>
  <si>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</si>
  <si>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</si>
  <si>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</si>
  <si>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</si>
  <si>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</si>
  <si>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</si>
  <si>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</si>
  <si>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</si>
  <si>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</si>
  <si>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</si>
  <si>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</si>
  <si>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</si>
  <si>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</si>
  <si>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</si>
  <si>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</si>
  <si>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</si>
  <si>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</si>
  <si>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</si>
  <si>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</si>
  <si>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</si>
  <si>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</si>
  <si>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</si>
  <si>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</si>
  <si>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</si>
  <si>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</si>
  <si>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</si>
  <si>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</si>
  <si>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</si>
  <si>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</si>
  <si>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</si>
  <si>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</si>
  <si>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</si>
  <si>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</si>
  <si>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</si>
  <si>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</si>
  <si>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</si>
  <si>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</si>
  <si>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</si>
  <si>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</si>
  <si>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</si>
  <si>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</si>
  <si>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</si>
  <si>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</si>
  <si>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</si>
  <si>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</si>
  <si>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</si>
  <si>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</si>
  <si>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</si>
  <si>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</si>
  <si>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</si>
  <si>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</si>
  <si>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</si>
  <si>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</si>
  <si>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</si>
  <si>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</si>
  <si>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</si>
  <si>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</si>
  <si>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</si>
  <si>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</si>
  <si>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</si>
  <si>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</si>
  <si>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</si>
  <si>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</si>
  <si>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</si>
  <si>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</si>
  <si>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</si>
  <si>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</si>
  <si>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</si>
  <si>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</si>
  <si>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</si>
  <si>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</si>
  <si>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</si>
  <si>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</si>
  <si>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</si>
  <si>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</si>
  <si>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</si>
  <si>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</si>
  <si>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</si>
  <si>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</si>
  <si>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</si>
  <si>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</si>
  <si>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</si>
  <si>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</si>
  <si>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</si>
  <si>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</si>
  <si>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</si>
  <si>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</si>
  <si>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</si>
  <si>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</si>
  <si>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</si>
  <si>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</si>
  <si>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</si>
  <si>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</si>
  <si>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</si>
  <si>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</si>
  <si>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</si>
  <si>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</si>
  <si>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</si>
  <si>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</si>
  <si>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</si>
  <si>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</si>
  <si>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</si>
  <si>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</si>
  <si>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</si>
  <si>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</si>
  <si>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</si>
  <si>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</si>
  <si>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</si>
  <si>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</si>
  <si>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</si>
  <si>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</si>
  <si>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</si>
  <si>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</si>
  <si>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</si>
  <si>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</si>
  <si>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</si>
  <si>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</si>
  <si>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</si>
  <si>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</si>
  <si>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</si>
  <si>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</si>
  <si>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</si>
  <si>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</si>
  <si>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</si>
  <si>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</si>
  <si>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</si>
  <si>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</si>
  <si>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</si>
  <si>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</si>
  <si>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</si>
  <si>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</si>
  <si>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</si>
  <si>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</si>
  <si>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</si>
  <si>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</si>
  <si>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</si>
  <si>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</si>
  <si>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</si>
  <si>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</si>
  <si>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</si>
  <si>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</si>
  <si>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</si>
  <si>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</si>
  <si>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</si>
  <si>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</si>
  <si>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</si>
  <si>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</si>
  <si>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</si>
  <si>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</si>
  <si>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</si>
  <si>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</si>
  <si>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</si>
  <si>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</si>
  <si>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</si>
  <si>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</si>
  <si>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</si>
  <si>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</si>
  <si>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</si>
  <si>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</si>
  <si>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</si>
  <si>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</si>
  <si>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</si>
  <si>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</si>
  <si>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</si>
  <si>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</si>
  <si>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</si>
  <si>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</si>
  <si>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</si>
  <si>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</si>
  <si>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</si>
  <si>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</si>
  <si>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</si>
  <si>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</si>
  <si>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</si>
  <si>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</si>
  <si>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</si>
  <si>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</si>
  <si>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</si>
  <si>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</si>
  <si>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</si>
  <si>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</si>
  <si>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</si>
  <si>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</si>
  <si>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</si>
  <si>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</si>
  <si>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</si>
  <si>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</si>
  <si>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</si>
  <si>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</si>
  <si>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</si>
  <si>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</si>
  <si>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</si>
  <si>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</si>
  <si>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</si>
  <si>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</si>
  <si>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</si>
  <si>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</si>
  <si>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</si>
  <si>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</si>
  <si>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</si>
  <si>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</si>
  <si>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</si>
  <si>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</si>
  <si>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</si>
  <si>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</si>
  <si>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</si>
  <si>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</si>
  <si>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</si>
  <si>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</si>
  <si>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</si>
  <si>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</si>
  <si>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</si>
  <si>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</si>
  <si>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</si>
  <si>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</si>
  <si>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</si>
  <si>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</si>
  <si>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</si>
  <si>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</si>
  <si>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</si>
  <si>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</si>
  <si>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</si>
  <si>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</si>
  <si>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</si>
  <si>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</si>
  <si>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</si>
  <si>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</si>
  <si>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</si>
  <si>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</si>
  <si>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</si>
  <si>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</si>
  <si>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</si>
  <si>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</si>
  <si>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</si>
  <si>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</si>
  <si>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</si>
  <si>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</si>
  <si>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</si>
  <si>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</si>
  <si>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</si>
  <si>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</si>
  <si>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</si>
  <si>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</si>
  <si>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</si>
  <si>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</si>
  <si>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</si>
  <si>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</si>
  <si>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</si>
  <si>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</si>
  <si>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</si>
  <si>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</si>
  <si>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</si>
  <si>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</si>
  <si>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</si>
  <si>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</si>
  <si>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</si>
  <si>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</si>
  <si>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</si>
  <si>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</si>
  <si>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</si>
  <si>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</si>
  <si>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</si>
  <si>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</si>
  <si>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</si>
  <si>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</si>
  <si>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</si>
  <si>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</si>
  <si>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</si>
  <si>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</si>
  <si>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</si>
  <si>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</si>
  <si>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</si>
  <si>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</si>
  <si>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</si>
  <si>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</si>
  <si>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</si>
  <si>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</si>
  <si>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</si>
  <si>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</si>
  <si>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</si>
  <si>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</si>
  <si>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</si>
  <si>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</si>
  <si>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</si>
  <si>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</si>
  <si>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</si>
  <si>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</si>
  <si>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</si>
  <si>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</si>
  <si>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</si>
  <si>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</si>
  <si>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</si>
  <si>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</si>
  <si>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</si>
  <si>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</si>
  <si>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</si>
  <si>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</si>
  <si>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</si>
  <si>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</si>
  <si>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</si>
  <si>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</si>
  <si>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</si>
  <si>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</si>
  <si>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</si>
  <si>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</si>
  <si>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</si>
  <si>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</si>
  <si>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</si>
  <si>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</si>
  <si>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</si>
  <si>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</si>
  <si>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</si>
  <si>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</si>
  <si>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</si>
  <si>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</si>
  <si>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</si>
  <si>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</si>
  <si>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</si>
  <si>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</si>
  <si>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</si>
  <si>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</si>
  <si>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</si>
  <si>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</si>
  <si>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</si>
  <si>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</si>
  <si>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</si>
  <si>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</si>
  <si>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</si>
  <si>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</si>
  <si>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</si>
  <si>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</si>
  <si>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</si>
  <si>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</si>
  <si>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</si>
  <si>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</si>
  <si>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</si>
  <si>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</si>
  <si>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</si>
  <si>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</si>
  <si>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</si>
  <si>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</si>
  <si>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</si>
  <si>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</si>
  <si>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</si>
  <si>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</si>
  <si>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</si>
  <si>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</si>
  <si>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</si>
  <si>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</si>
  <si>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</si>
  <si>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</si>
  <si>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</si>
  <si>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</si>
  <si>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</si>
  <si>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</si>
  <si>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</si>
  <si>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</si>
  <si>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</si>
  <si>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</si>
  <si>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</si>
  <si>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</si>
  <si>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</si>
  <si>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</si>
  <si>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</si>
  <si>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</si>
  <si>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</si>
  <si>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</si>
  <si>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</si>
  <si>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</si>
  <si>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</si>
  <si>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</si>
  <si>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</si>
  <si>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</si>
  <si>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</si>
  <si>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</si>
  <si>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</si>
  <si>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</si>
  <si>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</si>
  <si>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</si>
  <si>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</si>
  <si>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</si>
  <si>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</si>
  <si>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</si>
  <si>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</si>
  <si>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</si>
  <si>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</si>
  <si>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</si>
  <si>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</si>
  <si>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</si>
  <si>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</si>
  <si>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</si>
  <si>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</si>
  <si>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</si>
  <si>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</si>
  <si>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</si>
  <si>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</si>
  <si>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</si>
  <si>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</si>
  <si>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</si>
  <si>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</si>
  <si>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</si>
  <si>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</si>
  <si>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</si>
  <si>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</si>
  <si>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</si>
  <si>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</si>
  <si>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</si>
  <si>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</si>
  <si>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</si>
  <si>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</si>
  <si>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</si>
  <si>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</si>
  <si>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</si>
  <si>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</si>
  <si>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</si>
  <si>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</si>
  <si>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</si>
  <si>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</si>
  <si>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</si>
  <si>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</si>
  <si>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</si>
  <si>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</si>
  <si>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</si>
  <si>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</si>
  <si>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</si>
  <si>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</si>
  <si>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</si>
  <si>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</si>
  <si>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</si>
  <si>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</si>
  <si>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</si>
  <si>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</si>
  <si>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</si>
  <si>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</si>
  <si>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</si>
  <si>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</si>
  <si>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</si>
  <si>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</si>
  <si>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</si>
  <si>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</si>
  <si>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</si>
  <si>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</si>
  <si>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</si>
  <si>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</si>
  <si>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</si>
  <si>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</si>
  <si>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</si>
  <si>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</si>
  <si>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</si>
  <si>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</si>
  <si>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</si>
  <si>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</si>
  <si>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</si>
  <si>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</si>
  <si>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</si>
  <si>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</si>
  <si>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</si>
  <si>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</si>
  <si>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</si>
  <si>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</si>
  <si>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</si>
  <si>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</si>
  <si>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</si>
  <si>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</si>
  <si>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</si>
  <si>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</si>
  <si>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</si>
  <si>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</si>
  <si>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</si>
  <si>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</si>
  <si>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</si>
  <si>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</si>
  <si>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</si>
  <si>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</si>
  <si>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</si>
  <si>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</si>
  <si>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</si>
  <si>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</si>
  <si>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</si>
  <si>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</si>
  <si>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</si>
  <si>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</si>
  <si>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</si>
  <si>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</si>
  <si>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</si>
  <si>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</si>
  <si>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</si>
  <si>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</si>
  <si>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</si>
  <si>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</si>
  <si>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</si>
  <si>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</si>
  <si>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</si>
  <si>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</si>
  <si>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</si>
  <si>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</si>
  <si>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</si>
  <si>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</si>
  <si>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</si>
  <si>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</si>
  <si>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</si>
  <si>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</si>
  <si>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</si>
  <si>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</si>
  <si>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</si>
  <si>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</si>
  <si>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</si>
  <si>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</si>
  <si>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</si>
  <si>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</si>
  <si>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</si>
  <si>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</si>
  <si>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</si>
  <si>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</si>
  <si>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</si>
  <si>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</si>
  <si>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</si>
  <si>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</si>
  <si>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</si>
  <si>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</si>
  <si>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</si>
  <si>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</si>
  <si>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</si>
  <si>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</si>
  <si>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</si>
  <si>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</si>
  <si>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</si>
  <si>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</si>
  <si>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</si>
  <si>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</si>
  <si>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</si>
  <si>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</si>
  <si>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</si>
  <si>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</si>
  <si>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</si>
  <si>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</si>
  <si>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</si>
  <si>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</si>
  <si>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</si>
  <si>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</si>
  <si>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</si>
  <si>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</si>
  <si>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</si>
  <si>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</si>
  <si>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</si>
  <si>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</si>
  <si>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</si>
  <si>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</si>
  <si>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</si>
  <si>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</si>
  <si>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</si>
  <si>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</si>
  <si>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</si>
  <si>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</si>
  <si>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</si>
  <si>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</si>
  <si>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</si>
  <si>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</si>
  <si>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</si>
  <si>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</si>
  <si>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</si>
  <si>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</si>
  <si>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</si>
  <si>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</si>
  <si>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</si>
  <si>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</si>
  <si>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</si>
  <si>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</si>
  <si>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</si>
  <si>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</si>
  <si>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</si>
  <si>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</si>
  <si>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</si>
  <si>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</si>
  <si>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</si>
  <si>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</si>
  <si>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</si>
  <si>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</si>
  <si>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</si>
  <si>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</si>
  <si>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</si>
  <si>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</si>
  <si>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</si>
  <si>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</si>
  <si>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</si>
  <si>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</si>
  <si>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</si>
  <si>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</si>
  <si>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</si>
  <si>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</si>
  <si>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</si>
  <si>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</si>
  <si>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</si>
  <si>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</si>
  <si>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</si>
  <si>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</si>
  <si>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</si>
  <si>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</si>
  <si>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</si>
  <si>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</si>
  <si>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</si>
  <si>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</si>
  <si>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</si>
  <si>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</si>
  <si>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</si>
  <si>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</si>
  <si>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</si>
  <si>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</si>
  <si>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</si>
  <si>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</si>
  <si>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</si>
  <si>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</si>
  <si>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</si>
  <si>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</si>
  <si>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</si>
  <si>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</si>
  <si>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</si>
  <si>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</si>
  <si>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</si>
  <si>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</si>
  <si>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</si>
  <si>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</si>
  <si>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</si>
  <si>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</si>
  <si>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</si>
  <si>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</si>
  <si>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</si>
  <si>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</si>
  <si>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</si>
  <si>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</si>
  <si>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</si>
  <si>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</si>
  <si>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</si>
  <si>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</si>
  <si>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</si>
  <si>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</si>
  <si>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</si>
  <si>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</si>
  <si>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</si>
  <si>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</si>
  <si>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</si>
  <si>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</si>
  <si>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</si>
  <si>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</si>
  <si>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</si>
  <si>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</si>
  <si>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</si>
  <si>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</si>
  <si>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</si>
  <si>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</si>
  <si>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</si>
  <si>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</si>
  <si>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</si>
  <si>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</si>
  <si>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</si>
  <si>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</si>
  <si>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</si>
  <si>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</si>
  <si>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</si>
  <si>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</si>
  <si>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</si>
  <si>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</si>
  <si>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</si>
  <si>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</si>
  <si>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</si>
  <si>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</si>
  <si>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</si>
  <si>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</si>
  <si>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</si>
  <si>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</si>
  <si>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</si>
  <si>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</si>
  <si>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</si>
  <si>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</si>
  <si>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</si>
  <si>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</si>
  <si>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</si>
  <si>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</si>
  <si>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</si>
  <si>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</si>
  <si>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</si>
  <si>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</si>
  <si>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</si>
  <si>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</si>
  <si>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</si>
  <si>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</si>
  <si>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</si>
  <si>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</si>
  <si>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</si>
  <si>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</si>
  <si>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</si>
  <si>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</si>
  <si>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</si>
  <si>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</si>
  <si>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</si>
  <si>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</si>
  <si>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</si>
  <si>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</si>
  <si>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</si>
  <si>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</si>
  <si>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</si>
  <si>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</si>
  <si>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</si>
  <si>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</si>
  <si>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</si>
  <si>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</si>
  <si>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</si>
  <si>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</si>
  <si>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</si>
  <si>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</si>
  <si>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</si>
  <si>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</si>
  <si>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</si>
  <si>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</si>
  <si>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</si>
  <si>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</si>
  <si>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</si>
  <si>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</si>
  <si>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</si>
  <si>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</si>
  <si>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</si>
  <si>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</si>
  <si>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</si>
  <si>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</si>
  <si>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</si>
  <si>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</si>
  <si>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</si>
  <si>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</si>
  <si>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</si>
  <si>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</si>
  <si>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</si>
  <si>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</si>
  <si>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</si>
  <si>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</si>
  <si>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</si>
  <si>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</si>
  <si>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</si>
  <si>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</si>
  <si>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</si>
  <si>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</si>
  <si>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</si>
  <si>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</si>
  <si>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</si>
  <si>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</si>
  <si>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</si>
  <si>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</si>
  <si>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</si>
  <si>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</si>
  <si>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</si>
  <si>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</si>
  <si>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</si>
  <si>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</si>
  <si>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</si>
  <si>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</si>
  <si>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</si>
  <si>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</si>
  <si>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</si>
  <si>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</si>
  <si>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</si>
  <si>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</si>
  <si>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</si>
  <si>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</si>
  <si>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</si>
  <si>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</si>
  <si>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</si>
  <si>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</si>
  <si>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</si>
  <si>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</si>
  <si>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</si>
  <si>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</si>
  <si>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</si>
  <si>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</si>
  <si>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</si>
  <si>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</si>
  <si>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</si>
  <si>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</si>
  <si>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</si>
  <si>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</si>
  <si>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</si>
  <si>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</si>
  <si>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</si>
  <si>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</si>
  <si>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</si>
  <si>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</si>
  <si>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</si>
  <si>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</si>
  <si>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</si>
  <si>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</si>
  <si>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</si>
  <si>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</si>
  <si>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</si>
  <si>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</si>
  <si>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</si>
  <si>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</si>
  <si>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</si>
  <si>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</si>
  <si>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</si>
  <si>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</si>
  <si>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</si>
  <si>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</si>
  <si>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</si>
  <si>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</si>
  <si>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</si>
  <si>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</si>
  <si>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</si>
  <si>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</si>
  <si>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</si>
  <si>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</si>
  <si>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</si>
  <si>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</si>
  <si>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</si>
  <si>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</si>
  <si>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</si>
  <si>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</si>
  <si>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</si>
  <si>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</si>
  <si>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</si>
  <si>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</si>
  <si>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</si>
  <si>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</si>
  <si>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</si>
  <si>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</si>
  <si>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</si>
  <si>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</si>
  <si>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</si>
  <si>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</si>
  <si>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</si>
  <si>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</si>
  <si>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</si>
  <si>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</si>
  <si>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</si>
  <si>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</si>
  <si>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</si>
  <si>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</si>
  <si>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</si>
  <si>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</si>
  <si>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</si>
  <si>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</si>
  <si>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</si>
  <si>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</si>
  <si>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</si>
  <si>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</si>
  <si>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</si>
  <si>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</si>
  <si>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</si>
  <si>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</si>
  <si>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</si>
  <si>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</si>
  <si>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</si>
  <si>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</si>
  <si>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</si>
  <si>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</si>
  <si>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</si>
  <si>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</si>
  <si>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</si>
  <si>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</si>
  <si>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</si>
  <si>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</si>
  <si>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</si>
  <si>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</si>
  <si>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</si>
  <si>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</si>
  <si>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</si>
  <si>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</si>
  <si>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</si>
  <si>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</si>
  <si>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</si>
  <si>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</si>
  <si>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</si>
  <si>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</si>
  <si>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</si>
  <si>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</si>
  <si>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</si>
  <si>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</si>
  <si>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</si>
  <si>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</si>
  <si>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</si>
  <si>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</si>
  <si>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</si>
  <si>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</si>
  <si>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</si>
  <si>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</si>
  <si>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</si>
  <si>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</si>
  <si>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</si>
  <si>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</si>
  <si>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</si>
  <si>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</si>
  <si>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</si>
  <si>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</si>
  <si>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</si>
  <si>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</si>
  <si>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</si>
  <si>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</si>
  <si>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</si>
  <si>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</si>
  <si>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</si>
  <si>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</si>
  <si>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</si>
  <si>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</si>
  <si>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</si>
  <si>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</si>
  <si>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</si>
  <si>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</si>
  <si>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</si>
  <si>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</si>
  <si>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</si>
  <si>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</si>
  <si>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</si>
  <si>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</si>
  <si>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</si>
  <si>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</si>
  <si>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</si>
  <si>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</si>
  <si>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</si>
  <si>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</si>
  <si>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</si>
  <si>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</si>
  <si>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</si>
  <si>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</si>
  <si>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</si>
  <si>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</si>
  <si>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</si>
  <si>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</si>
  <si>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</si>
  <si>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</si>
  <si>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</si>
  <si>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</si>
  <si>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</si>
  <si>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</si>
  <si>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</si>
  <si>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</si>
  <si>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</si>
  <si>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</si>
  <si>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</si>
  <si>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</si>
  <si>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</si>
  <si>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</si>
  <si>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</si>
  <si>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</si>
  <si>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</si>
  <si>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</si>
  <si>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</si>
  <si>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</si>
  <si>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</si>
  <si>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</si>
  <si>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</si>
  <si>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</si>
  <si>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</si>
  <si>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</si>
  <si>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</si>
  <si>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</si>
  <si>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</si>
  <si>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</si>
  <si>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</si>
  <si>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</si>
  <si>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</si>
  <si>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</si>
  <si>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</si>
  <si>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</si>
  <si>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</si>
  <si>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</si>
  <si>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</si>
  <si>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</si>
  <si>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</si>
  <si>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</si>
  <si>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</si>
  <si>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</si>
  <si>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</si>
  <si>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</si>
  <si>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</si>
  <si>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</si>
  <si>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</si>
  <si>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</si>
  <si>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</si>
  <si>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</si>
  <si>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</si>
  <si>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</si>
  <si>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</si>
  <si>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</si>
  <si>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</si>
  <si>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</si>
  <si>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</si>
  <si>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</si>
  <si>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</si>
  <si>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</si>
  <si>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</si>
  <si>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</si>
  <si>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</si>
  <si>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</si>
  <si>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</si>
  <si>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</si>
  <si>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</si>
  <si>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</si>
  <si>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</si>
  <si>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</si>
  <si>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</si>
  <si>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</si>
  <si>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</si>
  <si>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</si>
  <si>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</si>
  <si>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</si>
  <si>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</si>
  <si>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</si>
  <si>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</si>
  <si>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</si>
  <si>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</si>
  <si>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</si>
  <si>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</si>
  <si>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</si>
  <si>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</si>
  <si>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</si>
  <si>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</si>
  <si>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</si>
  <si>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</si>
  <si>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</si>
  <si>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</si>
  <si>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</si>
  <si>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</si>
  <si>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</si>
  <si>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</si>
  <si>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</si>
  <si>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</si>
  <si>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</si>
  <si>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</si>
  <si>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</si>
  <si>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</si>
  <si>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</si>
  <si>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</si>
  <si>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</si>
  <si>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</si>
  <si>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</si>
  <si>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</si>
  <si>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</si>
  <si>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</si>
  <si>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</si>
  <si>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</si>
  <si>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</si>
  <si>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</si>
  <si>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</si>
  <si>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</si>
  <si>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</si>
  <si>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</si>
  <si>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</si>
  <si>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</si>
  <si>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</si>
  <si>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</si>
  <si>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</si>
  <si>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</si>
  <si>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</si>
  <si>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</si>
  <si>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</si>
  <si>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</si>
  <si>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</si>
  <si>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</si>
  <si>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</si>
  <si>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</si>
  <si>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</si>
  <si>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</si>
  <si>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</si>
  <si>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</si>
  <si>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</si>
  <si>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</si>
  <si>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</si>
  <si>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</si>
  <si>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</si>
  <si>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</si>
  <si>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</si>
  <si>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</si>
  <si>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</si>
  <si>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</si>
  <si>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</si>
  <si>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</si>
  <si>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</si>
  <si>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</si>
  <si>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</si>
  <si>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</si>
  <si>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</si>
  <si>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</si>
  <si>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</si>
  <si>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</si>
  <si>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</si>
  <si>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</si>
  <si>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</si>
  <si>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</si>
  <si>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</si>
  <si>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</si>
  <si>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</si>
  <si>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</si>
  <si>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</si>
  <si>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</si>
  <si>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</si>
  <si>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</si>
  <si>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</si>
  <si>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</si>
  <si>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</si>
  <si>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</si>
  <si>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</si>
  <si>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</si>
  <si>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</si>
  <si>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</si>
  <si>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</si>
  <si>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</si>
  <si>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</si>
  <si>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</si>
  <si>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</si>
  <si>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</si>
  <si>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</si>
  <si>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</si>
  <si>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</si>
  <si>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</si>
  <si>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</si>
  <si>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</si>
  <si>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</si>
  <si>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</si>
  <si>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</si>
  <si>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</si>
  <si>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</si>
  <si>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</si>
  <si>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</si>
  <si>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</si>
  <si>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</si>
  <si>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</si>
  <si>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</si>
  <si>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</si>
  <si>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</si>
  <si>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</si>
  <si>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</si>
  <si>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</si>
  <si>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</si>
  <si>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</si>
  <si>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</si>
  <si>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</si>
  <si>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</si>
  <si>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</si>
  <si>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</si>
  <si>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</si>
  <si>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</si>
  <si>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</si>
  <si>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</si>
  <si>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</si>
  <si>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</si>
  <si>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</si>
  <si>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</si>
  <si>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</si>
  <si>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</si>
  <si>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</si>
  <si>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</si>
  <si>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</si>
  <si>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</si>
  <si>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</si>
  <si>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</si>
  <si>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</si>
  <si>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</si>
  <si>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</si>
  <si>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</si>
  <si>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</si>
  <si>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</si>
  <si>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</si>
  <si>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</si>
  <si>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</si>
  <si>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</si>
  <si>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</si>
  <si>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</si>
  <si>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</si>
  <si>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</si>
  <si>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</si>
  <si>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</si>
  <si>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</si>
  <si>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</si>
  <si>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</si>
  <si>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</si>
  <si>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</si>
  <si>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</si>
  <si>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</si>
  <si>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</si>
  <si>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</si>
  <si>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</si>
  <si>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</si>
  <si>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</si>
  <si>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</si>
  <si>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</si>
  <si>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</si>
  <si>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</si>
  <si>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</si>
  <si>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</si>
  <si>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</si>
  <si>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</si>
  <si>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</si>
  <si>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</si>
  <si>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</si>
  <si>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</si>
  <si>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</si>
  <si>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</si>
  <si>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</si>
  <si>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</si>
  <si>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</si>
  <si>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</si>
  <si>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</si>
  <si>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</si>
  <si>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</si>
  <si>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</si>
  <si>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</si>
  <si>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</si>
  <si>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</si>
  <si>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</si>
  <si>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</si>
  <si>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</si>
  <si>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</si>
  <si>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</si>
  <si>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</si>
  <si>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</si>
  <si>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</si>
  <si>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</si>
  <si>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</si>
  <si>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</si>
  <si>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</si>
  <si>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</si>
  <si>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</si>
  <si>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</si>
  <si>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</si>
  <si>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</si>
  <si>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</si>
  <si>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</si>
  <si>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</si>
  <si>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</si>
  <si>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</si>
  <si>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</si>
  <si>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</si>
  <si>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</si>
  <si>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</si>
  <si>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</si>
  <si>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</si>
  <si>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</si>
  <si>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</si>
  <si>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</si>
  <si>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</si>
  <si>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</si>
  <si>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</si>
  <si>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</si>
  <si>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</si>
  <si>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</si>
  <si>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</si>
  <si>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</si>
  <si>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</si>
  <si>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</si>
  <si>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</si>
  <si>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</si>
  <si>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</si>
  <si>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</si>
  <si>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</si>
  <si>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</si>
  <si>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</si>
  <si>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</si>
  <si>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</si>
  <si>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</si>
  <si>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</si>
  <si>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</si>
  <si>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</si>
  <si>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</si>
  <si>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</si>
  <si>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</si>
  <si>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</si>
  <si>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</si>
  <si>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</si>
  <si>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</si>
  <si>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</si>
  <si>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</si>
  <si>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</si>
  <si>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</si>
  <si>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</si>
  <si>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</si>
  <si>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</si>
  <si>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</si>
  <si>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</si>
  <si>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</si>
  <si>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</si>
  <si>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</si>
  <si>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</si>
  <si>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</si>
  <si>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</si>
  <si>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</si>
  <si>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</si>
  <si>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</si>
  <si>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</si>
  <si>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</si>
  <si>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</si>
  <si>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</si>
  <si>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</si>
  <si>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</si>
  <si>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</si>
  <si>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</si>
  <si>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</si>
  <si>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</si>
  <si>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</si>
  <si>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</si>
  <si>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</si>
  <si>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</si>
  <si>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</si>
  <si>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</si>
  <si>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</si>
  <si>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</si>
  <si>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</si>
  <si>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</si>
  <si>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</si>
  <si>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</si>
  <si>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</si>
  <si>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</si>
  <si>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</si>
  <si>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</si>
  <si>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</si>
  <si>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</si>
  <si>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</si>
  <si>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</si>
  <si>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</si>
  <si>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</si>
  <si>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</si>
  <si>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</si>
  <si>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</si>
  <si>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</si>
  <si>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</si>
  <si>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</si>
  <si>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</si>
  <si>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</si>
  <si>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</si>
  <si>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</si>
  <si>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</si>
  <si>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</si>
  <si>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</si>
  <si>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</si>
  <si>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</si>
  <si>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</si>
  <si>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</si>
  <si>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</si>
  <si>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</si>
  <si>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</si>
  <si>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</si>
  <si>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</si>
  <si>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</si>
  <si>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</si>
  <si>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</si>
  <si>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</si>
  <si>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</si>
  <si>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</si>
  <si>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</si>
  <si>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</si>
  <si>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</si>
  <si>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</si>
  <si>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</si>
  <si>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</si>
  <si>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</si>
  <si>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</si>
  <si>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</si>
  <si>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</si>
  <si>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</si>
  <si>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</si>
  <si>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</si>
  <si>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</si>
  <si>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</si>
  <si>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</si>
  <si>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</si>
  <si>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</si>
  <si>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</si>
  <si>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</si>
  <si>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</si>
  <si>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</si>
  <si>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</si>
  <si>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</si>
  <si>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</si>
  <si>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</si>
  <si>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</si>
  <si>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</si>
  <si>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</si>
  <si>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</si>
  <si>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</si>
  <si>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</si>
  <si>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</si>
  <si>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</si>
  <si>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</si>
  <si>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</si>
  <si>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</si>
  <si>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</si>
  <si>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</si>
  <si>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</si>
  <si>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</si>
  <si>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</si>
  <si>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</si>
  <si>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</si>
  <si>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</si>
  <si>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</si>
  <si>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</si>
  <si>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</si>
  <si>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</si>
  <si>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</si>
  <si>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</si>
  <si>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</si>
  <si>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</si>
  <si>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</si>
  <si>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</si>
  <si>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</si>
  <si>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</si>
  <si>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</si>
  <si>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</si>
  <si>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</si>
  <si>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</si>
  <si>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</si>
  <si>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</si>
  <si>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</si>
  <si>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</si>
  <si>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</si>
  <si>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</si>
  <si>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</si>
  <si>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</si>
  <si>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</si>
  <si>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</si>
  <si>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</si>
  <si>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</si>
  <si>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</si>
  <si>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</si>
  <si>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</si>
  <si>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</si>
  <si>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</si>
  <si>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</si>
  <si>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</si>
  <si>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</si>
  <si>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</si>
  <si>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</si>
  <si>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</si>
  <si>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</si>
  <si>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</si>
  <si>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</si>
  <si>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</si>
  <si>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</si>
  <si>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</si>
  <si>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</si>
  <si>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</si>
  <si>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</si>
  <si>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</si>
  <si>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</si>
  <si>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</si>
  <si>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</si>
  <si>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</si>
  <si>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</si>
  <si>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</si>
  <si>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</si>
  <si>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</si>
  <si>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</si>
  <si>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</si>
  <si>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</si>
  <si>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</si>
  <si>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</si>
  <si>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</si>
  <si>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</si>
  <si>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</si>
  <si>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</si>
  <si>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</si>
  <si>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</si>
  <si>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</si>
  <si>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</si>
  <si>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</si>
  <si>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</si>
  <si>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</si>
  <si>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</si>
  <si>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</si>
  <si>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</si>
  <si>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</si>
  <si>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</si>
  <si>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</si>
  <si>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</si>
  <si>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</si>
  <si>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</si>
  <si>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</si>
  <si>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</si>
  <si>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</si>
  <si>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</si>
  <si>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</si>
  <si>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</si>
  <si>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</si>
  <si>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</si>
  <si>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</si>
  <si>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</si>
  <si>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</si>
  <si>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</si>
  <si>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</si>
  <si>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</si>
  <si>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</si>
  <si>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</si>
  <si>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</si>
  <si>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</si>
  <si>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</si>
  <si>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</si>
  <si>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</si>
  <si>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</si>
  <si>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</si>
  <si>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</si>
  <si>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</si>
  <si>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</si>
  <si>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</si>
  <si>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</si>
  <si>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</si>
  <si>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</si>
  <si>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</si>
  <si>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</si>
  <si>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</si>
  <si>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</si>
  <si>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</si>
  <si>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</si>
  <si>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</si>
  <si>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</si>
  <si>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</si>
  <si>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</si>
  <si>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</si>
  <si>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</si>
  <si>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</si>
  <si>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</si>
  <si>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</si>
  <si>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</si>
  <si>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</si>
  <si>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</si>
  <si>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</si>
  <si>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</si>
  <si>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</si>
  <si>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</si>
  <si>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</si>
  <si>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</si>
  <si>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</si>
  <si>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</si>
  <si>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</si>
  <si>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</si>
  <si>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</si>
  <si>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</si>
  <si>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</si>
  <si>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</si>
  <si>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</si>
  <si>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</si>
  <si>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</si>
  <si>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</si>
  <si>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</si>
  <si>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</si>
  <si>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</si>
  <si>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</si>
  <si>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</si>
  <si>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</si>
  <si>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</si>
  <si>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</si>
  <si>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</si>
  <si>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</si>
  <si>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</si>
  <si>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</si>
  <si>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</si>
  <si>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</si>
  <si>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</si>
  <si>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</si>
  <si>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</si>
  <si>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</si>
  <si>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</si>
  <si>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</si>
  <si>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</si>
  <si>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</si>
  <si>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</si>
  <si>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</si>
  <si>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</si>
  <si>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</si>
  <si>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</si>
  <si>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</si>
  <si>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</si>
  <si>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</si>
  <si>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</si>
  <si>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</si>
  <si>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</si>
  <si>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</si>
  <si>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</si>
  <si>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</si>
  <si>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</si>
  <si>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</si>
  <si>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</si>
  <si>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</si>
  <si>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</si>
  <si>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</si>
  <si>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</si>
  <si>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</si>
  <si>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</si>
  <si>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</si>
  <si>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</si>
  <si>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</si>
  <si>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</si>
  <si>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</si>
  <si>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</si>
  <si>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</si>
  <si>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</si>
  <si>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</si>
  <si>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</si>
  <si>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</si>
  <si>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</si>
  <si>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</si>
  <si>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</si>
  <si>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</si>
  <si>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</si>
  <si>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</si>
  <si>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</si>
  <si>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</si>
  <si>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</si>
  <si>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</si>
  <si>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</si>
  <si>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</si>
  <si>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</si>
  <si>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</si>
  <si>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</si>
  <si>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</si>
  <si>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</si>
  <si>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</si>
  <si>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</si>
  <si>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</si>
  <si>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</si>
  <si>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</si>
  <si>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</si>
  <si>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</si>
  <si>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</si>
  <si>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</si>
  <si>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</si>
  <si>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</si>
  <si>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</si>
  <si>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</si>
  <si>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</si>
  <si>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</si>
  <si>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</si>
  <si>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</si>
  <si>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</si>
  <si>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</si>
  <si>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</si>
  <si>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</si>
  <si>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</si>
  <si>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</si>
  <si>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</si>
  <si>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</si>
  <si>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</si>
  <si>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</si>
  <si>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</si>
  <si>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</si>
  <si>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</si>
  <si>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</si>
  <si>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</si>
  <si>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</si>
  <si>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</si>
  <si>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</si>
  <si>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</si>
  <si>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</si>
  <si>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</si>
  <si>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</si>
  <si>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</si>
  <si>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</si>
  <si>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</si>
  <si>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</si>
  <si>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</si>
  <si>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</si>
  <si>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</si>
  <si>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</si>
  <si>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</si>
  <si>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</si>
  <si>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</si>
  <si>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</si>
  <si>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</si>
  <si>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</si>
  <si>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</si>
  <si>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</si>
  <si>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</si>
  <si>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</si>
  <si>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</si>
  <si>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</si>
  <si>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</si>
  <si>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</si>
  <si>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</si>
  <si>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</si>
  <si>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</si>
  <si>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</si>
  <si>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</si>
  <si>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</si>
  <si>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</si>
  <si>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</si>
  <si>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</si>
  <si>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</si>
  <si>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</si>
  <si>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</si>
  <si>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</si>
  <si>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</si>
  <si>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</si>
  <si>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</si>
  <si>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</si>
  <si>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</si>
  <si>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</si>
  <si>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</si>
  <si>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</si>
  <si>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</si>
  <si>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</si>
  <si>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</si>
  <si>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</si>
  <si>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</si>
  <si>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</si>
  <si>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</si>
  <si>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</si>
  <si>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</si>
  <si>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</si>
  <si>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</si>
  <si>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</si>
  <si>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</si>
  <si>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</si>
  <si>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</si>
  <si>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</si>
  <si>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</si>
  <si>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</si>
  <si>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</si>
  <si>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</si>
  <si>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</si>
  <si>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</si>
  <si>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</si>
  <si>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</si>
  <si>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</si>
  <si>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</si>
  <si>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</si>
  <si>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</si>
  <si>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</si>
  <si>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</si>
  <si>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</si>
  <si>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</si>
  <si>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</si>
  <si>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</si>
  <si>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</si>
  <si>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</si>
  <si>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</si>
  <si>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</si>
  <si>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</si>
  <si>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</si>
  <si>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</si>
  <si>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</si>
  <si>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</si>
  <si>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</si>
  <si>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</si>
  <si>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</si>
  <si>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</si>
  <si>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</si>
  <si>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</si>
  <si>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</si>
  <si>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</si>
  <si>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</si>
  <si>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</si>
  <si>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</si>
  <si>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</si>
  <si>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</si>
  <si>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</si>
  <si>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</si>
  <si>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</si>
  <si>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</si>
  <si>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</si>
  <si>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</si>
  <si>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</si>
  <si>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</si>
  <si>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</si>
  <si>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</si>
  <si>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</si>
  <si>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</si>
  <si>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</si>
  <si>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</si>
  <si>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</si>
  <si>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</si>
  <si>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</si>
  <si>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</si>
  <si>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</si>
  <si>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</si>
  <si>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</si>
  <si>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</si>
  <si>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</si>
  <si>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</si>
  <si>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</si>
  <si>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</si>
  <si>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</si>
  <si>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</si>
  <si>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</si>
  <si>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</si>
  <si>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</si>
  <si>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</si>
  <si>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</si>
  <si>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</si>
  <si>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</si>
  <si>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</si>
  <si>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</si>
  <si>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</si>
  <si>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</si>
  <si>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</si>
  <si>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</si>
  <si>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</si>
  <si>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</si>
  <si>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</si>
  <si>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</si>
  <si>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</si>
  <si>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</si>
  <si>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</si>
  <si>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</si>
  <si>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</si>
  <si>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</si>
  <si>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</si>
  <si>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</si>
  <si>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</si>
  <si>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</si>
  <si>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</si>
  <si>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</si>
  <si>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</si>
  <si>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</si>
  <si>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</si>
  <si>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</si>
  <si>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</si>
  <si>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</si>
  <si>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</si>
  <si>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</si>
  <si>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</si>
  <si>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</si>
  <si>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</si>
  <si>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</si>
  <si>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</si>
  <si>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</si>
  <si>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</si>
  <si>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</si>
  <si>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</si>
  <si>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</si>
  <si>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</si>
  <si>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</si>
  <si>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</si>
  <si>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</si>
  <si>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</si>
  <si>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</si>
  <si>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</si>
  <si>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</si>
  <si>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</si>
  <si>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</si>
  <si>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</si>
  <si>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</si>
  <si>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</si>
  <si>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</si>
  <si>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</si>
  <si>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</si>
  <si>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</si>
  <si>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</si>
  <si>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</si>
  <si>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</si>
  <si>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</si>
  <si>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</si>
  <si>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</si>
  <si>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</si>
  <si>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</si>
  <si>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</si>
  <si>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</si>
  <si>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</si>
  <si>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</si>
  <si>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</si>
  <si>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</si>
  <si>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</si>
  <si>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</si>
  <si>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</si>
  <si>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</si>
  <si>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</si>
  <si>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</si>
  <si>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</si>
  <si>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</si>
  <si>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</si>
  <si>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</si>
  <si>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</si>
  <si>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</si>
  <si>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</si>
  <si>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</si>
  <si>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</si>
  <si>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</si>
  <si>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</si>
  <si>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</si>
  <si>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</si>
  <si>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</si>
  <si>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</si>
  <si>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</si>
  <si>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</si>
  <si>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</si>
  <si>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</si>
  <si>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</si>
  <si>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</si>
  <si>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</si>
  <si>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</si>
  <si>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</si>
  <si>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</si>
  <si>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</si>
  <si>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</si>
  <si>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</si>
  <si>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</si>
  <si>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</si>
  <si>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</si>
  <si>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</si>
  <si>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</si>
  <si>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</si>
  <si>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</si>
  <si>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</si>
  <si>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</si>
  <si>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</si>
  <si>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</si>
  <si>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</si>
  <si>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</si>
  <si>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</si>
  <si>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</si>
  <si>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</si>
  <si>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</si>
  <si>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</si>
  <si>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</si>
  <si>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</si>
  <si>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</si>
  <si>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</si>
  <si>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</si>
  <si>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</si>
  <si>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</si>
  <si>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</si>
  <si>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</si>
  <si>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</si>
  <si>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</si>
  <si>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</si>
  <si>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</si>
  <si>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</si>
  <si>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</si>
  <si>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</si>
  <si>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</si>
  <si>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</si>
  <si>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</si>
  <si>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</si>
  <si>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</si>
  <si>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</si>
  <si>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</si>
  <si>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</si>
  <si>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</si>
  <si>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</si>
  <si>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</si>
  <si>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</si>
  <si>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</si>
  <si>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</si>
  <si>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</si>
  <si>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</si>
  <si>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</si>
  <si>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</si>
  <si>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</si>
  <si>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</si>
  <si>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</si>
  <si>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</si>
  <si>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</si>
  <si>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</si>
  <si>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</si>
  <si>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</si>
  <si>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</si>
  <si>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</si>
  <si>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</si>
  <si>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</si>
  <si>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</si>
  <si>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</si>
  <si>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</si>
  <si>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</si>
  <si>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</si>
  <si>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</si>
  <si>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</si>
  <si>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</si>
  <si>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</si>
  <si>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</si>
  <si>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</si>
  <si>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</si>
  <si>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</si>
  <si>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</si>
  <si>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</si>
  <si>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</si>
  <si>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</si>
  <si>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</si>
  <si>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</si>
  <si>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</si>
  <si>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</si>
  <si>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</si>
  <si>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</si>
  <si>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</si>
  <si>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</si>
  <si>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</si>
  <si>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</si>
  <si>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</si>
  <si>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</si>
  <si>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</si>
  <si>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</si>
  <si>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</si>
  <si>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</si>
  <si>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</si>
  <si>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</si>
  <si>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</si>
  <si>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</si>
  <si>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</si>
  <si>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</si>
  <si>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</si>
  <si>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</si>
  <si>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</si>
  <si>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</si>
  <si>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</si>
  <si>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</si>
  <si>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</si>
  <si>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</si>
  <si>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</si>
  <si>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</si>
  <si>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</si>
  <si>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</si>
  <si>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</si>
  <si>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</si>
  <si>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</si>
  <si>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</si>
  <si>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</si>
  <si>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</si>
  <si>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</si>
  <si>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</si>
  <si>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</si>
  <si>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</si>
  <si>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</si>
  <si>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</si>
  <si>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</si>
  <si>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</si>
  <si>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</si>
  <si>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</si>
  <si>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</si>
  <si>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</si>
  <si>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</si>
  <si>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</si>
  <si>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</si>
  <si>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</si>
  <si>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</si>
  <si>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</si>
  <si>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</si>
  <si>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</si>
  <si>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</si>
  <si>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</si>
  <si>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</si>
  <si>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</si>
  <si>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</si>
  <si>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</si>
  <si>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</si>
  <si>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</si>
  <si>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</si>
  <si>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</si>
  <si>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</si>
  <si>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</si>
  <si>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</si>
  <si>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</si>
  <si>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</si>
  <si>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</si>
  <si>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</si>
  <si>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</si>
  <si>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</si>
  <si>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</si>
  <si>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</si>
  <si>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</si>
  <si>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</si>
  <si>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</si>
  <si>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</si>
  <si>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</si>
  <si>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</si>
  <si>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</si>
  <si>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</si>
  <si>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</si>
  <si>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</si>
  <si>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</si>
  <si>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</si>
  <si>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</si>
  <si>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</si>
  <si>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</si>
  <si>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</si>
  <si>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</si>
  <si>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</si>
  <si>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</si>
  <si>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</si>
  <si>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</si>
  <si>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</si>
  <si>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</si>
  <si>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</si>
  <si>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</si>
  <si>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</si>
  <si>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</si>
  <si>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</si>
  <si>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</si>
  <si>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</si>
  <si>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</si>
  <si>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</si>
  <si>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</si>
  <si>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</si>
  <si>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</si>
  <si>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</si>
  <si>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</si>
  <si>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</si>
  <si>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</si>
  <si>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</si>
  <si>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</si>
  <si>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</si>
  <si>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</si>
  <si>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</si>
  <si>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</si>
  <si>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</si>
  <si>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</si>
  <si>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</si>
  <si>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</si>
  <si>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</si>
  <si>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</si>
  <si>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</si>
  <si>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</si>
  <si>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</si>
  <si>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</si>
  <si>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</si>
  <si>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</si>
  <si>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</si>
  <si>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</si>
  <si>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</si>
  <si>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</si>
  <si>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</si>
  <si>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</si>
  <si>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</si>
  <si>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</si>
  <si>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</si>
  <si>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</si>
  <si>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</si>
  <si>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</si>
  <si>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</si>
  <si>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</si>
  <si>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</si>
  <si>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</si>
  <si>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</si>
  <si>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</si>
  <si>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</si>
  <si>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</si>
  <si>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</si>
  <si>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</si>
  <si>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</si>
  <si>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</si>
  <si>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</si>
  <si>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</si>
  <si>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</si>
  <si>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</si>
  <si>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</si>
  <si>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</si>
  <si>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</si>
  <si>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</si>
  <si>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</si>
  <si>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</si>
  <si>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</si>
  <si>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</si>
  <si>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</si>
  <si>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</si>
  <si>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</si>
  <si>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</si>
  <si>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</si>
  <si>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</si>
  <si>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</si>
  <si>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</si>
  <si>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</si>
  <si>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</si>
  <si>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</si>
  <si>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</si>
  <si>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</si>
  <si>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</si>
  <si>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</si>
  <si>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</si>
  <si>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</si>
  <si>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</si>
  <si>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</si>
  <si>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</si>
  <si>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</si>
  <si>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</si>
  <si>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</si>
  <si>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</si>
  <si>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</si>
  <si>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</si>
  <si>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</si>
  <si>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</si>
  <si>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</si>
  <si>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</si>
  <si>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</si>
  <si>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</si>
  <si>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</si>
  <si>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</si>
  <si>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</si>
  <si>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</si>
  <si>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</si>
  <si>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</si>
  <si>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</si>
  <si>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</si>
  <si>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</si>
  <si>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</si>
  <si>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</si>
  <si>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</si>
  <si>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</si>
  <si>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</si>
  <si>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</si>
  <si>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</si>
  <si>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</si>
  <si>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</si>
  <si>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</si>
  <si>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</si>
  <si>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</si>
  <si>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</si>
  <si>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</si>
  <si>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</si>
  <si>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</si>
  <si>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</si>
  <si>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</si>
  <si>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</si>
  <si>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</si>
  <si>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</si>
  <si>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</si>
  <si>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</si>
  <si>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</si>
  <si>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</si>
  <si>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</si>
  <si>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</si>
  <si>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</si>
  <si>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</si>
  <si>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</si>
  <si>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</si>
  <si>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</si>
  <si>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</si>
  <si>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</si>
  <si>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</si>
  <si>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</si>
  <si>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</si>
  <si>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</si>
  <si>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</si>
  <si>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</si>
  <si>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</si>
  <si>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</si>
  <si>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</si>
  <si>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</si>
  <si>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</si>
  <si>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</si>
  <si>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</si>
  <si>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</si>
  <si>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</si>
  <si>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</si>
  <si>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</si>
  <si>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</si>
  <si>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</si>
  <si>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</si>
  <si>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</si>
  <si>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</si>
  <si>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</si>
  <si>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</si>
  <si>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</si>
  <si>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</si>
  <si>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</si>
  <si>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</si>
  <si>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</si>
  <si>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</si>
  <si>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</si>
  <si>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</si>
  <si>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</si>
  <si>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</si>
  <si>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</si>
  <si>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</si>
  <si>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</si>
  <si>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</si>
  <si>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</si>
  <si>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</si>
  <si>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</si>
  <si>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</si>
  <si>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</si>
  <si>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</si>
  <si>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</si>
  <si>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</si>
  <si>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</si>
  <si>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</si>
  <si>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</si>
  <si>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</si>
  <si>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</si>
  <si>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</si>
  <si>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</si>
  <si>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</si>
  <si>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</si>
  <si>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</si>
  <si>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</si>
  <si>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</si>
  <si>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</si>
  <si>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</si>
  <si>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</si>
  <si>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</si>
  <si>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</si>
  <si>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</si>
  <si>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</si>
  <si>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</si>
  <si>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</si>
  <si>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</si>
  <si>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</si>
  <si>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</si>
  <si>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</si>
  <si>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</si>
  <si>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</si>
  <si>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</si>
  <si>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</si>
  <si>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</si>
  <si>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</si>
  <si>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</si>
  <si>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</si>
  <si>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</si>
  <si>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</si>
  <si>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</si>
  <si>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</si>
  <si>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</si>
  <si>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</si>
  <si>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</si>
  <si>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</si>
  <si>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</si>
  <si>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</si>
  <si>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</si>
  <si>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</si>
  <si>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</si>
  <si>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</si>
  <si>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</si>
  <si>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</si>
  <si>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</si>
  <si>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</si>
  <si>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</si>
  <si>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</si>
  <si>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</si>
  <si>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</si>
  <si>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</si>
  <si>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</si>
  <si>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</si>
  <si>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</si>
  <si>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</si>
  <si>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</si>
  <si>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</si>
  <si>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</si>
  <si>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</si>
  <si>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</si>
  <si>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</si>
  <si>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</si>
  <si>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</si>
  <si>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</si>
  <si>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</si>
  <si>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</si>
  <si>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</si>
  <si>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</si>
  <si>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</si>
  <si>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</si>
  <si>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</si>
  <si>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</si>
  <si>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</si>
  <si>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</si>
  <si>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</si>
  <si>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</si>
  <si>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</si>
  <si>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</si>
  <si>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</si>
  <si>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</si>
  <si>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</si>
  <si>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</si>
  <si>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</si>
  <si>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</si>
  <si>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</si>
  <si>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</si>
  <si>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</si>
  <si>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</si>
  <si>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</si>
  <si>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</si>
  <si>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</si>
  <si>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</si>
  <si>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</si>
  <si>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</si>
  <si>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</si>
  <si>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</si>
  <si>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</si>
  <si>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</si>
  <si>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</si>
  <si>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</si>
  <si>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</si>
  <si>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</si>
  <si>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</si>
  <si>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</si>
  <si>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</si>
  <si>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</si>
  <si>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</si>
  <si>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</si>
  <si>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</si>
  <si>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</si>
  <si>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</si>
  <si>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</si>
  <si>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</si>
  <si>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</si>
  <si>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</si>
  <si>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</si>
  <si>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</si>
  <si>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</si>
  <si>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</si>
  <si>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</si>
  <si>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</si>
  <si>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</si>
  <si>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</si>
  <si>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</si>
  <si>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</si>
  <si>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</si>
  <si>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</si>
  <si>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</si>
  <si>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</si>
  <si>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</si>
  <si>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</si>
  <si>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</si>
  <si>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</si>
  <si>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</si>
  <si>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</si>
  <si>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</si>
  <si>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</si>
  <si>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</si>
  <si>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</si>
  <si>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</si>
  <si>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</si>
  <si>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</si>
  <si>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</si>
  <si>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</si>
  <si>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</si>
  <si>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</si>
  <si>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</si>
  <si>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</si>
  <si>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</si>
  <si>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</si>
  <si>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</si>
  <si>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</si>
  <si>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</si>
  <si>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</si>
  <si>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</si>
  <si>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</si>
  <si>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</si>
  <si>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</si>
  <si>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</si>
  <si>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</si>
  <si>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</si>
  <si>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</si>
  <si>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</si>
  <si>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</si>
  <si>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</si>
  <si>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</si>
  <si>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</si>
  <si>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</si>
  <si>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</si>
  <si>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</si>
  <si>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</si>
  <si>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</si>
  <si>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</si>
  <si>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</si>
  <si>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</si>
  <si>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</si>
  <si>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</si>
  <si>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</si>
  <si>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</si>
  <si>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</si>
  <si>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</si>
  <si>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</si>
  <si>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</si>
  <si>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</si>
  <si>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</si>
  <si>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</si>
  <si>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</si>
  <si>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</si>
  <si>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</si>
  <si>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</si>
  <si>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</si>
  <si>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</si>
  <si>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</si>
  <si>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</si>
  <si>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</si>
  <si>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</si>
  <si>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</si>
  <si>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</si>
  <si>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</si>
  <si>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</si>
  <si>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</si>
  <si>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</si>
  <si>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</si>
  <si>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</si>
  <si>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</si>
  <si>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</si>
  <si>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</si>
  <si>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</si>
  <si>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</si>
  <si>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</si>
  <si>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</si>
  <si>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</si>
  <si>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</si>
  <si>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</si>
  <si>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</si>
  <si>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</si>
  <si>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</si>
  <si>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</si>
  <si>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</si>
  <si>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</si>
  <si>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</si>
  <si>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</si>
  <si>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</si>
  <si>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</si>
  <si>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</si>
  <si>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</si>
  <si>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</si>
  <si>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</si>
  <si>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</si>
  <si>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</si>
  <si>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</si>
  <si>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</si>
  <si>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</si>
  <si>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</si>
  <si>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</si>
  <si>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</si>
  <si>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</si>
  <si>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</si>
  <si>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</si>
  <si>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</si>
  <si>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</si>
  <si>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</si>
  <si>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</si>
  <si>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</si>
  <si>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</si>
  <si>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</si>
  <si>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</si>
  <si>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</si>
  <si>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</si>
  <si>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</si>
  <si>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</si>
  <si>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</si>
  <si>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</si>
  <si>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</si>
  <si>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</si>
  <si>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</si>
  <si>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</si>
  <si>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</si>
  <si>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</si>
  <si>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</si>
  <si>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</si>
  <si>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</si>
  <si>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</si>
  <si>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</si>
  <si>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</si>
  <si>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</si>
  <si>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</si>
  <si>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</si>
  <si>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</si>
  <si>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</si>
  <si>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</si>
  <si>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</si>
  <si>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</si>
  <si>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</si>
  <si>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</si>
  <si>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</si>
  <si>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</si>
  <si>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</si>
  <si>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</si>
  <si>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</si>
  <si>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</si>
  <si>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</si>
  <si>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</si>
  <si>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</si>
  <si>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</si>
  <si>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</si>
  <si>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</si>
  <si>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</si>
  <si>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</si>
  <si>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</si>
  <si>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</si>
  <si>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</si>
  <si>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</si>
  <si>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</si>
  <si>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</si>
  <si>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</si>
  <si>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</si>
  <si>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</si>
  <si>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</si>
  <si>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</si>
  <si>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</si>
  <si>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</si>
  <si>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</si>
  <si>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</si>
  <si>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</si>
  <si>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</si>
  <si>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</si>
  <si>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</si>
  <si>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</si>
  <si>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</si>
  <si>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</si>
  <si>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</si>
  <si>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</si>
  <si>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</si>
  <si>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</si>
  <si>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</si>
  <si>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</si>
  <si>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</si>
  <si>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</si>
  <si>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</si>
  <si>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</si>
  <si>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</si>
  <si>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</si>
  <si>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</si>
  <si>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</si>
  <si>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</si>
  <si>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</si>
  <si>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</si>
  <si>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</si>
  <si>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</si>
  <si>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</si>
  <si>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</si>
  <si>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</si>
  <si>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</si>
  <si>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</si>
  <si>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</si>
  <si>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</si>
  <si>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</si>
  <si>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</si>
  <si>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</si>
  <si>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</si>
  <si>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</si>
  <si>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</si>
  <si>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</si>
  <si>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</si>
  <si>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</si>
  <si>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</si>
  <si>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</si>
  <si>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</si>
  <si>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</si>
  <si>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</si>
  <si>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</si>
  <si>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</si>
  <si>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</si>
  <si>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</si>
  <si>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</si>
  <si>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</si>
  <si>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</si>
  <si>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</si>
  <si>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</si>
  <si>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</si>
  <si>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</si>
  <si>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</si>
  <si>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</si>
  <si>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</si>
  <si>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</si>
  <si>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</si>
  <si>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</si>
  <si>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</si>
  <si>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</si>
  <si>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</si>
  <si>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</si>
  <si>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</si>
  <si>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</si>
  <si>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</si>
  <si>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</si>
  <si>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</si>
  <si>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</si>
  <si>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</si>
  <si>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</si>
  <si>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</si>
  <si>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</si>
  <si>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</si>
  <si>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</si>
  <si>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</si>
  <si>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</si>
  <si>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</si>
  <si>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</si>
  <si>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</si>
  <si>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</si>
  <si>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</si>
  <si>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</si>
  <si>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</si>
  <si>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</si>
  <si>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</si>
  <si>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</si>
  <si>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</si>
  <si>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</si>
  <si>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</si>
  <si>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</si>
  <si>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</si>
  <si>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</si>
  <si>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</si>
  <si>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</si>
  <si>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</si>
  <si>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</si>
  <si>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</si>
  <si>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</si>
  <si>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</si>
  <si>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</si>
  <si>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</si>
  <si>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</si>
  <si>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</si>
  <si>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</si>
  <si>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</si>
  <si>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</si>
  <si>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</si>
  <si>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</si>
  <si>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</si>
  <si>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</si>
  <si>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</si>
  <si>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</si>
  <si>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</si>
  <si>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</si>
  <si>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</si>
  <si>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</si>
  <si>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</si>
  <si>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</si>
  <si>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</si>
  <si>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</si>
  <si>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</si>
  <si>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</si>
  <si>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</si>
  <si>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</si>
  <si>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</si>
  <si>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</si>
  <si>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</si>
  <si>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</si>
  <si>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</si>
  <si>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</si>
  <si>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</si>
  <si>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</si>
  <si>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</si>
  <si>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</si>
  <si>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</si>
  <si>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</si>
  <si>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</si>
  <si>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</si>
  <si>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</si>
  <si>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</si>
  <si>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</si>
  <si>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</si>
  <si>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</si>
  <si>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</si>
  <si>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</si>
  <si>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</si>
  <si>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</si>
  <si>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</si>
  <si>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</si>
  <si>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</si>
  <si>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</si>
  <si>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</si>
  <si>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</si>
  <si>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</si>
  <si>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</si>
  <si>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</si>
  <si>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</si>
  <si>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</si>
  <si>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</si>
  <si>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</si>
  <si>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</si>
  <si>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</si>
  <si>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</si>
  <si>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</si>
  <si>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</si>
  <si>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</si>
  <si>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</si>
  <si>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</si>
  <si>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</si>
  <si>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</si>
  <si>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</si>
  <si>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</si>
  <si>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</si>
  <si>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</si>
  <si>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</si>
  <si>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</si>
  <si>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</si>
  <si>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</si>
  <si>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</si>
  <si>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</si>
  <si>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</si>
  <si>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</si>
  <si>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</si>
  <si>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</si>
  <si>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</si>
  <si>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</si>
  <si>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</si>
  <si>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</si>
  <si>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</si>
  <si>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</si>
  <si>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</si>
  <si>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</si>
  <si>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</si>
  <si>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</si>
  <si>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</si>
  <si>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</si>
  <si>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</si>
  <si>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</si>
  <si>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</si>
  <si>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</si>
  <si>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</si>
  <si>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</si>
  <si>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</si>
  <si>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</si>
  <si>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</si>
  <si>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</si>
  <si>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</si>
  <si>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</si>
  <si>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</si>
  <si>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</si>
  <si>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</si>
  <si>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</si>
  <si>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</si>
  <si>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</si>
  <si>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</si>
  <si>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</si>
  <si>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</si>
  <si>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</si>
  <si>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</si>
  <si>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</si>
  <si>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</si>
  <si>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</si>
  <si>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</si>
  <si>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</si>
  <si>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</si>
  <si>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</si>
  <si>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</si>
  <si>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</si>
  <si>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</si>
  <si>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</si>
  <si>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</si>
  <si>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</si>
  <si>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</si>
  <si>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</si>
  <si>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</si>
  <si>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</si>
  <si>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</si>
  <si>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</si>
  <si>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</si>
  <si>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</si>
  <si>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</si>
  <si>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</si>
  <si>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</si>
  <si>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</si>
  <si>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</si>
  <si>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</si>
  <si>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</si>
  <si>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</si>
  <si>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</si>
  <si>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</si>
  <si>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</si>
  <si>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</si>
  <si>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</si>
  <si>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</si>
  <si>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</si>
  <si>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</si>
  <si>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</si>
  <si>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</si>
  <si>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</si>
  <si>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</si>
  <si>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</si>
  <si>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</si>
  <si>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</si>
  <si>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</si>
  <si>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</si>
  <si>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</si>
  <si>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</si>
  <si>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</si>
  <si>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</si>
  <si>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</si>
  <si>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</si>
  <si>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</si>
  <si>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</si>
  <si>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</si>
  <si>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</si>
  <si>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</si>
  <si>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</si>
  <si>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</si>
  <si>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</si>
  <si>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</si>
  <si>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</si>
  <si>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</si>
  <si>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</si>
  <si>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</si>
  <si>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</si>
  <si>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</si>
  <si>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</si>
  <si>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</si>
  <si>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</si>
  <si>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</si>
  <si>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</si>
  <si>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</si>
  <si>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</si>
  <si>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</si>
  <si>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</si>
  <si>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</si>
  <si>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</si>
  <si>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</si>
  <si>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</si>
  <si>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</si>
  <si>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</si>
  <si>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</si>
  <si>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</si>
  <si>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</si>
  <si>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</si>
  <si>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</si>
  <si>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</si>
  <si>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</si>
  <si>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</si>
  <si>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</si>
  <si>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</si>
  <si>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</si>
  <si>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</si>
  <si>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</si>
  <si>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</si>
  <si>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</si>
  <si>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</si>
  <si>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</si>
  <si>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</si>
  <si>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</si>
  <si>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</si>
  <si>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</si>
  <si>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</si>
  <si>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</si>
  <si>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</si>
  <si>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</si>
  <si>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</si>
  <si>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</si>
  <si>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</si>
  <si>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</si>
  <si>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</si>
  <si>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</si>
  <si>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</si>
  <si>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</si>
  <si>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</si>
  <si>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</si>
  <si>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</si>
  <si>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</si>
  <si>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</si>
  <si>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</si>
  <si>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</si>
  <si>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</si>
  <si>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</si>
  <si>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</si>
  <si>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</si>
  <si>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</si>
  <si>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</si>
  <si>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</si>
  <si>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</si>
  <si>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</si>
  <si>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</si>
  <si>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</si>
  <si>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</si>
  <si>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</si>
  <si>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</si>
  <si>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</si>
  <si>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</si>
  <si>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</si>
  <si>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</si>
  <si>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</si>
  <si>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</si>
  <si>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</si>
  <si>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</si>
  <si>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</si>
  <si>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</si>
  <si>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</si>
  <si>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</si>
  <si>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</si>
  <si>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</si>
  <si>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</si>
  <si>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</si>
  <si>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</si>
  <si>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</si>
  <si>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</si>
  <si>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</si>
  <si>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</si>
  <si>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</si>
  <si>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</si>
  <si>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</si>
  <si>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</si>
  <si>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</si>
  <si>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</si>
  <si>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</si>
  <si>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</si>
  <si>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</si>
  <si>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</si>
  <si>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</si>
  <si>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</si>
  <si>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</si>
  <si>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</si>
  <si>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</si>
  <si>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</si>
  <si>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</si>
  <si>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</si>
  <si>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</si>
  <si>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</si>
  <si>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</si>
  <si>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</si>
  <si>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</si>
  <si>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</si>
  <si>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</si>
  <si>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</si>
  <si>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</si>
  <si>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</si>
  <si>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</si>
  <si>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</si>
  <si>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</si>
  <si>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</si>
  <si>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</si>
  <si>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</si>
  <si>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</si>
  <si>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</si>
  <si>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</si>
  <si>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</si>
  <si>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</si>
  <si>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</si>
  <si>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</si>
  <si>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</si>
  <si>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</si>
  <si>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</si>
  <si>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</si>
  <si>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</si>
  <si>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</si>
  <si>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</si>
  <si>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</si>
  <si>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</si>
  <si>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</si>
  <si>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</si>
  <si>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</si>
  <si>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</si>
  <si>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</si>
  <si>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</si>
  <si>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</si>
  <si>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</si>
  <si>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</si>
  <si>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</si>
  <si>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</si>
  <si>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</si>
  <si>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</si>
  <si>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</si>
  <si>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</si>
  <si>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</si>
  <si>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</si>
  <si>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</si>
  <si>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</si>
  <si>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</si>
  <si>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</si>
  <si>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</si>
  <si>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</si>
  <si>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</si>
  <si>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</si>
  <si>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</si>
  <si>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</si>
  <si>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</si>
  <si>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</si>
  <si>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</si>
  <si>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</si>
  <si>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</si>
  <si>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</si>
  <si>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</si>
  <si>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</si>
  <si>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</si>
  <si>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</si>
  <si>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</si>
  <si>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</si>
  <si>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</si>
  <si>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</si>
  <si>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</si>
  <si>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</si>
  <si>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</si>
  <si>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</si>
  <si>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</si>
  <si>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</si>
  <si>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</si>
  <si>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</si>
  <si>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</si>
  <si>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</si>
  <si>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</si>
  <si>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</si>
  <si>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</si>
  <si>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</si>
  <si>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</si>
  <si>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</si>
  <si>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</si>
  <si>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</si>
  <si>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</si>
  <si>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</si>
  <si>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</si>
  <si>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</si>
  <si>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</si>
  <si>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</si>
  <si>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</si>
  <si>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</si>
  <si>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</si>
  <si>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</si>
  <si>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</si>
  <si>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</si>
  <si>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</si>
  <si>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</si>
  <si>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</si>
  <si>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</si>
  <si>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</si>
  <si>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</si>
  <si>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</si>
  <si>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</si>
  <si>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</si>
  <si>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</si>
  <si>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</si>
  <si>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</si>
  <si>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</si>
  <si>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</si>
  <si>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</si>
  <si>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</si>
  <si>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</si>
  <si>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</si>
  <si>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</si>
  <si>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</si>
  <si>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</si>
  <si>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</si>
  <si>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</si>
  <si>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</si>
  <si>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</si>
  <si>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</si>
  <si>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</si>
  <si>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</si>
  <si>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</si>
  <si>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</si>
  <si>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</si>
  <si>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</si>
  <si>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</si>
  <si>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</si>
  <si>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</si>
  <si>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</si>
  <si>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</si>
  <si>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</si>
  <si>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</si>
  <si>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</si>
  <si>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</si>
  <si>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</si>
  <si>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</si>
  <si>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</si>
  <si>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</si>
  <si>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</si>
  <si>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</si>
  <si>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</si>
  <si>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</si>
  <si>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</si>
  <si>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</si>
  <si>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</si>
  <si>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</si>
  <si>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</si>
  <si>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</si>
  <si>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</si>
  <si>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</si>
  <si>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</si>
  <si>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</si>
  <si>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</si>
  <si>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</si>
  <si>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</si>
  <si>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</si>
  <si>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</si>
  <si>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</si>
  <si>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</si>
  <si>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</si>
  <si>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</si>
  <si>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</si>
  <si>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</si>
  <si>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</si>
  <si>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</si>
  <si>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</si>
  <si>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</si>
  <si>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</si>
  <si>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</si>
  <si>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</si>
  <si>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</si>
  <si>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</si>
  <si>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</si>
  <si>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</si>
  <si>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</si>
  <si>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</si>
  <si>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</si>
  <si>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</si>
  <si>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</si>
  <si>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</si>
  <si>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</si>
  <si>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</si>
  <si>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</si>
  <si>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</si>
  <si>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</si>
  <si>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</si>
  <si>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</si>
  <si>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</si>
  <si>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</si>
  <si>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</si>
  <si>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</si>
  <si>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</si>
  <si>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</si>
  <si>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</si>
  <si>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</si>
  <si>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</si>
  <si>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</si>
  <si>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</si>
  <si>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</si>
  <si>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</si>
  <si>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</si>
  <si>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</si>
  <si>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</si>
  <si>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</si>
  <si>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</si>
  <si>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</si>
  <si>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</si>
  <si>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</si>
  <si>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</si>
  <si>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</si>
  <si>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</si>
  <si>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</si>
  <si>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</si>
  <si>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</si>
  <si>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</si>
  <si>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</si>
  <si>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</si>
  <si>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</si>
  <si>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</si>
  <si>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</si>
  <si>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</si>
  <si>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</si>
  <si>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</si>
  <si>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</si>
  <si>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</si>
  <si>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</si>
  <si>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</si>
  <si>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</si>
  <si>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</si>
  <si>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</si>
  <si>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</si>
  <si>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</si>
  <si>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</si>
  <si>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</si>
  <si>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</si>
  <si>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</si>
  <si>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</si>
  <si>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</si>
  <si>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</si>
  <si>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</si>
  <si>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</si>
  <si>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</si>
  <si>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</si>
  <si>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</si>
  <si>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</si>
  <si>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</si>
  <si>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</si>
  <si>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</si>
  <si>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</si>
  <si>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</si>
  <si>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</si>
  <si>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</si>
  <si>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</si>
  <si>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</si>
  <si>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</si>
  <si>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</si>
  <si>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</si>
  <si>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</si>
  <si>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</si>
  <si>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</si>
  <si>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</si>
  <si>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</si>
  <si>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</si>
  <si>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</si>
  <si>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</si>
  <si>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</si>
  <si>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</si>
  <si>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</si>
  <si>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</si>
  <si>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</si>
  <si>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</si>
  <si>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</si>
  <si>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</si>
  <si>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</si>
  <si>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</si>
  <si>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</si>
  <si>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</si>
  <si>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</si>
  <si>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</si>
  <si>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</si>
  <si>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</si>
  <si>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</si>
  <si>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</si>
  <si>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</si>
  <si>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</si>
  <si>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</si>
  <si>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</si>
  <si>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</si>
  <si>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</si>
  <si>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</si>
  <si>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</si>
  <si>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</si>
  <si>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</si>
  <si>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</si>
  <si>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</si>
  <si>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</si>
  <si>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</si>
  <si>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</si>
  <si>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</si>
  <si>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</si>
  <si>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</si>
  <si>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</si>
  <si>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</si>
  <si>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</si>
  <si>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</si>
  <si>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</si>
  <si>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</si>
  <si>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</si>
  <si>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</si>
  <si>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</si>
  <si>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</si>
  <si>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</si>
  <si>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</si>
  <si>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</si>
  <si>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</si>
  <si>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</si>
  <si>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</si>
  <si>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</si>
  <si>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</si>
  <si>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</si>
  <si>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</si>
  <si>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</si>
  <si>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</si>
  <si>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</si>
  <si>
    <t>GIRLS6666</t>
    <phoneticPr fontId="2" type="noConversion"/>
  </si>
  <si>
    <t>GIRLS8888</t>
    <phoneticPr fontId="2" type="noConversion"/>
  </si>
  <si>
    <t>GIRLS1314520</t>
    <phoneticPr fontId="2" type="noConversion"/>
  </si>
  <si>
    <t>SNHL888</t>
    <phoneticPr fontId="2" type="noConversion"/>
  </si>
  <si>
    <t>SNHL999</t>
    <phoneticPr fontId="2" type="noConversion"/>
  </si>
  <si>
    <t>GIFT666</t>
    <phoneticPr fontId="2" type="noConversion"/>
  </si>
  <si>
    <t>SUMMONS</t>
    <phoneticPr fontId="2" type="noConversion"/>
  </si>
  <si>
    <t>CODE666</t>
    <phoneticPr fontId="2" type="noConversion"/>
  </si>
  <si>
    <t>CODE888</t>
    <phoneticPr fontId="2" type="noConversion"/>
  </si>
  <si>
    <t>CODE520</t>
    <phoneticPr fontId="2" type="noConversion"/>
  </si>
  <si>
    <t>GOGOGO</t>
    <phoneticPr fontId="2" type="noConversion"/>
  </si>
  <si>
    <t>PBDCGift</t>
    <phoneticPr fontId="2" type="noConversion"/>
  </si>
  <si>
    <t>VIP777</t>
    <phoneticPr fontId="2" type="noConversion"/>
  </si>
  <si>
    <t>VIP8888</t>
    <phoneticPr fontId="2" type="noConversion"/>
  </si>
  <si>
    <t>VIP9999</t>
    <phoneticPr fontId="2" type="noConversion"/>
  </si>
  <si>
    <t>主畫面左上方點頭像</t>
    <phoneticPr fontId="2" type="noConversion"/>
  </si>
  <si>
    <t>彈出視窗中間點「兌換碼」</t>
    <phoneticPr fontId="2" type="noConversion"/>
  </si>
  <si>
    <t>48LaunchGift</t>
    <phoneticPr fontId="2" type="noConversion"/>
  </si>
  <si>
    <t>Fbgift</t>
    <phoneticPr fontId="2" type="noConversion"/>
  </si>
  <si>
    <t>鑽石×50、水滴×50、加速風車×50、粉櫻花瓣×25</t>
    <phoneticPr fontId="2" type="noConversion"/>
  </si>
  <si>
    <t>鑽石×60、水滴×60、加速風車×60、粉櫻花瓣×30</t>
    <phoneticPr fontId="2" type="noConversion"/>
  </si>
  <si>
    <t>鑽石×50、水滴×20</t>
    <phoneticPr fontId="2" type="noConversion"/>
  </si>
  <si>
    <t>加速風車×10、金幣×1000</t>
    <phoneticPr fontId="2" type="noConversion"/>
  </si>
  <si>
    <t>鑽石×100</t>
    <phoneticPr fontId="2" type="noConversion"/>
  </si>
  <si>
    <t>出現禮物圖案「兌換碼」</t>
    <phoneticPr fontId="2" type="noConversion"/>
  </si>
  <si>
    <t>opengo</t>
    <phoneticPr fontId="2" type="noConversion"/>
  </si>
  <si>
    <t>ZLJCQTIB</t>
    <phoneticPr fontId="2" type="noConversion"/>
  </si>
  <si>
    <t>gogogo</t>
    <phoneticPr fontId="2" type="noConversion"/>
  </si>
  <si>
    <t>DINO888</t>
    <phoneticPr fontId="2" type="noConversion"/>
  </si>
  <si>
    <t>DINO777</t>
    <phoneticPr fontId="2" type="noConversion"/>
  </si>
  <si>
    <t>DINO2026</t>
    <phoneticPr fontId="2" type="noConversion"/>
  </si>
  <si>
    <t>主堡8等後點左上角頭像</t>
    <phoneticPr fontId="2" type="noConversion"/>
  </si>
  <si>
    <t>指揮官資訊終點左下角齒輪</t>
    <phoneticPr fontId="2" type="noConversion"/>
  </si>
  <si>
    <t>點右下方禮包碼</t>
    <phoneticPr fontId="2" type="noConversion"/>
  </si>
  <si>
    <t>點點英雄：骰子傳說</t>
  </si>
  <si>
    <t>夢幻旅團</t>
  </si>
  <si>
    <t>https://www.facebook.com/Dicero.HMT</t>
  </si>
  <si>
    <t>https://apps.apple.com/tw/app/%E9%BB%9E%E9%BB%9E%E8%8B%B1%E9%9B%84-%E9%AA%B0%E5%AD%90%E5%82%B3%E8%AA%AA/id6740966864</t>
  </si>
  <si>
    <t>https://play.google.com/store/apps/details?id=com.bailing.lark.roll.dev&amp;hl=zh_TW</t>
  </si>
  <si>
    <t>https://www.facebook.com/icantw.DC</t>
  </si>
  <si>
    <t>https://play.google.com/store/apps/details?id=com.icantw.mr2</t>
  </si>
  <si>
    <t>https://apps.apple.com/tw/app/%E5%A4%A2%E5%B9%BB%E6%97%85%E5%9C%98-%E5%98%86%E6%B0%A3%E7%9A%84%E4%BA%A1%E9%9D%88%E6%83%B3%E9%9A%B1%E9%80%80%E8%81%AF%E5%8B%95/id6756406482</t>
  </si>
  <si>
    <t>https://mr2.icantw.com/event/ob</t>
  </si>
  <si>
    <t>fb6688</t>
    <phoneticPr fontId="2" type="noConversion"/>
  </si>
  <si>
    <t>GLORYRANK</t>
    <phoneticPr fontId="2" type="noConversion"/>
  </si>
  <si>
    <t>1000紅寶石</t>
    <phoneticPr fontId="2" type="noConversion"/>
  </si>
  <si>
    <t>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t>
    <phoneticPr fontId="2" type="noConversion"/>
  </si>
  <si>
    <t>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t>
    <phoneticPr fontId="2" type="noConversion"/>
  </si>
  <si>
    <t>https://apps.apple.com/tw/app/%E8%A9%9B%E5%92%92%E8%A3%9D%E5%82%99%E8%88%87%E5%9C%B0%E4%B8%8B%E5%9F%8E/id6760998337</t>
  </si>
  <si>
    <t>https://www.facebook.com/gugame889</t>
  </si>
  <si>
    <t>https://apps.apple.com/tw/app/%E7%84%A1%E7%9B%A1%E8%BC%AA%E8%BF%B4-%E9%AC%BC%E5%9F%9F%E6%91%B8%E9%87%91/id6759596187</t>
  </si>
  <si>
    <t>https://www.facebook.com/profile.php?id=61582200483231</t>
  </si>
  <si>
    <t>WJLHD6</t>
    <phoneticPr fontId="2" type="noConversion"/>
  </si>
  <si>
    <t>WJLHD5</t>
    <phoneticPr fontId="2" type="noConversion"/>
  </si>
  <si>
    <t>WJLHD2</t>
    <phoneticPr fontId="2" type="noConversion"/>
  </si>
  <si>
    <t>CHDWJLH</t>
    <phoneticPr fontId="2" type="noConversion"/>
  </si>
  <si>
    <t>https://wxlhgat.popjoyhk.com/</t>
  </si>
  <si>
    <t>詛咒裝備與地下城</t>
    <phoneticPr fontId="2" type="noConversion"/>
  </si>
  <si>
    <t>https://play.google.com/store/apps/details?id=com.gugames.cursedeqd&amp;hl=zh_TW</t>
    <phoneticPr fontId="2" type="noConversion"/>
  </si>
  <si>
    <t>無盡輪迴：鬼域摸金</t>
    <phoneticPr fontId="2" type="noConversion"/>
  </si>
  <si>
    <t>https://play.google.com/store/apps/details?id=com.xh.wxlh.android&amp;hl=ln</t>
    <phoneticPr fontId="2" type="noConversion"/>
  </si>
  <si>
    <t>100000寶石</t>
  </si>
  <si>
    <t>50000寶石</t>
  </si>
  <si>
    <t>10000寶石</t>
  </si>
  <si>
    <t>5000寶石</t>
  </si>
  <si>
    <t>每日簽到包</t>
  </si>
  <si>
    <t>省時包</t>
  </si>
  <si>
    <t>《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t>
    <phoneticPr fontId="2" type="noConversion"/>
  </si>
  <si>
    <t>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t>
    <phoneticPr fontId="2" type="noConversion"/>
  </si>
  <si>
    <t>WJLH666</t>
    <phoneticPr fontId="2" type="noConversion"/>
  </si>
  <si>
    <t>WJLH777</t>
    <phoneticPr fontId="2" type="noConversion"/>
  </si>
  <si>
    <t>WJLH888</t>
    <phoneticPr fontId="2" type="noConversion"/>
  </si>
  <si>
    <t>寶石勇者團：破曉</t>
  </si>
  <si>
    <t>武俠自走棋</t>
  </si>
  <si>
    <t>GMWK413</t>
    <phoneticPr fontId="2" type="noConversion"/>
  </si>
  <si>
    <t>QMKL2026</t>
    <phoneticPr fontId="2" type="noConversion"/>
  </si>
  <si>
    <t>GMWK402</t>
    <phoneticPr fontId="2" type="noConversion"/>
  </si>
  <si>
    <t>MGWK333</t>
    <phoneticPr fontId="2" type="noConversion"/>
  </si>
  <si>
    <t>MGWK321</t>
    <phoneticPr fontId="2" type="noConversion"/>
  </si>
  <si>
    <t>MGWK310</t>
    <phoneticPr fontId="2" type="noConversion"/>
  </si>
  <si>
    <t>MGWK304</t>
    <phoneticPr fontId="2" type="noConversion"/>
  </si>
  <si>
    <t>YXKL2026</t>
    <phoneticPr fontId="2" type="noConversion"/>
  </si>
  <si>
    <t>100 紅鑽 + 1 抽</t>
    <phoneticPr fontId="2" type="noConversion"/>
  </si>
  <si>
    <t>MGWK231</t>
    <phoneticPr fontId="2" type="noConversion"/>
  </si>
  <si>
    <t>MGWK227</t>
    <phoneticPr fontId="2" type="noConversion"/>
  </si>
  <si>
    <t>CXKL2026</t>
    <phoneticPr fontId="2" type="noConversion"/>
  </si>
  <si>
    <t>200 紅鑽 + 2 抽</t>
    <phoneticPr fontId="2" type="noConversion"/>
  </si>
  <si>
    <t>MGWK206</t>
    <phoneticPr fontId="2" type="noConversion"/>
  </si>
  <si>
    <t>MGWK202</t>
    <phoneticPr fontId="2" type="noConversion"/>
  </si>
  <si>
    <t>JWKEKQHL</t>
    <phoneticPr fontId="2" type="noConversion"/>
  </si>
  <si>
    <t>HXHWEQ66</t>
    <phoneticPr fontId="2" type="noConversion"/>
  </si>
  <si>
    <t>點擊左上角頭像</t>
    <phoneticPr fontId="2" type="noConversion"/>
  </si>
  <si>
    <t>輸入禮包碼</t>
    <phoneticPr fontId="2" type="noConversion"/>
  </si>
  <si>
    <t>WXQMJW66</t>
    <phoneticPr fontId="2" type="noConversion"/>
  </si>
  <si>
    <t>WXETKH88</t>
    <phoneticPr fontId="2" type="noConversion"/>
  </si>
  <si>
    <t>wxcx666</t>
    <phoneticPr fontId="2" type="noConversion"/>
  </si>
  <si>
    <t>wxzzq66</t>
    <phoneticPr fontId="2" type="noConversion"/>
  </si>
  <si>
    <t>BSBJWEKL</t>
    <phoneticPr fontId="2" type="noConversion"/>
  </si>
  <si>
    <t>FBM2</t>
    <phoneticPr fontId="2" type="noConversion"/>
  </si>
  <si>
    <t>https://apps.apple.com/tw/app/%E5%AF%B6%E7%9F%B3%E5%8B%87%E8%80%85%E5%9C%98-%E7%A0%B4%E6%9B%89/id6755032723</t>
    <phoneticPr fontId="2" type="noConversion"/>
  </si>
  <si>
    <t>https://play.google.com/store/apps/details?id=com.ecp.wxzzq&amp;hl=zh_TW</t>
  </si>
  <si>
    <t>https://apps.apple.com/sg/app/%E6%AD%A6%E4%BF%A0%E8%87%AA%E8%B5%B0%E6%A3%8B/id6751992746</t>
  </si>
  <si>
    <t>https://www.facebook.com/wxzzq.game/</t>
  </si>
  <si>
    <t>https://play.google.com/store/apps/details?id=com.rpg.match.hero.teewee&amp;fbclid=IwY2xjawRK5zBleHRuA2FlbQIxMABicmlkETFTcDFLbVFXN1dCRFQ1ME5Zc3J0YwZhcHBfaWQQMjIyMDM5MTc4ODIwMDg5MgABHsWVa5JtWM4vdWAJfZyLU4hM4hdKUqhw8MxTBBalzdDKh1zttruTc1EWxOB0_aem_fVBjUQaJvVvv4mx8np7KXg</t>
  </si>
  <si>
    <t>https://www.facebook.com/MatchGoHeroesTW</t>
  </si>
  <si>
    <t>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t>
    <phoneticPr fontId="2" type="noConversion"/>
  </si>
  <si>
    <t>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t>
    <phoneticPr fontId="2" type="noConversion"/>
  </si>
  <si>
    <t>點主頁面左上角頭像</t>
    <phoneticPr fontId="2" type="noConversion"/>
  </si>
  <si>
    <t>1280星鑽</t>
  </si>
  <si>
    <t>680星鑽</t>
  </si>
  <si>
    <t>150K血石</t>
  </si>
  <si>
    <t>200K血石(三次)</t>
  </si>
  <si>
    <t>68750血石</t>
  </si>
  <si>
    <t>110K血石(三次)</t>
  </si>
  <si>
    <t>37950血石</t>
  </si>
  <si>
    <t>66000血石(三次)</t>
  </si>
  <si>
    <t>13200血石</t>
  </si>
  <si>
    <t>24000血石(三次)</t>
  </si>
  <si>
    <t>6420血石</t>
  </si>
  <si>
    <t>12000血石(三次)</t>
  </si>
  <si>
    <t>1575血石</t>
  </si>
  <si>
    <t>3000血石(三次)</t>
  </si>
  <si>
    <t>VIP666</t>
    <phoneticPr fontId="2" type="noConversion"/>
  </si>
  <si>
    <t>VIP777</t>
    <phoneticPr fontId="2" type="noConversion"/>
  </si>
  <si>
    <t>VIP888</t>
    <phoneticPr fontId="2" type="noConversion"/>
  </si>
  <si>
    <t>WJLHD1</t>
    <phoneticPr fontId="2" type="noConversion"/>
  </si>
  <si>
    <t>WJLHD3</t>
    <phoneticPr fontId="2" type="noConversion"/>
  </si>
  <si>
    <t>WJLHD4</t>
    <phoneticPr fontId="2" type="noConversion"/>
  </si>
  <si>
    <t>WJLHD7</t>
    <phoneticPr fontId="2" type="noConversion"/>
  </si>
  <si>
    <t>WJLHREADY</t>
    <phoneticPr fontId="2" type="noConversion"/>
  </si>
  <si>
    <t>WJLHONLINE</t>
    <phoneticPr fontId="2" type="noConversion"/>
  </si>
  <si>
    <t>KP001</t>
    <phoneticPr fontId="2" type="noConversion"/>
  </si>
  <si>
    <t>ROGER001</t>
    <phoneticPr fontId="2" type="noConversion"/>
  </si>
  <si>
    <t>CHD666</t>
    <phoneticPr fontId="2" type="noConversion"/>
  </si>
  <si>
    <t>DD001</t>
    <phoneticPr fontId="2" type="noConversion"/>
  </si>
  <si>
    <t>ENNA001</t>
    <phoneticPr fontId="2" type="noConversion"/>
  </si>
  <si>
    <t>STANLEY001</t>
    <phoneticPr fontId="2" type="noConversion"/>
  </si>
  <si>
    <t>UZRA001</t>
    <phoneticPr fontId="2" type="noConversion"/>
  </si>
  <si>
    <t>VINSON001</t>
  </si>
  <si>
    <t>VIVI001</t>
    <phoneticPr fontId="2" type="noConversion"/>
  </si>
  <si>
    <t>vip666</t>
    <phoneticPr fontId="2" type="noConversion"/>
  </si>
  <si>
    <t>vip777</t>
    <phoneticPr fontId="2" type="noConversion"/>
  </si>
  <si>
    <t>vip888</t>
    <phoneticPr fontId="2" type="noConversion"/>
  </si>
  <si>
    <t>NEWJH666</t>
    <phoneticPr fontId="2" type="noConversion"/>
  </si>
  <si>
    <t>LOVEMONGIL</t>
    <phoneticPr fontId="2" type="noConversion"/>
  </si>
  <si>
    <t>devlive0410</t>
    <phoneticPr fontId="2" type="noConversion"/>
  </si>
  <si>
    <t>MONGILPRESENT</t>
    <phoneticPr fontId="2" type="noConversion"/>
  </si>
  <si>
    <t>MONGILDISCORD</t>
    <phoneticPr fontId="2" type="noConversion"/>
  </si>
  <si>
    <t>MONGILREPORT</t>
    <phoneticPr fontId="2" type="noConversion"/>
  </si>
  <si>
    <t>DINDINISDINDIN</t>
    <phoneticPr fontId="2" type="noConversion"/>
  </si>
  <si>
    <t>https://play.google.com/store/apps/details?id=net.gameduo.nb2&amp;hl=zh_TW</t>
  </si>
  <si>
    <t>https://apps.apple.com/tw/app/%E5%BF%8D%E8%80%85%E5%A4%A7%E6%88%B0/id1469191043</t>
  </si>
  <si>
    <t>https://www.facebook.com/111percent</t>
  </si>
  <si>
    <t>https://play.google.com/store/apps/details?id=com.percent.aos.arenago2&amp;hl=zh_TW</t>
  </si>
  <si>
    <t>https://apps.apple.com/us/app/%E7%98%8B%E7%8B%82%E7%AB%B6%E6%8A%80%E5%A0%B4/id6754232354?l=zh-Hant-TW</t>
  </si>
  <si>
    <t>https://play.google.com/store/apps/details?id=com.epixelgames.townguardians&amp;hl=zh_TW</t>
  </si>
  <si>
    <t>https://apps.apple.com/tw/app/%E5%85%A8%E5%8B%A4%E5%AE%88%E8%AD%B7%E8%80%85-%E6%94%BE%E7%BD%AE%E5%9E%8Brpg/id6748179942</t>
  </si>
  <si>
    <t>https://www.gameduo.net/</t>
  </si>
  <si>
    <t>https://www.111percent.net/</t>
  </si>
  <si>
    <t>https://nvibe.co.kr/</t>
  </si>
  <si>
    <t>忍者大戰：世界</t>
    <phoneticPr fontId="2" type="noConversion"/>
  </si>
  <si>
    <t>瘋狂競技場</t>
    <phoneticPr fontId="2" type="noConversion"/>
  </si>
  <si>
    <t>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t>
    <phoneticPr fontId="2" type="noConversion"/>
  </si>
  <si>
    <t>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t>
    <phoneticPr fontId="2" type="noConversion"/>
  </si>
  <si>
    <t>全勤守護者：放置型RPG</t>
    <phoneticPr fontId="2" type="noConversion"/>
  </si>
  <si>
    <t>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t>
    <phoneticPr fontId="2" type="noConversion"/>
  </si>
  <si>
    <t>龍魂契約</t>
  </si>
  <si>
    <t>挖你老墓</t>
  </si>
  <si>
    <t>風與龍之歌</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</si>
  <si>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</si>
  <si>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DLtop1</t>
    <phoneticPr fontId="2" type="noConversion"/>
  </si>
  <si>
    <t>happycbt</t>
    <phoneticPr fontId="2" type="noConversion"/>
  </si>
  <si>
    <t>NEWJH888</t>
    <phoneticPr fontId="2" type="noConversion"/>
  </si>
  <si>
    <t>NEWJH999</t>
    <phoneticPr fontId="2" type="noConversion"/>
  </si>
  <si>
    <t>VIP666</t>
    <phoneticPr fontId="2" type="noConversion"/>
  </si>
  <si>
    <t>VIP888</t>
    <phoneticPr fontId="2" type="noConversion"/>
  </si>
  <si>
    <t>RICH888</t>
    <phoneticPr fontId="2" type="noConversion"/>
  </si>
  <si>
    <t>DJX666</t>
    <phoneticPr fontId="2" type="noConversion"/>
  </si>
  <si>
    <t>XBP666</t>
    <phoneticPr fontId="2" type="noConversion"/>
  </si>
  <si>
    <t>HOT666</t>
    <phoneticPr fontId="2" type="noConversion"/>
  </si>
  <si>
    <t>seeyou</t>
    <phoneticPr fontId="2" type="noConversion"/>
  </si>
  <si>
    <t>killeditor</t>
    <phoneticPr fontId="2" type="noConversion"/>
  </si>
  <si>
    <t>綁定元寶x50 混元幸運符x1 隨機寵物真靈寶箱x5</t>
    <phoneticPr fontId="2" type="noConversion"/>
  </si>
  <si>
    <t>綁定元寶x50 混元幸運符x1 隨機寵物真靈寶箱x5</t>
    <phoneticPr fontId="2" type="noConversion"/>
  </si>
  <si>
    <t>綁定元寶x50 混元幸運符x1 隨機寵物真靈寶箱x5</t>
    <phoneticPr fontId="2" type="noConversion"/>
  </si>
  <si>
    <t>綁定元寶x200 初級幸運符x2</t>
    <phoneticPr fontId="2" type="noConversion"/>
  </si>
  <si>
    <t>綁定元寶x100 土靈符x5 銅錢x5w</t>
    <phoneticPr fontId="2" type="noConversion"/>
  </si>
  <si>
    <t>隨機寵物真靈寶箱x2 寵物彩虹糖x2 寵物餅乾x2w</t>
    <phoneticPr fontId="2" type="noConversion"/>
  </si>
  <si>
    <t>綁定元寶x100 守護符(武器)x1</t>
    <phoneticPr fontId="2" type="noConversion"/>
  </si>
  <si>
    <t>綁定元寶x100 守護符(防具)x1</t>
    <phoneticPr fontId="2" type="noConversion"/>
  </si>
  <si>
    <t>初級幸運符x1 強化石x10 首飾強化石x10</t>
    <phoneticPr fontId="2" type="noConversion"/>
  </si>
  <si>
    <t>綁定元寶x100 守護符(飾品)x1</t>
    <phoneticPr fontId="2" type="noConversion"/>
  </si>
  <si>
    <t>綁定元寶x50 熱血保護令(1小時)x2 還魂丹x2</t>
    <phoneticPr fontId="2" type="noConversion"/>
  </si>
  <si>
    <t>首飾寶石盒x5 銅錢x5w</t>
    <phoneticPr fontId="2" type="noConversion"/>
  </si>
  <si>
    <t>綁定元寶x388 乾坤幸運符x1 混元幸運符x1</t>
    <phoneticPr fontId="2" type="noConversion"/>
  </si>
  <si>
    <t>主畫面左上方頭像</t>
    <phoneticPr fontId="2" type="noConversion"/>
  </si>
  <si>
    <t>彈出視窗找兌換碼框框</t>
    <phoneticPr fontId="2" type="noConversion"/>
  </si>
  <si>
    <t>https://www.facebook.com/lhqyTW</t>
  </si>
  <si>
    <t>https://www.facebook.com/diggravetw</t>
  </si>
  <si>
    <t>https://www.facebook.com/profile.php?id=61578546580122</t>
  </si>
  <si>
    <t>https://play.google.com/store/apps/details?id=com.lhqygame.jy&amp;fbclid=IwY2xjawROv9FleHRuA2FlbQIxMABicmlkETFqVnl2ejVDTlBIRGxpaExHc3J0YwZhcHBfaWQQMjIyMDM5MTc4ODIwMDg5MgABHqQ34Bya_0dUCe4TFQiJwT5LJtsKN-O24z882WSZ-5lsGpIuvodP7CxySvbn_aem_vfSs5BktM5SWV60KvHwlCw</t>
  </si>
  <si>
    <t>https://apps.apple.com/us/app/%E9%BE%8D%E9%AD%82%E5%A5%91%E7%B4%84/id6758077523</t>
  </si>
  <si>
    <t>https://wefindmine.com/act/pre?utm=fblm&amp;fbclid=IwY2xjawROv-pleHRuA2FlbQIxMABicmlkETFqVnl2ejVDTlBIRGxpaExHc3J0YwZhcHBfaWQQMjIyMDM5MTc4ODIwMDg5MgABHk79ca6JiACbcFR-s5iVrtcum0QJXGnzOeqfCM-tGP81rH0hcpqdjLIkolwB_aem_5jNJZfzfD1IKwy9-MYqzTg</t>
  </si>
  <si>
    <t>https://play.google.com/store/apps/details?id=com.mjsg.twgp&amp;referrer=pid%3Dfblm%26af_tranid%3DODM3MjExOTQ3NTA3MDAxNzUwNg%3D%3D</t>
  </si>
  <si>
    <t>https://play.google.com/store/apps/details?id=com.qvone.gptw</t>
  </si>
  <si>
    <t>https://spg.tnkdt.com/site?fbclid=IwZXh0bgNhZW0CMTAAYnJpZBExalZ5dno1Q05QSERsaWhMR3NydGMGYXBwX2lkEDIyMjAzOTE3ODgyMDA4OTIAAR6Xi4xclSjHoPzSkHxy6TG7rK5KePIkUpMj1uL3pk0m-wx-86LnJ7pFv95PDg_aem_F6elPeyqk_9y4fFj5ziKaA</t>
  </si>
  <si>
    <t>https://apps.apple.com/tw/app/%E9%A2%A8%E8%88%87%E9%BE%8D%E4%B9%8B%E6%AD%8C/id6760646737</t>
  </si>
  <si>
    <t>https://apps.apple.com/tw/app/%E6%8C%96%E4%BD%A0%E8%80%81%E5%A2%93/id6758294191</t>
  </si>
  <si>
    <t>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t>
    <phoneticPr fontId="2" type="noConversion"/>
  </si>
  <si>
    <t>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t>
    <phoneticPr fontId="2" type="noConversion"/>
  </si>
  <si>
    <t>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t>
    <phoneticPr fontId="2" type="noConversion"/>
  </si>
  <si>
    <t>welcomedc6</t>
    <phoneticPr fontId="2" type="noConversion"/>
  </si>
  <si>
    <t>右上方點禮盒圖案「福利」</t>
    <phoneticPr fontId="2" type="noConversion"/>
  </si>
  <si>
    <t>左邊書籤點「禮包兌換」</t>
    <phoneticPr fontId="2" type="noConversion"/>
  </si>
  <si>
    <t>異環</t>
    <phoneticPr fontId="2" type="noConversion"/>
  </si>
  <si>
    <t>https://www.facebook.com/nte.iwplay/</t>
  </si>
  <si>
    <t>https://nte.iwplay.com.tw/?fbclid=IwY2xjawRT0QdleHRuA2FlbQIxMABicmlkETEzR3ZIRVZIclZDalM0WW1yc3J0YwZhcHBfaWQQMjIyMDM5MTc4ODIwMDg5MgABHkeKIeyPMqHFlwLrjBs6Gwh5KYB5HdZ0XtmqGVODmq4GRMHOMubZzJvgm3_B_aem_Pe_ES3G3lnrmfvBZ086d-w</t>
  </si>
  <si>
    <t>https://apps.apple.com/tw/app/%E7%95%B0%E7%92%B0/id6751030003</t>
  </si>
  <si>
    <t>https://play.google.com/store/apps/details?id=tw.com.iwplay.nte</t>
  </si>
  <si>
    <t>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t>
    <phoneticPr fontId="2" type="noConversion"/>
  </si>
  <si>
    <t>185K寶石</t>
  </si>
  <si>
    <t>90K寶石</t>
  </si>
  <si>
    <t>35K寶石</t>
  </si>
  <si>
    <t>17K寶石</t>
  </si>
  <si>
    <t>8.5K寶石</t>
  </si>
  <si>
    <t>3.3K寶石</t>
  </si>
  <si>
    <t>30天助力包</t>
  </si>
  <si>
    <t>高級禮包</t>
  </si>
  <si>
    <t>傳說裝備禮包</t>
  </si>
  <si>
    <t>1500個寶石</t>
  </si>
  <si>
    <t>750個寶石</t>
  </si>
  <si>
    <t>300個寶石</t>
  </si>
  <si>
    <t>150個寶石</t>
  </si>
  <si>
    <t>75個寶石</t>
  </si>
  <si>
    <t>瘋狂通行證</t>
  </si>
  <si>
    <t>無廣告的世界(永久)</t>
  </si>
  <si>
    <t>瘋狂會員(30天)</t>
  </si>
  <si>
    <t>35000寶石</t>
  </si>
  <si>
    <t>每周通行證</t>
  </si>
  <si>
    <t>月卡通行證</t>
  </si>
  <si>
    <t>本部等級通行證</t>
  </si>
  <si>
    <t>每日精選禮包</t>
  </si>
  <si>
    <t>7780鑽石</t>
  </si>
  <si>
    <t>3780鑽石</t>
  </si>
  <si>
    <t>2260鑽石</t>
  </si>
  <si>
    <t>330鑽石</t>
  </si>
  <si>
    <t>NTENOWTOENJOY</t>
    <phoneticPr fontId="2" type="noConversion"/>
  </si>
  <si>
    <t>NTENANALLYGO</t>
    <phoneticPr fontId="2" type="noConversion"/>
  </si>
  <si>
    <t>NTE0429</t>
    <phoneticPr fontId="2" type="noConversion"/>
  </si>
  <si>
    <t>薑餅人大亂鬥</t>
    <phoneticPr fontId="2" type="noConversion"/>
  </si>
  <si>
    <t>環形戰爭</t>
    <phoneticPr fontId="2" type="noConversion"/>
  </si>
  <si>
    <t>https://apps.apple.com/tw/app/%E3%83%8D%E3%82%B3%E3%81%B1%E3%82%89-%E3%82%BB%E3%82%AB%E3%82%A4%E3%82%B3%E3%83%8D%E3%82%AF%E3%83%88/id6743923238</t>
  </si>
  <si>
    <t>https://play.google.com/store/apps/details?id=jp.goodsmile.nekoconne</t>
  </si>
  <si>
    <t>https://apps.apple.com/tw/app/%E7%92%B0%E5%BD%A2%E6%88%B0%E7%88%AD/id6753971187</t>
  </si>
  <si>
    <t>https://play.google.com/store/apps/details?id=com.nirvana.annulus</t>
  </si>
  <si>
    <t>https://apps.apple.com/tw/app/slot-brave-roguelike-rpg/id6760936298</t>
  </si>
  <si>
    <t>https://play.google.com/store/apps/details?id=com.TrickStArStudio.SlotAndBrave</t>
  </si>
  <si>
    <t>https://apps.apple.com/tw/app/%E8%96%91%E9%A4%85%E4%BA%BA%E5%A4%A7%E4%BA%82%E9%AC%A5/id6739696719</t>
  </si>
  <si>
    <t>https://play.google.com/store/apps/details?id=com.vng.cookierun.oven.smash</t>
  </si>
  <si>
    <t>環石 x100+新銳獵人攻略 x5+淡色染劑 x5+甲硬幣 x4,000</t>
    <phoneticPr fontId="2" type="noConversion"/>
  </si>
  <si>
    <t>環石 x100+資深獵人攻略 x5+無彩染劑 x5+甲硬幣 x6,000</t>
    <phoneticPr fontId="2" type="noConversion"/>
  </si>
  <si>
    <t>環石 x100+特級獵人攻略 x2+混沌染劑 x2+甲硬幣 x12,000</t>
    <phoneticPr fontId="2" type="noConversion"/>
  </si>
  <si>
    <t>右上角點功能表</t>
    <phoneticPr fontId="2" type="noConversion"/>
  </si>
  <si>
    <t>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t>
    <phoneticPr fontId="2" type="noConversion"/>
  </si>
  <si>
    <t>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t>
    <phoneticPr fontId="2" type="noConversion"/>
  </si>
  <si>
    <t>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t>
    <phoneticPr fontId="2" type="noConversion"/>
  </si>
  <si>
    <t>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t>
    <phoneticPr fontId="2" type="noConversion"/>
  </si>
  <si>
    <t>https://nekoconne.com/?lang=ja</t>
  </si>
  <si>
    <t>https://x.com/nekoconne</t>
  </si>
  <si>
    <t>https://www.facebook.com/CookieRunVNG.TW</t>
  </si>
  <si>
    <t>https://ovensmash.vnggames.com/event/cros/preregistration?hl=zh&amp;fbclid=IwY2xjawRVKZBleHRuA2FlbQIxMABicmlkETF4S3hBMER0a0wwREt2a1Vlc3J0YwZhcHBfaWQQMjIyMDM5MTc4ODIwMDg5MgABHqGyR858y0k4oUnWAGcbmp6gu4D4vqlA98kP5Uq1lYzq1dzQfBEplbx57GAc_aem_7Z29tyzu2n2ZHw8gq8mrew</t>
  </si>
  <si>
    <t>https://www.facebook.com/profile.php?id=100067696366380</t>
  </si>
  <si>
    <t>點左上角頭像複製UID</t>
    <phoneticPr fontId="2" type="noConversion"/>
  </si>
  <si>
    <t>到下方網址兌換禮包碼</t>
    <phoneticPr fontId="2" type="noConversion"/>
  </si>
  <si>
    <t>https://dicero.habby.com/gift/index.html</t>
    <phoneticPr fontId="2" type="noConversion"/>
  </si>
  <si>
    <t>TOP2026</t>
    <phoneticPr fontId="2" type="noConversion"/>
  </si>
  <si>
    <t>DICE888</t>
    <phoneticPr fontId="2" type="noConversion"/>
  </si>
  <si>
    <t>DICE666</t>
    <phoneticPr fontId="2" type="noConversion"/>
  </si>
  <si>
    <t>TOPDICE666</t>
    <phoneticPr fontId="2" type="noConversion"/>
  </si>
  <si>
    <t>小小三國志：暴走群雄傳</t>
    <phoneticPr fontId="2" type="noConversion"/>
  </si>
  <si>
    <t>點左上方頭像</t>
    <phoneticPr fontId="2" type="noConversion"/>
  </si>
  <si>
    <t>進到設定點兌換碼</t>
    <phoneticPr fontId="2" type="noConversion"/>
  </si>
  <si>
    <t>TYZ78382VP</t>
    <phoneticPr fontId="2" type="noConversion"/>
  </si>
  <si>
    <t>G739DXMFXA</t>
    <phoneticPr fontId="2" type="noConversion"/>
  </si>
  <si>
    <t>C2P4T22PUZ</t>
    <phoneticPr fontId="2" type="noConversion"/>
  </si>
  <si>
    <t>https://www.facebook.com/p/%E5%B0%8F%E5%B0%8F%E4%B8%89%E5%9C%8B%E5%BF%97%E6%9A%B4%E8%B5%B0%E7%BE%A4%E9%9B%84%E5%82%B3-61587079254670/</t>
  </si>
  <si>
    <t>https://play.google.com/store/apps/details?id=com.xxsanguogg.yr_gg</t>
  </si>
  <si>
    <t>https://apps.apple.com/tw/app/%E5%B0%8F%E5%B0%8F%E4%B8%89%E5%9C%8B%E5%BF%97-%E6%9A%B4%E8%B5%B0%E7%BE%A4%E9%9B%84%E5%82%B3/id6757461582</t>
  </si>
  <si>
    <t>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t>
    <phoneticPr fontId="2" type="noConversion"/>
  </si>
  <si>
    <t>7680寶石</t>
  </si>
  <si>
    <t>3800寶石</t>
  </si>
  <si>
    <t>1450寶石</t>
  </si>
  <si>
    <t>648鱗化石</t>
  </si>
  <si>
    <t>328鱗化石</t>
  </si>
  <si>
    <t>198鱗化石</t>
  </si>
  <si>
    <t>98鱗化石</t>
  </si>
  <si>
    <t>30鱗化石</t>
  </si>
  <si>
    <t>6鱗化石</t>
  </si>
  <si>
    <t>10000元寶</t>
  </si>
  <si>
    <t>5000元寶</t>
  </si>
  <si>
    <t>2000元寶</t>
  </si>
  <si>
    <t>1000元寶</t>
  </si>
  <si>
    <t>100元寶</t>
  </si>
  <si>
    <t>1KA9K1ZQ7M</t>
    <phoneticPr fontId="2" type="noConversion"/>
  </si>
  <si>
    <t>VIP333</t>
    <phoneticPr fontId="2" type="noConversion"/>
  </si>
  <si>
    <t>VIP444</t>
    <phoneticPr fontId="2" type="noConversion"/>
  </si>
  <si>
    <t>TW6666</t>
    <phoneticPr fontId="2" type="noConversion"/>
  </si>
  <si>
    <t>4JT7QE</t>
    <phoneticPr fontId="2" type="noConversion"/>
  </si>
  <si>
    <t>MTL7QE</t>
    <phoneticPr fontId="2" type="noConversion"/>
  </si>
  <si>
    <t>9HT7QE</t>
    <phoneticPr fontId="2" type="noConversion"/>
  </si>
  <si>
    <t>T3Y7QE</t>
    <phoneticPr fontId="2" type="noConversion"/>
  </si>
  <si>
    <t>NPY7QE</t>
    <phoneticPr fontId="2" type="noConversion"/>
  </si>
  <si>
    <t>OVENSMASHLAUNCH</t>
    <phoneticPr fontId="2" type="noConversion"/>
  </si>
  <si>
    <t>OVENSMASHBETA</t>
    <phoneticPr fontId="2" type="noConversion"/>
  </si>
  <si>
    <t>到下方網址輸入禮包碼</t>
    <phoneticPr fontId="2" type="noConversion"/>
  </si>
  <si>
    <t>https://giftcode.vnggames.com/tw/redeem/A25</t>
    <phoneticPr fontId="2" type="noConversion"/>
  </si>
  <si>
    <t>右上方「三」點進去後到設定複製腳色ID</t>
    <phoneticPr fontId="2" type="noConversion"/>
  </si>
  <si>
    <t>lhqy777</t>
    <phoneticPr fontId="2" type="noConversion"/>
  </si>
  <si>
    <t>VIP666</t>
    <phoneticPr fontId="2" type="noConversion"/>
  </si>
  <si>
    <t>VIP777</t>
    <phoneticPr fontId="2" type="noConversion"/>
  </si>
  <si>
    <t>VIP888</t>
    <phoneticPr fontId="2" type="noConversion"/>
  </si>
  <si>
    <t>SVIP888</t>
    <phoneticPr fontId="2" type="noConversion"/>
  </si>
  <si>
    <t>勇者鬥惡龍 破限亂鬥</t>
    <phoneticPr fontId="2" type="noConversion"/>
  </si>
  <si>
    <t>https://www.facebook.com/DQSmashGrow.cht/</t>
  </si>
  <si>
    <t>https://smashgrow.dragonquest.com/zh-tw/</t>
  </si>
  <si>
    <t>https://play.google.com/store/apps/details?id=com.square_enix.android_googleplay.dqsgw</t>
  </si>
  <si>
    <t>https://apps.apple.com/tw/app/%E5%8B%87%E8%80%85%E9%AC%A5%E6%83%A1%E9%BE%8D-%E7%A0%B4%E9%99%90%E4%BA%82%E9%AC%A5-%E5%8B%87%E8%80%85%E9%AC%A5%E6%83%A1%E9%BE%8Droguelite-rpg/id6747737418</t>
  </si>
  <si>
    <t>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t>
    <phoneticPr fontId="2" type="noConversion"/>
  </si>
  <si>
    <t>dicerotop1</t>
    <phoneticPr fontId="2" type="noConversion"/>
  </si>
  <si>
    <t>A7S9K2</t>
    <phoneticPr fontId="2" type="noConversion"/>
  </si>
  <si>
    <t>B3P6D8</t>
    <phoneticPr fontId="2" type="noConversion"/>
  </si>
  <si>
    <t>C5G2F7</t>
    <phoneticPr fontId="2" type="noConversion"/>
  </si>
  <si>
    <t>D9J4L1</t>
    <phoneticPr fontId="2" type="noConversion"/>
  </si>
  <si>
    <t>E2M7N5</t>
    <phoneticPr fontId="2" type="noConversion"/>
  </si>
  <si>
    <t>H5V2B7</t>
    <phoneticPr fontId="2" type="noConversion"/>
  </si>
  <si>
    <t>VIP999</t>
    <phoneticPr fontId="2" type="noConversion"/>
  </si>
  <si>
    <t>跳出視窗右下角有「兌換碼」</t>
    <phoneticPr fontId="2" type="noConversion"/>
  </si>
  <si>
    <t>鬼雄三國：主公有夠鬼</t>
  </si>
  <si>
    <t>NBA王朝崛起</t>
  </si>
  <si>
    <t>仙逆M</t>
  </si>
  <si>
    <t>https://www.facebook.com/GXSGOfficial</t>
  </si>
  <si>
    <t>https://www.facebook.com/profile.php?id=61574949557455</t>
  </si>
  <si>
    <t>https://www.facebook.com/xnmobiletw</t>
  </si>
  <si>
    <t>https://www.gxsg.maxngame.com/#/</t>
  </si>
  <si>
    <t>https://play.google.com/store/apps/details?id=com.and.cjys.tw&amp;referrer=adjust_reftag%3DcpPgEtyVH3GDP%26utm_source%3DTRACK_Site%26utm_campaign%3DHomepage%26utm_content%3DHomepage%26utm_term%3DHomepage</t>
  </si>
  <si>
    <t>https://nbadynasty.sky-shark.com/</t>
  </si>
  <si>
    <t>https://apps.apple.com/tw/app/nba%E7%8E%8B%E6%9C%9D%E5%B4%9B%E8%B5%B7/id6757910692</t>
  </si>
  <si>
    <t>https://play.google.com/store/apps/details?id=com.lqfr.shark&amp;shortlink=wwxcd0u0&amp;c=host-google&amp;pid=host-google&amp;af_xp=custom&amp;source_caller=ui</t>
  </si>
  <si>
    <t>https://www.mcjdhjj.com/xianni/pc/dist/index.html#/</t>
  </si>
  <si>
    <t>https://apps.apple.com/tw/app/%E4%BB%99%E9%80%86m-%E5%AE%98%E6%96%B9%E6%AD%A3%E7%89%88%E6%8E%88%E6%AC%8A/id6756169358</t>
  </si>
  <si>
    <t>https://play.google.com/store/apps/details?id=com.xianni.tw</t>
  </si>
  <si>
    <t>https://apps.apple.com/tw/app/%E9%AC%BC%E9%9B%84%E4%B8%89%E5%9C%8B-%E4%B8%BB%E5%85%AC%E6%9C%89%E5%A4%A0%E9%AC%BC/id6758817271</t>
  </si>
  <si>
    <t>100禮包</t>
  </si>
  <si>
    <t>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t>
    <phoneticPr fontId="2" type="noConversion"/>
  </si>
  <si>
    <t>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t>
    <phoneticPr fontId="2" type="noConversion"/>
  </si>
  <si>
    <t>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t>
    <phoneticPr fontId="2" type="noConversion"/>
  </si>
  <si>
    <t>廣告特權</t>
  </si>
  <si>
    <t>寵物特權</t>
  </si>
  <si>
    <t>滿月祝福</t>
  </si>
  <si>
    <t>新月祝福</t>
  </si>
  <si>
    <t>6480金錠</t>
  </si>
  <si>
    <t>3280金錠</t>
  </si>
  <si>
    <t>1980金錠</t>
  </si>
  <si>
    <t>1680金錠</t>
  </si>
  <si>
    <t>1280金錠</t>
  </si>
  <si>
    <t>980金錠</t>
  </si>
  <si>
    <t>680金錠</t>
  </si>
  <si>
    <t>300金錠</t>
  </si>
  <si>
    <t>180金錠</t>
  </si>
  <si>
    <t>120金錠</t>
  </si>
  <si>
    <t>60金錠</t>
  </si>
  <si>
    <t>挖寶特權</t>
  </si>
  <si>
    <t>作戰特權</t>
  </si>
  <si>
    <t>官職戰令</t>
  </si>
  <si>
    <t>20000水晶</t>
  </si>
  <si>
    <t>8500水晶</t>
  </si>
  <si>
    <t>3700水晶</t>
  </si>
  <si>
    <t>1600水晶</t>
  </si>
  <si>
    <t>780水晶</t>
  </si>
  <si>
    <t>150水晶</t>
  </si>
  <si>
    <t>進階通行證</t>
  </si>
  <si>
    <t>進階彩虹積分月卡</t>
  </si>
  <si>
    <t>超值水晶禮包</t>
  </si>
  <si>
    <t>超豪華每日錢幣獲得禮包</t>
  </si>
  <si>
    <t>貓咪與湯：魔法與美食</t>
  </si>
  <si>
    <t>終結獵鋒K：首爾</t>
  </si>
  <si>
    <t>https://apps.apple.com/tw/app/%E7%B5%82%E7%B5%90%E7%8D%B5%E9%8B%92k-%E9%A6%96%E7%88%BE/id6752007774</t>
  </si>
  <si>
    <t>https://play.google.com/store/apps/details?id=com.haegin.lasthunterk&amp;hl=zh_TW</t>
  </si>
  <si>
    <t>https://www.facebook.com/KenYuGames/</t>
  </si>
  <si>
    <t>https://kenyugames.blogspot.com/?fbclid=IwY2xjawRdMC1leHRuA2FlbQIxMABicmlkETFlVWJ2V1ZiR2dmRDVhbUJoc3J0YwZhcHBfaWQQMjIyMDM5MTc4ODIwMDg5MgABHqfMmrUkmNYHPL5EXW0N3qP3y4mutM8uLEM_YZgQ1f7MKdF-YMA1OpOTcniS_aem_alcdEAwhUcIzhocmyqU2tQ</t>
  </si>
  <si>
    <t>https://www.instagram.com/catsnsoup.official/?fbclid=IwY2xjawRdL71leHRuA2FlbQIxMABicmlkETFYRXczRmhENE5RaTdxNXRrc3J0YwZhcHBfaWQQMjIyMDM5MTc4ODIwMDg5MgABHp_L6YXLXnm4UKFYVMu7tFks3SXEDmGPBzaDlA3S6WYEnIiMv7KdrLm3sWne_aem_S6WltzK1le9UdsIu-BlcWQ</t>
  </si>
  <si>
    <t>https://play.google.com/store/apps/details?id=com.hidea.cat.magicrecipe&amp;hl=zh_TW</t>
  </si>
  <si>
    <t>https://apps.apple.com/tw/app/%E8%B2%93%E5%92%AA%E5%92%8C%E6%B9%AF-%E9%AD%94%E6%B3%95%E8%88%87%E7%BE%8E%E9%A3%9F/id6446347021</t>
  </si>
  <si>
    <t>WELCOMENBA</t>
    <phoneticPr fontId="2" type="noConversion"/>
  </si>
  <si>
    <t>CBTGO2025</t>
    <phoneticPr fontId="2" type="noConversion"/>
  </si>
  <si>
    <t>LIKENBA</t>
    <phoneticPr fontId="2" type="noConversion"/>
  </si>
  <si>
    <t>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t>
    <phoneticPr fontId="2" type="noConversion"/>
  </si>
  <si>
    <t>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t>
    <phoneticPr fontId="2" type="noConversion"/>
  </si>
  <si>
    <t>霸起：暗影重生</t>
    <phoneticPr fontId="2" type="noConversion"/>
  </si>
  <si>
    <t>https://apps.apple.com/tw/app/%E9%9C%B8%E8%B5%B7-%E6%9A%97%E5%BD%B1%E9%87%8D%E7%94%9F/id6747467952</t>
  </si>
  <si>
    <t>https://play.google.com/store/apps/details?id=com.NXN.Rise2025&amp;hl=zh_TW</t>
  </si>
  <si>
    <t>https://www.facebook.com/profile.php?id=61584555663320</t>
  </si>
  <si>
    <t>RISEGLOBAL</t>
    <phoneticPr fontId="2" type="noConversion"/>
  </si>
  <si>
    <t>RISEGEARUP</t>
    <phoneticPr fontId="2" type="noConversion"/>
  </si>
  <si>
    <t>RISEHEROUP</t>
    <phoneticPr fontId="2" type="noConversion"/>
  </si>
  <si>
    <t>RISESKILLUP</t>
    <phoneticPr fontId="2" type="noConversion"/>
  </si>
  <si>
    <t>1stRISE</t>
    <phoneticPr fontId="2" type="noConversion"/>
  </si>
  <si>
    <t>RISEGOLDUP</t>
    <phoneticPr fontId="2" type="noConversion"/>
  </si>
  <si>
    <t>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t>
    <phoneticPr fontId="2" type="noConversion"/>
  </si>
  <si>
    <t>AKAONI888</t>
    <phoneticPr fontId="2" type="noConversion"/>
  </si>
  <si>
    <t>ENNA888</t>
    <phoneticPr fontId="2" type="noConversion"/>
  </si>
  <si>
    <t>KRAPY888</t>
    <phoneticPr fontId="2" type="noConversion"/>
  </si>
  <si>
    <t>HUA888</t>
    <phoneticPr fontId="2" type="noConversion"/>
  </si>
  <si>
    <t>day222</t>
    <phoneticPr fontId="2" type="noConversion"/>
  </si>
  <si>
    <t>day333</t>
    <phoneticPr fontId="2" type="noConversion"/>
  </si>
  <si>
    <t>GOD666</t>
    <phoneticPr fontId="2" type="noConversion"/>
  </si>
  <si>
    <t>HOT999</t>
    <phoneticPr fontId="2" type="noConversion"/>
  </si>
  <si>
    <t>kaze777</t>
    <phoneticPr fontId="2" type="noConversion"/>
  </si>
  <si>
    <t>Open88</t>
    <phoneticPr fontId="2" type="noConversion"/>
  </si>
  <si>
    <t>INSTALL111</t>
    <phoneticPr fontId="2" type="noConversion"/>
  </si>
  <si>
    <t>VIP999</t>
    <phoneticPr fontId="2" type="noConversion"/>
  </si>
  <si>
    <t>VIP888</t>
    <phoneticPr fontId="2" type="noConversion"/>
  </si>
  <si>
    <t>VIP777</t>
    <phoneticPr fontId="2" type="noConversion"/>
  </si>
  <si>
    <t>VIP666</t>
    <phoneticPr fontId="2" type="noConversion"/>
  </si>
  <si>
    <t>VIP555</t>
    <phoneticPr fontId="2" type="noConversion"/>
  </si>
  <si>
    <t>TINY666</t>
    <phoneticPr fontId="2" type="noConversion"/>
  </si>
  <si>
    <t>TINY777</t>
    <phoneticPr fontId="2" type="noConversion"/>
  </si>
  <si>
    <t>TINY2026</t>
    <phoneticPr fontId="2" type="noConversion"/>
  </si>
  <si>
    <t>跳出視窗點「兌換」</t>
    <phoneticPr fontId="2" type="noConversion"/>
  </si>
  <si>
    <t>心契少女：萌熊覺醒</t>
    <phoneticPr fontId="2" type="noConversion"/>
  </si>
  <si>
    <t>瑞利昂：NPC的生存記</t>
    <phoneticPr fontId="2" type="noConversion"/>
  </si>
  <si>
    <t>拉蒂亞的骰子之旅</t>
    <phoneticPr fontId="2" type="noConversion"/>
  </si>
  <si>
    <t>https://play.google.com/store/apps/details?id=com.sixwaves.ffmascot&amp;hl=zh_TW</t>
  </si>
  <si>
    <t>https://apps.apple.com/tw/app/%E5%BF%83%E5%A5%91%E5%B0%91%E5%A5%B3-%E8%90%8C%E7%86%8A%E8%A6%BA%E9%86%92/id6758321384</t>
  </si>
  <si>
    <t>https://6waves.helpshift.com/hc/zh-hant/48-honey-panic-bear-my-heart-%E5%BF%83%E5%A5%91%E5%B0%91%E5%A5%B3-%E8%90%8C%E7%86%8A%E8%A6%BA%E9%86%92/?l=zh-hant</t>
  </si>
  <si>
    <t>https://www.facebook.com/honeypanic6w</t>
  </si>
  <si>
    <t>https://apps.apple.com/tw/app/%E7%91%9E%E5%88%A9%E6%98%82-rellion-npc%E7%9A%84%E7%94%9F%E5%AD%98%E8%A8%98/id6757416807</t>
  </si>
  <si>
    <t>https://play.google.com/store/apps/details?id=com.daerigame.rellion&amp;hl=zh_TW</t>
  </si>
  <si>
    <t>https://www.facebook.com/LadiaDicetiny/</t>
  </si>
  <si>
    <t>https://apps.apple.com/tw/app/%E6%8B%89%E8%92%82%E4%BA%9E%E7%9A%84%E9%AA%B0%E5%AD%90%E4%B9%8B%E6%97%85-%E7%99%82%E7%99%92%E7%B3%BB%E5%86%92%E9%9A%AArpg/id6476085555</t>
  </si>
  <si>
    <t>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t>
    <phoneticPr fontId="2" type="noConversion"/>
  </si>
  <si>
    <t>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t>
    <phoneticPr fontId="2" type="noConversion"/>
  </si>
  <si>
    <t>https://play.google.com/store/apps/details?id=com.sanctumstudio.poly&amp;referrer=utm_source%3Dgamer.com.tw%26utm_campaign%3Dgnn</t>
  </si>
  <si>
    <t>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t>
    <phoneticPr fontId="2" type="noConversion"/>
  </si>
  <si>
    <t>10000付費寶石</t>
  </si>
  <si>
    <t>5000付費寶石</t>
  </si>
  <si>
    <t>3000付費寶石</t>
  </si>
  <si>
    <t>2000付費寶石</t>
  </si>
  <si>
    <t>1200付費寶石</t>
  </si>
  <si>
    <t>600付費寶石</t>
  </si>
  <si>
    <t>150付費寶石</t>
  </si>
  <si>
    <t>約會戰令</t>
  </si>
  <si>
    <t>6480彩鑽</t>
  </si>
  <si>
    <t>3280彩鑽</t>
  </si>
  <si>
    <t>1980彩鑽</t>
  </si>
  <si>
    <t>1280彩鑽</t>
  </si>
  <si>
    <t>980彩鑽</t>
  </si>
  <si>
    <t>680彩鑽</t>
  </si>
  <si>
    <t>300彩鑽</t>
  </si>
  <si>
    <t>60彩鑽</t>
  </si>
  <si>
    <t>特權投資</t>
  </si>
  <si>
    <t>10900寶石</t>
  </si>
  <si>
    <t>永久移除廣告福利</t>
  </si>
  <si>
    <t>每日VIP寶石福利(14天)</t>
  </si>
  <si>
    <t>遊戲內點左上方頭像</t>
    <phoneticPr fontId="2" type="noConversion"/>
  </si>
  <si>
    <t>點禮包碼然後點禮包兌換</t>
    <phoneticPr fontId="2" type="noConversion"/>
  </si>
  <si>
    <t>ET1231</t>
    <phoneticPr fontId="2" type="noConversion"/>
  </si>
  <si>
    <t>NTEGIFT</t>
    <phoneticPr fontId="2" type="noConversion"/>
  </si>
  <si>
    <t>NTEHAVEFUN</t>
    <phoneticPr fontId="2" type="noConversion"/>
  </si>
  <si>
    <t>678573035NXLFMWE</t>
    <phoneticPr fontId="2" type="noConversion"/>
  </si>
  <si>
    <t>點遊戲內右下角「齒輪」</t>
    <phoneticPr fontId="2" type="noConversion"/>
  </si>
  <si>
    <t>進到「帳號」選項</t>
    <phoneticPr fontId="2" type="noConversion"/>
  </si>
  <si>
    <t>點「優惠券」</t>
    <phoneticPr fontId="2" type="noConversion"/>
  </si>
  <si>
    <t xml:space="preserve">83thr5awvf </t>
    <phoneticPr fontId="2" type="noConversion"/>
  </si>
  <si>
    <t>由下方貓頭「設置」</t>
    <phoneticPr fontId="2" type="noConversion"/>
  </si>
  <si>
    <t>點進去其他後點「禮包碼」</t>
    <phoneticPr fontId="2" type="noConversion"/>
  </si>
  <si>
    <t>DENKA888</t>
    <phoneticPr fontId="2" type="noConversion"/>
  </si>
  <si>
    <t>17BABY888</t>
    <phoneticPr fontId="2" type="noConversion"/>
  </si>
  <si>
    <t>K7888</t>
    <phoneticPr fontId="2" type="noConversion"/>
  </si>
  <si>
    <t>MARIKA888</t>
    <phoneticPr fontId="2" type="noConversion"/>
  </si>
  <si>
    <t>ISEKAI GATE</t>
    <phoneticPr fontId="2" type="noConversion"/>
  </si>
  <si>
    <t>https://apps.apple.com/tw/app/isekai-gate/id6754668985</t>
  </si>
  <si>
    <t>https://play.google.com/store/apps/details?id=com.awesomepiece.isekaigate</t>
  </si>
  <si>
    <t>https://www.facebook.com/IsekaiGateOfficial</t>
  </si>
  <si>
    <t>https://isekai-notice.awesomepiece.com/en</t>
  </si>
  <si>
    <t>HELLOISEKAIGATE</t>
    <phoneticPr fontId="2" type="noConversion"/>
  </si>
  <si>
    <t>ISEKAIGATE1ST</t>
    <phoneticPr fontId="2" type="noConversion"/>
  </si>
  <si>
    <t>ISEKAIADVENTURE</t>
    <phoneticPr fontId="2" type="noConversion"/>
  </si>
  <si>
    <t>ENTERTHEGATE</t>
    <phoneticPr fontId="2" type="noConversion"/>
  </si>
  <si>
    <t>TOGETHERINISEKAI</t>
    <phoneticPr fontId="2" type="noConversion"/>
  </si>
  <si>
    <t>PLAYISEKAINOW</t>
    <phoneticPr fontId="2" type="noConversion"/>
  </si>
  <si>
    <t>STARTISEKAILIFE</t>
    <phoneticPr fontId="2" type="noConversion"/>
  </si>
  <si>
    <t>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t>
    <phoneticPr fontId="2" type="noConversion"/>
  </si>
  <si>
    <t>THANKYOU100K</t>
    <phoneticPr fontId="2" type="noConversion"/>
  </si>
  <si>
    <t>0815CGGO</t>
    <phoneticPr fontId="2" type="noConversion"/>
  </si>
  <si>
    <t>右上角三條線選單</t>
    <phoneticPr fontId="2" type="noConversion"/>
  </si>
  <si>
    <t>點齒輪設定</t>
    <phoneticPr fontId="2" type="noConversion"/>
  </si>
  <si>
    <t>跳出畫面點「Redeem」</t>
    <phoneticPr fontId="2" type="noConversion"/>
  </si>
  <si>
    <t>燃燒紀元：摸魚拯救世界</t>
    <phoneticPr fontId="2" type="noConversion"/>
  </si>
  <si>
    <t>暗影紀元：魔幻冒險之旅</t>
  </si>
  <si>
    <t>青丘世界：緣起</t>
    <phoneticPr fontId="2" type="noConversion"/>
  </si>
  <si>
    <t>https://www.facebook.com/profile.php?id=61560353365061</t>
  </si>
  <si>
    <t>https://apps.apple.com/tw/app/%E7%87%83%E7%87%92%E7%B4%80%E5%85%83-%E6%91%B8%E9%AD%9A%E6%8B%AF%E6%95%91%E4%B8%96%E7%95%8C/id6762169134</t>
  </si>
  <si>
    <t>https://play.google.com/store/apps/details?id=com.singularity.rsjytw</t>
  </si>
  <si>
    <t>https://www.facebook.com/foxmmo.tw/</t>
  </si>
  <si>
    <t>https://fox.joystarfun.com/</t>
  </si>
  <si>
    <t>https://play.google.com/store/apps/details?id=com.fox.jstwgp&amp;hl=zh_TW</t>
  </si>
  <si>
    <t>https://apps.apple.com/tw/app/%E9%9D%92%E4%B8%98%E4%B8%96%E7%95%8C-%E7%B7%A3%E8%B5%B7/id6759824994</t>
  </si>
  <si>
    <t>https://www.facebook.com/profile.php?id=61564794668328</t>
  </si>
  <si>
    <t>vip666</t>
    <phoneticPr fontId="2" type="noConversion"/>
  </si>
  <si>
    <t>vip888</t>
    <phoneticPr fontId="2" type="noConversion"/>
  </si>
  <si>
    <t>https://play.google.com/store/apps/details?id=com.yzzg.mdgame</t>
  </si>
  <si>
    <t>https://play.google.com/store/apps/details?id=com.plarium.military&amp;hl=zh_TW</t>
  </si>
  <si>
    <t>https://apps.apple.com/tw/app/%E9%9B%86%E5%9C%98%E9%9B%84%E5%85%B5-%E7%96%BE%E9%A2%A8%E4%BD%9C%E6%88%B0/id1088291369</t>
  </si>
  <si>
    <t>MAYPL05</t>
    <phoneticPr fontId="2" type="noConversion"/>
  </si>
  <si>
    <t>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t>
    <phoneticPr fontId="2" type="noConversion"/>
  </si>
  <si>
    <t>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t>
    <phoneticPr fontId="2" type="noConversion"/>
  </si>
  <si>
    <t>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t>
    <phoneticPr fontId="2" type="noConversion"/>
  </si>
  <si>
    <t>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t>
    <phoneticPr fontId="2" type="noConversion"/>
  </si>
  <si>
    <t>36000鑽石</t>
  </si>
  <si>
    <t>18000鑽石</t>
  </si>
  <si>
    <t>8650鑽石</t>
  </si>
  <si>
    <t>生存者禮包</t>
  </si>
  <si>
    <t>生存專家禮包</t>
  </si>
  <si>
    <t>648點數禮包</t>
  </si>
  <si>
    <t>328點數禮包</t>
  </si>
  <si>
    <t>198點數禮包</t>
  </si>
  <si>
    <t>128點數禮包</t>
  </si>
  <si>
    <t>98點數禮包</t>
  </si>
  <si>
    <t>68點數禮包</t>
  </si>
  <si>
    <t>30點數禮包</t>
  </si>
  <si>
    <t>18點數禮包</t>
  </si>
  <si>
    <t>12點數禮包</t>
  </si>
  <si>
    <t>集團雄兵：疾風作戰</t>
    <phoneticPr fontId="2" type="noConversion"/>
  </si>
  <si>
    <t>330/9.99禮包</t>
    <phoneticPr fontId="2" type="noConversion"/>
  </si>
  <si>
    <t>貓娘樂園 世界連結</t>
    <phoneticPr fontId="2" type="noConversion"/>
  </si>
  <si>
    <t>Slot &amp; Brave：Roguelike RPG</t>
    <phoneticPr fontId="2" type="noConversion"/>
  </si>
  <si>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</si>
  <si>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FBFOLLOW</t>
    <phoneticPr fontId="2" type="noConversion"/>
  </si>
  <si>
    <t>綁定鑽石*60、經費*200萬、機票*5</t>
    <phoneticPr fontId="2" type="noConversion"/>
  </si>
  <si>
    <t>NBA666</t>
    <phoneticPr fontId="2" type="noConversion"/>
  </si>
  <si>
    <t>NBA888</t>
    <phoneticPr fontId="2" type="noConversion"/>
  </si>
  <si>
    <t>NBA999</t>
    <phoneticPr fontId="2" type="noConversion"/>
  </si>
  <si>
    <t>NBA2026</t>
    <phoneticPr fontId="2" type="noConversion"/>
  </si>
  <si>
    <t>WELCOME</t>
    <phoneticPr fontId="2" type="noConversion"/>
  </si>
  <si>
    <t>AYI0303</t>
    <phoneticPr fontId="2" type="noConversion"/>
  </si>
  <si>
    <t>VIP666</t>
    <phoneticPr fontId="2" type="noConversion"/>
  </si>
  <si>
    <t>VIP777</t>
    <phoneticPr fontId="2" type="noConversion"/>
  </si>
  <si>
    <t>VIP888</t>
    <phoneticPr fontId="2" type="noConversion"/>
  </si>
  <si>
    <t>GXSG</t>
    <phoneticPr fontId="2" type="noConversion"/>
  </si>
  <si>
    <t>GRACE</t>
    <phoneticPr fontId="2" type="noConversion"/>
  </si>
  <si>
    <t>U4B7N2</t>
    <phoneticPr fontId="2" type="noConversion"/>
  </si>
  <si>
    <t>T6V1M8</t>
    <phoneticPr fontId="2" type="noConversion"/>
  </si>
  <si>
    <t>NTEFREE</t>
    <phoneticPr fontId="2" type="noConversion"/>
  </si>
  <si>
    <t>GM666</t>
    <phoneticPr fontId="2" type="noConversion"/>
  </si>
  <si>
    <t>GM888</t>
    <phoneticPr fontId="2" type="noConversion"/>
  </si>
  <si>
    <t>GM999</t>
    <phoneticPr fontId="2" type="noConversion"/>
  </si>
  <si>
    <t>CBTGO2026</t>
    <phoneticPr fontId="2" type="noConversion"/>
  </si>
  <si>
    <t>PREBONUS</t>
    <phoneticPr fontId="2" type="noConversion"/>
  </si>
  <si>
    <t>FBFOLLOW</t>
    <phoneticPr fontId="2" type="noConversion"/>
  </si>
  <si>
    <t>YT2KISEKAIGATE</t>
    <phoneticPr fontId="2" type="noConversion"/>
  </si>
  <si>
    <t xml:space="preserve">PLAYISEKAINOW </t>
    <phoneticPr fontId="2" type="noConversion"/>
  </si>
  <si>
    <t>https://snkbooking.lyplayer.com/</t>
  </si>
  <si>
    <t>https://apps.apple.com/tw/app/snk-%E5%85%A8%E6%98%8E%E6%98%9F%E8%A6%BA%E9%86%92/id6758696885</t>
  </si>
  <si>
    <t>https://play.google.com/store/apps/details?id=com.snktkofxy.gp&amp;referrer=utm_source%3Dgamer.com.tw%26utm_campaign%3Dgnn</t>
  </si>
  <si>
    <t>https://www.facebook.com/profile.php?id=61583738421640</t>
  </si>
  <si>
    <t>https://apps.apple.com/tw/app/%E8%B6%85%E6%99%82%E7%A9%BA%E8%A1%97%E7%90%83%E5%B0%8D%E6%B1%BA/id6757519748</t>
  </si>
  <si>
    <t>https://3v3.lmdgame.tw/</t>
  </si>
  <si>
    <t>https://www.facebook.com/profile.php?id=61584998965492&amp;locale=zh_TW#</t>
  </si>
  <si>
    <t>https://play.google.com/store/apps/details?id=com.lmdgame.neostreetball.tw</t>
  </si>
  <si>
    <t>超時空街球對決</t>
    <phoneticPr fontId="2" type="noConversion"/>
  </si>
  <si>
    <r>
      <t>SNK</t>
    </r>
    <r>
      <rPr>
        <sz val="12"/>
        <color theme="1"/>
        <rFont val="細明體"/>
        <family val="3"/>
        <charset val="136"/>
      </rPr>
      <t>：全明星覺醒</t>
    </r>
    <phoneticPr fontId="2" type="noConversion"/>
  </si>
  <si>
    <t>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t>
    <phoneticPr fontId="2" type="noConversion"/>
  </si>
  <si>
    <t>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t>
    <phoneticPr fontId="2" type="noConversion"/>
  </si>
  <si>
    <t>648代幣禮包</t>
  </si>
  <si>
    <t>328代幣禮包</t>
  </si>
  <si>
    <t>198代幣禮包</t>
  </si>
  <si>
    <t>128代幣禮包</t>
  </si>
  <si>
    <t>98代幣禮包</t>
  </si>
  <si>
    <t>68代幣禮包</t>
  </si>
  <si>
    <t>30代幣禮包</t>
  </si>
  <si>
    <t>6代幣禮包</t>
  </si>
  <si>
    <r>
      <rPr>
        <sz val="12"/>
        <color theme="1"/>
        <rFont val="細明體"/>
        <family val="3"/>
        <charset val="136"/>
      </rPr>
      <t>數碼寶貝</t>
    </r>
    <r>
      <rPr>
        <sz val="12"/>
        <color theme="1"/>
        <rFont val="Arial"/>
        <family val="2"/>
      </rPr>
      <t>UP</t>
    </r>
    <phoneticPr fontId="2" type="noConversion"/>
  </si>
  <si>
    <t>https://www.facebook.com/digimon.up.tc/</t>
  </si>
  <si>
    <t>https://apps.apple.com/tw/app/%E6%95%B8%E7%A2%BC%E5%AF%B6%E8%B2%9D-up/id6756247787</t>
  </si>
  <si>
    <t>https://play.google.com/store/apps/details?id=com.bandainamcoent.dgup_ww</t>
  </si>
  <si>
    <t>https://dgup.bn-ent.net/tc/</t>
  </si>
  <si>
    <t>https://apps.apple.com/tw/app/%E6%AC%8A%E5%8A%9B%E9%81%8A%E6%88%B2-%E5%9C%8B%E7%8E%8B%E5%A4%A7%E9%81%93/id6755586050</t>
  </si>
  <si>
    <t>https://www.facebook.com/GotKingsroad.TC/</t>
  </si>
  <si>
    <t>https://gotkingsroad.netmarble.com/tc/preorder</t>
  </si>
  <si>
    <t>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t>
    <phoneticPr fontId="2" type="noConversion"/>
  </si>
  <si>
    <t>5400鐵金庫硬幣</t>
  </si>
  <si>
    <t>3000鐵金庫硬幣</t>
  </si>
  <si>
    <t>1800鐵金庫硬幣</t>
  </si>
  <si>
    <t>1200鐵金庫硬幣</t>
  </si>
  <si>
    <t>540鐵金庫硬幣</t>
  </si>
  <si>
    <t>240鐵金庫硬幣</t>
  </si>
  <si>
    <t>遊戲畫面右上方齒輪「設定」</t>
    <phoneticPr fontId="2" type="noConversion"/>
  </si>
  <si>
    <t>找到「啟動碼」</t>
    <phoneticPr fontId="2" type="noConversion"/>
  </si>
  <si>
    <t>遊戲畫面右上方「福利」</t>
    <phoneticPr fontId="2" type="noConversion"/>
  </si>
  <si>
    <t>找到「禮包碼兌換」</t>
    <phoneticPr fontId="2" type="noConversion"/>
  </si>
  <si>
    <t>這三國有點獸</t>
    <phoneticPr fontId="2" type="noConversion"/>
  </si>
  <si>
    <t>Monster GO</t>
    <phoneticPr fontId="2" type="noConversion"/>
  </si>
  <si>
    <t>https://www.facebook.com/monstersaga123</t>
  </si>
  <si>
    <t>https://apps.apple.com/us/app/monster-go/id6758282449?l=zh-Hant-TW</t>
  </si>
  <si>
    <t>https://apps.apple.com/sg/app/%E9%80%99%E4%B8%89%E5%9C%8B%E6%9C%89%E9%BB%9E%E7%8D%B8/id6760000890</t>
  </si>
  <si>
    <t>https://www.facebook.com/profile.php?id=61587689890370</t>
  </si>
  <si>
    <t>點遊戲主畫面左上方頭像</t>
    <phoneticPr fontId="2" type="noConversion"/>
  </si>
  <si>
    <t>點「兌換碼」進去</t>
    <phoneticPr fontId="2" type="noConversion"/>
  </si>
  <si>
    <t>sanguo666</t>
    <phoneticPr fontId="2" type="noConversion"/>
  </si>
  <si>
    <t>sanguo888</t>
    <phoneticPr fontId="2" type="noConversion"/>
  </si>
  <si>
    <t>VIP666</t>
    <phoneticPr fontId="2" type="noConversion"/>
  </si>
  <si>
    <t>VIP999</t>
    <phoneticPr fontId="2" type="noConversion"/>
  </si>
  <si>
    <t>權力遊戲：國王大道</t>
    <phoneticPr fontId="2" type="noConversion"/>
  </si>
  <si>
    <t>https://play.google.com/store/apps/details?id=com.netmarble.gotasia&amp;hl=zh_TW</t>
    <phoneticPr fontId="2" type="noConversion"/>
  </si>
  <si>
    <t>《權力遊戲：國王大道》是首款由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t>
    <phoneticPr fontId="2" type="noConversion"/>
  </si>
  <si>
    <t>https://play.google.com/store/apps/details?id=com.shsg.ft.google</t>
    <phoneticPr fontId="2" type="noConversion"/>
  </si>
  <si>
    <t>https://play.google.com/store/apps/details?id=com.lemix.xplorers&amp;hl=zh_TW</t>
    <phoneticPr fontId="2" type="noConversion"/>
  </si>
  <si>
    <t>《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t>
    <phoneticPr fontId="2" type="noConversion"/>
  </si>
  <si>
    <t>《Monster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t>
    <phoneticPr fontId="2" type="noConversion"/>
  </si>
  <si>
    <t>GXSG</t>
    <phoneticPr fontId="2" type="noConversion"/>
  </si>
  <si>
    <t>23000寶石</t>
  </si>
  <si>
    <t>11000寶石</t>
  </si>
  <si>
    <t>6600寶石</t>
  </si>
  <si>
    <t>2200寶石</t>
  </si>
  <si>
    <t>終身召喚券年金</t>
  </si>
  <si>
    <t>終身寶石年金</t>
  </si>
  <si>
    <t>快速戰鬥特權</t>
  </si>
  <si>
    <t>尋仙令禮包</t>
  </si>
  <si>
    <t>極致絕學虛寶</t>
  </si>
  <si>
    <t>聲望特惠虛寶</t>
  </si>
  <si>
    <t>仙逆M發福利</t>
    <phoneticPr fontId="2" type="noConversion"/>
  </si>
  <si>
    <t>QQ666</t>
    <phoneticPr fontId="2" type="noConversion"/>
  </si>
  <si>
    <t>RSJY888</t>
    <phoneticPr fontId="2" type="noConversion"/>
  </si>
  <si>
    <t>RSJY777</t>
    <phoneticPr fontId="2" type="noConversion"/>
  </si>
  <si>
    <t>RSJY666</t>
    <phoneticPr fontId="2" type="noConversion"/>
  </si>
  <si>
    <t>遊戲畫面左上方點頭像</t>
    <phoneticPr fontId="2" type="noConversion"/>
  </si>
  <si>
    <t>跳出視窗下方點「虛寶碼」</t>
    <phoneticPr fontId="2" type="noConversion"/>
  </si>
  <si>
    <t>王林送福利</t>
    <phoneticPr fontId="2" type="noConversion"/>
  </si>
  <si>
    <t>仙逆M</t>
    <phoneticPr fontId="2" type="noConversion"/>
  </si>
  <si>
    <t>VIP666</t>
    <phoneticPr fontId="2" type="noConversion"/>
  </si>
  <si>
    <t>VIP888</t>
    <phoneticPr fontId="2" type="noConversion"/>
  </si>
  <si>
    <t>VIP999</t>
    <phoneticPr fontId="2" type="noConversion"/>
  </si>
  <si>
    <t>VIP2026</t>
    <phoneticPr fontId="2" type="noConversion"/>
  </si>
  <si>
    <t>XN666</t>
    <phoneticPr fontId="2" type="noConversion"/>
  </si>
  <si>
    <t>XN888</t>
    <phoneticPr fontId="2" type="noConversion"/>
  </si>
  <si>
    <t>XN999</t>
    <phoneticPr fontId="2" type="noConversion"/>
  </si>
  <si>
    <t>XN2026</t>
    <phoneticPr fontId="2" type="noConversion"/>
  </si>
  <si>
    <t>幻獸之旅：新紀元</t>
    <phoneticPr fontId="2" type="noConversion"/>
  </si>
  <si>
    <t>https://www.facebook.com/my.gamexdd/</t>
  </si>
  <si>
    <t>https://apps.apple.com/tw/app/%E5%B9%BB%E7%8D%B8%E4%B9%8B%E6%97%85-%E6%96%B0%E7%B4%80%E5%85%83/id6757894239</t>
  </si>
  <si>
    <t>https://play.google.com/store/apps/details?id=com.jouful.mygg</t>
  </si>
  <si>
    <t>https://my.gamexdd.com/</t>
  </si>
  <si>
    <t>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t>
    <phoneticPr fontId="2" type="noConversion"/>
  </si>
  <si>
    <t>6500仙玉</t>
  </si>
  <si>
    <t>180仙玉</t>
  </si>
  <si>
    <t>聖三國蜀漢霸業</t>
    <phoneticPr fontId="2" type="noConversion"/>
  </si>
  <si>
    <t>亂世美人傳</t>
    <phoneticPr fontId="2" type="noConversion"/>
  </si>
  <si>
    <t>https://www.facebook.com/profile.php?id=61568991710926&amp;locale=zh_TW</t>
  </si>
  <si>
    <t>https://play.google.com/store/apps/details?id=com.elbt.ssgshby.gp&amp;hl=zh_TW</t>
  </si>
  <si>
    <t>https://apps.apple.com/tw/app/%E8%81%96%E4%B8%89%E5%9C%8B%E8%9C%80%E6%BC%A2%E9%9C%B8%E6%A5%AD/id6762191037</t>
  </si>
  <si>
    <t>https://www.facebook.com/profile.php?id=61588677219752</t>
  </si>
  <si>
    <t>https://apps.apple.com/tw/app/%E9%86%89%E7%BA%A2%E9%A2%9C/id6757461082</t>
  </si>
  <si>
    <t>https://play.google.com/store/apps/details?id=com.playnest.jadecourt&amp;hl=zh_TW</t>
  </si>
  <si>
    <t>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t>
    <phoneticPr fontId="2" type="noConversion"/>
  </si>
  <si>
    <t>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t>
    <phoneticPr fontId="2" type="noConversion"/>
  </si>
  <si>
    <t>下方網址內兌換</t>
    <phoneticPr fontId="2" type="noConversion"/>
  </si>
  <si>
    <t>https://coupon.netmarble.com/gotasia</t>
  </si>
  <si>
    <t>TN2GN9P28W</t>
    <phoneticPr fontId="2" type="noConversion"/>
  </si>
  <si>
    <t>3YTUCV4CLW</t>
    <phoneticPr fontId="2" type="noConversion"/>
  </si>
  <si>
    <t>HSZL78N2K9P5</t>
    <phoneticPr fontId="2" type="noConversion"/>
  </si>
  <si>
    <t>點遊戲主畫面頭像</t>
    <phoneticPr fontId="2" type="noConversion"/>
  </si>
  <si>
    <t>進到設定後點「兌換碼」</t>
    <phoneticPr fontId="2" type="noConversion"/>
  </si>
  <si>
    <t>Pond Pals</t>
    <phoneticPr fontId="2" type="noConversion"/>
  </si>
  <si>
    <t>https://play.google.com/store/apps/details?id=com.hyperbeard.pondpals</t>
  </si>
  <si>
    <t>https://apps.apple.com/tw/app/pond-pals/id6755534047</t>
  </si>
  <si>
    <t>https://hyperbeard.com/game/pond-pals/</t>
    <phoneticPr fontId="2" type="noConversion"/>
  </si>
  <si>
    <t>happywkd58</t>
    <phoneticPr fontId="2" type="noConversion"/>
  </si>
  <si>
    <t>勇闯三国</t>
    <phoneticPr fontId="2" type="noConversion"/>
  </si>
  <si>
    <t>試試官充優惠多</t>
    <phoneticPr fontId="2" type="noConversion"/>
  </si>
  <si>
    <t>MJ3492</t>
    <phoneticPr fontId="2" type="noConversion"/>
  </si>
  <si>
    <t>https://apps.apple.com/tw/app/%E6%B0%B8%E6%81%86%E8%BF%B4%E5%9C%88-%E6%88%B0%E8%A1%93%E6%94%BE%E7%BD%AErpg/id6756427099</t>
  </si>
  <si>
    <t>https://play.google.com/store/apps/dev?id=4624602378659609597&amp;hl=zh_TW</t>
  </si>
  <si>
    <t>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t>
    <phoneticPr fontId="2" type="noConversion"/>
  </si>
  <si>
    <t>《永恆迴圈：戰術放置RPG》是一款充滿變數的策略放置遊戲！在這裡，每次世界迴歸都會改變規則，玩家需靈活運用49種戰術卡牌與30位英雄，搭配出最強陣容。共享等級系統讓你輕鬆應對關卡挑戰。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t>
    <phoneticPr fontId="2" type="noConversion"/>
  </si>
  <si>
    <t>時裝‧意亂情迷</t>
    <phoneticPr fontId="2" type="noConversion"/>
  </si>
  <si>
    <t>XY777</t>
    <phoneticPr fontId="2" type="noConversion"/>
  </si>
  <si>
    <t>XY888</t>
    <phoneticPr fontId="2" type="noConversion"/>
  </si>
  <si>
    <t>香檳*6+2級藍寶石*1+綁定仙玉*28</t>
    <phoneticPr fontId="2" type="noConversion"/>
  </si>
  <si>
    <t>初級神兵石*3,仙緣信物*1,綁定仙玉*28</t>
    <phoneticPr fontId="2" type="noConversion"/>
  </si>
  <si>
    <t>靈寵妙果*3,仙緣結晶*1,元寶*128</t>
    <phoneticPr fontId="2" type="noConversion"/>
  </si>
  <si>
    <t>QQ777</t>
    <phoneticPr fontId="2" type="noConversion"/>
  </si>
  <si>
    <t>QQ888</t>
    <phoneticPr fontId="2" type="noConversion"/>
  </si>
  <si>
    <t>坐騎·同床共枕*1</t>
    <phoneticPr fontId="2" type="noConversion"/>
  </si>
  <si>
    <t>神魔·歡喜觀音*1</t>
    <phoneticPr fontId="2" type="noConversion"/>
  </si>
  <si>
    <t>YQ666</t>
    <phoneticPr fontId="2" type="noConversion"/>
  </si>
  <si>
    <t>YQ777</t>
    <phoneticPr fontId="2" type="noConversion"/>
  </si>
  <si>
    <t>YQ888</t>
    <phoneticPr fontId="2" type="noConversion"/>
  </si>
  <si>
    <t>VIP666</t>
    <phoneticPr fontId="2" type="noConversion"/>
  </si>
  <si>
    <t>稱號·欲仙欲死*1</t>
    <phoneticPr fontId="2" type="noConversion"/>
  </si>
  <si>
    <t>靈寵妙果*5,2級藍寶石*1</t>
    <phoneticPr fontId="2" type="noConversion"/>
  </si>
  <si>
    <t>寵物·陽光彩虹小白馬</t>
    <phoneticPr fontId="2" type="noConversion"/>
  </si>
  <si>
    <t>合歡見面禮</t>
    <phoneticPr fontId="2" type="noConversion"/>
  </si>
  <si>
    <t>仙緣結晶*3,1級紅寶石*1,元寶*128</t>
    <phoneticPr fontId="2" type="noConversion"/>
  </si>
  <si>
    <t>坐騎進階丹*3,1級藍寶石*1,綁定仙玉*28</t>
    <phoneticPr fontId="2" type="noConversion"/>
  </si>
  <si>
    <t>嘎嘎奇兵：蛋力來勝</t>
    <phoneticPr fontId="2" type="noConversion"/>
  </si>
  <si>
    <t>三國異將錄</t>
    <phoneticPr fontId="2" type="noConversion"/>
  </si>
  <si>
    <t>三國志KING</t>
    <phoneticPr fontId="2" type="noConversion"/>
  </si>
  <si>
    <t>https://play.google.com/store/apps/details?id=com.haoplay.game.gp.duck.cbt</t>
  </si>
  <si>
    <t>https://apps.apple.com/tw/app/%E5%98%8E%E5%98%8E%E5%A5%87%E5%85%B5-%E8%9B%8B%E5%8A%9B%E4%BE%86%E5%8B%9D/id6758334085</t>
  </si>
  <si>
    <t>https://www.facebook.com/QuackQuackAttackTW</t>
  </si>
  <si>
    <t>https://duck.pde.tw/cbt/</t>
  </si>
  <si>
    <t>https://www.facebook.com/sgyjl/?locale=zh_TW</t>
  </si>
  <si>
    <t>https://apps.apple.com/tw/app/%E4%B8%89%E5%9C%8B%E7%95%B0%E5%B0%87%E9%8C%84-%E9%A6%96%E9%80%B1%E7%9C%9F%E9%80%81533%E6%8A%BD/id6760872936</t>
  </si>
  <si>
    <t>https://sgyjltw.dustyx.com/pre/index.html?utm_source=fbpost</t>
  </si>
  <si>
    <t>https://play.google.com/store/apps/details?id=com.sgyjl.andtw</t>
  </si>
  <si>
    <t>https://pre.dynastytk.com/a/</t>
  </si>
  <si>
    <t>https://www.facebook.com/profile.php?id=61587809804693&amp;locale=zh_TW</t>
  </si>
  <si>
    <t>https://play.google.com/store/apps/details?id=com.dynastytk.king</t>
  </si>
  <si>
    <t>7KQ2X9LM</t>
    <phoneticPr fontId="2" type="noConversion"/>
  </si>
  <si>
    <t>招募券5，加速卷5，麵包*55</t>
    <phoneticPr fontId="2" type="noConversion"/>
  </si>
  <si>
    <t>FACEBOOK100</t>
    <phoneticPr fontId="2" type="noConversion"/>
  </si>
  <si>
    <t>CBTGIFT</t>
    <phoneticPr fontId="2" type="noConversion"/>
  </si>
  <si>
    <t>《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t>
    <phoneticPr fontId="2" type="noConversion"/>
  </si>
  <si>
    <t>《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t>
    <phoneticPr fontId="2" type="noConversion"/>
  </si>
  <si>
    <t>《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t>
    <phoneticPr fontId="2" type="noConversion"/>
  </si>
  <si>
    <t>18000彩虹水晶</t>
  </si>
  <si>
    <t>10000彩虹水晶</t>
  </si>
  <si>
    <t>6000彩虹水晶</t>
  </si>
  <si>
    <t>2000彩虹水晶</t>
  </si>
  <si>
    <t>1000彩虹水晶</t>
  </si>
  <si>
    <t>200彩虹水晶</t>
  </si>
  <si>
    <t>每月水晶祝福</t>
  </si>
  <si>
    <t>每周秘境祝福</t>
  </si>
  <si>
    <t>https://apps.apple.com/tw/app/%E9%AA%B7%E9%AB%8F%E8%A6%81%E7%A8%B1%E7%8E%8B/id6760324053</t>
  </si>
  <si>
    <t>https://wz.touchboxs.com/reserve/index.html?fbclid=IwY2xjawR9HQ1leHRuA2FlbQIxMABicmlkETF5M1kxWmtDQ3lCZ24wWlFnc3J0YwZhcHBfaWQQMjIyMDM5MTc4ODIwMDg5MgABHhd3RjXW7Y_k0LD5kZWYBAfMMRPrYnTyewgPamCTUEoXMthqulq7f6roFT9m_aem_p0VAonkEFxFVtj8flh0LPA</t>
  </si>
  <si>
    <t>https://play.google.com/store/apps/details?id=com.touchbox.wz</t>
  </si>
  <si>
    <t>https://www.facebook.com/wz.touchbox</t>
  </si>
  <si>
    <t>60000鑽石</t>
  </si>
  <si>
    <t>30000鑽石</t>
  </si>
  <si>
    <t>9000鑽石</t>
  </si>
  <si>
    <t>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t>
  </si>
  <si>
    <t>520MOM2026</t>
    <phoneticPr fontId="2" type="noConversion"/>
  </si>
  <si>
    <t>寶箱 x520</t>
    <phoneticPr fontId="2" type="noConversion"/>
  </si>
  <si>
    <t>20260522gift</t>
    <phoneticPr fontId="2" type="noConversion"/>
  </si>
  <si>
    <t>PBJA8G9S</t>
  </si>
  <si>
    <t>骷髏要稱王</t>
    <phoneticPr fontId="2" type="noConversion"/>
  </si>
  <si>
    <t>https://apps.apple.com/tw/app/%E4%B8%89%E5%9C%8B%E5%BF%97king/id6754595303</t>
  </si>
  <si>
    <t>https://www.facebook.com/p/%E4%B8%9E%E7%9B%B8%E8%AB%8B%E5%87%BA%E5%B1%B1-61587247974866/</t>
  </si>
  <si>
    <t>https://play.google.com/store/apps/details?id=com.cqxq.bstar&amp;fbclid=IwY2xjawSA8chleHRuA2FlbQIxMABicmlkETFmNE01NlJKVllIR2NTSjBsc3J0YwZhcHBfaWQQMjIyMDM5MTc4ODIwMDg5MgABHnTuqi9UDA-0OTuMP4i9f0tOBqgNGpLbPUlPcZpAUGws5P7BqKsfToU4GUXv_aem_vDlysrsuI015Y4-8FmZsBA</t>
  </si>
  <si>
    <t>https://apps.apple.com/tw/app/%E4%B8%9E%E7%9B%B8%E8%AB%8B%E5%87%BA%E5%B1%B1-%E7%A0%B4%E5%B1%80/id6768947791</t>
  </si>
  <si>
    <t>https://cdn.starplaygame.com/reservation/cxqcs/index.html?fbclid=IwY2xjawSA8clleHRuA2FlbQIxMABicmlkETFmNE01NlJKVllIR2NTSjBsc3J0YwZhcHBfaWQQMjIyMDM5MTc4ODIwMDg5MgABHkc6PmzwfHJzKUV5cloeZmrhqWz6heJA9nutBovlmIJs5UkdLprl537DVjoB_aem_ztz2znGERTyJhGXHlzStjg</t>
  </si>
  <si>
    <t>加總</t>
    <phoneticPr fontId="2" type="noConversion"/>
  </si>
  <si>
    <t>平均值</t>
    <phoneticPr fontId="2" type="noConversion"/>
  </si>
  <si>
    <t>計算加總</t>
    <phoneticPr fontId="2" type="noConversion"/>
  </si>
  <si>
    <t>項目個數</t>
    <phoneticPr fontId="2" type="noConversion"/>
  </si>
  <si>
    <t>丞相請出山：破局</t>
    <phoneticPr fontId="2" type="noConversion"/>
  </si>
  <si>
    <t>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t>
    <phoneticPr fontId="2" type="noConversion"/>
  </si>
  <si>
    <t>遊戲主畫面左上角「遊戲頭像」</t>
    <phoneticPr fontId="2" type="noConversion"/>
  </si>
  <si>
    <t>點「兌換碼」進去</t>
    <phoneticPr fontId="2" type="noConversion"/>
  </si>
  <si>
    <t>MLB® The Show™</t>
    <phoneticPr fontId="2" type="noConversion"/>
  </si>
  <si>
    <t>龍村3</t>
    <phoneticPr fontId="2" type="noConversion"/>
  </si>
  <si>
    <t>https://theshow.com/</t>
  </si>
  <si>
    <t>https://play.google.com/store/apps/details?id=com.playstation.mlbtheshowmobile&amp;hl=zh_TW</t>
  </si>
  <si>
    <t>https://apps.apple.com/tw/app/dragon-village-3/id6499562253</t>
  </si>
  <si>
    <t>https://play.google.com/store/apps/details?id=com.highbrow.games.dvo&amp;referrer=utm_source%3Dgamer.com.tw%26utm_campaign%3Dgnn</t>
  </si>
  <si>
    <t>https://x.com/highbrow_inc?ref_src=twsrc%5Etfw%7Ctwcamp%5Etweetembed%7Ctwterm%5E2052698861773390079%7Ctwgr%5Ea5cab0f19c15fb3fe5cd760346f077bc295ea25c%7Ctwcon%5Es1_&amp;ref_url=https%3A%2F%2Fgamingonphone.com%2Fnews%2Fdragon-village-3-revives-the-classic-ip-after-12-years-with-proper-rpg-sequel-pre-registration-now-live-on-mobile%2F</t>
  </si>
  <si>
    <t>https://apps.apple.com/tw/app/mlb-the-show-mobile-baseball/id6474043167</t>
  </si>
  <si>
    <t>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t>
    <phoneticPr fontId="2" type="noConversion"/>
  </si>
  <si>
    <t>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t>
    <phoneticPr fontId="2" type="noConversion"/>
  </si>
  <si>
    <t>2kn5dc4kb</t>
    <phoneticPr fontId="2" type="noConversion"/>
  </si>
  <si>
    <t>VIP522</t>
    <phoneticPr fontId="2" type="noConversion"/>
  </si>
  <si>
    <t>SNK520</t>
    <phoneticPr fontId="2" type="noConversion"/>
  </si>
  <si>
    <t>SNK522</t>
    <phoneticPr fontId="2" type="noConversion"/>
  </si>
  <si>
    <t>SNK777</t>
    <phoneticPr fontId="2" type="noConversion"/>
  </si>
  <si>
    <t>SNK888</t>
    <phoneticPr fontId="2" type="noConversion"/>
  </si>
  <si>
    <t>SNK1314</t>
    <phoneticPr fontId="2" type="noConversion"/>
  </si>
  <si>
    <t>SNK1997</t>
    <phoneticPr fontId="2" type="noConversion"/>
  </si>
  <si>
    <t>SNK1998</t>
    <phoneticPr fontId="2" type="noConversion"/>
  </si>
  <si>
    <t>SNK2026</t>
    <phoneticPr fontId="2" type="noConversion"/>
  </si>
  <si>
    <t>彈出視窗點「禮包兌換」</t>
    <phoneticPr fontId="2" type="noConversion"/>
  </si>
  <si>
    <t>GOTKLAUNCH</t>
    <phoneticPr fontId="2" type="noConversion"/>
  </si>
  <si>
    <t>DEFENDYOURLEGACY</t>
    <phoneticPr fontId="2" type="noConversion"/>
  </si>
  <si>
    <t>GOTKWELCOME</t>
    <phoneticPr fontId="2" type="noConversion"/>
  </si>
  <si>
    <t>VIP888</t>
    <phoneticPr fontId="2" type="noConversion"/>
  </si>
  <si>
    <t>主畫面的新手活動</t>
    <phoneticPr fontId="2" type="noConversion"/>
  </si>
  <si>
    <t>點「福利活動」後進入禮包兌換</t>
    <phoneticPr fontId="2" type="noConversion"/>
  </si>
  <si>
    <t>特選招募券*1、訓練冊*10</t>
    <phoneticPr fontId="2" type="noConversion"/>
  </si>
  <si>
    <t>高能錄影*10、強身膠囊*50</t>
    <phoneticPr fontId="2" type="noConversion"/>
  </si>
  <si>
    <t>https://www.carcarstop.com/pre/?source_caller=ui&amp;shortlink=yyypre&amp;pid=yyypre&amp;af_click_lookback=7d&amp;af_xp=custom&amp;fbclid=IwY2xjawSDuHNleHRuA2FlbQIxMABicmlkETFZNnRvVUludE5ZNExjWHdHc3J0YwZhcHBfaWQQMjIyMDM5MTc4ODIwMDg5MgABHrYJzUPmJAmb1UiW6W_fZ_hlPIkTCUi76fisQr3oSnSa7lZN04_EjI2jOi_W_aem_L5V07X6Z-uGsSAVhy_6Qcw</t>
  </si>
  <si>
    <t>https://play.google.com/store/apps/details?id=com.ccstop.gp&amp;source_caller=bulk&amp;shortlink=Store&amp;af_sub1=YY&amp;c=MKTYY&amp;pid=MKT&amp;af_click_lookback=7d&amp;fbclid=IwY2xjawSDuGNleHRuA2FlbQIxMABicmlkETFZNnRvVUludE5ZNExjWHdHc3J0YwZhcHBfaWQQMjIyMDM5MTc4ODIwMDg5MgABHtju8wzYu022goBytOaG4f6wAtjIFGNT1DgYoSYc1B6pb2EeRKEPs31WCX5P_aem_1-cL5I6s7LW5FBZuTaZj0w&amp;af_channel=YY</t>
  </si>
  <si>
    <t>https://apps.apple.com/tw/app/%E8%BB%8A%E8%BB%8A%E5%B1%8D%E6%90%AD%E6%99%AE-%E9%98%BF%E8%A5%BF%E9%81%93%E9%95%B7%E9%80%81%E4%BD%A0%E5%B0%88%E5%B1%AC%E8%B1%AA%E7%A6%AE/id6760377678</t>
  </si>
  <si>
    <t>https://www.facebook.com/carcarstop/?locale=zh_TW</t>
  </si>
  <si>
    <t>車車屍搭普</t>
    <phoneticPr fontId="2" type="noConversion"/>
  </si>
  <si>
    <t>點下方「兌換禮包」進去</t>
    <phoneticPr fontId="2" type="noConversion"/>
  </si>
  <si>
    <t>STOP888</t>
    <phoneticPr fontId="2" type="noConversion"/>
  </si>
  <si>
    <t>ZOMBIE666</t>
    <phoneticPr fontId="2" type="noConversion"/>
  </si>
  <si>
    <t>STOP666</t>
    <phoneticPr fontId="2" type="noConversion"/>
  </si>
  <si>
    <t>橙版專屬時裝・狂野道長</t>
    <phoneticPr fontId="2" type="noConversion"/>
  </si>
  <si>
    <t>殭屍剋星頭像框＋氣泡框</t>
    <phoneticPr fontId="2" type="noConversion"/>
  </si>
  <si>
    <t>史詩級組件・麻吉車車</t>
    <phoneticPr fontId="2" type="noConversion"/>
  </si>
  <si>
    <t>CCGIFT1</t>
    <phoneticPr fontId="2" type="noConversion"/>
  </si>
  <si>
    <t>CCGIFT2</t>
    <phoneticPr fontId="2" type="noConversion"/>
  </si>
  <si>
    <t>CCGIFT3</t>
    <phoneticPr fontId="2" type="noConversion"/>
  </si>
  <si>
    <t>VIP888</t>
    <phoneticPr fontId="2" type="noConversion"/>
  </si>
  <si>
    <t>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t>
    <phoneticPr fontId="2" type="noConversion"/>
  </si>
  <si>
    <t>A4N8P2ZR</t>
    <phoneticPr fontId="2" type="noConversion"/>
  </si>
  <si>
    <t>DCGIFT</t>
    <phoneticPr fontId="2" type="noConversion"/>
  </si>
  <si>
    <t>遊戲內點右下角「設定」</t>
    <phoneticPr fontId="2" type="noConversion"/>
  </si>
  <si>
    <t>跳出視窗點「禮包」</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</si>
</sst>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Inherit"/>
      <family val="2"/>
    </font>
    <font>
      <sz val="14"/>
      <name val="Inherit"/>
      <family val="2"/>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28">
    <xf numFmtId="0" fontId="0" fillId="0" borderId="0" xfId="0"/>
    <xf numFmtId="0" fontId="3" fillId="0" borderId="1" xfId="0" applyFont="1" applyBorder="1" applyAlignment="1">
      <alignment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49" fontId="8" fillId="0" borderId="0" xfId="0" applyNumberFormat="1" applyFont="1" applyFill="1" applyBorder="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3" fillId="4" borderId="16" xfId="0" applyFont="1" applyFill="1" applyBorder="1"/>
    <xf numFmtId="0" fontId="13"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4" fillId="3" borderId="16" xfId="1" applyFont="1" applyFill="1" applyBorder="1"/>
    <xf numFmtId="0" fontId="15" fillId="3" borderId="16" xfId="0" applyFont="1" applyFill="1" applyBorder="1"/>
    <xf numFmtId="0" fontId="16" fillId="4" borderId="16" xfId="0" applyFont="1" applyFill="1" applyBorder="1"/>
    <xf numFmtId="0" fontId="14" fillId="0" borderId="16" xfId="1" applyFont="1" applyFill="1" applyBorder="1"/>
    <xf numFmtId="0" fontId="17" fillId="3" borderId="16" xfId="0" applyFont="1" applyFill="1" applyBorder="1" applyAlignment="1">
      <alignment horizontal="right" vertical="center" wrapText="1" indent="1"/>
    </xf>
    <xf numFmtId="0" fontId="18"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4" fillId="3" borderId="23" xfId="1" applyFont="1" applyFill="1" applyBorder="1"/>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19" fillId="0" borderId="1" xfId="0" applyFont="1" applyBorder="1" applyAlignment="1">
      <alignment wrapText="1"/>
    </xf>
    <xf numFmtId="0" fontId="19"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 fillId="0" borderId="16" xfId="1" applyFill="1" applyBorder="1"/>
    <xf numFmtId="0" fontId="21" fillId="0" borderId="0" xfId="0" applyFont="1"/>
    <xf numFmtId="0" fontId="22" fillId="0" borderId="0" xfId="0" applyFont="1"/>
    <xf numFmtId="0" fontId="23" fillId="0" borderId="0" xfId="0" applyFont="1"/>
    <xf numFmtId="0" fontId="20" fillId="2" borderId="1" xfId="0" applyFont="1" applyFill="1" applyBorder="1" applyAlignment="1">
      <alignment wrapText="1"/>
    </xf>
    <xf numFmtId="0" fontId="1" fillId="0" borderId="7" xfId="1" applyFill="1" applyBorder="1"/>
    <xf numFmtId="0" fontId="24" fillId="0" borderId="0" xfId="0" applyFont="1"/>
    <xf numFmtId="0" fontId="1" fillId="0" borderId="6" xfId="1" applyFill="1" applyBorder="1"/>
    <xf numFmtId="0" fontId="8" fillId="2" borderId="1" xfId="0" applyFont="1" applyFill="1" applyBorder="1" applyAlignment="1">
      <alignment vertical="center"/>
    </xf>
    <xf numFmtId="0" fontId="1" fillId="0" borderId="0" xfId="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hyperlink" Target="https://play.google.com/store/apps/details?id=com.gugames.cursedeqd&amp;hl=zh_TW"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339" Type="http://schemas.openxmlformats.org/officeDocument/2006/relationships/hyperlink" Target="https://play.google.com/store/apps/details?id=com.xh.wxlh.android&amp;hl=ln"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340" Type="http://schemas.openxmlformats.org/officeDocument/2006/relationships/hyperlink" Target="https://apps.apple.com/tw/app/%E5%AF%B6%E7%9F%B3%E5%8B%87%E8%80%85%E5%9C%98-%E7%A0%B4%E6%9B%89/id6755032723"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341" Type="http://schemas.openxmlformats.org/officeDocument/2006/relationships/hyperlink" Target="https://play.google.com/store/apps/details?id=com.netmarble.gotasia&amp;hl=zh_TW"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342" Type="http://schemas.openxmlformats.org/officeDocument/2006/relationships/hyperlink" Target="https://play.google.com/store/apps/details?id=com.shsg.ft.googl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343" Type="http://schemas.openxmlformats.org/officeDocument/2006/relationships/hyperlink" Target="https://play.google.com/store/apps/details?id=com.lemix.xplorers&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344" Type="http://schemas.openxmlformats.org/officeDocument/2006/relationships/hyperlink" Target="https://hyperbeard.com/game/pond-pals/"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345" Type="http://schemas.openxmlformats.org/officeDocument/2006/relationships/printerSettings" Target="../printerSettings/printerSettings1.bin"/><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73" Type="http://schemas.openxmlformats.org/officeDocument/2006/relationships/hyperlink" Target="https://apps.apple.com/vn/app/next-agers/id6749529571"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91" Type="http://schemas.openxmlformats.org/officeDocument/2006/relationships/hyperlink" Target="mailto:&#26368;&#26032;&#20786;&#20540;&#20778;&#24800;&#39340;&#19978;&#21839;&#21839;Line@&#23458;&#26381;" TargetMode="External"/><Relationship Id="rId205" Type="http://schemas.openxmlformats.org/officeDocument/2006/relationships/hyperlink" Target="mailto:&#26368;&#26032;&#20786;&#20540;&#20778;&#24800;&#39340;&#19978;&#21839;&#21839;Line@&#23458;&#26381;" TargetMode="External"/><Relationship Id="rId226"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16" Type="http://schemas.openxmlformats.org/officeDocument/2006/relationships/hyperlink" Target="https://isekai-coupon.awesomepiece.com/coupon?lang=en" TargetMode="External"/><Relationship Id="rId237"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92" Type="http://schemas.openxmlformats.org/officeDocument/2006/relationships/hyperlink" Target="mailto:&#26368;&#26032;&#20786;&#20540;&#20778;&#24800;&#39340;&#19978;&#21839;&#21839;Line@&#23458;&#26381;" TargetMode="External"/><Relationship Id="rId206" Type="http://schemas.openxmlformats.org/officeDocument/2006/relationships/hyperlink" Target="mailto:&#26368;&#26032;&#20786;&#20540;&#20778;&#24800;&#39340;&#19978;&#21839;&#21839;Line@&#23458;&#26381;" TargetMode="External"/><Relationship Id="rId227"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217"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8" Type="http://schemas.openxmlformats.org/officeDocument/2006/relationships/hyperlink" Target="mailto:&#26368;&#26032;&#20786;&#20540;&#20778;&#24800;&#39340;&#19978;&#21839;&#21839;Line@&#23458;&#26381;"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93" Type="http://schemas.openxmlformats.org/officeDocument/2006/relationships/hyperlink" Target="mailto:&#26368;&#26032;&#20786;&#20540;&#20778;&#24800;&#39340;&#19978;&#21839;&#21839;Line@&#23458;&#26381;" TargetMode="External"/><Relationship Id="rId207" Type="http://schemas.openxmlformats.org/officeDocument/2006/relationships/hyperlink" Target="mailto:&#26368;&#26032;&#20786;&#20540;&#20778;&#24800;&#39340;&#19978;&#21839;&#21839;Line@&#23458;&#26381;" TargetMode="External"/><Relationship Id="rId228"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18" Type="http://schemas.openxmlformats.org/officeDocument/2006/relationships/hyperlink" Target="mailto:&#26368;&#26032;&#20786;&#20540;&#20778;&#24800;&#39340;&#19978;&#21839;&#21839;Line@&#23458;&#26381;" TargetMode="External"/><Relationship Id="rId23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4" Type="http://schemas.openxmlformats.org/officeDocument/2006/relationships/hyperlink" Target="mailto:&#26368;&#26032;&#20786;&#20540;&#20778;&#24800;&#39340;&#19978;&#21839;&#21839;Line@&#23458;&#26381;" TargetMode="External"/><Relationship Id="rId208" Type="http://schemas.openxmlformats.org/officeDocument/2006/relationships/hyperlink" Target="mailto:&#26368;&#26032;&#20786;&#20540;&#20778;&#24800;&#39340;&#19978;&#21839;&#21839;Line@&#23458;&#26381;" TargetMode="External"/><Relationship Id="rId229" Type="http://schemas.openxmlformats.org/officeDocument/2006/relationships/hyperlink" Target="mailto:&#26368;&#26032;&#20786;&#20540;&#20778;&#24800;&#39340;&#19978;&#21839;&#21839;Line@&#23458;&#26381;" TargetMode="External"/><Relationship Id="rId240" Type="http://schemas.openxmlformats.org/officeDocument/2006/relationships/hyperlink" Target="mailto:&#26368;&#26032;&#20786;&#20540;&#20778;&#24800;&#39340;&#19978;&#21839;&#21839;Line@&#23458;&#26381;" TargetMode="External"/><Relationship Id="rId14" Type="http://schemas.openxmlformats.org/officeDocument/2006/relationships/hyperlink" Target="mailto:&#26368;&#26032;&#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219" Type="http://schemas.openxmlformats.org/officeDocument/2006/relationships/hyperlink" Target="mailto:&#26368;&#26032;&#20786;&#20540;&#20778;&#24800;&#39340;&#19978;&#21839;&#21839;Line@&#23458;&#26381;" TargetMode="External"/><Relationship Id="rId230" Type="http://schemas.openxmlformats.org/officeDocument/2006/relationships/hyperlink" Target="mailto:&#26368;&#26032;&#20786;&#20540;&#20778;&#24800;&#39340;&#19978;&#21839;&#21839;Line@&#23458;&#26381;"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95" Type="http://schemas.openxmlformats.org/officeDocument/2006/relationships/hyperlink" Target="mailto:&#26368;&#26032;&#20786;&#20540;&#20778;&#24800;&#39340;&#19978;&#21839;&#21839;Line@&#23458;&#26381;" TargetMode="External"/><Relationship Id="rId209" Type="http://schemas.openxmlformats.org/officeDocument/2006/relationships/hyperlink" Target="mailto:&#26368;&#26032;&#20786;&#20540;&#20778;&#24800;&#39340;&#19978;&#21839;&#21839;Line@&#23458;&#26381;" TargetMode="External"/><Relationship Id="rId220" Type="http://schemas.openxmlformats.org/officeDocument/2006/relationships/hyperlink" Target="mailto:&#26368;&#26032;&#20786;&#20540;&#20778;&#24800;&#39340;&#19978;&#21839;&#21839;Line@&#23458;&#26381;" TargetMode="External"/><Relationship Id="rId241" Type="http://schemas.openxmlformats.org/officeDocument/2006/relationships/printerSettings" Target="../printerSettings/printerSettings2.bin"/><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10" Type="http://schemas.openxmlformats.org/officeDocument/2006/relationships/hyperlink" Target="mailto:&#26368;&#26032;&#20786;&#20540;&#20778;&#24800;&#39340;&#19978;&#21839;&#21839;Line@&#23458;&#26381;" TargetMode="External"/><Relationship Id="rId215" Type="http://schemas.openxmlformats.org/officeDocument/2006/relationships/hyperlink" Target="mailto:&#26368;&#26032;&#20786;&#20540;&#20778;&#24800;&#39340;&#19978;&#21839;&#21839;Line@&#23458;&#26381;" TargetMode="External"/><Relationship Id="rId236"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231"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96" Type="http://schemas.openxmlformats.org/officeDocument/2006/relationships/hyperlink" Target="mailto:&#26368;&#26032;&#20786;&#20540;&#20778;&#24800;&#39340;&#19978;&#21839;&#21839;Line@&#23458;&#26381;" TargetMode="External"/><Relationship Id="rId200"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221"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186" Type="http://schemas.openxmlformats.org/officeDocument/2006/relationships/hyperlink" Target="mailto:&#26368;&#26032;&#20786;&#20540;&#20778;&#24800;&#39340;&#19978;&#21839;&#21839;Line@&#23458;&#26381;" TargetMode="External"/><Relationship Id="rId211" Type="http://schemas.openxmlformats.org/officeDocument/2006/relationships/hyperlink" Target="mailto:&#26368;&#26032;&#20786;&#20540;&#20778;&#24800;&#39340;&#19978;&#21839;&#21839;Line@&#23458;&#26381;" TargetMode="External"/><Relationship Id="rId23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97" Type="http://schemas.openxmlformats.org/officeDocument/2006/relationships/hyperlink" Target="mailto:&#26368;&#26032;&#20786;&#20540;&#20778;&#24800;&#39340;&#19978;&#21839;&#21839;Line@&#23458;&#26381;" TargetMode="External"/><Relationship Id="rId201" Type="http://schemas.openxmlformats.org/officeDocument/2006/relationships/hyperlink" Target="mailto:&#26368;&#26032;&#20786;&#20540;&#20778;&#24800;&#39340;&#19978;&#21839;&#21839;Line@&#23458;&#26381;" TargetMode="External"/><Relationship Id="rId222"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87"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12" Type="http://schemas.openxmlformats.org/officeDocument/2006/relationships/hyperlink" Target="mailto:&#26368;&#26032;&#20786;&#20540;&#20778;&#24800;&#39340;&#19978;&#21839;&#21839;Line@&#23458;&#26381;" TargetMode="External"/><Relationship Id="rId23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 Id="rId198" Type="http://schemas.openxmlformats.org/officeDocument/2006/relationships/hyperlink" Target="mailto:&#26368;&#26032;&#20786;&#20540;&#20778;&#24800;&#39340;&#19978;&#21839;&#21839;Line@&#23458;&#26381;" TargetMode="External"/><Relationship Id="rId202" Type="http://schemas.openxmlformats.org/officeDocument/2006/relationships/hyperlink" Target="mailto:&#26368;&#26032;&#20786;&#20540;&#20778;&#24800;&#39340;&#19978;&#21839;&#21839;Line@&#23458;&#26381;" TargetMode="External"/><Relationship Id="rId223" Type="http://schemas.openxmlformats.org/officeDocument/2006/relationships/hyperlink" Target="mailto:&#26368;&#26032;&#20786;&#20540;&#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188" Type="http://schemas.openxmlformats.org/officeDocument/2006/relationships/hyperlink" Target="mailto:&#26368;&#26032;&#20786;&#20540;&#20778;&#24800;&#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13" Type="http://schemas.openxmlformats.org/officeDocument/2006/relationships/hyperlink" Target="mailto:&#26368;&#26032;&#20786;&#20540;&#20778;&#24800;&#39340;&#19978;&#21839;&#21839;Line@&#23458;&#26381;" TargetMode="External"/><Relationship Id="rId234"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9" Type="http://schemas.openxmlformats.org/officeDocument/2006/relationships/hyperlink" Target="mailto:&#26368;&#26032;&#20786;&#20540;&#20778;&#24800;&#39340;&#19978;&#21839;&#21839;Line@&#23458;&#26381;" TargetMode="External"/><Relationship Id="rId203" Type="http://schemas.openxmlformats.org/officeDocument/2006/relationships/hyperlink" Target="https://dicero.habby.com/gift/index.html" TargetMode="External"/><Relationship Id="rId19" Type="http://schemas.openxmlformats.org/officeDocument/2006/relationships/hyperlink" Target="mailto:&#26368;&#26032;&#20778;&#24800;&#39340;&#19978;&#21839;&#21839;Line@&#23458;&#26381;" TargetMode="External"/><Relationship Id="rId224" Type="http://schemas.openxmlformats.org/officeDocument/2006/relationships/hyperlink" Target="mailto:&#26368;&#26032;&#20786;&#20540;&#20778;&#24800;&#39340;&#19978;&#21839;&#21839;Line@&#23458;&#26381;" TargetMode="External"/><Relationship Id="rId3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189"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14" Type="http://schemas.openxmlformats.org/officeDocument/2006/relationships/hyperlink" Target="mailto:&#26368;&#26032;&#20786;&#20540;&#20778;&#24800;&#39340;&#19978;&#21839;&#21839;Line@&#23458;&#26381;" TargetMode="External"/><Relationship Id="rId235"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90" Type="http://schemas.openxmlformats.org/officeDocument/2006/relationships/hyperlink" Target="mailto:&#26368;&#26032;&#20786;&#20540;&#20778;&#24800;&#39340;&#19978;&#21839;&#21839;Line@&#23458;&#26381;" TargetMode="External"/><Relationship Id="rId204" Type="http://schemas.openxmlformats.org/officeDocument/2006/relationships/hyperlink" Target="mailto:&#26368;&#26032;&#20786;&#20540;&#20778;&#24800;&#39340;&#19978;&#21839;&#21839;Line@&#23458;&#26381;" TargetMode="External"/><Relationship Id="rId225"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3"/>
  <sheetViews>
    <sheetView zoomScale="85" zoomScaleNormal="85" workbookViewId="0">
      <pane xSplit="1" ySplit="1" topLeftCell="I487" activePane="bottomRight" state="frozen"/>
      <selection pane="topRight" activeCell="B1" sqref="B1"/>
      <selection pane="bottomLeft" activeCell="A2" sqref="A2"/>
      <selection pane="bottomRight" activeCell="A498" sqref="A498"/>
    </sheetView>
  </sheetViews>
  <sheetFormatPr defaultColWidth="8.875" defaultRowHeight="16.5"/>
  <cols>
    <col min="1" max="1" width="19.125" style="114" customWidth="1"/>
    <col min="2" max="2" width="3.625" style="8" customWidth="1"/>
    <col min="3" max="3" width="9.375" style="8" customWidth="1"/>
    <col min="4" max="5" width="9.375" style="9" customWidth="1"/>
    <col min="6" max="6" width="9.375" style="8" customWidth="1"/>
    <col min="7" max="8" width="9.375" style="9" customWidth="1"/>
    <col min="9" max="9" width="9.375" style="10" customWidth="1"/>
    <col min="10" max="10" width="9.125" style="11" customWidth="1"/>
    <col min="11" max="38" width="9.125" style="9" customWidth="1"/>
    <col min="39" max="39" width="9.125" style="8" customWidth="1"/>
    <col min="40" max="16384" width="8.875" style="8"/>
  </cols>
  <sheetData>
    <row r="1" spans="1:41" ht="28.5" customHeight="1">
      <c r="A1" s="113" t="s">
        <v>327</v>
      </c>
      <c r="B1" s="12" t="s">
        <v>1</v>
      </c>
      <c r="C1" s="12" t="s">
        <v>0</v>
      </c>
      <c r="D1" s="13" t="s">
        <v>328</v>
      </c>
      <c r="E1" s="13" t="s">
        <v>3500</v>
      </c>
      <c r="F1" s="12" t="s">
        <v>329</v>
      </c>
      <c r="G1" s="13" t="s">
        <v>3491</v>
      </c>
      <c r="H1" s="13" t="s">
        <v>2642</v>
      </c>
      <c r="I1" s="14" t="s">
        <v>330</v>
      </c>
      <c r="J1" s="15" t="s">
        <v>331</v>
      </c>
      <c r="K1" s="13" t="s">
        <v>332</v>
      </c>
      <c r="L1" s="13" t="s">
        <v>333</v>
      </c>
      <c r="M1" s="13" t="s">
        <v>334</v>
      </c>
      <c r="N1" s="13" t="s">
        <v>335</v>
      </c>
      <c r="O1" s="13" t="s">
        <v>336</v>
      </c>
      <c r="P1" s="13" t="s">
        <v>337</v>
      </c>
      <c r="Q1" s="13" t="s">
        <v>338</v>
      </c>
      <c r="R1" s="13" t="s">
        <v>339</v>
      </c>
      <c r="S1" s="13" t="s">
        <v>340</v>
      </c>
      <c r="T1" s="13" t="s">
        <v>341</v>
      </c>
      <c r="U1" s="13" t="s">
        <v>342</v>
      </c>
      <c r="V1" s="13" t="s">
        <v>343</v>
      </c>
      <c r="W1" s="13" t="s">
        <v>344</v>
      </c>
      <c r="X1" s="13" t="s">
        <v>345</v>
      </c>
      <c r="Y1" s="13" t="s">
        <v>346</v>
      </c>
      <c r="Z1" s="13" t="s">
        <v>347</v>
      </c>
      <c r="AA1" s="13" t="s">
        <v>348</v>
      </c>
      <c r="AB1" s="13" t="s">
        <v>349</v>
      </c>
      <c r="AC1" s="13" t="s">
        <v>350</v>
      </c>
      <c r="AD1" s="13" t="s">
        <v>351</v>
      </c>
      <c r="AE1" s="13" t="s">
        <v>352</v>
      </c>
      <c r="AF1" s="13" t="s">
        <v>353</v>
      </c>
      <c r="AG1" s="13" t="s">
        <v>354</v>
      </c>
      <c r="AH1" s="13" t="s">
        <v>355</v>
      </c>
      <c r="AI1" s="13" t="s">
        <v>356</v>
      </c>
      <c r="AJ1" s="13" t="s">
        <v>357</v>
      </c>
      <c r="AK1" s="13" t="s">
        <v>358</v>
      </c>
      <c r="AL1" s="13" t="s">
        <v>359</v>
      </c>
      <c r="AM1" s="12" t="s">
        <v>360</v>
      </c>
      <c r="AN1" s="12"/>
      <c r="AO1" s="12"/>
    </row>
    <row r="2" spans="1:41" ht="28.5" customHeight="1">
      <c r="A2" s="114" t="s">
        <v>361</v>
      </c>
      <c r="D2" s="16"/>
      <c r="F2" s="9" t="str">
        <f>IF(A2="","", "https://www.ssbuy.tw/detail_giftcode/dist/giftcodes/" &amp; IF(ISNUMBER(LEFT(A2,1)*1), "game-", "") &amp; A2 &amp; ".html")</f>
        <v>https://www.ssbuy.tw/detail_giftcode/dist/giftcodes/巔峰極速.html</v>
      </c>
      <c r="H2" s="9" t="str">
        <f>IF(A2="","", "https://www.ssbuy.tw/detail_giftcode/dist/gamedetail/" &amp; IF(ISNUMBER(LEFT(A2,1)*1), "game-", "") &amp; A2 &amp; ".html")</f>
        <v>https://www.ssbuy.tw/detail_giftcode/dist/gamedetail/巔峰極速.html</v>
      </c>
      <c r="I2" s="17" t="s">
        <v>362</v>
      </c>
      <c r="J2" s="11" t="s">
        <v>363</v>
      </c>
      <c r="K2" s="9">
        <v>30</v>
      </c>
      <c r="L2" s="9" t="s">
        <v>364</v>
      </c>
      <c r="M2" s="9">
        <v>137</v>
      </c>
      <c r="N2" s="9" t="s">
        <v>365</v>
      </c>
      <c r="O2" s="9">
        <v>260</v>
      </c>
      <c r="P2" s="9" t="s">
        <v>366</v>
      </c>
      <c r="Q2" s="9">
        <v>390</v>
      </c>
      <c r="R2" s="9" t="s">
        <v>367</v>
      </c>
      <c r="S2" s="9">
        <v>520</v>
      </c>
      <c r="T2" s="9" t="s">
        <v>368</v>
      </c>
      <c r="U2" s="9">
        <v>780</v>
      </c>
      <c r="V2" s="9" t="s">
        <v>369</v>
      </c>
      <c r="W2" s="9">
        <v>1300</v>
      </c>
      <c r="X2" s="9" t="s">
        <v>370</v>
      </c>
      <c r="Y2" s="9">
        <v>2395</v>
      </c>
      <c r="Z2" s="9" t="s">
        <v>371</v>
      </c>
      <c r="AA2" s="9">
        <v>137</v>
      </c>
      <c r="AB2" s="9" t="s">
        <v>372</v>
      </c>
      <c r="AC2" s="9">
        <v>260</v>
      </c>
      <c r="AD2" s="9" t="s">
        <v>373</v>
      </c>
      <c r="AE2" s="9">
        <v>520</v>
      </c>
      <c r="AF2" s="9" t="s">
        <v>374</v>
      </c>
      <c r="AG2" s="9">
        <v>1260</v>
      </c>
      <c r="AH2" s="9" t="s">
        <v>375</v>
      </c>
      <c r="AI2" s="9">
        <v>1150</v>
      </c>
    </row>
    <row r="3" spans="1:41" ht="28.5" customHeight="1">
      <c r="A3" s="114" t="s">
        <v>376</v>
      </c>
      <c r="D3" s="16"/>
      <c r="F3" s="9" t="str">
        <f t="shared" ref="F3:F66" si="0">IF(A3="","", "https://www.ssbuy.tw/detail_giftcode/dist/giftcodes/" &amp; IF(ISNUMBER(LEFT(A3,1)*1), "game-", "") &amp; A3 &amp; ".html")</f>
        <v>https://www.ssbuy.tw/detail_giftcode/dist/giftcodes/原神.html</v>
      </c>
      <c r="H3" s="9" t="str">
        <f t="shared" ref="H3:H66" si="1">IF(A3="","", "https://www.ssbuy.tw/detail_giftcode/dist/gamedetail/" &amp; IF(ISNUMBER(LEFT(A3,1)*1), "game-", "") &amp; A3 &amp; ".html")</f>
        <v>https://www.ssbuy.tw/detail_giftcode/dist/gamedetail/原神.html</v>
      </c>
      <c r="I3" s="17" t="s">
        <v>377</v>
      </c>
      <c r="J3" s="11" t="s">
        <v>378</v>
      </c>
      <c r="K3" s="9">
        <v>30</v>
      </c>
      <c r="L3" s="9" t="s">
        <v>379</v>
      </c>
      <c r="M3" s="9">
        <v>137</v>
      </c>
      <c r="N3" s="9" t="s">
        <v>380</v>
      </c>
      <c r="O3" s="9">
        <v>390</v>
      </c>
      <c r="P3" s="9" t="s">
        <v>381</v>
      </c>
      <c r="Q3" s="9">
        <v>780</v>
      </c>
      <c r="R3" s="9" t="s">
        <v>382</v>
      </c>
      <c r="S3" s="9">
        <v>1300</v>
      </c>
      <c r="T3" s="9" t="s">
        <v>383</v>
      </c>
      <c r="U3" s="9">
        <v>2350</v>
      </c>
      <c r="V3" s="9" t="s">
        <v>384</v>
      </c>
      <c r="W3" s="9">
        <v>137</v>
      </c>
      <c r="X3" s="9" t="s">
        <v>385</v>
      </c>
      <c r="Y3" s="9">
        <v>260</v>
      </c>
      <c r="Z3" s="9" t="s">
        <v>386</v>
      </c>
      <c r="AA3" s="9">
        <v>520</v>
      </c>
    </row>
    <row r="4" spans="1:41" ht="28.5" customHeight="1">
      <c r="A4" s="114" t="s">
        <v>387</v>
      </c>
      <c r="D4" s="16"/>
      <c r="F4" s="9" t="str">
        <f t="shared" si="0"/>
        <v>https://www.ssbuy.tw/detail_giftcode/dist/giftcodes/極速快感.html</v>
      </c>
      <c r="H4" s="9" t="str">
        <f t="shared" si="1"/>
        <v>https://www.ssbuy.tw/detail_giftcode/dist/gamedetail/極速快感.html</v>
      </c>
      <c r="I4" s="17" t="s">
        <v>388</v>
      </c>
      <c r="J4" s="11" t="s">
        <v>389</v>
      </c>
      <c r="K4" s="9">
        <v>35</v>
      </c>
      <c r="L4" s="9" t="s">
        <v>390</v>
      </c>
      <c r="M4" s="9">
        <v>137</v>
      </c>
      <c r="N4" s="9" t="s">
        <v>391</v>
      </c>
      <c r="O4" s="9">
        <v>264</v>
      </c>
      <c r="P4" s="9" t="s">
        <v>392</v>
      </c>
      <c r="Q4" s="9">
        <v>394</v>
      </c>
      <c r="R4" s="9" t="s">
        <v>393</v>
      </c>
      <c r="S4" s="9">
        <v>786</v>
      </c>
      <c r="T4" s="9" t="s">
        <v>394</v>
      </c>
      <c r="U4" s="9">
        <v>1130</v>
      </c>
      <c r="V4" s="9" t="s">
        <v>395</v>
      </c>
      <c r="W4" s="9">
        <v>1323</v>
      </c>
      <c r="X4" s="9" t="s">
        <v>396</v>
      </c>
      <c r="Y4" s="9">
        <v>2551</v>
      </c>
      <c r="Z4" s="9" t="s">
        <v>397</v>
      </c>
      <c r="AA4" s="9">
        <v>137</v>
      </c>
      <c r="AB4" s="9" t="s">
        <v>398</v>
      </c>
      <c r="AC4" s="9">
        <v>270</v>
      </c>
      <c r="AD4" s="9" t="s">
        <v>399</v>
      </c>
      <c r="AE4" s="9">
        <v>540</v>
      </c>
      <c r="AF4" s="9" t="s">
        <v>400</v>
      </c>
      <c r="AG4" s="9">
        <v>267</v>
      </c>
    </row>
    <row r="5" spans="1:41" ht="28.5" customHeight="1">
      <c r="A5" s="114" t="s">
        <v>401</v>
      </c>
      <c r="D5" s="16"/>
      <c r="E5" s="18"/>
      <c r="F5" s="9" t="str">
        <f t="shared" si="0"/>
        <v>https://www.ssbuy.tw/detail_giftcode/dist/giftcodes/俠客傳說：小小英雄.html</v>
      </c>
      <c r="H5" s="9" t="str">
        <f t="shared" si="1"/>
        <v>https://www.ssbuy.tw/detail_giftcode/dist/gamedetail/俠客傳說：小小英雄.html</v>
      </c>
      <c r="I5" s="17" t="s">
        <v>402</v>
      </c>
      <c r="J5" s="11" t="s">
        <v>403</v>
      </c>
      <c r="K5" s="9">
        <v>8300</v>
      </c>
      <c r="L5" s="9" t="s">
        <v>404</v>
      </c>
      <c r="M5" s="9">
        <v>2551</v>
      </c>
      <c r="N5" s="9" t="s">
        <v>405</v>
      </c>
      <c r="O5" s="9">
        <v>1323</v>
      </c>
      <c r="P5" s="9" t="s">
        <v>406</v>
      </c>
      <c r="Q5" s="9">
        <v>539</v>
      </c>
      <c r="R5" s="9" t="s">
        <v>407</v>
      </c>
      <c r="S5" s="9">
        <v>267</v>
      </c>
      <c r="T5" s="9" t="s">
        <v>408</v>
      </c>
      <c r="U5" s="9">
        <v>137</v>
      </c>
      <c r="V5" s="9" t="s">
        <v>409</v>
      </c>
      <c r="W5" s="9">
        <v>40</v>
      </c>
    </row>
    <row r="6" spans="1:41" ht="28.5" customHeight="1">
      <c r="A6" s="114" t="s">
        <v>410</v>
      </c>
      <c r="F6" s="9" t="str">
        <f t="shared" si="0"/>
        <v>https://www.ssbuy.tw/detail_giftcode/dist/giftcodes/逆水寒.html</v>
      </c>
      <c r="H6" s="9" t="str">
        <f t="shared" si="1"/>
        <v>https://www.ssbuy.tw/detail_giftcode/dist/gamedetail/逆水寒.html</v>
      </c>
      <c r="I6" s="17" t="s">
        <v>411</v>
      </c>
      <c r="J6" s="11" t="s">
        <v>412</v>
      </c>
      <c r="K6" s="9">
        <v>2390</v>
      </c>
      <c r="L6" s="9" t="s">
        <v>413</v>
      </c>
      <c r="M6" s="9">
        <v>1323</v>
      </c>
      <c r="N6" s="9" t="s">
        <v>414</v>
      </c>
      <c r="O6" s="9">
        <v>810</v>
      </c>
      <c r="P6" s="9" t="s">
        <v>415</v>
      </c>
      <c r="Q6" s="9">
        <v>410</v>
      </c>
      <c r="R6" s="9" t="s">
        <v>416</v>
      </c>
      <c r="S6" s="9">
        <v>137</v>
      </c>
      <c r="T6" s="9" t="s">
        <v>417</v>
      </c>
      <c r="U6" s="9">
        <v>30</v>
      </c>
    </row>
    <row r="7" spans="1:41" ht="28.5" customHeight="1">
      <c r="A7" s="114" t="s">
        <v>418</v>
      </c>
      <c r="F7" s="9" t="str">
        <f t="shared" si="0"/>
        <v>https://www.ssbuy.tw/detail_giftcode/dist/giftcodes/RO仙境傳說：一定要可愛.html</v>
      </c>
      <c r="H7" s="9" t="str">
        <f t="shared" si="1"/>
        <v>https://www.ssbuy.tw/detail_giftcode/dist/gamedetail/RO仙境傳說：一定要可愛.html</v>
      </c>
      <c r="I7" s="17" t="s">
        <v>419</v>
      </c>
      <c r="J7" s="11" t="s">
        <v>420</v>
      </c>
      <c r="K7" s="9">
        <v>2551</v>
      </c>
      <c r="L7" s="9" t="s">
        <v>421</v>
      </c>
      <c r="M7" s="9">
        <v>1720</v>
      </c>
      <c r="N7" s="9" t="s">
        <v>422</v>
      </c>
      <c r="O7" s="9">
        <v>786</v>
      </c>
      <c r="P7" s="9" t="s">
        <v>423</v>
      </c>
      <c r="Q7" s="9">
        <v>394</v>
      </c>
      <c r="R7" s="9" t="s">
        <v>424</v>
      </c>
      <c r="S7" s="9">
        <v>267</v>
      </c>
      <c r="T7" s="9" t="s">
        <v>425</v>
      </c>
      <c r="U7" s="9">
        <v>137</v>
      </c>
      <c r="V7" s="9" t="s">
        <v>426</v>
      </c>
      <c r="W7" s="9">
        <v>50</v>
      </c>
    </row>
    <row r="8" spans="1:41" ht="28.5" customHeight="1">
      <c r="A8" s="114" t="s">
        <v>427</v>
      </c>
      <c r="F8" s="9" t="str">
        <f t="shared" si="0"/>
        <v>https://www.ssbuy.tw/detail_giftcode/dist/giftcodes/RO新世代.html</v>
      </c>
      <c r="H8" s="9" t="str">
        <f t="shared" si="1"/>
        <v>https://www.ssbuy.tw/detail_giftcode/dist/gamedetail/RO新世代.html</v>
      </c>
      <c r="I8" s="17" t="s">
        <v>428</v>
      </c>
      <c r="J8" s="11" t="s">
        <v>429</v>
      </c>
      <c r="K8" s="9">
        <v>2551</v>
      </c>
      <c r="L8" s="9" t="s">
        <v>430</v>
      </c>
      <c r="M8" s="9">
        <v>1323</v>
      </c>
      <c r="N8" s="9" t="s">
        <v>431</v>
      </c>
      <c r="O8" s="9">
        <v>786</v>
      </c>
      <c r="P8" s="9" t="s">
        <v>432</v>
      </c>
      <c r="Q8" s="9">
        <v>539</v>
      </c>
      <c r="R8" s="9" t="s">
        <v>433</v>
      </c>
      <c r="S8" s="9">
        <v>267</v>
      </c>
      <c r="T8" s="9" t="s">
        <v>434</v>
      </c>
      <c r="U8" s="9">
        <v>137</v>
      </c>
      <c r="V8" s="9" t="s">
        <v>435</v>
      </c>
      <c r="W8" s="9">
        <v>35</v>
      </c>
    </row>
    <row r="9" spans="1:41" ht="28.5" customHeight="1">
      <c r="A9" s="114" t="s">
        <v>436</v>
      </c>
      <c r="F9" s="9" t="str">
        <f t="shared" si="0"/>
        <v>https://www.ssbuy.tw/detail_giftcode/dist/giftcodes/上古：龍神覺醒.html</v>
      </c>
      <c r="H9" s="9" t="str">
        <f t="shared" si="1"/>
        <v>https://www.ssbuy.tw/detail_giftcode/dist/gamedetail/上古：龍神覺醒.html</v>
      </c>
      <c r="I9" s="17" t="s">
        <v>437</v>
      </c>
      <c r="J9" s="11" t="s">
        <v>438</v>
      </c>
      <c r="K9" s="9">
        <v>2551</v>
      </c>
      <c r="L9" s="9" t="s">
        <v>439</v>
      </c>
      <c r="M9" s="9">
        <v>1380</v>
      </c>
      <c r="N9" s="9" t="s">
        <v>440</v>
      </c>
      <c r="O9" s="9">
        <v>830</v>
      </c>
      <c r="P9" s="9" t="s">
        <v>441</v>
      </c>
      <c r="Q9" s="9">
        <v>539</v>
      </c>
      <c r="R9" s="9" t="s">
        <v>442</v>
      </c>
      <c r="S9" s="9">
        <v>394</v>
      </c>
      <c r="T9" s="9" t="s">
        <v>443</v>
      </c>
      <c r="U9" s="9">
        <v>267</v>
      </c>
      <c r="V9" s="9" t="s">
        <v>444</v>
      </c>
      <c r="W9" s="9">
        <v>137</v>
      </c>
      <c r="X9" s="9" t="s">
        <v>445</v>
      </c>
      <c r="Y9" s="9">
        <v>35</v>
      </c>
    </row>
    <row r="10" spans="1:41" ht="28.5" customHeight="1">
      <c r="A10" s="114" t="s">
        <v>446</v>
      </c>
      <c r="F10" s="9" t="str">
        <f t="shared" si="0"/>
        <v>https://www.ssbuy.tw/detail_giftcode/dist/giftcodes/小艦艦超勇.html</v>
      </c>
      <c r="H10" s="9" t="str">
        <f t="shared" si="1"/>
        <v>https://www.ssbuy.tw/detail_giftcode/dist/gamedetail/小艦艦超勇.html</v>
      </c>
      <c r="I10" s="17" t="s">
        <v>447</v>
      </c>
      <c r="J10" s="11" t="s">
        <v>448</v>
      </c>
      <c r="K10" s="9">
        <v>2551</v>
      </c>
      <c r="L10" s="9" t="s">
        <v>449</v>
      </c>
      <c r="M10" s="9">
        <v>1323</v>
      </c>
      <c r="N10" s="9" t="s">
        <v>450</v>
      </c>
      <c r="O10" s="9">
        <v>539</v>
      </c>
      <c r="P10" s="9" t="s">
        <v>451</v>
      </c>
      <c r="Q10" s="9">
        <v>267</v>
      </c>
      <c r="R10" s="9" t="s">
        <v>452</v>
      </c>
      <c r="S10" s="9">
        <v>137</v>
      </c>
      <c r="T10" s="9" t="s">
        <v>453</v>
      </c>
      <c r="U10" s="9">
        <v>40</v>
      </c>
    </row>
    <row r="11" spans="1:41" ht="28.5" customHeight="1">
      <c r="A11" s="114" t="s">
        <v>454</v>
      </c>
      <c r="F11" s="9" t="str">
        <f t="shared" si="0"/>
        <v>https://www.ssbuy.tw/detail_giftcode/dist/giftcodes/天使軍團.html</v>
      </c>
      <c r="H11" s="9" t="str">
        <f t="shared" si="1"/>
        <v>https://www.ssbuy.tw/detail_giftcode/dist/gamedetail/天使軍團.html</v>
      </c>
      <c r="I11" s="17" t="s">
        <v>455</v>
      </c>
      <c r="J11" s="11" t="s">
        <v>456</v>
      </c>
      <c r="K11" s="9">
        <v>2551</v>
      </c>
      <c r="L11" s="9" t="s">
        <v>457</v>
      </c>
      <c r="M11" s="9">
        <v>1323</v>
      </c>
      <c r="N11" s="9" t="s">
        <v>431</v>
      </c>
      <c r="O11" s="9">
        <v>786</v>
      </c>
      <c r="P11" s="9" t="s">
        <v>458</v>
      </c>
      <c r="Q11" s="9">
        <v>539</v>
      </c>
      <c r="R11" s="9" t="s">
        <v>459</v>
      </c>
      <c r="S11" s="9">
        <v>267</v>
      </c>
      <c r="T11" s="9" t="s">
        <v>460</v>
      </c>
      <c r="U11" s="9">
        <v>137</v>
      </c>
      <c r="V11" s="9" t="s">
        <v>461</v>
      </c>
      <c r="W11" s="9">
        <v>35</v>
      </c>
    </row>
    <row r="12" spans="1:41" ht="28.5" customHeight="1">
      <c r="A12" s="114" t="s">
        <v>462</v>
      </c>
      <c r="F12" s="9" t="str">
        <f t="shared" si="0"/>
        <v>https://www.ssbuy.tw/detail_giftcode/dist/giftcodes/天堂W.html</v>
      </c>
      <c r="H12" s="9" t="str">
        <f t="shared" si="1"/>
        <v>https://www.ssbuy.tw/detail_giftcode/dist/gamedetail/天堂W.html</v>
      </c>
      <c r="I12" s="17" t="s">
        <v>463</v>
      </c>
      <c r="J12" s="11" t="s">
        <v>464</v>
      </c>
      <c r="K12" s="9">
        <v>5300</v>
      </c>
      <c r="L12" s="9" t="s">
        <v>465</v>
      </c>
      <c r="M12" s="9">
        <v>2360</v>
      </c>
      <c r="N12" s="9" t="s">
        <v>466</v>
      </c>
      <c r="O12" s="9">
        <v>1180</v>
      </c>
      <c r="P12" s="9" t="s">
        <v>467</v>
      </c>
      <c r="Q12" s="9">
        <v>730</v>
      </c>
      <c r="R12" s="9" t="s">
        <v>468</v>
      </c>
      <c r="S12" s="9">
        <v>250</v>
      </c>
    </row>
    <row r="13" spans="1:41" ht="28.5" customHeight="1">
      <c r="A13" s="114" t="s">
        <v>469</v>
      </c>
      <c r="F13" s="9" t="str">
        <f t="shared" si="0"/>
        <v>https://www.ssbuy.tw/detail_giftcode/dist/giftcodes/少女前線2：追放.html</v>
      </c>
      <c r="H13" s="9" t="str">
        <f t="shared" si="1"/>
        <v>https://www.ssbuy.tw/detail_giftcode/dist/gamedetail/少女前線2：追放.html</v>
      </c>
      <c r="I13" s="17" t="s">
        <v>470</v>
      </c>
      <c r="J13" s="11" t="s">
        <v>471</v>
      </c>
      <c r="K13" s="9">
        <v>2551</v>
      </c>
      <c r="L13" s="9" t="s">
        <v>472</v>
      </c>
      <c r="M13" s="9">
        <v>1323</v>
      </c>
      <c r="N13" s="9" t="s">
        <v>473</v>
      </c>
      <c r="O13" s="9">
        <v>786</v>
      </c>
      <c r="P13" s="9" t="s">
        <v>474</v>
      </c>
      <c r="Q13" s="9">
        <v>539</v>
      </c>
      <c r="R13" s="9" t="s">
        <v>475</v>
      </c>
      <c r="S13" s="9">
        <v>267</v>
      </c>
      <c r="T13" s="9" t="s">
        <v>476</v>
      </c>
      <c r="U13" s="9">
        <v>137</v>
      </c>
      <c r="V13" s="9" t="s">
        <v>461</v>
      </c>
      <c r="W13" s="9">
        <v>35</v>
      </c>
    </row>
    <row r="14" spans="1:41" ht="28.5" customHeight="1">
      <c r="A14" s="114" t="s">
        <v>477</v>
      </c>
      <c r="F14" s="9" t="str">
        <f t="shared" si="0"/>
        <v>https://www.ssbuy.tw/detail_giftcode/dist/giftcodes/幻獸傳說Ｍ.html</v>
      </c>
      <c r="H14" s="9" t="str">
        <f t="shared" si="1"/>
        <v>https://www.ssbuy.tw/detail_giftcode/dist/gamedetail/幻獸傳說Ｍ.html</v>
      </c>
      <c r="I14" s="17" t="s">
        <v>478</v>
      </c>
      <c r="J14" s="11" t="s">
        <v>479</v>
      </c>
      <c r="K14" s="9">
        <v>2551</v>
      </c>
      <c r="L14" s="9" t="s">
        <v>480</v>
      </c>
      <c r="M14" s="9">
        <v>1323</v>
      </c>
      <c r="N14" s="9" t="s">
        <v>481</v>
      </c>
      <c r="O14" s="9">
        <v>786</v>
      </c>
      <c r="P14" s="9" t="s">
        <v>482</v>
      </c>
      <c r="Q14" s="9">
        <v>539</v>
      </c>
      <c r="R14" s="9" t="s">
        <v>483</v>
      </c>
      <c r="S14" s="9">
        <v>394</v>
      </c>
      <c r="T14" s="9" t="s">
        <v>484</v>
      </c>
      <c r="U14" s="9">
        <v>267</v>
      </c>
      <c r="V14" s="9" t="s">
        <v>485</v>
      </c>
      <c r="W14" s="9">
        <v>137</v>
      </c>
      <c r="X14" s="9" t="s">
        <v>486</v>
      </c>
      <c r="Y14" s="9">
        <v>35</v>
      </c>
    </row>
    <row r="15" spans="1:41" ht="28.5" customHeight="1">
      <c r="A15" s="114" t="s">
        <v>487</v>
      </c>
      <c r="F15" s="9" t="str">
        <f t="shared" si="0"/>
        <v>https://www.ssbuy.tw/detail_giftcode/dist/giftcodes/未定事件簿.html</v>
      </c>
      <c r="H15" s="9" t="str">
        <f t="shared" si="1"/>
        <v>https://www.ssbuy.tw/detail_giftcode/dist/gamedetail/未定事件簿.html</v>
      </c>
      <c r="I15" s="17" t="s">
        <v>488</v>
      </c>
      <c r="J15" s="11" t="s">
        <v>489</v>
      </c>
      <c r="K15" s="9">
        <v>2551</v>
      </c>
      <c r="L15" s="9" t="s">
        <v>490</v>
      </c>
      <c r="M15" s="9">
        <v>1323</v>
      </c>
      <c r="N15" s="9" t="s">
        <v>491</v>
      </c>
      <c r="O15" s="9">
        <v>786</v>
      </c>
      <c r="P15" s="9" t="s">
        <v>492</v>
      </c>
      <c r="Q15" s="9">
        <v>539</v>
      </c>
      <c r="R15" s="9" t="s">
        <v>493</v>
      </c>
      <c r="S15" s="9">
        <v>267</v>
      </c>
      <c r="T15" s="9" t="s">
        <v>494</v>
      </c>
      <c r="U15" s="9">
        <v>137</v>
      </c>
      <c r="V15" s="9" t="s">
        <v>495</v>
      </c>
      <c r="W15" s="9">
        <v>35</v>
      </c>
    </row>
    <row r="16" spans="1:41" ht="28.5" customHeight="1">
      <c r="A16" s="114" t="s">
        <v>496</v>
      </c>
      <c r="F16" s="9" t="str">
        <f t="shared" si="0"/>
        <v>https://www.ssbuy.tw/detail_giftcode/dist/giftcodes/永恆靈魂.html</v>
      </c>
      <c r="H16" s="9" t="str">
        <f t="shared" si="1"/>
        <v>https://www.ssbuy.tw/detail_giftcode/dist/gamedetail/永恆靈魂.html</v>
      </c>
      <c r="I16" s="17" t="s">
        <v>497</v>
      </c>
      <c r="J16" s="11" t="s">
        <v>498</v>
      </c>
      <c r="K16" s="9">
        <v>2551</v>
      </c>
      <c r="L16" s="9" t="s">
        <v>430</v>
      </c>
      <c r="M16" s="9">
        <v>1323</v>
      </c>
      <c r="N16" s="9" t="s">
        <v>499</v>
      </c>
      <c r="O16" s="9">
        <v>786</v>
      </c>
      <c r="P16" s="9" t="s">
        <v>500</v>
      </c>
      <c r="Q16" s="9">
        <v>539</v>
      </c>
      <c r="R16" s="9" t="s">
        <v>501</v>
      </c>
      <c r="S16" s="9">
        <v>267</v>
      </c>
      <c r="T16" s="9" t="s">
        <v>502</v>
      </c>
      <c r="U16" s="9">
        <v>137</v>
      </c>
      <c r="V16" s="9" t="s">
        <v>461</v>
      </c>
      <c r="W16" s="9">
        <v>35</v>
      </c>
    </row>
    <row r="17" spans="1:27" ht="28.5" customHeight="1">
      <c r="A17" s="114" t="s">
        <v>503</v>
      </c>
      <c r="F17" s="9" t="str">
        <f t="shared" si="0"/>
        <v>https://www.ssbuy.tw/detail_giftcode/dist/giftcodes/守住呀主公.html</v>
      </c>
      <c r="H17" s="9" t="str">
        <f t="shared" si="1"/>
        <v>https://www.ssbuy.tw/detail_giftcode/dist/gamedetail/守住呀主公.html</v>
      </c>
      <c r="I17" s="17" t="s">
        <v>504</v>
      </c>
      <c r="J17" s="11" t="s">
        <v>505</v>
      </c>
      <c r="K17" s="9">
        <v>2551</v>
      </c>
      <c r="L17" s="9" t="s">
        <v>506</v>
      </c>
      <c r="M17" s="9">
        <v>1323</v>
      </c>
      <c r="N17" s="9" t="s">
        <v>507</v>
      </c>
      <c r="O17" s="9">
        <v>786</v>
      </c>
      <c r="P17" s="9" t="s">
        <v>508</v>
      </c>
      <c r="Q17" s="9">
        <v>539</v>
      </c>
      <c r="R17" s="9" t="s">
        <v>509</v>
      </c>
      <c r="S17" s="9">
        <v>394</v>
      </c>
      <c r="T17" s="9" t="s">
        <v>510</v>
      </c>
      <c r="U17" s="9">
        <v>267</v>
      </c>
      <c r="V17" s="9" t="s">
        <v>511</v>
      </c>
      <c r="W17" s="9">
        <v>137</v>
      </c>
      <c r="X17" s="9" t="s">
        <v>512</v>
      </c>
      <c r="Y17" s="9">
        <v>30</v>
      </c>
    </row>
    <row r="18" spans="1:27" ht="28.5" customHeight="1">
      <c r="A18" s="114" t="s">
        <v>513</v>
      </c>
      <c r="F18" s="9" t="str">
        <f t="shared" si="0"/>
        <v>https://www.ssbuy.tw/detail_giftcode/dist/giftcodes/吟遊戰記.html</v>
      </c>
      <c r="H18" s="9" t="str">
        <f t="shared" si="1"/>
        <v>https://www.ssbuy.tw/detail_giftcode/dist/gamedetail/吟遊戰記.html</v>
      </c>
      <c r="I18" s="17" t="s">
        <v>514</v>
      </c>
      <c r="J18" s="11" t="s">
        <v>515</v>
      </c>
      <c r="K18" s="9">
        <v>2551</v>
      </c>
      <c r="L18" s="9" t="s">
        <v>516</v>
      </c>
      <c r="M18" s="9">
        <v>1323</v>
      </c>
      <c r="N18" s="9" t="s">
        <v>517</v>
      </c>
      <c r="O18" s="9">
        <v>786</v>
      </c>
      <c r="P18" s="9" t="s">
        <v>518</v>
      </c>
      <c r="Q18" s="9">
        <v>539</v>
      </c>
      <c r="R18" s="9" t="s">
        <v>519</v>
      </c>
      <c r="S18" s="9">
        <v>394</v>
      </c>
      <c r="T18" s="9" t="s">
        <v>520</v>
      </c>
      <c r="U18" s="9">
        <v>267</v>
      </c>
      <c r="V18" s="9" t="s">
        <v>521</v>
      </c>
      <c r="W18" s="9">
        <v>137</v>
      </c>
      <c r="X18" s="9" t="s">
        <v>522</v>
      </c>
      <c r="Y18" s="9">
        <v>30</v>
      </c>
    </row>
    <row r="19" spans="1:27" ht="28.5" customHeight="1">
      <c r="A19" s="114" t="s">
        <v>523</v>
      </c>
      <c r="F19" s="9" t="str">
        <f t="shared" si="0"/>
        <v>https://www.ssbuy.tw/detail_giftcode/dist/giftcodes/我獨自升級：ARISE.html</v>
      </c>
      <c r="H19" s="9" t="str">
        <f t="shared" si="1"/>
        <v>https://www.ssbuy.tw/detail_giftcode/dist/gamedetail/我獨自升級：ARISE.html</v>
      </c>
      <c r="I19" s="17" t="s">
        <v>524</v>
      </c>
      <c r="J19" s="11" t="s">
        <v>525</v>
      </c>
      <c r="K19" s="9">
        <v>1940</v>
      </c>
      <c r="L19" s="9" t="s">
        <v>526</v>
      </c>
      <c r="M19" s="9">
        <v>1150</v>
      </c>
      <c r="N19" s="9" t="s">
        <v>527</v>
      </c>
      <c r="O19" s="9">
        <v>620</v>
      </c>
      <c r="P19" s="9" t="s">
        <v>528</v>
      </c>
      <c r="Q19" s="9">
        <v>267</v>
      </c>
      <c r="R19" s="9" t="s">
        <v>529</v>
      </c>
      <c r="S19" s="9">
        <v>90</v>
      </c>
      <c r="T19" s="9" t="s">
        <v>530</v>
      </c>
      <c r="U19" s="9">
        <v>30</v>
      </c>
    </row>
    <row r="20" spans="1:27" ht="28.5" customHeight="1">
      <c r="A20" s="114" t="s">
        <v>531</v>
      </c>
      <c r="F20" s="9" t="str">
        <f t="shared" si="0"/>
        <v>https://www.ssbuy.tw/detail_giftcode/dist/giftcodes/命運聖契：少女的羈絆.html</v>
      </c>
      <c r="H20" s="9" t="str">
        <f t="shared" si="1"/>
        <v>https://www.ssbuy.tw/detail_giftcode/dist/gamedetail/命運聖契：少女的羈絆.html</v>
      </c>
      <c r="I20" s="17" t="s">
        <v>532</v>
      </c>
      <c r="J20" s="11" t="s">
        <v>533</v>
      </c>
      <c r="K20" s="9">
        <v>2551</v>
      </c>
      <c r="L20" s="9" t="s">
        <v>534</v>
      </c>
      <c r="M20" s="9">
        <v>1323</v>
      </c>
      <c r="N20" s="9" t="s">
        <v>535</v>
      </c>
      <c r="O20" s="9">
        <v>786</v>
      </c>
      <c r="P20" s="9" t="s">
        <v>536</v>
      </c>
      <c r="Q20" s="9">
        <v>394</v>
      </c>
      <c r="R20" s="9" t="s">
        <v>537</v>
      </c>
      <c r="S20" s="9">
        <v>137</v>
      </c>
      <c r="T20" s="9" t="s">
        <v>538</v>
      </c>
      <c r="U20" s="9">
        <v>40</v>
      </c>
    </row>
    <row r="21" spans="1:27" ht="28.5" customHeight="1">
      <c r="A21" s="114" t="s">
        <v>539</v>
      </c>
      <c r="F21" s="9" t="str">
        <f t="shared" si="0"/>
        <v>https://www.ssbuy.tw/detail_giftcode/dist/giftcodes/放置軍團.html</v>
      </c>
      <c r="H21" s="9" t="str">
        <f t="shared" si="1"/>
        <v>https://www.ssbuy.tw/detail_giftcode/dist/gamedetail/放置軍團.html</v>
      </c>
      <c r="I21" s="17" t="s">
        <v>540</v>
      </c>
      <c r="J21" s="11" t="s">
        <v>541</v>
      </c>
      <c r="K21" s="9">
        <v>2540</v>
      </c>
      <c r="L21" s="9" t="s">
        <v>542</v>
      </c>
      <c r="M21" s="9">
        <v>1280</v>
      </c>
      <c r="N21" s="9" t="s">
        <v>543</v>
      </c>
      <c r="O21" s="9">
        <v>539</v>
      </c>
      <c r="P21" s="9" t="s">
        <v>544</v>
      </c>
      <c r="Q21" s="9">
        <v>267</v>
      </c>
      <c r="R21" s="9" t="s">
        <v>545</v>
      </c>
      <c r="S21" s="9">
        <v>137</v>
      </c>
    </row>
    <row r="22" spans="1:27" ht="28.5" customHeight="1">
      <c r="A22" s="114" t="s">
        <v>546</v>
      </c>
      <c r="F22" s="9" t="str">
        <f t="shared" si="0"/>
        <v>https://www.ssbuy.tw/detail_giftcode/dist/giftcodes/明日方舟.html</v>
      </c>
      <c r="H22" s="9" t="str">
        <f t="shared" si="1"/>
        <v>https://www.ssbuy.tw/detail_giftcode/dist/gamedetail/明日方舟.html</v>
      </c>
      <c r="I22" s="17" t="s">
        <v>547</v>
      </c>
      <c r="J22" s="11" t="s">
        <v>498</v>
      </c>
      <c r="K22" s="9">
        <v>2551</v>
      </c>
      <c r="L22" s="9" t="s">
        <v>548</v>
      </c>
      <c r="M22" s="9">
        <v>1323</v>
      </c>
      <c r="N22" s="9" t="s">
        <v>473</v>
      </c>
      <c r="O22" s="9">
        <v>786</v>
      </c>
      <c r="P22" s="9" t="s">
        <v>549</v>
      </c>
      <c r="Q22" s="9">
        <v>539</v>
      </c>
      <c r="R22" s="9" t="s">
        <v>550</v>
      </c>
      <c r="S22" s="9">
        <v>267</v>
      </c>
      <c r="T22" s="9" t="s">
        <v>551</v>
      </c>
      <c r="U22" s="9">
        <v>137</v>
      </c>
      <c r="V22" s="9" t="s">
        <v>552</v>
      </c>
      <c r="W22" s="9">
        <v>35</v>
      </c>
    </row>
    <row r="23" spans="1:27" ht="28.5" customHeight="1">
      <c r="A23" s="114" t="s">
        <v>553</v>
      </c>
      <c r="F23" s="9" t="str">
        <f t="shared" si="0"/>
        <v>https://www.ssbuy.tw/detail_giftcode/dist/giftcodes/屍鬼三國.html</v>
      </c>
      <c r="H23" s="9" t="str">
        <f t="shared" si="1"/>
        <v>https://www.ssbuy.tw/detail_giftcode/dist/gamedetail/屍鬼三國.html</v>
      </c>
      <c r="I23" s="17" t="s">
        <v>554</v>
      </c>
      <c r="J23" s="11" t="s">
        <v>555</v>
      </c>
      <c r="K23" s="9">
        <v>2551</v>
      </c>
      <c r="L23" s="9" t="s">
        <v>556</v>
      </c>
      <c r="M23" s="9">
        <v>1323</v>
      </c>
      <c r="N23" s="9" t="s">
        <v>557</v>
      </c>
      <c r="O23" s="9">
        <v>786</v>
      </c>
      <c r="P23" s="9" t="s">
        <v>558</v>
      </c>
      <c r="Q23" s="9">
        <v>394</v>
      </c>
      <c r="R23" s="9" t="s">
        <v>559</v>
      </c>
      <c r="S23" s="9">
        <v>137</v>
      </c>
      <c r="T23" s="9" t="s">
        <v>560</v>
      </c>
      <c r="U23" s="9">
        <v>30</v>
      </c>
    </row>
    <row r="24" spans="1:27" ht="28.5" customHeight="1">
      <c r="A24" s="114" t="s">
        <v>561</v>
      </c>
      <c r="F24" s="9" t="str">
        <f t="shared" si="0"/>
        <v>https://www.ssbuy.tw/detail_giftcode/dist/giftcodes/星鏈計畫：未來少女.html</v>
      </c>
      <c r="H24" s="9" t="str">
        <f t="shared" si="1"/>
        <v>https://www.ssbuy.tw/detail_giftcode/dist/gamedetail/星鏈計畫：未來少女.html</v>
      </c>
      <c r="I24" s="17" t="s">
        <v>562</v>
      </c>
      <c r="J24" s="11" t="s">
        <v>563</v>
      </c>
      <c r="K24" s="9">
        <v>2150</v>
      </c>
      <c r="L24" s="9" t="s">
        <v>564</v>
      </c>
      <c r="M24" s="9">
        <v>1750</v>
      </c>
      <c r="N24" s="9" t="s">
        <v>565</v>
      </c>
      <c r="O24" s="9">
        <v>1130</v>
      </c>
      <c r="P24" s="9" t="s">
        <v>566</v>
      </c>
      <c r="Q24" s="9">
        <v>700</v>
      </c>
      <c r="R24" s="9" t="s">
        <v>567</v>
      </c>
      <c r="S24" s="9">
        <v>340</v>
      </c>
      <c r="T24" s="9" t="s">
        <v>568</v>
      </c>
      <c r="U24" s="9">
        <v>90</v>
      </c>
    </row>
    <row r="25" spans="1:27" ht="28.5" customHeight="1">
      <c r="A25" s="114" t="s">
        <v>569</v>
      </c>
      <c r="F25" s="9" t="str">
        <f t="shared" si="0"/>
        <v>https://www.ssbuy.tw/detail_giftcode/dist/giftcodes/英雄之王.html</v>
      </c>
      <c r="H25" s="9" t="str">
        <f t="shared" si="1"/>
        <v>https://www.ssbuy.tw/detail_giftcode/dist/gamedetail/英雄之王.html</v>
      </c>
      <c r="I25" s="17" t="s">
        <v>570</v>
      </c>
      <c r="J25" s="11" t="s">
        <v>571</v>
      </c>
      <c r="K25" s="9">
        <v>2551</v>
      </c>
      <c r="L25" s="9" t="s">
        <v>490</v>
      </c>
      <c r="M25" s="9">
        <v>1323</v>
      </c>
      <c r="N25" s="9" t="s">
        <v>491</v>
      </c>
      <c r="O25" s="9">
        <v>786</v>
      </c>
      <c r="P25" s="9" t="s">
        <v>572</v>
      </c>
      <c r="Q25" s="9">
        <v>539</v>
      </c>
      <c r="R25" s="9" t="s">
        <v>573</v>
      </c>
      <c r="S25" s="9">
        <v>267</v>
      </c>
      <c r="T25" s="9" t="s">
        <v>574</v>
      </c>
      <c r="U25" s="9">
        <v>137</v>
      </c>
      <c r="V25" s="9" t="s">
        <v>575</v>
      </c>
      <c r="W25" s="9">
        <v>35</v>
      </c>
    </row>
    <row r="26" spans="1:27" ht="28.5" customHeight="1">
      <c r="A26" s="114" t="s">
        <v>576</v>
      </c>
      <c r="F26" s="9" t="str">
        <f t="shared" si="0"/>
        <v>https://www.ssbuy.tw/detail_giftcode/dist/giftcodes/英雄聯盟.html</v>
      </c>
      <c r="H26" s="9" t="str">
        <f t="shared" si="1"/>
        <v>https://www.ssbuy.tw/detail_giftcode/dist/gamedetail/英雄聯盟.html</v>
      </c>
      <c r="I26" s="17" t="s">
        <v>1535</v>
      </c>
      <c r="J26" s="11" t="s">
        <v>577</v>
      </c>
      <c r="K26" s="9">
        <v>2420</v>
      </c>
      <c r="L26" s="9" t="s">
        <v>578</v>
      </c>
      <c r="M26" s="9">
        <v>1323</v>
      </c>
      <c r="N26" s="9" t="s">
        <v>579</v>
      </c>
      <c r="O26" s="9">
        <v>740</v>
      </c>
      <c r="P26" s="9" t="s">
        <v>580</v>
      </c>
      <c r="Q26" s="9">
        <v>267</v>
      </c>
      <c r="R26" s="9" t="s">
        <v>581</v>
      </c>
      <c r="S26" s="9">
        <v>137</v>
      </c>
    </row>
    <row r="27" spans="1:27" ht="28.5" customHeight="1">
      <c r="A27" s="114" t="s">
        <v>582</v>
      </c>
      <c r="F27" s="9" t="str">
        <f t="shared" si="0"/>
        <v>https://www.ssbuy.tw/detail_giftcode/dist/giftcodes/恐龍突變.html</v>
      </c>
      <c r="H27" s="9" t="str">
        <f t="shared" si="1"/>
        <v>https://www.ssbuy.tw/detail_giftcode/dist/gamedetail/恐龍突變.html</v>
      </c>
      <c r="I27" s="17" t="s">
        <v>583</v>
      </c>
      <c r="J27" s="11" t="s">
        <v>584</v>
      </c>
      <c r="K27" s="9">
        <v>1323</v>
      </c>
      <c r="L27" s="9" t="s">
        <v>585</v>
      </c>
      <c r="M27" s="9">
        <v>1120</v>
      </c>
      <c r="N27" s="9" t="s">
        <v>586</v>
      </c>
      <c r="O27" s="9">
        <v>786</v>
      </c>
      <c r="P27" s="9" t="s">
        <v>587</v>
      </c>
      <c r="Q27" s="9">
        <v>680</v>
      </c>
      <c r="R27" s="9" t="s">
        <v>588</v>
      </c>
      <c r="S27" s="9">
        <v>539</v>
      </c>
      <c r="T27" s="9" t="s">
        <v>589</v>
      </c>
      <c r="U27" s="9">
        <v>394</v>
      </c>
      <c r="V27" s="9" t="s">
        <v>590</v>
      </c>
      <c r="W27" s="9">
        <v>267</v>
      </c>
      <c r="X27" s="9" t="s">
        <v>591</v>
      </c>
      <c r="Y27" s="9">
        <v>170</v>
      </c>
    </row>
    <row r="28" spans="1:27" ht="28.5" customHeight="1">
      <c r="A28" s="114" t="s">
        <v>592</v>
      </c>
      <c r="F28" s="9" t="str">
        <f t="shared" si="0"/>
        <v>https://www.ssbuy.tw/detail_giftcode/dist/giftcodes/神域.html</v>
      </c>
      <c r="H28" s="9" t="str">
        <f t="shared" si="1"/>
        <v>https://www.ssbuy.tw/detail_giftcode/dist/gamedetail/神域.html</v>
      </c>
      <c r="I28" s="17" t="s">
        <v>593</v>
      </c>
      <c r="J28" s="11" t="s">
        <v>594</v>
      </c>
      <c r="K28" s="9">
        <v>2551</v>
      </c>
      <c r="L28" s="9" t="s">
        <v>595</v>
      </c>
      <c r="M28" s="9">
        <v>1323</v>
      </c>
      <c r="N28" s="9" t="s">
        <v>596</v>
      </c>
      <c r="O28" s="9">
        <v>786</v>
      </c>
      <c r="P28" s="9" t="s">
        <v>597</v>
      </c>
      <c r="Q28" s="9">
        <v>539</v>
      </c>
      <c r="R28" s="9" t="s">
        <v>598</v>
      </c>
      <c r="S28" s="9">
        <v>267</v>
      </c>
      <c r="T28" s="9" t="s">
        <v>502</v>
      </c>
      <c r="U28" s="9">
        <v>137</v>
      </c>
      <c r="V28" s="9" t="s">
        <v>461</v>
      </c>
      <c r="W28" s="9">
        <v>35</v>
      </c>
    </row>
    <row r="29" spans="1:27" ht="28.5" customHeight="1">
      <c r="A29" s="114" t="s">
        <v>599</v>
      </c>
      <c r="F29" s="9" t="str">
        <f t="shared" si="0"/>
        <v>https://www.ssbuy.tw/detail_giftcode/dist/giftcodes/崩壞：星穹鐵道.html</v>
      </c>
      <c r="H29" s="9" t="str">
        <f t="shared" si="1"/>
        <v>https://www.ssbuy.tw/detail_giftcode/dist/gamedetail/崩壞：星穹鐵道.html</v>
      </c>
      <c r="I29" s="17" t="s">
        <v>600</v>
      </c>
      <c r="J29" s="11" t="s">
        <v>601</v>
      </c>
      <c r="K29" s="9">
        <v>2320</v>
      </c>
      <c r="L29" s="9" t="s">
        <v>602</v>
      </c>
      <c r="M29" s="9">
        <v>1250</v>
      </c>
      <c r="N29" s="9" t="s">
        <v>603</v>
      </c>
      <c r="O29" s="9">
        <v>790</v>
      </c>
      <c r="P29" s="9" t="s">
        <v>604</v>
      </c>
      <c r="Q29" s="9">
        <v>394</v>
      </c>
      <c r="R29" s="9" t="s">
        <v>605</v>
      </c>
      <c r="S29" s="9">
        <v>137</v>
      </c>
      <c r="T29" s="9" t="s">
        <v>606</v>
      </c>
      <c r="U29" s="9">
        <v>30</v>
      </c>
      <c r="V29" s="9" t="s">
        <v>607</v>
      </c>
      <c r="W29" s="9">
        <v>137</v>
      </c>
      <c r="X29" s="9" t="s">
        <v>608</v>
      </c>
      <c r="Y29" s="9">
        <v>260</v>
      </c>
      <c r="Z29" s="9" t="s">
        <v>609</v>
      </c>
      <c r="AA29" s="9">
        <v>520</v>
      </c>
    </row>
    <row r="30" spans="1:27" ht="28.5" customHeight="1">
      <c r="A30" s="114" t="s">
        <v>610</v>
      </c>
      <c r="F30" s="9" t="str">
        <f t="shared" si="0"/>
        <v>https://www.ssbuy.tw/detail_giftcode/dist/giftcodes/救世者之樹：新世界.html</v>
      </c>
      <c r="H30" s="9" t="str">
        <f t="shared" si="1"/>
        <v>https://www.ssbuy.tw/detail_giftcode/dist/gamedetail/救世者之樹：新世界.html</v>
      </c>
      <c r="I30" s="17" t="s">
        <v>611</v>
      </c>
      <c r="J30" s="11" t="s">
        <v>612</v>
      </c>
      <c r="K30" s="9">
        <v>2551</v>
      </c>
      <c r="L30" s="9" t="s">
        <v>490</v>
      </c>
      <c r="M30" s="9">
        <v>1323</v>
      </c>
      <c r="N30" s="9" t="s">
        <v>613</v>
      </c>
      <c r="O30" s="9">
        <v>786</v>
      </c>
      <c r="P30" s="9" t="s">
        <v>614</v>
      </c>
      <c r="Q30" s="9">
        <v>539</v>
      </c>
      <c r="R30" s="9" t="s">
        <v>615</v>
      </c>
      <c r="S30" s="9">
        <v>267</v>
      </c>
      <c r="T30" s="9" t="s">
        <v>616</v>
      </c>
      <c r="U30" s="9">
        <v>137</v>
      </c>
      <c r="V30" s="9" t="s">
        <v>617</v>
      </c>
      <c r="W30" s="9">
        <v>35</v>
      </c>
    </row>
    <row r="31" spans="1:27" ht="28.5" customHeight="1">
      <c r="A31" s="114" t="s">
        <v>618</v>
      </c>
      <c r="F31" s="9" t="str">
        <f t="shared" si="0"/>
        <v>https://www.ssbuy.tw/detail_giftcode/dist/giftcodes/球球英雄.html</v>
      </c>
      <c r="H31" s="9" t="str">
        <f t="shared" si="1"/>
        <v>https://www.ssbuy.tw/detail_giftcode/dist/gamedetail/球球英雄.html</v>
      </c>
      <c r="I31" s="17" t="s">
        <v>619</v>
      </c>
      <c r="J31" s="11" t="s">
        <v>620</v>
      </c>
      <c r="K31" s="9">
        <v>2551</v>
      </c>
      <c r="L31" s="9" t="s">
        <v>595</v>
      </c>
      <c r="M31" s="9">
        <v>1390</v>
      </c>
      <c r="N31" s="9" t="s">
        <v>621</v>
      </c>
      <c r="O31" s="9">
        <v>786</v>
      </c>
      <c r="P31" s="9" t="s">
        <v>622</v>
      </c>
      <c r="Q31" s="9">
        <v>539</v>
      </c>
      <c r="R31" s="9" t="s">
        <v>623</v>
      </c>
      <c r="S31" s="9">
        <v>267</v>
      </c>
      <c r="T31" s="9" t="s">
        <v>624</v>
      </c>
      <c r="U31" s="9">
        <v>137</v>
      </c>
      <c r="V31" s="9" t="s">
        <v>625</v>
      </c>
      <c r="W31" s="9">
        <v>35</v>
      </c>
    </row>
    <row r="32" spans="1:27" ht="28.5" customHeight="1">
      <c r="A32" s="114" t="s">
        <v>626</v>
      </c>
      <c r="F32" s="9" t="str">
        <f t="shared" si="0"/>
        <v>https://www.ssbuy.tw/detail_giftcode/dist/giftcodes/第七史詩.html</v>
      </c>
      <c r="H32" s="9" t="str">
        <f t="shared" si="1"/>
        <v>https://www.ssbuy.tw/detail_giftcode/dist/gamedetail/第七史詩.html</v>
      </c>
      <c r="I32" s="17" t="s">
        <v>627</v>
      </c>
      <c r="J32" s="11" t="s">
        <v>628</v>
      </c>
      <c r="K32" s="9">
        <v>2551</v>
      </c>
      <c r="L32" s="9" t="s">
        <v>629</v>
      </c>
      <c r="M32" s="9">
        <v>1390</v>
      </c>
      <c r="N32" s="9" t="s">
        <v>630</v>
      </c>
      <c r="O32" s="9">
        <v>786</v>
      </c>
      <c r="P32" s="9" t="s">
        <v>622</v>
      </c>
      <c r="Q32" s="9">
        <v>539</v>
      </c>
      <c r="R32" s="9" t="s">
        <v>631</v>
      </c>
      <c r="S32" s="9">
        <v>267</v>
      </c>
      <c r="T32" s="9" t="s">
        <v>632</v>
      </c>
      <c r="U32" s="9">
        <v>137</v>
      </c>
      <c r="V32" s="9" t="s">
        <v>633</v>
      </c>
      <c r="W32" s="9">
        <v>35</v>
      </c>
    </row>
    <row r="33" spans="1:27" ht="28.5" customHeight="1">
      <c r="A33" s="114" t="s">
        <v>634</v>
      </c>
      <c r="F33" s="9" t="str">
        <f t="shared" si="0"/>
        <v>https://www.ssbuy.tw/detail_giftcode/dist/giftcodes/創世紀戰M：阿修羅計畫.html</v>
      </c>
      <c r="H33" s="9" t="str">
        <f t="shared" si="1"/>
        <v>https://www.ssbuy.tw/detail_giftcode/dist/gamedetail/創世紀戰M：阿修羅計畫.html</v>
      </c>
      <c r="I33" s="17" t="s">
        <v>635</v>
      </c>
      <c r="J33" s="11" t="s">
        <v>636</v>
      </c>
      <c r="K33" s="9">
        <v>2551</v>
      </c>
      <c r="L33" s="9" t="s">
        <v>637</v>
      </c>
      <c r="M33" s="9">
        <v>1980</v>
      </c>
      <c r="N33" s="9" t="s">
        <v>638</v>
      </c>
      <c r="O33" s="9">
        <v>1323</v>
      </c>
      <c r="P33" s="9" t="s">
        <v>639</v>
      </c>
      <c r="Q33" s="9">
        <v>786</v>
      </c>
      <c r="R33" s="9" t="s">
        <v>640</v>
      </c>
      <c r="S33" s="9">
        <v>539</v>
      </c>
      <c r="T33" s="9" t="s">
        <v>641</v>
      </c>
      <c r="U33" s="9">
        <v>394</v>
      </c>
      <c r="V33" s="9" t="s">
        <v>642</v>
      </c>
      <c r="W33" s="9">
        <v>137</v>
      </c>
      <c r="X33" s="9" t="s">
        <v>643</v>
      </c>
      <c r="Y33" s="9">
        <v>40</v>
      </c>
    </row>
    <row r="34" spans="1:27" ht="28.5" customHeight="1">
      <c r="A34" s="114" t="s">
        <v>644</v>
      </c>
      <c r="F34" s="9" t="str">
        <f t="shared" si="0"/>
        <v>https://www.ssbuy.tw/detail_giftcode/dist/giftcodes/最強宗師.html</v>
      </c>
      <c r="H34" s="9" t="str">
        <f t="shared" si="1"/>
        <v>https://www.ssbuy.tw/detail_giftcode/dist/gamedetail/最強宗師.html</v>
      </c>
      <c r="I34" s="17" t="s">
        <v>645</v>
      </c>
      <c r="J34" s="11" t="s">
        <v>646</v>
      </c>
      <c r="K34" s="9">
        <v>2551</v>
      </c>
      <c r="L34" s="9" t="s">
        <v>647</v>
      </c>
      <c r="M34" s="9">
        <v>1323</v>
      </c>
      <c r="N34" s="9" t="s">
        <v>648</v>
      </c>
      <c r="O34" s="9">
        <v>786</v>
      </c>
      <c r="P34" s="9" t="s">
        <v>649</v>
      </c>
      <c r="Q34" s="9">
        <v>539</v>
      </c>
      <c r="R34" s="9" t="s">
        <v>650</v>
      </c>
      <c r="S34" s="9">
        <v>394</v>
      </c>
      <c r="T34" s="9" t="s">
        <v>651</v>
      </c>
      <c r="U34" s="9">
        <v>267</v>
      </c>
      <c r="V34" s="9" t="s">
        <v>652</v>
      </c>
      <c r="W34" s="9">
        <v>137</v>
      </c>
      <c r="X34" s="9" t="s">
        <v>653</v>
      </c>
      <c r="Y34" s="9">
        <v>60</v>
      </c>
      <c r="Z34" s="9" t="s">
        <v>654</v>
      </c>
      <c r="AA34" s="9">
        <v>35</v>
      </c>
    </row>
    <row r="35" spans="1:27" ht="28.5" customHeight="1">
      <c r="A35" s="114" t="s">
        <v>655</v>
      </c>
      <c r="F35" s="9" t="str">
        <f t="shared" si="0"/>
        <v>https://www.ssbuy.tw/detail_giftcode/dist/giftcodes/無期迷途.html</v>
      </c>
      <c r="H35" s="9" t="str">
        <f t="shared" si="1"/>
        <v>https://www.ssbuy.tw/detail_giftcode/dist/gamedetail/無期迷途.html</v>
      </c>
      <c r="I35" s="17" t="s">
        <v>656</v>
      </c>
      <c r="J35" s="11" t="s">
        <v>657</v>
      </c>
      <c r="K35" s="9">
        <v>2360</v>
      </c>
      <c r="L35" s="9" t="s">
        <v>658</v>
      </c>
      <c r="M35" s="9">
        <v>1200</v>
      </c>
      <c r="N35" s="9" t="s">
        <v>659</v>
      </c>
      <c r="O35" s="9">
        <v>800</v>
      </c>
      <c r="P35" s="9" t="s">
        <v>660</v>
      </c>
      <c r="Q35" s="9">
        <v>420</v>
      </c>
      <c r="R35" s="9" t="s">
        <v>661</v>
      </c>
      <c r="S35" s="9">
        <v>137</v>
      </c>
      <c r="T35" s="9" t="s">
        <v>662</v>
      </c>
      <c r="U35" s="9">
        <v>30</v>
      </c>
    </row>
    <row r="36" spans="1:27" ht="28.5" customHeight="1">
      <c r="A36" s="114" t="s">
        <v>663</v>
      </c>
      <c r="F36" s="9" t="str">
        <f t="shared" si="0"/>
        <v>https://www.ssbuy.tw/detail_giftcode/dist/giftcodes/絕區零.html</v>
      </c>
      <c r="H36" s="9" t="str">
        <f t="shared" si="1"/>
        <v>https://www.ssbuy.tw/detail_giftcode/dist/gamedetail/絕區零.html</v>
      </c>
      <c r="I36" s="17" t="s">
        <v>664</v>
      </c>
      <c r="J36" s="11" t="s">
        <v>665</v>
      </c>
      <c r="K36" s="9">
        <v>2520</v>
      </c>
      <c r="L36" s="9" t="s">
        <v>666</v>
      </c>
      <c r="M36" s="9">
        <v>1323</v>
      </c>
      <c r="N36" s="9" t="s">
        <v>667</v>
      </c>
      <c r="O36" s="9">
        <v>786</v>
      </c>
      <c r="P36" s="9" t="s">
        <v>668</v>
      </c>
      <c r="Q36" s="9">
        <v>394</v>
      </c>
      <c r="R36" s="9" t="s">
        <v>669</v>
      </c>
      <c r="S36" s="9">
        <v>137</v>
      </c>
      <c r="T36" s="9" t="s">
        <v>670</v>
      </c>
      <c r="U36" s="9">
        <v>30</v>
      </c>
      <c r="V36" s="9" t="s">
        <v>671</v>
      </c>
      <c r="W36" s="9">
        <v>137</v>
      </c>
      <c r="X36" s="9" t="s">
        <v>672</v>
      </c>
      <c r="Y36" s="9">
        <v>270</v>
      </c>
      <c r="Z36" s="9" t="s">
        <v>673</v>
      </c>
      <c r="AA36" s="9">
        <v>540</v>
      </c>
    </row>
    <row r="37" spans="1:27" ht="28.5" customHeight="1">
      <c r="A37" s="114" t="s">
        <v>674</v>
      </c>
      <c r="F37" s="9" t="str">
        <f t="shared" si="0"/>
        <v>https://www.ssbuy.tw/detail_giftcode/dist/giftcodes/傳說對決.html</v>
      </c>
      <c r="H37" s="9" t="str">
        <f t="shared" si="1"/>
        <v>https://www.ssbuy.tw/detail_giftcode/dist/gamedetail/傳說對決.html</v>
      </c>
      <c r="I37" s="17" t="s">
        <v>675</v>
      </c>
      <c r="J37" s="11" t="s">
        <v>676</v>
      </c>
      <c r="K37" s="9">
        <v>2660</v>
      </c>
      <c r="L37" s="9" t="s">
        <v>677</v>
      </c>
      <c r="M37" s="9">
        <v>2350</v>
      </c>
      <c r="N37" s="9" t="s">
        <v>678</v>
      </c>
      <c r="O37" s="9">
        <v>1890</v>
      </c>
      <c r="P37" s="9" t="s">
        <v>679</v>
      </c>
      <c r="Q37" s="9">
        <v>1390</v>
      </c>
      <c r="R37" s="9" t="s">
        <v>680</v>
      </c>
      <c r="S37" s="9">
        <v>970</v>
      </c>
      <c r="T37" s="9" t="s">
        <v>681</v>
      </c>
      <c r="U37" s="9">
        <v>750</v>
      </c>
      <c r="V37" s="9" t="s">
        <v>682</v>
      </c>
      <c r="W37" s="9">
        <v>490</v>
      </c>
      <c r="X37" s="9" t="s">
        <v>683</v>
      </c>
      <c r="Y37" s="9">
        <v>250</v>
      </c>
    </row>
    <row r="38" spans="1:27" ht="28.5" customHeight="1">
      <c r="A38" s="114" t="s">
        <v>684</v>
      </c>
      <c r="F38" s="9" t="str">
        <f t="shared" si="0"/>
        <v>https://www.ssbuy.tw/detail_giftcode/dist/giftcodes/楓之谷M.html</v>
      </c>
      <c r="H38" s="9" t="str">
        <f t="shared" si="1"/>
        <v>https://www.ssbuy.tw/detail_giftcode/dist/gamedetail/楓之谷M.html</v>
      </c>
      <c r="I38" s="17" t="s">
        <v>685</v>
      </c>
      <c r="J38" s="11" t="s">
        <v>686</v>
      </c>
      <c r="K38" s="9">
        <v>2551</v>
      </c>
      <c r="L38" s="9" t="s">
        <v>687</v>
      </c>
      <c r="M38" s="9">
        <v>1390</v>
      </c>
      <c r="N38" s="9" t="s">
        <v>688</v>
      </c>
      <c r="O38" s="9">
        <v>786</v>
      </c>
      <c r="P38" s="9" t="s">
        <v>689</v>
      </c>
      <c r="Q38" s="9">
        <v>539</v>
      </c>
      <c r="R38" s="9" t="s">
        <v>573</v>
      </c>
      <c r="S38" s="9">
        <v>267</v>
      </c>
      <c r="T38" s="9" t="s">
        <v>690</v>
      </c>
      <c r="U38" s="9">
        <v>137</v>
      </c>
      <c r="V38" s="9" t="s">
        <v>691</v>
      </c>
      <c r="W38" s="9">
        <v>35</v>
      </c>
    </row>
    <row r="39" spans="1:27" ht="28.5" customHeight="1">
      <c r="A39" s="114" t="s">
        <v>692</v>
      </c>
      <c r="F39" s="9" t="str">
        <f t="shared" si="0"/>
        <v>https://www.ssbuy.tw/detail_giftcode/dist/giftcodes/鳴潮.html</v>
      </c>
      <c r="H39" s="9" t="str">
        <f t="shared" si="1"/>
        <v>https://www.ssbuy.tw/detail_giftcode/dist/gamedetail/鳴潮.html</v>
      </c>
      <c r="I39" s="17" t="s">
        <v>693</v>
      </c>
      <c r="J39" s="11" t="s">
        <v>694</v>
      </c>
      <c r="K39" s="9">
        <v>2320</v>
      </c>
      <c r="L39" s="9" t="s">
        <v>695</v>
      </c>
      <c r="M39" s="9">
        <v>1323</v>
      </c>
      <c r="N39" s="9" t="s">
        <v>696</v>
      </c>
      <c r="O39" s="9">
        <v>786</v>
      </c>
      <c r="P39" s="9" t="s">
        <v>697</v>
      </c>
      <c r="Q39" s="9">
        <v>394</v>
      </c>
      <c r="R39" s="9" t="s">
        <v>698</v>
      </c>
      <c r="S39" s="9">
        <v>137</v>
      </c>
      <c r="T39" s="9" t="s">
        <v>699</v>
      </c>
      <c r="U39" s="9">
        <v>30</v>
      </c>
      <c r="V39" s="9" t="s">
        <v>700</v>
      </c>
      <c r="W39" s="9">
        <v>137</v>
      </c>
      <c r="X39" s="9" t="s">
        <v>701</v>
      </c>
      <c r="Y39" s="9">
        <v>260</v>
      </c>
      <c r="Z39" s="9" t="s">
        <v>702</v>
      </c>
      <c r="AA39" s="9">
        <v>520</v>
      </c>
    </row>
    <row r="40" spans="1:27" ht="28.5" customHeight="1">
      <c r="A40" s="114" t="s">
        <v>703</v>
      </c>
      <c r="F40" s="9" t="str">
        <f t="shared" si="0"/>
        <v>https://www.ssbuy.tw/detail_giftcode/dist/giftcodes/劍與遠征：啟程.html</v>
      </c>
      <c r="H40" s="9" t="str">
        <f t="shared" si="1"/>
        <v>https://www.ssbuy.tw/detail_giftcode/dist/gamedetail/劍與遠征：啟程.html</v>
      </c>
      <c r="I40" s="17" t="s">
        <v>704</v>
      </c>
      <c r="J40" s="11" t="s">
        <v>705</v>
      </c>
      <c r="K40" s="9">
        <v>2420</v>
      </c>
      <c r="L40" s="9" t="s">
        <v>706</v>
      </c>
      <c r="M40" s="9">
        <v>1323</v>
      </c>
      <c r="N40" s="9" t="s">
        <v>707</v>
      </c>
      <c r="O40" s="9">
        <v>786</v>
      </c>
      <c r="P40" s="9" t="s">
        <v>572</v>
      </c>
      <c r="Q40" s="9">
        <v>539</v>
      </c>
      <c r="R40" s="9" t="s">
        <v>708</v>
      </c>
      <c r="S40" s="9">
        <v>267</v>
      </c>
      <c r="T40" s="9" t="s">
        <v>709</v>
      </c>
      <c r="U40" s="9">
        <v>137</v>
      </c>
      <c r="V40" s="9" t="s">
        <v>691</v>
      </c>
      <c r="W40" s="9">
        <v>35</v>
      </c>
    </row>
    <row r="41" spans="1:27" ht="28.5" customHeight="1">
      <c r="A41" s="114" t="s">
        <v>710</v>
      </c>
      <c r="F41" s="9" t="str">
        <f t="shared" si="0"/>
        <v>https://www.ssbuy.tw/detail_giftcode/dist/giftcodes/熱血大作戰.html</v>
      </c>
      <c r="H41" s="9" t="str">
        <f t="shared" si="1"/>
        <v>https://www.ssbuy.tw/detail_giftcode/dist/gamedetail/熱血大作戰.html</v>
      </c>
      <c r="I41" s="17" t="s">
        <v>711</v>
      </c>
      <c r="J41" s="11" t="s">
        <v>712</v>
      </c>
      <c r="K41" s="9">
        <v>2551</v>
      </c>
      <c r="L41" s="9" t="s">
        <v>713</v>
      </c>
      <c r="M41" s="9">
        <v>1323</v>
      </c>
      <c r="N41" s="9" t="s">
        <v>714</v>
      </c>
      <c r="O41" s="9">
        <v>786</v>
      </c>
      <c r="P41" s="9" t="s">
        <v>715</v>
      </c>
      <c r="Q41" s="9">
        <v>450</v>
      </c>
      <c r="R41" s="9" t="s">
        <v>716</v>
      </c>
      <c r="S41" s="9">
        <v>137</v>
      </c>
      <c r="T41" s="9" t="s">
        <v>717</v>
      </c>
      <c r="U41" s="9">
        <v>40</v>
      </c>
    </row>
    <row r="42" spans="1:27" ht="28.5" customHeight="1">
      <c r="A42" s="114" t="s">
        <v>718</v>
      </c>
      <c r="F42" s="9" t="str">
        <f t="shared" si="0"/>
        <v>https://www.ssbuy.tw/detail_giftcode/dist/giftcodes/骷髏傳說：戰神崛起.html</v>
      </c>
      <c r="H42" s="9" t="str">
        <f t="shared" si="1"/>
        <v>https://www.ssbuy.tw/detail_giftcode/dist/gamedetail/骷髏傳說：戰神崛起.html</v>
      </c>
      <c r="I42" s="17" t="s">
        <v>719</v>
      </c>
      <c r="J42" s="11" t="s">
        <v>720</v>
      </c>
      <c r="K42" s="9">
        <v>2200</v>
      </c>
      <c r="L42" s="9" t="s">
        <v>721</v>
      </c>
      <c r="M42" s="9">
        <v>1380</v>
      </c>
      <c r="N42" s="9" t="s">
        <v>722</v>
      </c>
      <c r="O42" s="9">
        <v>450</v>
      </c>
      <c r="P42" s="9" t="s">
        <v>723</v>
      </c>
      <c r="Q42" s="9">
        <v>240</v>
      </c>
      <c r="R42" s="9" t="s">
        <v>724</v>
      </c>
      <c r="S42" s="9">
        <v>137</v>
      </c>
    </row>
    <row r="43" spans="1:27" ht="28.5" customHeight="1">
      <c r="A43" s="114" t="s">
        <v>725</v>
      </c>
      <c r="F43" s="9" t="str">
        <f t="shared" si="0"/>
        <v>https://www.ssbuy.tw/detail_giftcode/dist/giftcodes/黎明：血色魔女.html</v>
      </c>
      <c r="H43" s="9" t="str">
        <f t="shared" si="1"/>
        <v>https://www.ssbuy.tw/detail_giftcode/dist/gamedetail/黎明：血色魔女.html</v>
      </c>
      <c r="I43" s="17" t="s">
        <v>726</v>
      </c>
      <c r="J43" s="11" t="s">
        <v>727</v>
      </c>
      <c r="K43" s="9">
        <v>2551</v>
      </c>
      <c r="L43" s="9" t="s">
        <v>728</v>
      </c>
      <c r="M43" s="9">
        <v>1323</v>
      </c>
      <c r="N43" s="9" t="s">
        <v>729</v>
      </c>
      <c r="O43" s="9">
        <v>786</v>
      </c>
      <c r="P43" s="9" t="s">
        <v>730</v>
      </c>
      <c r="Q43" s="9">
        <v>539</v>
      </c>
      <c r="R43" s="9" t="s">
        <v>731</v>
      </c>
      <c r="S43" s="9">
        <v>394</v>
      </c>
      <c r="T43" s="9" t="s">
        <v>732</v>
      </c>
      <c r="U43" s="9">
        <v>267</v>
      </c>
      <c r="V43" s="9" t="s">
        <v>733</v>
      </c>
      <c r="W43" s="9">
        <v>137</v>
      </c>
      <c r="X43" s="9" t="s">
        <v>734</v>
      </c>
      <c r="Y43" s="9">
        <v>35</v>
      </c>
    </row>
    <row r="44" spans="1:27" ht="28.5" customHeight="1">
      <c r="A44" s="114" t="s">
        <v>735</v>
      </c>
      <c r="F44" s="9" t="str">
        <f t="shared" si="0"/>
        <v>https://www.ssbuy.tw/detail_giftcode/dist/giftcodes/黎明啟示錄.html</v>
      </c>
      <c r="H44" s="9" t="str">
        <f t="shared" si="1"/>
        <v>https://www.ssbuy.tw/detail_giftcode/dist/gamedetail/黎明啟示錄.html</v>
      </c>
      <c r="I44" s="17" t="s">
        <v>736</v>
      </c>
      <c r="J44" s="11" t="s">
        <v>737</v>
      </c>
      <c r="K44" s="9">
        <v>2551</v>
      </c>
      <c r="L44" s="9" t="s">
        <v>430</v>
      </c>
      <c r="M44" s="9">
        <v>1390</v>
      </c>
      <c r="N44" s="9" t="s">
        <v>738</v>
      </c>
      <c r="O44" s="9">
        <v>786</v>
      </c>
      <c r="P44" s="9" t="s">
        <v>739</v>
      </c>
      <c r="Q44" s="9">
        <v>539</v>
      </c>
      <c r="R44" s="9" t="s">
        <v>708</v>
      </c>
      <c r="S44" s="9">
        <v>267</v>
      </c>
      <c r="T44" s="9" t="s">
        <v>574</v>
      </c>
      <c r="U44" s="9">
        <v>137</v>
      </c>
      <c r="V44" s="9" t="s">
        <v>740</v>
      </c>
      <c r="W44" s="9">
        <v>35</v>
      </c>
    </row>
    <row r="45" spans="1:27" ht="28.5" customHeight="1">
      <c r="A45" s="114" t="s">
        <v>741</v>
      </c>
      <c r="F45" s="9" t="str">
        <f t="shared" si="0"/>
        <v>https://www.ssbuy.tw/detail_giftcode/dist/giftcodes/龍魂旅人.html</v>
      </c>
      <c r="H45" s="9" t="str">
        <f t="shared" si="1"/>
        <v>https://www.ssbuy.tw/detail_giftcode/dist/gamedetail/龍魂旅人.html</v>
      </c>
      <c r="I45" s="17" t="s">
        <v>742</v>
      </c>
      <c r="J45" s="11" t="s">
        <v>743</v>
      </c>
      <c r="K45" s="9">
        <v>2551</v>
      </c>
      <c r="L45" s="9" t="s">
        <v>744</v>
      </c>
      <c r="M45" s="9">
        <v>1460</v>
      </c>
      <c r="N45" s="9" t="s">
        <v>745</v>
      </c>
      <c r="O45" s="9">
        <v>539</v>
      </c>
      <c r="P45" s="9" t="s">
        <v>746</v>
      </c>
      <c r="Q45" s="9">
        <v>267</v>
      </c>
      <c r="R45" s="9" t="s">
        <v>747</v>
      </c>
      <c r="S45" s="9">
        <v>137</v>
      </c>
      <c r="T45" s="9" t="s">
        <v>748</v>
      </c>
      <c r="U45" s="9">
        <v>30</v>
      </c>
    </row>
    <row r="46" spans="1:27" ht="28.5" customHeight="1">
      <c r="A46" s="114" t="s">
        <v>749</v>
      </c>
      <c r="F46" s="9" t="str">
        <f t="shared" si="0"/>
        <v>https://www.ssbuy.tw/detail_giftcode/dist/giftcodes/戀與深空.html</v>
      </c>
      <c r="H46" s="9" t="str">
        <f t="shared" si="1"/>
        <v>https://www.ssbuy.tw/detail_giftcode/dist/gamedetail/戀與深空.html</v>
      </c>
      <c r="I46" s="17" t="s">
        <v>750</v>
      </c>
      <c r="J46" s="11" t="s">
        <v>751</v>
      </c>
      <c r="K46" s="9">
        <v>2551</v>
      </c>
      <c r="L46" s="9" t="s">
        <v>752</v>
      </c>
      <c r="M46" s="9">
        <v>1323</v>
      </c>
      <c r="N46" s="9" t="s">
        <v>753</v>
      </c>
      <c r="O46" s="9">
        <v>786</v>
      </c>
      <c r="P46" s="9" t="s">
        <v>754</v>
      </c>
      <c r="Q46" s="9">
        <v>539</v>
      </c>
      <c r="R46" s="9" t="s">
        <v>755</v>
      </c>
      <c r="S46" s="9">
        <v>267</v>
      </c>
      <c r="T46" s="9" t="s">
        <v>756</v>
      </c>
      <c r="U46" s="9">
        <v>137</v>
      </c>
      <c r="V46" s="9" t="s">
        <v>691</v>
      </c>
      <c r="W46" s="9">
        <v>35</v>
      </c>
    </row>
    <row r="47" spans="1:27" ht="28.5" customHeight="1">
      <c r="A47" s="114" t="s">
        <v>757</v>
      </c>
      <c r="F47" s="9" t="str">
        <f t="shared" si="0"/>
        <v>https://www.ssbuy.tw/detail_giftcode/dist/giftcodes/靈魂衝擊：無限放置.html</v>
      </c>
      <c r="H47" s="9" t="str">
        <f t="shared" si="1"/>
        <v>https://www.ssbuy.tw/detail_giftcode/dist/gamedetail/靈魂衝擊：無限放置.html</v>
      </c>
      <c r="I47" s="17" t="s">
        <v>758</v>
      </c>
      <c r="J47" s="11" t="s">
        <v>759</v>
      </c>
      <c r="K47" s="9">
        <v>2290</v>
      </c>
      <c r="L47" s="9" t="s">
        <v>760</v>
      </c>
      <c r="M47" s="9">
        <v>1180</v>
      </c>
      <c r="N47" s="9" t="s">
        <v>761</v>
      </c>
      <c r="O47" s="9">
        <v>720</v>
      </c>
      <c r="P47" s="9" t="s">
        <v>762</v>
      </c>
      <c r="Q47" s="9">
        <v>267</v>
      </c>
      <c r="R47" s="9" t="s">
        <v>763</v>
      </c>
      <c r="S47" s="9">
        <v>137</v>
      </c>
      <c r="T47" s="9" t="s">
        <v>764</v>
      </c>
      <c r="U47" s="9">
        <v>40</v>
      </c>
    </row>
    <row r="48" spans="1:27" ht="28.5" customHeight="1">
      <c r="A48" s="114" t="s">
        <v>765</v>
      </c>
      <c r="F48" s="9" t="str">
        <f t="shared" si="0"/>
        <v>https://www.ssbuy.tw/detail_giftcode/dist/giftcodes/楓葉島.html</v>
      </c>
      <c r="H48" s="9" t="str">
        <f t="shared" si="1"/>
        <v>https://www.ssbuy.tw/detail_giftcode/dist/gamedetail/楓葉島.html</v>
      </c>
      <c r="I48" s="17" t="s">
        <v>766</v>
      </c>
      <c r="J48" s="11" t="s">
        <v>767</v>
      </c>
      <c r="K48" s="9">
        <v>2530</v>
      </c>
      <c r="L48" s="9" t="s">
        <v>768</v>
      </c>
      <c r="M48" s="9">
        <v>1323</v>
      </c>
      <c r="N48" s="9" t="s">
        <v>769</v>
      </c>
      <c r="O48" s="9">
        <v>786</v>
      </c>
      <c r="P48" s="9" t="s">
        <v>770</v>
      </c>
      <c r="Q48" s="9">
        <v>394</v>
      </c>
      <c r="R48" s="9" t="s">
        <v>771</v>
      </c>
      <c r="S48" s="9">
        <v>137</v>
      </c>
      <c r="T48" s="9" t="s">
        <v>772</v>
      </c>
      <c r="U48" s="9">
        <v>60</v>
      </c>
      <c r="V48" s="9" t="s">
        <v>773</v>
      </c>
      <c r="W48" s="9">
        <v>30</v>
      </c>
    </row>
    <row r="49" spans="1:27" ht="28.5" customHeight="1">
      <c r="A49" s="114" t="s">
        <v>774</v>
      </c>
      <c r="F49" s="9" t="str">
        <f t="shared" si="0"/>
        <v>https://www.ssbuy.tw/detail_giftcode/dist/giftcodes/無名江湖.html</v>
      </c>
      <c r="H49" s="9" t="str">
        <f t="shared" si="1"/>
        <v>https://www.ssbuy.tw/detail_giftcode/dist/gamedetail/無名江湖.html</v>
      </c>
      <c r="I49" s="17" t="s">
        <v>775</v>
      </c>
      <c r="J49" s="11" t="s">
        <v>776</v>
      </c>
      <c r="K49" s="9">
        <v>2551</v>
      </c>
      <c r="L49" s="9" t="s">
        <v>777</v>
      </c>
      <c r="M49" s="9">
        <v>1400</v>
      </c>
      <c r="N49" s="9" t="s">
        <v>778</v>
      </c>
      <c r="O49" s="9">
        <v>786</v>
      </c>
      <c r="P49" s="9" t="s">
        <v>779</v>
      </c>
      <c r="Q49" s="9">
        <v>539</v>
      </c>
      <c r="R49" s="9" t="s">
        <v>780</v>
      </c>
      <c r="S49" s="9">
        <v>267</v>
      </c>
      <c r="T49" s="9" t="s">
        <v>781</v>
      </c>
      <c r="U49" s="9">
        <v>137</v>
      </c>
    </row>
    <row r="50" spans="1:27" ht="28.5" customHeight="1">
      <c r="A50" s="114" t="s">
        <v>782</v>
      </c>
      <c r="F50" s="9" t="str">
        <f t="shared" si="0"/>
        <v>https://www.ssbuy.tw/detail_giftcode/dist/giftcodes/萬妖領域.html</v>
      </c>
      <c r="H50" s="9" t="str">
        <f t="shared" si="1"/>
        <v>https://www.ssbuy.tw/detail_giftcode/dist/gamedetail/萬妖領域.html</v>
      </c>
      <c r="I50" s="17" t="s">
        <v>783</v>
      </c>
      <c r="J50" s="11" t="s">
        <v>784</v>
      </c>
      <c r="K50" s="9">
        <v>2580</v>
      </c>
      <c r="L50" s="9" t="s">
        <v>785</v>
      </c>
      <c r="M50" s="9">
        <v>1370</v>
      </c>
      <c r="N50" s="9" t="s">
        <v>786</v>
      </c>
      <c r="O50" s="9">
        <v>786</v>
      </c>
      <c r="P50" s="9" t="s">
        <v>787</v>
      </c>
      <c r="Q50" s="9">
        <v>539</v>
      </c>
      <c r="R50" s="9" t="s">
        <v>788</v>
      </c>
      <c r="S50" s="9">
        <v>267</v>
      </c>
      <c r="T50" s="9" t="s">
        <v>789</v>
      </c>
      <c r="U50" s="9">
        <v>137</v>
      </c>
    </row>
    <row r="51" spans="1:27" ht="28.5" customHeight="1">
      <c r="A51" s="114" t="s">
        <v>790</v>
      </c>
      <c r="F51" s="9" t="str">
        <f t="shared" si="0"/>
        <v>https://www.ssbuy.tw/detail_giftcode/dist/giftcodes/一姬當千TD.html</v>
      </c>
      <c r="H51" s="9" t="str">
        <f t="shared" si="1"/>
        <v>https://www.ssbuy.tw/detail_giftcode/dist/gamedetail/一姬當千TD.html</v>
      </c>
      <c r="I51" s="17" t="s">
        <v>791</v>
      </c>
      <c r="J51" s="11" t="s">
        <v>792</v>
      </c>
      <c r="K51" s="9">
        <v>2580</v>
      </c>
      <c r="L51" s="9" t="s">
        <v>793</v>
      </c>
      <c r="M51" s="9">
        <v>1323</v>
      </c>
      <c r="N51" s="9" t="s">
        <v>794</v>
      </c>
      <c r="O51" s="9">
        <v>540</v>
      </c>
      <c r="P51" s="9" t="s">
        <v>795</v>
      </c>
      <c r="Q51" s="9">
        <v>137</v>
      </c>
      <c r="R51" s="9" t="s">
        <v>796</v>
      </c>
      <c r="S51" s="9">
        <v>30</v>
      </c>
    </row>
    <row r="52" spans="1:27" ht="28.5" customHeight="1">
      <c r="A52" s="114" t="s">
        <v>797</v>
      </c>
      <c r="F52" s="9" t="str">
        <f t="shared" si="0"/>
        <v>https://www.ssbuy.tw/detail_giftcode/dist/giftcodes/劍客行.html</v>
      </c>
      <c r="H52" s="9" t="str">
        <f t="shared" si="1"/>
        <v>https://www.ssbuy.tw/detail_giftcode/dist/gamedetail/劍客行.html</v>
      </c>
      <c r="I52" s="17" t="s">
        <v>798</v>
      </c>
      <c r="J52" s="11" t="s">
        <v>799</v>
      </c>
      <c r="K52" s="9">
        <v>2580</v>
      </c>
      <c r="L52" s="9" t="s">
        <v>800</v>
      </c>
      <c r="M52" s="9">
        <v>1323</v>
      </c>
      <c r="N52" s="9" t="s">
        <v>801</v>
      </c>
      <c r="O52" s="9">
        <v>786</v>
      </c>
      <c r="P52" s="9" t="s">
        <v>802</v>
      </c>
      <c r="Q52" s="9">
        <v>394</v>
      </c>
      <c r="R52" s="9" t="s">
        <v>803</v>
      </c>
      <c r="S52" s="9">
        <v>267</v>
      </c>
      <c r="T52" s="9" t="s">
        <v>804</v>
      </c>
      <c r="U52" s="9">
        <v>137</v>
      </c>
      <c r="V52" s="9" t="s">
        <v>805</v>
      </c>
      <c r="W52" s="9">
        <v>30</v>
      </c>
    </row>
    <row r="53" spans="1:27" ht="28.5" customHeight="1">
      <c r="A53" s="114" t="s">
        <v>806</v>
      </c>
      <c r="F53" s="9" t="str">
        <f t="shared" si="0"/>
        <v>https://www.ssbuy.tw/detail_giftcode/dist/giftcodes/時之樹少女.html</v>
      </c>
      <c r="H53" s="9" t="str">
        <f t="shared" si="1"/>
        <v>https://www.ssbuy.tw/detail_giftcode/dist/gamedetail/時之樹少女.html</v>
      </c>
      <c r="I53" s="17" t="s">
        <v>807</v>
      </c>
      <c r="J53" s="11" t="s">
        <v>808</v>
      </c>
      <c r="K53" s="9">
        <v>2551</v>
      </c>
      <c r="L53" s="9" t="s">
        <v>809</v>
      </c>
      <c r="M53" s="9">
        <v>1323</v>
      </c>
      <c r="N53" s="9" t="s">
        <v>810</v>
      </c>
      <c r="O53" s="9">
        <v>786</v>
      </c>
      <c r="P53" s="9" t="s">
        <v>811</v>
      </c>
      <c r="Q53" s="9">
        <v>267</v>
      </c>
      <c r="R53" s="9" t="s">
        <v>812</v>
      </c>
      <c r="S53" s="9">
        <v>137</v>
      </c>
      <c r="T53" s="9" t="s">
        <v>813</v>
      </c>
      <c r="U53" s="9">
        <v>30</v>
      </c>
    </row>
    <row r="54" spans="1:27" ht="28.5" customHeight="1">
      <c r="A54" s="114" t="s">
        <v>814</v>
      </c>
      <c r="F54" s="9" t="str">
        <f t="shared" si="0"/>
        <v>https://www.ssbuy.tw/detail_giftcode/dist/giftcodes/錨點降臨Re：Code.html</v>
      </c>
      <c r="H54" s="9" t="str">
        <f t="shared" si="1"/>
        <v>https://www.ssbuy.tw/detail_giftcode/dist/gamedetail/錨點降臨Re：Code.html</v>
      </c>
      <c r="I54" s="17" t="s">
        <v>815</v>
      </c>
      <c r="J54" s="11" t="s">
        <v>816</v>
      </c>
      <c r="K54" s="9">
        <v>2380</v>
      </c>
      <c r="L54" s="9" t="s">
        <v>817</v>
      </c>
      <c r="M54" s="9">
        <v>1230</v>
      </c>
      <c r="N54" s="9" t="s">
        <v>818</v>
      </c>
      <c r="O54" s="9">
        <v>786</v>
      </c>
      <c r="P54" s="9" t="s">
        <v>819</v>
      </c>
      <c r="Q54" s="9">
        <v>394</v>
      </c>
      <c r="R54" s="9" t="s">
        <v>820</v>
      </c>
      <c r="S54" s="9">
        <v>130</v>
      </c>
      <c r="T54" s="9" t="s">
        <v>821</v>
      </c>
      <c r="U54" s="9">
        <v>40</v>
      </c>
    </row>
    <row r="55" spans="1:27" ht="28.5" customHeight="1">
      <c r="A55" s="114" t="s">
        <v>822</v>
      </c>
      <c r="F55" s="9" t="str">
        <f t="shared" si="0"/>
        <v>https://www.ssbuy.tw/detail_giftcode/dist/giftcodes/神契氣靈師.html</v>
      </c>
      <c r="H55" s="9" t="str">
        <f t="shared" si="1"/>
        <v>https://www.ssbuy.tw/detail_giftcode/dist/gamedetail/神契氣靈師.html</v>
      </c>
      <c r="I55" s="17" t="s">
        <v>823</v>
      </c>
      <c r="J55" s="11" t="s">
        <v>824</v>
      </c>
      <c r="K55" s="9">
        <v>2551</v>
      </c>
      <c r="L55" s="9" t="s">
        <v>825</v>
      </c>
      <c r="M55" s="9">
        <v>1323</v>
      </c>
      <c r="N55" s="9" t="s">
        <v>826</v>
      </c>
      <c r="O55" s="9">
        <v>990</v>
      </c>
      <c r="P55" s="9" t="s">
        <v>827</v>
      </c>
      <c r="Q55" s="9">
        <v>394</v>
      </c>
      <c r="R55" s="9" t="s">
        <v>804</v>
      </c>
      <c r="S55" s="9">
        <v>137</v>
      </c>
      <c r="T55" s="9" t="s">
        <v>828</v>
      </c>
      <c r="U55" s="9">
        <v>100</v>
      </c>
      <c r="V55" s="9" t="s">
        <v>829</v>
      </c>
      <c r="W55" s="9">
        <v>40</v>
      </c>
    </row>
    <row r="56" spans="1:27" ht="28.5" customHeight="1">
      <c r="A56" s="114" t="s">
        <v>830</v>
      </c>
      <c r="F56" s="9" t="str">
        <f t="shared" si="0"/>
        <v>https://www.ssbuy.tw/detail_giftcode/dist/giftcodes/不休旅途：繪卷世界.html</v>
      </c>
      <c r="H56" s="9" t="str">
        <f t="shared" si="1"/>
        <v>https://www.ssbuy.tw/detail_giftcode/dist/gamedetail/不休旅途：繪卷世界.html</v>
      </c>
      <c r="I56" s="17" t="s">
        <v>831</v>
      </c>
      <c r="J56" s="11" t="s">
        <v>832</v>
      </c>
      <c r="K56" s="9">
        <v>2551</v>
      </c>
      <c r="L56" s="9" t="s">
        <v>833</v>
      </c>
      <c r="M56" s="9">
        <v>1323</v>
      </c>
      <c r="N56" s="9" t="s">
        <v>834</v>
      </c>
      <c r="O56" s="9">
        <v>539</v>
      </c>
      <c r="P56" s="9" t="s">
        <v>835</v>
      </c>
      <c r="Q56" s="9">
        <v>267</v>
      </c>
      <c r="R56" s="9" t="s">
        <v>836</v>
      </c>
      <c r="S56" s="9">
        <v>137</v>
      </c>
      <c r="T56" s="9" t="s">
        <v>837</v>
      </c>
      <c r="U56" s="9">
        <v>40</v>
      </c>
    </row>
    <row r="57" spans="1:27" ht="28.5" customHeight="1">
      <c r="A57" s="114" t="s">
        <v>838</v>
      </c>
      <c r="F57" s="9" t="str">
        <f t="shared" si="0"/>
        <v>https://www.ssbuy.tw/detail_giftcode/dist/giftcodes/別破防鴨.html</v>
      </c>
      <c r="H57" s="9" t="str">
        <f t="shared" si="1"/>
        <v>https://www.ssbuy.tw/detail_giftcode/dist/gamedetail/別破防鴨.html</v>
      </c>
      <c r="I57" s="17" t="s">
        <v>839</v>
      </c>
      <c r="J57" s="11" t="s">
        <v>840</v>
      </c>
      <c r="K57" s="9">
        <v>2551</v>
      </c>
      <c r="L57" s="9" t="s">
        <v>841</v>
      </c>
      <c r="M57" s="9">
        <v>1323</v>
      </c>
      <c r="N57" s="9" t="s">
        <v>842</v>
      </c>
      <c r="O57" s="9">
        <v>539</v>
      </c>
      <c r="P57" s="9" t="s">
        <v>843</v>
      </c>
      <c r="Q57" s="9">
        <v>267</v>
      </c>
      <c r="R57" s="9" t="s">
        <v>844</v>
      </c>
      <c r="S57" s="9">
        <v>137</v>
      </c>
      <c r="T57" s="9" t="s">
        <v>845</v>
      </c>
      <c r="U57" s="9">
        <v>40</v>
      </c>
    </row>
    <row r="58" spans="1:27" ht="28.5" customHeight="1">
      <c r="A58" s="114" t="s">
        <v>846</v>
      </c>
      <c r="F58" s="9" t="str">
        <f t="shared" si="0"/>
        <v>https://www.ssbuy.tw/detail_giftcode/dist/giftcodes/超派救星幫幫忙.html</v>
      </c>
      <c r="H58" s="9" t="str">
        <f t="shared" si="1"/>
        <v>https://www.ssbuy.tw/detail_giftcode/dist/gamedetail/超派救星幫幫忙.html</v>
      </c>
      <c r="I58" s="17" t="s">
        <v>847</v>
      </c>
      <c r="J58" s="11" t="s">
        <v>848</v>
      </c>
      <c r="K58" s="9">
        <v>2551</v>
      </c>
      <c r="L58" s="9" t="s">
        <v>849</v>
      </c>
      <c r="M58" s="9">
        <v>1323</v>
      </c>
      <c r="N58" s="9" t="s">
        <v>850</v>
      </c>
      <c r="O58" s="9">
        <v>786</v>
      </c>
      <c r="P58" s="9" t="s">
        <v>851</v>
      </c>
      <c r="Q58" s="9">
        <v>610</v>
      </c>
      <c r="R58" s="9" t="s">
        <v>852</v>
      </c>
      <c r="S58" s="9">
        <v>267</v>
      </c>
      <c r="T58" s="9" t="s">
        <v>853</v>
      </c>
      <c r="U58" s="9">
        <v>137</v>
      </c>
      <c r="V58" s="9" t="s">
        <v>854</v>
      </c>
      <c r="W58" s="9">
        <v>90</v>
      </c>
      <c r="X58" s="9" t="s">
        <v>855</v>
      </c>
      <c r="Y58" s="9">
        <v>70</v>
      </c>
      <c r="Z58" s="9" t="s">
        <v>856</v>
      </c>
      <c r="AA58" s="9">
        <v>40</v>
      </c>
    </row>
    <row r="59" spans="1:27" ht="28.5" customHeight="1">
      <c r="A59" s="114" t="s">
        <v>857</v>
      </c>
      <c r="F59" s="9" t="str">
        <f t="shared" si="0"/>
        <v>https://www.ssbuy.tw/detail_giftcode/dist/giftcodes/時光大爆炸.html</v>
      </c>
      <c r="H59" s="9" t="str">
        <f t="shared" si="1"/>
        <v>https://www.ssbuy.tw/detail_giftcode/dist/gamedetail/時光大爆炸.html</v>
      </c>
      <c r="I59" s="17" t="s">
        <v>858</v>
      </c>
      <c r="J59" s="11" t="s">
        <v>859</v>
      </c>
      <c r="K59" s="9">
        <v>2551</v>
      </c>
      <c r="L59" s="9" t="s">
        <v>860</v>
      </c>
      <c r="M59" s="9">
        <v>1323</v>
      </c>
      <c r="N59" s="9" t="s">
        <v>861</v>
      </c>
      <c r="O59" s="9">
        <v>786</v>
      </c>
      <c r="P59" s="9" t="s">
        <v>862</v>
      </c>
      <c r="Q59" s="9">
        <v>394</v>
      </c>
      <c r="R59" s="9" t="s">
        <v>863</v>
      </c>
      <c r="S59" s="9">
        <v>267</v>
      </c>
      <c r="T59" s="9" t="s">
        <v>864</v>
      </c>
      <c r="U59" s="9">
        <v>137</v>
      </c>
      <c r="V59" s="9" t="s">
        <v>865</v>
      </c>
      <c r="W59" s="9">
        <v>35</v>
      </c>
    </row>
    <row r="60" spans="1:27" ht="28.5" customHeight="1">
      <c r="A60" s="114" t="s">
        <v>866</v>
      </c>
      <c r="F60" s="9" t="str">
        <f t="shared" si="0"/>
        <v>https://www.ssbuy.tw/detail_giftcode/dist/giftcodes/深淵：不滅者.html</v>
      </c>
      <c r="H60" s="9" t="str">
        <f t="shared" si="1"/>
        <v>https://www.ssbuy.tw/detail_giftcode/dist/gamedetail/深淵：不滅者.html</v>
      </c>
      <c r="I60" s="17" t="s">
        <v>867</v>
      </c>
      <c r="J60" s="11" t="s">
        <v>868</v>
      </c>
      <c r="K60" s="9">
        <v>2551</v>
      </c>
      <c r="L60" s="9" t="s">
        <v>869</v>
      </c>
      <c r="M60" s="9">
        <v>1323</v>
      </c>
      <c r="N60" s="9" t="s">
        <v>870</v>
      </c>
      <c r="O60" s="9">
        <v>786</v>
      </c>
      <c r="P60" s="9" t="s">
        <v>871</v>
      </c>
      <c r="Q60" s="9">
        <v>539</v>
      </c>
      <c r="R60" s="9" t="s">
        <v>872</v>
      </c>
      <c r="S60" s="9">
        <v>394</v>
      </c>
      <c r="T60" s="9" t="s">
        <v>873</v>
      </c>
      <c r="U60" s="9">
        <v>267</v>
      </c>
      <c r="V60" s="9" t="s">
        <v>874</v>
      </c>
      <c r="W60" s="9">
        <v>137</v>
      </c>
      <c r="X60" s="9" t="s">
        <v>875</v>
      </c>
      <c r="Y60" s="9">
        <v>40</v>
      </c>
    </row>
    <row r="61" spans="1:27" ht="28.5" customHeight="1">
      <c r="A61" s="114" t="s">
        <v>2</v>
      </c>
      <c r="F61" s="9" t="str">
        <f t="shared" si="0"/>
        <v>https://www.ssbuy.tw/detail_giftcode/dist/giftcodes/Last War.html</v>
      </c>
      <c r="H61" s="9" t="str">
        <f t="shared" si="1"/>
        <v>https://www.ssbuy.tw/detail_giftcode/dist/gamedetail/Last War.html</v>
      </c>
      <c r="I61" s="17" t="s">
        <v>876</v>
      </c>
      <c r="J61" s="11" t="s">
        <v>877</v>
      </c>
      <c r="K61" s="9">
        <v>2551</v>
      </c>
      <c r="L61" s="9" t="s">
        <v>878</v>
      </c>
      <c r="M61" s="9">
        <v>1320</v>
      </c>
      <c r="N61" s="9" t="s">
        <v>879</v>
      </c>
      <c r="O61" s="9">
        <v>530</v>
      </c>
      <c r="P61" s="9" t="s">
        <v>880</v>
      </c>
      <c r="Q61" s="9">
        <v>265</v>
      </c>
      <c r="R61" s="9" t="s">
        <v>881</v>
      </c>
      <c r="S61" s="9">
        <v>137</v>
      </c>
      <c r="T61" s="9" t="s">
        <v>882</v>
      </c>
      <c r="U61" s="9">
        <v>30</v>
      </c>
    </row>
    <row r="62" spans="1:27" ht="28.5" customHeight="1">
      <c r="A62" s="114" t="s">
        <v>883</v>
      </c>
      <c r="F62" s="9" t="str">
        <f t="shared" si="0"/>
        <v>https://www.ssbuy.tw/detail_giftcode/dist/giftcodes/勇士不要停.html</v>
      </c>
      <c r="H62" s="9" t="str">
        <f t="shared" si="1"/>
        <v>https://www.ssbuy.tw/detail_giftcode/dist/gamedetail/勇士不要停.html</v>
      </c>
      <c r="I62" s="17" t="s">
        <v>884</v>
      </c>
      <c r="J62" s="11" t="s">
        <v>885</v>
      </c>
      <c r="K62" s="9">
        <v>2551</v>
      </c>
      <c r="L62" s="9" t="s">
        <v>886</v>
      </c>
      <c r="M62" s="9">
        <v>1323</v>
      </c>
      <c r="N62" s="9" t="s">
        <v>887</v>
      </c>
      <c r="O62" s="9">
        <v>539</v>
      </c>
      <c r="P62" s="9" t="s">
        <v>888</v>
      </c>
      <c r="Q62" s="9">
        <v>267</v>
      </c>
      <c r="R62" s="9" t="s">
        <v>889</v>
      </c>
      <c r="S62" s="9">
        <v>137</v>
      </c>
      <c r="T62" s="9" t="s">
        <v>734</v>
      </c>
      <c r="U62" s="9">
        <v>35</v>
      </c>
    </row>
    <row r="63" spans="1:27" ht="28.5" customHeight="1">
      <c r="A63" s="114" t="s">
        <v>890</v>
      </c>
      <c r="F63" s="9" t="str">
        <f t="shared" si="0"/>
        <v>https://www.ssbuy.tw/detail_giftcode/dist/giftcodes/元氣火柴人.html</v>
      </c>
      <c r="H63" s="9" t="str">
        <f t="shared" si="1"/>
        <v>https://www.ssbuy.tw/detail_giftcode/dist/gamedetail/元氣火柴人.html</v>
      </c>
      <c r="I63" s="17" t="s">
        <v>891</v>
      </c>
      <c r="J63" s="11" t="s">
        <v>892</v>
      </c>
      <c r="K63" s="9">
        <v>2551</v>
      </c>
      <c r="L63" s="9" t="s">
        <v>893</v>
      </c>
      <c r="M63" s="9">
        <v>1323</v>
      </c>
      <c r="N63" s="9" t="s">
        <v>894</v>
      </c>
      <c r="O63" s="9">
        <v>786</v>
      </c>
      <c r="P63" s="9" t="s">
        <v>895</v>
      </c>
      <c r="Q63" s="9">
        <v>630</v>
      </c>
      <c r="R63" s="9" t="s">
        <v>896</v>
      </c>
      <c r="S63" s="9">
        <v>267</v>
      </c>
      <c r="T63" s="9" t="s">
        <v>897</v>
      </c>
      <c r="U63" s="9">
        <v>137</v>
      </c>
      <c r="V63" s="9" t="s">
        <v>898</v>
      </c>
      <c r="W63" s="9">
        <v>30</v>
      </c>
    </row>
    <row r="64" spans="1:27" ht="28.5" customHeight="1">
      <c r="A64" s="114" t="s">
        <v>899</v>
      </c>
      <c r="F64" s="9" t="str">
        <f t="shared" si="0"/>
        <v>https://www.ssbuy.tw/detail_giftcode/dist/giftcodes/深淵之影.html</v>
      </c>
      <c r="H64" s="9" t="str">
        <f t="shared" si="1"/>
        <v>https://www.ssbuy.tw/detail_giftcode/dist/gamedetail/深淵之影.html</v>
      </c>
      <c r="I64" s="17" t="s">
        <v>900</v>
      </c>
      <c r="J64" s="11" t="s">
        <v>901</v>
      </c>
      <c r="K64" s="9">
        <v>170</v>
      </c>
      <c r="L64" s="9" t="s">
        <v>902</v>
      </c>
      <c r="M64" s="9">
        <v>80</v>
      </c>
      <c r="N64" s="9" t="s">
        <v>903</v>
      </c>
      <c r="O64" s="9">
        <v>30</v>
      </c>
    </row>
    <row r="65" spans="1:33" ht="28.5" customHeight="1">
      <c r="A65" s="114" t="s">
        <v>904</v>
      </c>
      <c r="F65" s="9" t="str">
        <f t="shared" si="0"/>
        <v>https://www.ssbuy.tw/detail_giftcode/dist/giftcodes/玩星派對.html</v>
      </c>
      <c r="H65" s="9" t="str">
        <f t="shared" si="1"/>
        <v>https://www.ssbuy.tw/detail_giftcode/dist/gamedetail/玩星派對.html</v>
      </c>
      <c r="I65" s="17" t="s">
        <v>905</v>
      </c>
      <c r="J65" s="11" t="s">
        <v>906</v>
      </c>
      <c r="K65" s="9">
        <v>12670</v>
      </c>
      <c r="L65" s="9" t="s">
        <v>907</v>
      </c>
      <c r="M65" s="9">
        <v>1323</v>
      </c>
      <c r="N65" s="9" t="s">
        <v>908</v>
      </c>
      <c r="O65" s="9">
        <v>786</v>
      </c>
      <c r="P65" s="9" t="s">
        <v>909</v>
      </c>
      <c r="Q65" s="9">
        <v>394</v>
      </c>
      <c r="R65" s="9" t="s">
        <v>910</v>
      </c>
      <c r="S65" s="9">
        <v>137</v>
      </c>
      <c r="T65" s="9" t="s">
        <v>911</v>
      </c>
      <c r="U65" s="9">
        <v>35</v>
      </c>
    </row>
    <row r="66" spans="1:33" ht="28.5" customHeight="1">
      <c r="A66" s="114" t="s">
        <v>912</v>
      </c>
      <c r="F66" s="9" t="str">
        <f t="shared" si="0"/>
        <v>https://www.ssbuy.tw/detail_giftcode/dist/giftcodes/進化吧!我的人生.html</v>
      </c>
      <c r="H66" s="9" t="str">
        <f t="shared" si="1"/>
        <v>https://www.ssbuy.tw/detail_giftcode/dist/gamedetail/進化吧!我的人生.html</v>
      </c>
      <c r="I66" s="17" t="s">
        <v>913</v>
      </c>
      <c r="J66" s="11" t="s">
        <v>914</v>
      </c>
      <c r="K66" s="9">
        <v>2551</v>
      </c>
      <c r="L66" s="9" t="s">
        <v>915</v>
      </c>
      <c r="M66" s="9">
        <v>1323</v>
      </c>
      <c r="N66" s="9" t="s">
        <v>916</v>
      </c>
      <c r="O66" s="9">
        <v>539</v>
      </c>
      <c r="P66" s="9" t="s">
        <v>917</v>
      </c>
      <c r="Q66" s="9">
        <v>267</v>
      </c>
      <c r="R66" s="9" t="s">
        <v>918</v>
      </c>
      <c r="S66" s="9">
        <v>137</v>
      </c>
      <c r="T66" s="9" t="s">
        <v>919</v>
      </c>
      <c r="U66" s="9">
        <v>30</v>
      </c>
    </row>
    <row r="67" spans="1:33" ht="28.5" customHeight="1">
      <c r="A67" s="114" t="s">
        <v>920</v>
      </c>
      <c r="F67" s="9" t="str">
        <f t="shared" ref="F67:F130" si="2">IF(A67="","", "https://www.ssbuy.tw/detail_giftcode/dist/giftcodes/" &amp; IF(ISNUMBER(LEFT(A67,1)*1), "game-", "") &amp; A67 &amp; ".html")</f>
        <v>https://www.ssbuy.tw/detail_giftcode/dist/giftcodes/星之夢幻島.html</v>
      </c>
      <c r="H67" s="9" t="str">
        <f t="shared" ref="H67:H130" si="3">IF(A67="","", "https://www.ssbuy.tw/detail_giftcode/dist/gamedetail/" &amp; IF(ISNUMBER(LEFT(A67,1)*1), "game-", "") &amp; A67 &amp; ".html")</f>
        <v>https://www.ssbuy.tw/detail_giftcode/dist/gamedetail/星之夢幻島.html</v>
      </c>
      <c r="I67" s="17" t="s">
        <v>921</v>
      </c>
      <c r="J67" s="11" t="s">
        <v>922</v>
      </c>
      <c r="K67" s="9">
        <v>2950</v>
      </c>
      <c r="L67" s="9" t="s">
        <v>923</v>
      </c>
      <c r="M67" s="9">
        <v>1323</v>
      </c>
      <c r="N67" s="9" t="s">
        <v>924</v>
      </c>
      <c r="O67" s="9">
        <v>539</v>
      </c>
      <c r="P67" s="9" t="s">
        <v>925</v>
      </c>
      <c r="Q67" s="9">
        <v>267</v>
      </c>
      <c r="R67" s="9" t="s">
        <v>926</v>
      </c>
      <c r="S67" s="9">
        <v>137</v>
      </c>
      <c r="T67" s="9" t="s">
        <v>927</v>
      </c>
      <c r="U67" s="9">
        <v>70</v>
      </c>
    </row>
    <row r="68" spans="1:33" ht="28.5" customHeight="1">
      <c r="A68" s="114" t="s">
        <v>928</v>
      </c>
      <c r="F68" s="9" t="str">
        <f t="shared" si="2"/>
        <v>https://www.ssbuy.tw/detail_giftcode/dist/giftcodes/小冰冰傳奇：回到最初.html</v>
      </c>
      <c r="H68" s="9" t="str">
        <f t="shared" si="3"/>
        <v>https://www.ssbuy.tw/detail_giftcode/dist/gamedetail/小冰冰傳奇：回到最初.html</v>
      </c>
      <c r="I68" s="17" t="s">
        <v>929</v>
      </c>
      <c r="J68" s="11" t="s">
        <v>930</v>
      </c>
      <c r="K68" s="9">
        <v>2551</v>
      </c>
      <c r="L68" s="9" t="s">
        <v>931</v>
      </c>
      <c r="M68" s="9">
        <v>2551</v>
      </c>
      <c r="N68" s="9" t="s">
        <v>932</v>
      </c>
      <c r="O68" s="9">
        <v>786</v>
      </c>
      <c r="P68" s="9" t="s">
        <v>933</v>
      </c>
      <c r="Q68" s="9">
        <v>460</v>
      </c>
      <c r="R68" s="9" t="s">
        <v>934</v>
      </c>
      <c r="S68" s="9">
        <v>137</v>
      </c>
      <c r="T68" s="9" t="s">
        <v>935</v>
      </c>
      <c r="U68" s="9">
        <v>35</v>
      </c>
    </row>
    <row r="69" spans="1:33" ht="28.5" customHeight="1">
      <c r="A69" s="114" t="s">
        <v>936</v>
      </c>
      <c r="F69" s="9" t="str">
        <f t="shared" si="2"/>
        <v>https://www.ssbuy.tw/detail_giftcode/dist/giftcodes/江湖風雲傳.html</v>
      </c>
      <c r="H69" s="9" t="str">
        <f t="shared" si="3"/>
        <v>https://www.ssbuy.tw/detail_giftcode/dist/gamedetail/江湖風雲傳.html</v>
      </c>
      <c r="I69" s="17" t="s">
        <v>937</v>
      </c>
      <c r="J69" s="11" t="s">
        <v>938</v>
      </c>
      <c r="K69" s="9">
        <v>2551</v>
      </c>
      <c r="L69" s="9" t="s">
        <v>939</v>
      </c>
      <c r="M69" s="9">
        <v>1323</v>
      </c>
      <c r="N69" s="9" t="s">
        <v>940</v>
      </c>
      <c r="O69" s="9">
        <v>786</v>
      </c>
      <c r="P69" s="9" t="s">
        <v>941</v>
      </c>
      <c r="Q69" s="9">
        <v>539</v>
      </c>
      <c r="R69" s="9" t="s">
        <v>942</v>
      </c>
      <c r="S69" s="9">
        <v>460</v>
      </c>
      <c r="T69" s="9" t="s">
        <v>943</v>
      </c>
      <c r="U69" s="9">
        <v>240</v>
      </c>
      <c r="V69" s="9" t="s">
        <v>944</v>
      </c>
      <c r="W69" s="9">
        <v>137</v>
      </c>
      <c r="X69" s="9" t="s">
        <v>945</v>
      </c>
      <c r="Y69" s="9">
        <v>60</v>
      </c>
      <c r="Z69" s="9" t="s">
        <v>946</v>
      </c>
      <c r="AA69" s="9">
        <v>35</v>
      </c>
    </row>
    <row r="70" spans="1:33" ht="28.5" customHeight="1">
      <c r="A70" s="114" t="s">
        <v>947</v>
      </c>
      <c r="F70" s="9" t="str">
        <f t="shared" si="2"/>
        <v>https://www.ssbuy.tw/detail_giftcode/dist/giftcodes/星願之冠：狼少女物語.html</v>
      </c>
      <c r="H70" s="9" t="str">
        <f t="shared" si="3"/>
        <v>https://www.ssbuy.tw/detail_giftcode/dist/gamedetail/星願之冠：狼少女物語.html</v>
      </c>
      <c r="I70" s="17" t="s">
        <v>948</v>
      </c>
      <c r="J70" s="11" t="s">
        <v>949</v>
      </c>
      <c r="K70" s="9">
        <v>2450</v>
      </c>
      <c r="L70" s="9" t="s">
        <v>950</v>
      </c>
      <c r="M70" s="9">
        <v>1090</v>
      </c>
      <c r="N70" s="9" t="s">
        <v>951</v>
      </c>
      <c r="O70" s="9">
        <v>710</v>
      </c>
      <c r="P70" s="9" t="s">
        <v>952</v>
      </c>
      <c r="Q70" s="9">
        <v>270</v>
      </c>
      <c r="R70" s="9" t="s">
        <v>953</v>
      </c>
      <c r="S70" s="9">
        <v>137</v>
      </c>
      <c r="T70" s="9" t="s">
        <v>954</v>
      </c>
      <c r="U70" s="9">
        <v>35</v>
      </c>
    </row>
    <row r="71" spans="1:33" ht="28.5" customHeight="1">
      <c r="A71" s="114" t="s">
        <v>955</v>
      </c>
      <c r="F71" s="9" t="str">
        <f t="shared" si="2"/>
        <v>https://www.ssbuy.tw/detail_giftcode/dist/giftcodes/香蕉缺個芭樂.html</v>
      </c>
      <c r="H71" s="9" t="str">
        <f t="shared" si="3"/>
        <v>https://www.ssbuy.tw/detail_giftcode/dist/gamedetail/香蕉缺個芭樂.html</v>
      </c>
      <c r="I71" s="17" t="s">
        <v>956</v>
      </c>
      <c r="J71" s="11" t="s">
        <v>957</v>
      </c>
      <c r="K71" s="9">
        <v>2551</v>
      </c>
      <c r="L71" s="9" t="s">
        <v>958</v>
      </c>
      <c r="M71" s="9">
        <v>1323</v>
      </c>
      <c r="N71" s="9" t="s">
        <v>959</v>
      </c>
      <c r="O71" s="9">
        <v>786</v>
      </c>
      <c r="P71" s="9" t="s">
        <v>960</v>
      </c>
      <c r="Q71" s="9">
        <v>460</v>
      </c>
      <c r="R71" s="9" t="s">
        <v>961</v>
      </c>
      <c r="S71" s="9">
        <v>137</v>
      </c>
      <c r="T71" s="9" t="s">
        <v>734</v>
      </c>
      <c r="U71" s="9">
        <v>35</v>
      </c>
    </row>
    <row r="72" spans="1:33" ht="28.5" customHeight="1">
      <c r="A72" s="114" t="s">
        <v>962</v>
      </c>
      <c r="F72" s="9" t="str">
        <f t="shared" si="2"/>
        <v>https://www.ssbuy.tw/detail_giftcode/dist/giftcodes/精靈塔塔開.html</v>
      </c>
      <c r="H72" s="9" t="str">
        <f t="shared" si="3"/>
        <v>https://www.ssbuy.tw/detail_giftcode/dist/gamedetail/精靈塔塔開.html</v>
      </c>
      <c r="I72" s="17" t="s">
        <v>963</v>
      </c>
      <c r="J72" s="11" t="s">
        <v>964</v>
      </c>
      <c r="K72" s="9">
        <v>2560</v>
      </c>
      <c r="L72" s="9" t="s">
        <v>965</v>
      </c>
      <c r="M72" s="9">
        <v>1323</v>
      </c>
      <c r="N72" s="9" t="s">
        <v>966</v>
      </c>
      <c r="O72" s="9">
        <v>610</v>
      </c>
      <c r="P72" s="9" t="s">
        <v>967</v>
      </c>
      <c r="Q72" s="9">
        <v>267</v>
      </c>
      <c r="R72" s="9" t="s">
        <v>968</v>
      </c>
      <c r="S72" s="9">
        <v>137</v>
      </c>
      <c r="T72" s="9" t="s">
        <v>969</v>
      </c>
      <c r="U72" s="9">
        <v>35</v>
      </c>
    </row>
    <row r="73" spans="1:33" ht="28.5" customHeight="1">
      <c r="A73" s="114" t="s">
        <v>970</v>
      </c>
      <c r="F73" s="9" t="str">
        <f t="shared" si="2"/>
        <v>https://www.ssbuy.tw/detail_giftcode/dist/giftcodes/終末之歌.html</v>
      </c>
      <c r="H73" s="9" t="str">
        <f t="shared" si="3"/>
        <v>https://www.ssbuy.tw/detail_giftcode/dist/gamedetail/終末之歌.html</v>
      </c>
      <c r="I73" s="17" t="s">
        <v>971</v>
      </c>
      <c r="J73" s="11" t="s">
        <v>972</v>
      </c>
      <c r="K73" s="9">
        <v>2551</v>
      </c>
      <c r="L73" s="9" t="s">
        <v>973</v>
      </c>
      <c r="M73" s="9">
        <v>1323</v>
      </c>
      <c r="N73" s="9" t="s">
        <v>974</v>
      </c>
      <c r="O73" s="9">
        <v>786</v>
      </c>
      <c r="P73" s="9" t="s">
        <v>975</v>
      </c>
      <c r="Q73" s="9">
        <v>460</v>
      </c>
      <c r="R73" s="9" t="s">
        <v>976</v>
      </c>
      <c r="S73" s="9">
        <v>137</v>
      </c>
      <c r="T73" s="9" t="s">
        <v>977</v>
      </c>
      <c r="U73" s="9">
        <v>30</v>
      </c>
    </row>
    <row r="74" spans="1:33" ht="28.5" customHeight="1">
      <c r="A74" s="114" t="s">
        <v>978</v>
      </c>
      <c r="F74" s="9" t="str">
        <f t="shared" si="2"/>
        <v>https://www.ssbuy.tw/detail_giftcode/dist/giftcodes/森靈奇境.html</v>
      </c>
      <c r="H74" s="9" t="str">
        <f t="shared" si="3"/>
        <v>https://www.ssbuy.tw/detail_giftcode/dist/gamedetail/森靈奇境.html</v>
      </c>
      <c r="I74" s="17" t="s">
        <v>979</v>
      </c>
      <c r="J74" s="11" t="s">
        <v>980</v>
      </c>
      <c r="K74" s="9">
        <v>2551</v>
      </c>
      <c r="L74" s="9" t="s">
        <v>981</v>
      </c>
      <c r="M74" s="9">
        <v>1323</v>
      </c>
      <c r="N74" s="9" t="s">
        <v>982</v>
      </c>
      <c r="O74" s="9">
        <v>786</v>
      </c>
      <c r="P74" s="9" t="s">
        <v>983</v>
      </c>
      <c r="Q74" s="9">
        <v>539</v>
      </c>
      <c r="R74" s="9" t="s">
        <v>984</v>
      </c>
      <c r="S74" s="9">
        <v>267</v>
      </c>
      <c r="T74" s="9" t="s">
        <v>985</v>
      </c>
      <c r="U74" s="9">
        <v>137</v>
      </c>
      <c r="V74" s="9" t="s">
        <v>888</v>
      </c>
      <c r="W74" s="9">
        <v>35</v>
      </c>
    </row>
    <row r="75" spans="1:33" ht="28.5" customHeight="1">
      <c r="A75" s="114" t="s">
        <v>986</v>
      </c>
      <c r="F75" s="9" t="str">
        <f t="shared" si="2"/>
        <v>https://www.ssbuy.tw/detail_giftcode/dist/giftcodes/鬥破蒼穹：蕭門篇.html</v>
      </c>
      <c r="H75" s="9" t="str">
        <f t="shared" si="3"/>
        <v>https://www.ssbuy.tw/detail_giftcode/dist/gamedetail/鬥破蒼穹：蕭門篇.html</v>
      </c>
      <c r="I75" s="17" t="s">
        <v>987</v>
      </c>
      <c r="J75" s="11" t="s">
        <v>988</v>
      </c>
      <c r="K75" s="9">
        <v>2551</v>
      </c>
      <c r="L75" s="9" t="s">
        <v>989</v>
      </c>
      <c r="M75" s="9">
        <v>1323</v>
      </c>
      <c r="N75" s="9" t="s">
        <v>990</v>
      </c>
      <c r="O75" s="9">
        <v>786</v>
      </c>
      <c r="P75" s="9" t="s">
        <v>991</v>
      </c>
      <c r="Q75" s="9">
        <v>394</v>
      </c>
      <c r="R75" s="9" t="s">
        <v>992</v>
      </c>
      <c r="S75" s="9">
        <v>267</v>
      </c>
      <c r="T75" s="9" t="s">
        <v>993</v>
      </c>
      <c r="U75" s="9">
        <v>137</v>
      </c>
      <c r="V75" s="9" t="s">
        <v>994</v>
      </c>
      <c r="W75" s="9">
        <v>35</v>
      </c>
    </row>
    <row r="76" spans="1:33" ht="28.5" customHeight="1">
      <c r="A76" s="114" t="s">
        <v>995</v>
      </c>
      <c r="F76" s="9" t="str">
        <f t="shared" si="2"/>
        <v>https://www.ssbuy.tw/detail_giftcode/dist/giftcodes/無畏的狼煙.html</v>
      </c>
      <c r="H76" s="9" t="str">
        <f t="shared" si="3"/>
        <v>https://www.ssbuy.tw/detail_giftcode/dist/gamedetail/無畏的狼煙.html</v>
      </c>
      <c r="I76" s="17" t="s">
        <v>996</v>
      </c>
      <c r="J76" s="11" t="s">
        <v>997</v>
      </c>
      <c r="K76" s="9">
        <v>2551</v>
      </c>
      <c r="L76" s="9" t="s">
        <v>998</v>
      </c>
      <c r="M76" s="9">
        <v>1323</v>
      </c>
      <c r="N76" s="9" t="s">
        <v>999</v>
      </c>
      <c r="O76" s="9">
        <v>786</v>
      </c>
      <c r="P76" s="9" t="s">
        <v>1000</v>
      </c>
      <c r="Q76" s="9">
        <v>539</v>
      </c>
      <c r="R76" s="9" t="s">
        <v>1001</v>
      </c>
      <c r="S76" s="9">
        <v>267</v>
      </c>
      <c r="T76" s="9" t="s">
        <v>1002</v>
      </c>
      <c r="U76" s="9">
        <v>137</v>
      </c>
      <c r="V76" s="9" t="s">
        <v>1003</v>
      </c>
      <c r="W76" s="9">
        <v>35</v>
      </c>
    </row>
    <row r="77" spans="1:33" ht="28.5" customHeight="1">
      <c r="A77" s="115" t="s">
        <v>1004</v>
      </c>
      <c r="F77" s="9" t="str">
        <f t="shared" si="2"/>
        <v>https://www.ssbuy.tw/detail_giftcode/dist/giftcodes/代號：無頭.html</v>
      </c>
      <c r="H77" s="9" t="str">
        <f t="shared" si="3"/>
        <v>https://www.ssbuy.tw/detail_giftcode/dist/gamedetail/代號：無頭.html</v>
      </c>
      <c r="I77" s="17" t="s">
        <v>1005</v>
      </c>
      <c r="J77" s="11" t="s">
        <v>1006</v>
      </c>
      <c r="K77" s="9">
        <v>2551</v>
      </c>
      <c r="L77" s="9" t="s">
        <v>1007</v>
      </c>
      <c r="M77" s="9">
        <v>1323</v>
      </c>
      <c r="N77" s="9" t="s">
        <v>1008</v>
      </c>
      <c r="O77" s="9">
        <v>539</v>
      </c>
      <c r="P77" s="9" t="s">
        <v>1009</v>
      </c>
      <c r="Q77" s="9">
        <v>267</v>
      </c>
      <c r="R77" s="9" t="s">
        <v>1010</v>
      </c>
      <c r="S77" s="9">
        <v>137</v>
      </c>
      <c r="T77" s="9" t="s">
        <v>1011</v>
      </c>
      <c r="U77" s="9">
        <v>30</v>
      </c>
    </row>
    <row r="78" spans="1:33" ht="28.5" customHeight="1">
      <c r="A78" s="114" t="s">
        <v>1012</v>
      </c>
      <c r="F78" s="9" t="str">
        <f t="shared" si="2"/>
        <v>https://www.ssbuy.tw/detail_giftcode/dist/giftcodes/牛頭人GO.html</v>
      </c>
      <c r="H78" s="9" t="str">
        <f t="shared" si="3"/>
        <v>https://www.ssbuy.tw/detail_giftcode/dist/gamedetail/牛頭人GO.html</v>
      </c>
      <c r="I78" s="17" t="s">
        <v>1013</v>
      </c>
      <c r="J78" s="11" t="s">
        <v>1014</v>
      </c>
      <c r="K78" s="9">
        <v>2551</v>
      </c>
      <c r="L78" s="9" t="s">
        <v>1015</v>
      </c>
      <c r="M78" s="9">
        <v>1323</v>
      </c>
      <c r="N78" s="9" t="s">
        <v>1016</v>
      </c>
      <c r="O78" s="9">
        <v>539</v>
      </c>
      <c r="P78" s="9" t="s">
        <v>1017</v>
      </c>
      <c r="Q78" s="9">
        <v>267</v>
      </c>
      <c r="R78" s="9" t="s">
        <v>1018</v>
      </c>
      <c r="S78" s="9">
        <v>137</v>
      </c>
      <c r="T78" s="9" t="s">
        <v>1019</v>
      </c>
      <c r="U78" s="9">
        <v>90</v>
      </c>
      <c r="V78" s="9" t="s">
        <v>1020</v>
      </c>
      <c r="W78" s="9">
        <v>35</v>
      </c>
    </row>
    <row r="79" spans="1:33" ht="28.5" customHeight="1">
      <c r="A79" s="114" t="s">
        <v>1021</v>
      </c>
      <c r="F79" s="9" t="str">
        <f t="shared" si="2"/>
        <v>https://www.ssbuy.tw/detail_giftcode/dist/giftcodes/派對吧三國.html</v>
      </c>
      <c r="H79" s="9" t="str">
        <f t="shared" si="3"/>
        <v>https://www.ssbuy.tw/detail_giftcode/dist/gamedetail/派對吧三國.html</v>
      </c>
      <c r="I79" s="17" t="s">
        <v>1022</v>
      </c>
      <c r="J79" s="11" t="s">
        <v>1023</v>
      </c>
      <c r="K79" s="9">
        <v>2551</v>
      </c>
      <c r="L79" s="9" t="s">
        <v>1024</v>
      </c>
      <c r="M79" s="9">
        <v>1960</v>
      </c>
      <c r="N79" s="9" t="s">
        <v>1025</v>
      </c>
      <c r="O79" s="9">
        <v>1323</v>
      </c>
      <c r="P79" s="9" t="s">
        <v>1026</v>
      </c>
      <c r="Q79" s="9">
        <v>786</v>
      </c>
      <c r="R79" s="9" t="s">
        <v>1027</v>
      </c>
      <c r="S79" s="9">
        <v>539</v>
      </c>
      <c r="T79" s="9" t="s">
        <v>1028</v>
      </c>
      <c r="U79" s="9">
        <v>394</v>
      </c>
      <c r="V79" s="9" t="s">
        <v>1029</v>
      </c>
      <c r="W79" s="9">
        <v>267</v>
      </c>
      <c r="X79" s="9" t="s">
        <v>1030</v>
      </c>
      <c r="Y79" s="9">
        <v>260</v>
      </c>
      <c r="Z79" s="9" t="s">
        <v>1031</v>
      </c>
      <c r="AA79" s="9">
        <v>137</v>
      </c>
      <c r="AB79" s="9" t="s">
        <v>1032</v>
      </c>
      <c r="AC79" s="9">
        <v>90</v>
      </c>
      <c r="AD79" s="9" t="s">
        <v>1033</v>
      </c>
      <c r="AE79" s="9">
        <v>60</v>
      </c>
      <c r="AF79" s="9" t="s">
        <v>1034</v>
      </c>
      <c r="AG79" s="9">
        <v>35</v>
      </c>
    </row>
    <row r="80" spans="1:33" ht="28.5" customHeight="1">
      <c r="A80" s="114" t="s">
        <v>1035</v>
      </c>
      <c r="F80" s="9" t="str">
        <f t="shared" si="2"/>
        <v>https://www.ssbuy.tw/detail_giftcode/dist/giftcodes/酒酒大俠.html</v>
      </c>
      <c r="H80" s="9" t="str">
        <f t="shared" si="3"/>
        <v>https://www.ssbuy.tw/detail_giftcode/dist/gamedetail/酒酒大俠.html</v>
      </c>
      <c r="I80" s="17" t="s">
        <v>1036</v>
      </c>
      <c r="J80" s="11" t="s">
        <v>1037</v>
      </c>
      <c r="K80" s="9">
        <v>2551</v>
      </c>
      <c r="L80" s="9" t="s">
        <v>1038</v>
      </c>
      <c r="M80" s="9">
        <v>1323</v>
      </c>
      <c r="N80" s="9" t="s">
        <v>1039</v>
      </c>
      <c r="O80" s="9">
        <v>786</v>
      </c>
      <c r="P80" s="9" t="s">
        <v>1040</v>
      </c>
      <c r="Q80" s="9">
        <v>394</v>
      </c>
      <c r="R80" s="9" t="s">
        <v>1041</v>
      </c>
      <c r="S80" s="9">
        <v>267</v>
      </c>
      <c r="T80" s="9" t="s">
        <v>1042</v>
      </c>
      <c r="U80" s="9">
        <v>137</v>
      </c>
      <c r="V80" s="9" t="s">
        <v>1043</v>
      </c>
      <c r="W80" s="9">
        <v>35</v>
      </c>
    </row>
    <row r="81" spans="1:37" ht="28.5" customHeight="1">
      <c r="A81" s="114" t="s">
        <v>1044</v>
      </c>
      <c r="F81" s="9" t="str">
        <f t="shared" si="2"/>
        <v>https://www.ssbuy.tw/detail_giftcode/dist/giftcodes/鼠衛家園.html</v>
      </c>
      <c r="H81" s="9" t="str">
        <f t="shared" si="3"/>
        <v>https://www.ssbuy.tw/detail_giftcode/dist/gamedetail/鼠衛家園.html</v>
      </c>
      <c r="I81" s="17" t="s">
        <v>1045</v>
      </c>
      <c r="J81" s="11" t="s">
        <v>1046</v>
      </c>
      <c r="K81" s="9">
        <v>2551</v>
      </c>
      <c r="L81" s="9" t="s">
        <v>1047</v>
      </c>
      <c r="M81" s="9">
        <v>1280</v>
      </c>
      <c r="N81" s="9" t="s">
        <v>1048</v>
      </c>
      <c r="O81" s="9">
        <v>539</v>
      </c>
      <c r="P81" s="9" t="s">
        <v>1049</v>
      </c>
      <c r="Q81" s="9">
        <v>267</v>
      </c>
      <c r="R81" s="9" t="s">
        <v>1050</v>
      </c>
      <c r="S81" s="9">
        <v>137</v>
      </c>
    </row>
    <row r="82" spans="1:37" ht="28.5" customHeight="1">
      <c r="A82" s="114" t="s">
        <v>1051</v>
      </c>
      <c r="F82" s="9" t="str">
        <f t="shared" si="2"/>
        <v>https://www.ssbuy.tw/detail_giftcode/dist/giftcodes/未頌者之歌：異世界冒險奇譚.html</v>
      </c>
      <c r="H82" s="9" t="str">
        <f t="shared" si="3"/>
        <v>https://www.ssbuy.tw/detail_giftcode/dist/gamedetail/未頌者之歌：異世界冒險奇譚.html</v>
      </c>
      <c r="I82" s="17" t="s">
        <v>1052</v>
      </c>
      <c r="J82" s="11" t="s">
        <v>1053</v>
      </c>
      <c r="K82" s="9">
        <v>2551</v>
      </c>
      <c r="L82" s="9" t="s">
        <v>1054</v>
      </c>
      <c r="M82" s="9">
        <v>1323</v>
      </c>
      <c r="N82" s="9" t="s">
        <v>1055</v>
      </c>
      <c r="O82" s="9">
        <v>539</v>
      </c>
      <c r="P82" s="9" t="s">
        <v>1056</v>
      </c>
      <c r="Q82" s="9">
        <v>267</v>
      </c>
      <c r="R82" s="9" t="s">
        <v>1057</v>
      </c>
      <c r="S82" s="9">
        <v>137</v>
      </c>
      <c r="T82" s="9" t="s">
        <v>1058</v>
      </c>
      <c r="U82" s="9">
        <v>35</v>
      </c>
    </row>
    <row r="83" spans="1:37" ht="28.5" customHeight="1">
      <c r="A83" s="114" t="s">
        <v>1059</v>
      </c>
      <c r="F83" s="9" t="str">
        <f t="shared" si="2"/>
        <v>https://www.ssbuy.tw/detail_giftcode/dist/giftcodes/熱練戰士.html</v>
      </c>
      <c r="H83" s="9" t="str">
        <f t="shared" si="3"/>
        <v>https://www.ssbuy.tw/detail_giftcode/dist/gamedetail/熱練戰士.html</v>
      </c>
      <c r="I83" s="17" t="s">
        <v>1060</v>
      </c>
      <c r="J83" s="11" t="s">
        <v>1061</v>
      </c>
      <c r="K83" s="9">
        <v>2590</v>
      </c>
      <c r="L83" s="9" t="s">
        <v>1062</v>
      </c>
      <c r="M83" s="9">
        <v>740</v>
      </c>
      <c r="N83" s="9" t="s">
        <v>1063</v>
      </c>
      <c r="O83" s="9">
        <v>137</v>
      </c>
    </row>
    <row r="84" spans="1:37" ht="28.5" customHeight="1">
      <c r="A84" s="114" t="s">
        <v>1064</v>
      </c>
      <c r="F84" s="9" t="str">
        <f t="shared" si="2"/>
        <v>https://www.ssbuy.tw/detail_giftcode/dist/giftcodes/聯盟戰棋.html</v>
      </c>
      <c r="H84" s="9" t="str">
        <f t="shared" si="3"/>
        <v>https://www.ssbuy.tw/detail_giftcode/dist/gamedetail/聯盟戰棋.html</v>
      </c>
      <c r="I84" s="17" t="s">
        <v>1065</v>
      </c>
      <c r="J84" s="11" t="s">
        <v>1066</v>
      </c>
      <c r="K84" s="9">
        <v>2430</v>
      </c>
      <c r="L84" s="9" t="s">
        <v>1067</v>
      </c>
      <c r="M84" s="9">
        <v>1220</v>
      </c>
      <c r="N84" s="9" t="s">
        <v>1068</v>
      </c>
      <c r="O84" s="9">
        <v>850</v>
      </c>
      <c r="P84" s="9" t="s">
        <v>1069</v>
      </c>
      <c r="Q84" s="9">
        <v>539</v>
      </c>
      <c r="R84" s="9" t="s">
        <v>1070</v>
      </c>
      <c r="S84" s="9">
        <v>270</v>
      </c>
      <c r="T84" s="9" t="s">
        <v>1071</v>
      </c>
      <c r="U84" s="9">
        <v>137</v>
      </c>
    </row>
    <row r="85" spans="1:37" ht="28.5" customHeight="1">
      <c r="A85" s="114" t="s">
        <v>1072</v>
      </c>
      <c r="F85" s="9" t="str">
        <f t="shared" si="2"/>
        <v>https://www.ssbuy.tw/detail_giftcode/dist/giftcodes/劍客物語.html</v>
      </c>
      <c r="H85" s="9" t="str">
        <f t="shared" si="3"/>
        <v>https://www.ssbuy.tw/detail_giftcode/dist/gamedetail/劍客物語.html</v>
      </c>
      <c r="I85" s="17" t="s">
        <v>1073</v>
      </c>
      <c r="J85" s="11" t="s">
        <v>1074</v>
      </c>
      <c r="K85" s="9">
        <v>2551</v>
      </c>
      <c r="L85" s="9" t="s">
        <v>1075</v>
      </c>
      <c r="M85" s="9">
        <v>1300</v>
      </c>
      <c r="N85" s="9" t="s">
        <v>1076</v>
      </c>
      <c r="O85" s="9">
        <v>786</v>
      </c>
      <c r="P85" s="9" t="s">
        <v>1077</v>
      </c>
      <c r="Q85" s="9">
        <v>270</v>
      </c>
      <c r="R85" s="9" t="s">
        <v>1078</v>
      </c>
      <c r="S85" s="9">
        <v>137</v>
      </c>
      <c r="T85" s="9" t="s">
        <v>1079</v>
      </c>
      <c r="U85" s="9">
        <v>90</v>
      </c>
    </row>
    <row r="86" spans="1:37" ht="28.5" customHeight="1">
      <c r="A86" s="114" t="s">
        <v>1080</v>
      </c>
      <c r="F86" s="9" t="str">
        <f t="shared" si="2"/>
        <v>https://www.ssbuy.tw/detail_giftcode/dist/giftcodes/人在塔在.html</v>
      </c>
      <c r="H86" s="9" t="str">
        <f t="shared" si="3"/>
        <v>https://www.ssbuy.tw/detail_giftcode/dist/gamedetail/人在塔在.html</v>
      </c>
      <c r="I86" s="17" t="s">
        <v>1081</v>
      </c>
      <c r="J86" s="11" t="s">
        <v>1082</v>
      </c>
      <c r="K86" s="9">
        <v>2551</v>
      </c>
      <c r="L86" s="9" t="s">
        <v>1083</v>
      </c>
      <c r="M86" s="9">
        <v>1390</v>
      </c>
      <c r="N86" s="9" t="s">
        <v>966</v>
      </c>
      <c r="O86" s="9">
        <v>539</v>
      </c>
      <c r="P86" s="9" t="s">
        <v>1084</v>
      </c>
      <c r="Q86" s="9">
        <v>267</v>
      </c>
      <c r="R86" s="9" t="s">
        <v>1085</v>
      </c>
      <c r="S86" s="9">
        <v>137</v>
      </c>
      <c r="T86" s="9" t="s">
        <v>1086</v>
      </c>
      <c r="U86" s="9">
        <v>40</v>
      </c>
    </row>
    <row r="87" spans="1:37" ht="28.5" customHeight="1">
      <c r="A87" s="114" t="s">
        <v>1087</v>
      </c>
      <c r="F87" s="9" t="str">
        <f t="shared" si="2"/>
        <v>https://www.ssbuy.tw/detail_giftcode/dist/giftcodes/龍語霜城.html</v>
      </c>
      <c r="H87" s="9" t="str">
        <f t="shared" si="3"/>
        <v>https://www.ssbuy.tw/detail_giftcode/dist/gamedetail/龍語霜城.html</v>
      </c>
      <c r="I87" s="17" t="s">
        <v>1088</v>
      </c>
      <c r="J87" s="11" t="s">
        <v>1089</v>
      </c>
      <c r="K87" s="9">
        <v>2551</v>
      </c>
      <c r="L87" s="9" t="s">
        <v>1090</v>
      </c>
      <c r="M87" s="9">
        <v>1323</v>
      </c>
      <c r="N87" s="9" t="s">
        <v>1091</v>
      </c>
      <c r="O87" s="9">
        <v>1100</v>
      </c>
      <c r="P87" s="9" t="s">
        <v>1092</v>
      </c>
      <c r="Q87" s="9">
        <v>820</v>
      </c>
      <c r="R87" s="9" t="s">
        <v>1093</v>
      </c>
      <c r="S87" s="9">
        <v>539</v>
      </c>
      <c r="T87" s="9" t="s">
        <v>1094</v>
      </c>
      <c r="U87" s="9">
        <v>420</v>
      </c>
      <c r="V87" s="9" t="s">
        <v>1095</v>
      </c>
      <c r="W87" s="9">
        <v>320</v>
      </c>
      <c r="X87" s="9" t="s">
        <v>1096</v>
      </c>
      <c r="Y87" s="9">
        <v>180</v>
      </c>
    </row>
    <row r="88" spans="1:37" ht="28.5" customHeight="1">
      <c r="A88" s="114" t="s">
        <v>1097</v>
      </c>
      <c r="F88" s="9" t="str">
        <f t="shared" si="2"/>
        <v>https://www.ssbuy.tw/detail_giftcode/dist/giftcodes/洛伊的移動要塞.html</v>
      </c>
      <c r="H88" s="9" t="str">
        <f t="shared" si="3"/>
        <v>https://www.ssbuy.tw/detail_giftcode/dist/gamedetail/洛伊的移動要塞.html</v>
      </c>
      <c r="I88" s="17" t="s">
        <v>1098</v>
      </c>
      <c r="J88" s="11" t="s">
        <v>1099</v>
      </c>
      <c r="K88" s="9">
        <v>2551</v>
      </c>
      <c r="L88" s="9" t="s">
        <v>1100</v>
      </c>
      <c r="M88" s="9">
        <v>2150</v>
      </c>
      <c r="N88" s="9" t="s">
        <v>1101</v>
      </c>
      <c r="O88" s="9">
        <v>2000</v>
      </c>
      <c r="P88" s="9" t="s">
        <v>1102</v>
      </c>
      <c r="Q88" s="9">
        <v>1700</v>
      </c>
      <c r="R88" s="9" t="s">
        <v>1103</v>
      </c>
      <c r="S88" s="9">
        <v>1323</v>
      </c>
      <c r="T88" s="9" t="s">
        <v>1104</v>
      </c>
      <c r="U88" s="9">
        <v>1100</v>
      </c>
      <c r="V88" s="9" t="s">
        <v>1105</v>
      </c>
      <c r="W88" s="9">
        <v>786</v>
      </c>
      <c r="X88" s="9" t="s">
        <v>1106</v>
      </c>
      <c r="Y88" s="9">
        <v>700</v>
      </c>
      <c r="Z88" s="9" t="s">
        <v>1107</v>
      </c>
      <c r="AA88" s="9">
        <v>620</v>
      </c>
      <c r="AB88" s="9" t="s">
        <v>1108</v>
      </c>
      <c r="AC88" s="9">
        <v>490</v>
      </c>
      <c r="AD88" s="9" t="s">
        <v>1109</v>
      </c>
      <c r="AE88" s="9">
        <v>450</v>
      </c>
      <c r="AF88" s="9" t="s">
        <v>1110</v>
      </c>
      <c r="AG88" s="9">
        <v>267</v>
      </c>
      <c r="AH88" s="9" t="s">
        <v>1111</v>
      </c>
      <c r="AI88" s="9">
        <v>180</v>
      </c>
      <c r="AJ88" s="9" t="s">
        <v>1112</v>
      </c>
      <c r="AK88" s="9">
        <v>137</v>
      </c>
    </row>
    <row r="89" spans="1:37" ht="28.5" customHeight="1">
      <c r="A89" s="114" t="s">
        <v>1113</v>
      </c>
      <c r="F89" s="9" t="str">
        <f t="shared" si="2"/>
        <v>https://www.ssbuy.tw/detail_giftcode/dist/giftcodes/喵喵王國.html</v>
      </c>
      <c r="H89" s="9" t="str">
        <f t="shared" si="3"/>
        <v>https://www.ssbuy.tw/detail_giftcode/dist/gamedetail/喵喵王國.html</v>
      </c>
      <c r="I89" s="17" t="s">
        <v>1114</v>
      </c>
      <c r="J89" s="11" t="s">
        <v>1115</v>
      </c>
      <c r="K89" s="9">
        <v>2300</v>
      </c>
      <c r="L89" s="9" t="s">
        <v>1116</v>
      </c>
      <c r="M89" s="9">
        <v>1150</v>
      </c>
      <c r="N89" s="9" t="s">
        <v>1117</v>
      </c>
      <c r="O89" s="9">
        <v>650</v>
      </c>
      <c r="P89" s="9" t="s">
        <v>1118</v>
      </c>
      <c r="Q89" s="9">
        <v>267</v>
      </c>
      <c r="R89" s="9" t="s">
        <v>1119</v>
      </c>
      <c r="S89" s="9">
        <v>120</v>
      </c>
      <c r="T89" s="9" t="s">
        <v>1120</v>
      </c>
      <c r="U89" s="9">
        <v>30</v>
      </c>
    </row>
    <row r="90" spans="1:37" ht="28.5" customHeight="1">
      <c r="A90" s="114" t="s">
        <v>1121</v>
      </c>
      <c r="F90" s="9" t="str">
        <f t="shared" si="2"/>
        <v>https://www.ssbuy.tw/detail_giftcode/dist/giftcodes/東京謎影者.html</v>
      </c>
      <c r="H90" s="9" t="str">
        <f t="shared" si="3"/>
        <v>https://www.ssbuy.tw/detail_giftcode/dist/gamedetail/東京謎影者.html</v>
      </c>
      <c r="I90" s="17" t="s">
        <v>1122</v>
      </c>
      <c r="J90" s="11" t="s">
        <v>1123</v>
      </c>
      <c r="K90" s="9">
        <v>2700</v>
      </c>
      <c r="L90" s="9" t="s">
        <v>1124</v>
      </c>
      <c r="M90" s="9">
        <v>1100</v>
      </c>
      <c r="N90" s="9" t="s">
        <v>1125</v>
      </c>
      <c r="O90" s="9">
        <v>539</v>
      </c>
      <c r="P90" s="9" t="s">
        <v>1126</v>
      </c>
      <c r="Q90" s="9">
        <v>267</v>
      </c>
      <c r="R90" s="9" t="s">
        <v>1127</v>
      </c>
      <c r="S90" s="9">
        <v>200</v>
      </c>
      <c r="T90" s="9" t="s">
        <v>1128</v>
      </c>
      <c r="U90" s="9">
        <v>60</v>
      </c>
    </row>
    <row r="91" spans="1:37" ht="28.5" customHeight="1">
      <c r="A91" s="114" t="s">
        <v>1129</v>
      </c>
      <c r="F91" s="9" t="str">
        <f t="shared" si="2"/>
        <v>https://www.ssbuy.tw/detail_giftcode/dist/giftcodes/戰極死遊.html</v>
      </c>
      <c r="H91" s="9" t="str">
        <f t="shared" si="3"/>
        <v>https://www.ssbuy.tw/detail_giftcode/dist/gamedetail/戰極死遊.html</v>
      </c>
      <c r="I91" s="17" t="s">
        <v>1130</v>
      </c>
      <c r="J91" s="11" t="s">
        <v>1131</v>
      </c>
      <c r="K91" s="9">
        <v>1900</v>
      </c>
      <c r="L91" s="9" t="s">
        <v>1132</v>
      </c>
      <c r="M91" s="9">
        <v>1050</v>
      </c>
      <c r="N91" s="9" t="s">
        <v>1133</v>
      </c>
      <c r="O91" s="9">
        <v>540</v>
      </c>
      <c r="P91" s="9" t="s">
        <v>1134</v>
      </c>
      <c r="Q91" s="9">
        <v>190</v>
      </c>
      <c r="R91" s="9" t="s">
        <v>1135</v>
      </c>
      <c r="S91" s="9">
        <v>90</v>
      </c>
      <c r="T91" s="9" t="s">
        <v>1136</v>
      </c>
      <c r="U91" s="9">
        <v>35</v>
      </c>
    </row>
    <row r="92" spans="1:37" ht="28.5" customHeight="1">
      <c r="A92" s="114" t="s">
        <v>1137</v>
      </c>
      <c r="F92" s="9" t="str">
        <f t="shared" si="2"/>
        <v>https://www.ssbuy.tw/detail_giftcode/dist/giftcodes/進擊的蝸牛.html</v>
      </c>
      <c r="H92" s="9" t="str">
        <f t="shared" si="3"/>
        <v>https://www.ssbuy.tw/detail_giftcode/dist/gamedetail/進擊的蝸牛.html</v>
      </c>
      <c r="I92" s="17" t="s">
        <v>1138</v>
      </c>
      <c r="J92" s="11" t="s">
        <v>1139</v>
      </c>
      <c r="K92" s="9">
        <v>2551</v>
      </c>
      <c r="L92" s="9" t="s">
        <v>1140</v>
      </c>
      <c r="M92" s="9">
        <v>1323</v>
      </c>
      <c r="N92" s="9" t="s">
        <v>1141</v>
      </c>
      <c r="O92" s="9">
        <v>539</v>
      </c>
      <c r="P92" s="9" t="s">
        <v>1142</v>
      </c>
      <c r="Q92" s="9">
        <v>267</v>
      </c>
      <c r="R92" s="9" t="s">
        <v>1143</v>
      </c>
      <c r="S92" s="9">
        <v>137</v>
      </c>
      <c r="T92" s="9" t="s">
        <v>1144</v>
      </c>
      <c r="U92" s="9">
        <v>40</v>
      </c>
    </row>
    <row r="93" spans="1:37" ht="28.5" customHeight="1">
      <c r="A93" s="114" t="s">
        <v>1145</v>
      </c>
      <c r="F93" s="9" t="str">
        <f t="shared" si="2"/>
        <v>https://www.ssbuy.tw/detail_giftcode/dist/giftcodes/純白大作戰.html</v>
      </c>
      <c r="H93" s="9" t="str">
        <f t="shared" si="3"/>
        <v>https://www.ssbuy.tw/detail_giftcode/dist/gamedetail/純白大作戰.html</v>
      </c>
      <c r="I93" s="17" t="s">
        <v>1146</v>
      </c>
      <c r="J93" s="11" t="s">
        <v>1147</v>
      </c>
      <c r="K93" s="9">
        <v>2551</v>
      </c>
      <c r="L93" s="9" t="s">
        <v>1148</v>
      </c>
      <c r="M93" s="9">
        <v>1323</v>
      </c>
      <c r="N93" s="9" t="s">
        <v>1149</v>
      </c>
      <c r="O93" s="9">
        <v>786</v>
      </c>
      <c r="P93" s="9" t="s">
        <v>1150</v>
      </c>
      <c r="Q93" s="9">
        <v>450</v>
      </c>
      <c r="R93" s="9" t="s">
        <v>1151</v>
      </c>
      <c r="S93" s="9">
        <v>137</v>
      </c>
      <c r="T93" s="9" t="s">
        <v>1152</v>
      </c>
      <c r="U93" s="9">
        <v>60</v>
      </c>
    </row>
    <row r="94" spans="1:37" ht="28.5" customHeight="1">
      <c r="A94" s="114" t="s">
        <v>1153</v>
      </c>
      <c r="F94" s="9" t="str">
        <f t="shared" si="2"/>
        <v>https://www.ssbuy.tw/detail_giftcode/dist/giftcodes/黑星勇者.html</v>
      </c>
      <c r="H94" s="9" t="str">
        <f t="shared" si="3"/>
        <v>https://www.ssbuy.tw/detail_giftcode/dist/gamedetail/黑星勇者.html</v>
      </c>
      <c r="I94" s="17" t="s">
        <v>1154</v>
      </c>
      <c r="J94" s="11" t="s">
        <v>1155</v>
      </c>
      <c r="K94" s="9">
        <v>2551</v>
      </c>
      <c r="L94" s="9" t="s">
        <v>1156</v>
      </c>
      <c r="M94" s="9">
        <v>1323</v>
      </c>
      <c r="N94" s="9" t="s">
        <v>1157</v>
      </c>
      <c r="O94" s="9">
        <v>630</v>
      </c>
      <c r="P94" s="9" t="s">
        <v>1158</v>
      </c>
      <c r="Q94" s="9">
        <v>267</v>
      </c>
      <c r="R94" s="9" t="s">
        <v>1159</v>
      </c>
      <c r="S94" s="9">
        <v>137</v>
      </c>
      <c r="T94" s="9" t="s">
        <v>1160</v>
      </c>
      <c r="U94" s="9">
        <v>40</v>
      </c>
    </row>
    <row r="95" spans="1:37" ht="28.5" customHeight="1">
      <c r="A95" s="114" t="s">
        <v>1161</v>
      </c>
      <c r="F95" s="9" t="str">
        <f t="shared" si="2"/>
        <v>https://www.ssbuy.tw/detail_giftcode/dist/giftcodes/龍之谷：經典再現.html</v>
      </c>
      <c r="H95" s="9" t="str">
        <f t="shared" si="3"/>
        <v>https://www.ssbuy.tw/detail_giftcode/dist/gamedetail/龍之谷：經典再現.html</v>
      </c>
      <c r="I95" s="17" t="s">
        <v>1162</v>
      </c>
      <c r="J95" s="11" t="s">
        <v>1163</v>
      </c>
      <c r="K95" s="9">
        <v>2551</v>
      </c>
      <c r="L95" s="9" t="s">
        <v>1164</v>
      </c>
      <c r="M95" s="9">
        <v>1323</v>
      </c>
      <c r="N95" s="9" t="s">
        <v>1165</v>
      </c>
      <c r="O95" s="9">
        <v>990</v>
      </c>
      <c r="P95" s="9" t="s">
        <v>1166</v>
      </c>
      <c r="Q95" s="9">
        <v>540</v>
      </c>
      <c r="R95" s="9" t="s">
        <v>1167</v>
      </c>
      <c r="S95" s="9">
        <v>270</v>
      </c>
      <c r="T95" s="9" t="s">
        <v>1168</v>
      </c>
      <c r="U95" s="9">
        <v>137</v>
      </c>
      <c r="V95" s="9" t="s">
        <v>1169</v>
      </c>
      <c r="W95" s="9">
        <v>40</v>
      </c>
    </row>
    <row r="96" spans="1:37" ht="28.5" customHeight="1">
      <c r="A96" s="114" t="s">
        <v>1170</v>
      </c>
      <c r="F96" s="9" t="str">
        <f t="shared" si="2"/>
        <v>https://www.ssbuy.tw/detail_giftcode/dist/giftcodes/楓之谷Artale.html</v>
      </c>
      <c r="H96" s="9" t="str">
        <f t="shared" si="3"/>
        <v>https://www.ssbuy.tw/detail_giftcode/dist/gamedetail/楓之谷Artale.html</v>
      </c>
      <c r="I96" s="17" t="s">
        <v>1171</v>
      </c>
      <c r="J96" s="11" t="s">
        <v>1172</v>
      </c>
      <c r="K96" s="9">
        <v>1580</v>
      </c>
    </row>
    <row r="97" spans="1:29" ht="28.5" customHeight="1">
      <c r="A97" s="114" t="s">
        <v>1173</v>
      </c>
      <c r="F97" s="9" t="str">
        <f t="shared" si="2"/>
        <v>https://www.ssbuy.tw/detail_giftcode/dist/giftcodes/出發吧麥芬.html</v>
      </c>
      <c r="H97" s="9" t="str">
        <f t="shared" si="3"/>
        <v>https://www.ssbuy.tw/detail_giftcode/dist/gamedetail/出發吧麥芬.html</v>
      </c>
      <c r="I97" s="17" t="s">
        <v>1174</v>
      </c>
      <c r="J97" s="11" t="s">
        <v>1175</v>
      </c>
      <c r="K97" s="9">
        <v>2390</v>
      </c>
      <c r="L97" s="9" t="s">
        <v>1176</v>
      </c>
      <c r="M97" s="9">
        <v>1380</v>
      </c>
      <c r="N97" s="9" t="s">
        <v>1177</v>
      </c>
      <c r="O97" s="9">
        <v>810</v>
      </c>
      <c r="P97" s="9" t="s">
        <v>1178</v>
      </c>
      <c r="Q97" s="9">
        <v>410</v>
      </c>
      <c r="R97" s="9" t="s">
        <v>1179</v>
      </c>
      <c r="S97" s="9">
        <v>270</v>
      </c>
      <c r="T97" s="9" t="s">
        <v>1180</v>
      </c>
      <c r="U97" s="9">
        <v>40</v>
      </c>
    </row>
    <row r="98" spans="1:29" ht="28.5" customHeight="1">
      <c r="A98" s="114" t="s">
        <v>1181</v>
      </c>
      <c r="F98" s="9" t="str">
        <f t="shared" si="2"/>
        <v>https://www.ssbuy.tw/detail_giftcode/dist/giftcodes/RO仙境傳說：守護永恆的愛 Classic.html</v>
      </c>
      <c r="H98" s="9" t="str">
        <f t="shared" si="3"/>
        <v>https://www.ssbuy.tw/detail_giftcode/dist/gamedetail/RO仙境傳說：守護永恆的愛 Classic.html</v>
      </c>
      <c r="I98" s="17" t="s">
        <v>1182</v>
      </c>
      <c r="J98" s="11" t="s">
        <v>1183</v>
      </c>
      <c r="K98" s="9">
        <v>2320</v>
      </c>
      <c r="L98" s="9" t="s">
        <v>1184</v>
      </c>
      <c r="M98" s="9">
        <v>1330</v>
      </c>
      <c r="N98" s="9" t="s">
        <v>1185</v>
      </c>
      <c r="O98" s="9">
        <v>520</v>
      </c>
      <c r="P98" s="9" t="s">
        <v>1186</v>
      </c>
      <c r="Q98" s="9">
        <v>267</v>
      </c>
      <c r="R98" s="9" t="s">
        <v>1187</v>
      </c>
      <c r="S98" s="9">
        <v>137</v>
      </c>
      <c r="T98" s="9" t="s">
        <v>1188</v>
      </c>
      <c r="U98" s="9">
        <v>90</v>
      </c>
    </row>
    <row r="99" spans="1:29" ht="28.5" customHeight="1">
      <c r="A99" s="114" t="s">
        <v>1189</v>
      </c>
      <c r="F99" s="9" t="str">
        <f t="shared" si="2"/>
        <v>https://www.ssbuy.tw/detail_giftcode/dist/giftcodes/魔力寶貝：復興.html</v>
      </c>
      <c r="H99" s="9" t="str">
        <f t="shared" si="3"/>
        <v>https://www.ssbuy.tw/detail_giftcode/dist/gamedetail/魔力寶貝：復興.html</v>
      </c>
      <c r="I99" s="17" t="s">
        <v>1190</v>
      </c>
      <c r="J99" s="11" t="s">
        <v>1191</v>
      </c>
      <c r="K99" s="9">
        <v>2290</v>
      </c>
      <c r="L99" s="9" t="s">
        <v>1192</v>
      </c>
      <c r="M99" s="9">
        <v>2000</v>
      </c>
      <c r="N99" s="9" t="s">
        <v>1193</v>
      </c>
      <c r="O99" s="9">
        <v>1150</v>
      </c>
      <c r="P99" s="9" t="s">
        <v>1194</v>
      </c>
      <c r="Q99" s="9">
        <v>786</v>
      </c>
      <c r="R99" s="9" t="s">
        <v>1195</v>
      </c>
      <c r="S99" s="9">
        <v>450</v>
      </c>
      <c r="T99" s="9" t="s">
        <v>1196</v>
      </c>
      <c r="U99" s="9">
        <v>260</v>
      </c>
      <c r="V99" s="9" t="s">
        <v>1197</v>
      </c>
      <c r="W99" s="9">
        <v>137</v>
      </c>
      <c r="X99" s="9" t="s">
        <v>1198</v>
      </c>
      <c r="Y99" s="9">
        <v>50</v>
      </c>
    </row>
    <row r="100" spans="1:29" ht="28.5" customHeight="1">
      <c r="A100" s="114" t="s">
        <v>1199</v>
      </c>
      <c r="F100" s="9" t="str">
        <f t="shared" si="2"/>
        <v>https://www.ssbuy.tw/detail_giftcode/dist/giftcodes/東京喰種Awakening.html</v>
      </c>
      <c r="H100" s="9" t="str">
        <f t="shared" si="3"/>
        <v>https://www.ssbuy.tw/detail_giftcode/dist/gamedetail/東京喰種Awakening.html</v>
      </c>
      <c r="I100" s="17" t="s">
        <v>1200</v>
      </c>
      <c r="J100" s="11" t="s">
        <v>1201</v>
      </c>
      <c r="K100" s="9">
        <v>2551</v>
      </c>
      <c r="L100" s="9" t="s">
        <v>1202</v>
      </c>
      <c r="M100" s="9">
        <v>1370</v>
      </c>
      <c r="N100" s="9" t="s">
        <v>1203</v>
      </c>
      <c r="O100" s="9">
        <v>740</v>
      </c>
      <c r="P100" s="9" t="s">
        <v>1204</v>
      </c>
      <c r="Q100" s="9">
        <v>394</v>
      </c>
      <c r="R100" s="9" t="s">
        <v>1205</v>
      </c>
      <c r="S100" s="9">
        <v>137</v>
      </c>
      <c r="T100" s="9" t="s">
        <v>1206</v>
      </c>
      <c r="U100" s="9">
        <v>40</v>
      </c>
    </row>
    <row r="101" spans="1:29" ht="28.5" customHeight="1">
      <c r="A101" s="114" t="s">
        <v>1207</v>
      </c>
      <c r="F101" s="9" t="str">
        <f t="shared" si="2"/>
        <v>https://www.ssbuy.tw/detail_giftcode/dist/giftcodes/晶核.html</v>
      </c>
      <c r="H101" s="9" t="str">
        <f t="shared" si="3"/>
        <v>https://www.ssbuy.tw/detail_giftcode/dist/gamedetail/晶核.html</v>
      </c>
      <c r="I101" s="17" t="s">
        <v>1208</v>
      </c>
      <c r="J101" s="11" t="s">
        <v>1209</v>
      </c>
      <c r="K101" s="9">
        <v>2420</v>
      </c>
      <c r="L101" s="9" t="s">
        <v>1210</v>
      </c>
      <c r="M101" s="9">
        <v>1340</v>
      </c>
      <c r="N101" s="9" t="s">
        <v>1211</v>
      </c>
      <c r="O101" s="9">
        <v>786</v>
      </c>
      <c r="P101" s="9" t="s">
        <v>1212</v>
      </c>
      <c r="Q101" s="9">
        <v>394</v>
      </c>
      <c r="R101" s="9" t="s">
        <v>1213</v>
      </c>
      <c r="S101" s="9">
        <v>137</v>
      </c>
      <c r="T101" s="9" t="s">
        <v>1214</v>
      </c>
      <c r="U101" s="9">
        <v>40</v>
      </c>
      <c r="V101" s="9" t="s">
        <v>1215</v>
      </c>
      <c r="W101" s="9">
        <v>137</v>
      </c>
    </row>
    <row r="102" spans="1:29" ht="28.5" customHeight="1" thickBot="1">
      <c r="A102" s="114" t="s">
        <v>1216</v>
      </c>
      <c r="F102" s="9" t="str">
        <f t="shared" si="2"/>
        <v>https://www.ssbuy.tw/detail_giftcode/dist/giftcodes/無盡夢迴.html</v>
      </c>
      <c r="H102" s="9" t="str">
        <f t="shared" si="3"/>
        <v>https://www.ssbuy.tw/detail_giftcode/dist/gamedetail/無盡夢迴.html</v>
      </c>
      <c r="I102" s="17" t="s">
        <v>1217</v>
      </c>
      <c r="J102" s="11" t="s">
        <v>1218</v>
      </c>
      <c r="K102" s="9">
        <v>2520</v>
      </c>
      <c r="L102" s="9" t="s">
        <v>1219</v>
      </c>
      <c r="M102" s="9">
        <v>1330</v>
      </c>
      <c r="N102" s="9" t="s">
        <v>1220</v>
      </c>
      <c r="O102" s="9">
        <v>830</v>
      </c>
      <c r="P102" s="9" t="s">
        <v>1221</v>
      </c>
      <c r="Q102" s="9">
        <v>420</v>
      </c>
      <c r="R102" s="9" t="s">
        <v>1222</v>
      </c>
      <c r="S102" s="9">
        <v>137</v>
      </c>
      <c r="T102" s="9" t="s">
        <v>1223</v>
      </c>
      <c r="U102" s="9">
        <v>40</v>
      </c>
      <c r="V102" s="9" t="s">
        <v>1224</v>
      </c>
      <c r="W102" s="9">
        <v>137</v>
      </c>
    </row>
    <row r="103" spans="1:29" ht="28.5" customHeight="1" thickBot="1">
      <c r="A103" s="115" t="s">
        <v>1225</v>
      </c>
      <c r="F103" s="9" t="str">
        <f t="shared" si="2"/>
        <v>https://www.ssbuy.tw/detail_giftcode/dist/giftcodes/RO仙境傳說：放推冒險團.html</v>
      </c>
      <c r="H103" s="9" t="str">
        <f t="shared" si="3"/>
        <v>https://www.ssbuy.tw/detail_giftcode/dist/gamedetail/RO仙境傳說：放推冒險團.html</v>
      </c>
      <c r="I103" s="17" t="s">
        <v>1226</v>
      </c>
      <c r="J103" s="27" t="s">
        <v>1227</v>
      </c>
      <c r="K103" s="28">
        <v>2551</v>
      </c>
      <c r="L103" s="29" t="s">
        <v>1228</v>
      </c>
      <c r="M103" s="28">
        <v>1323</v>
      </c>
      <c r="N103" s="29" t="s">
        <v>1229</v>
      </c>
      <c r="O103" s="28">
        <v>539</v>
      </c>
      <c r="P103" s="29" t="s">
        <v>1230</v>
      </c>
      <c r="Q103" s="28">
        <v>394</v>
      </c>
      <c r="R103" s="29" t="s">
        <v>1231</v>
      </c>
      <c r="S103" s="28">
        <v>137</v>
      </c>
      <c r="T103" s="29" t="s">
        <v>1232</v>
      </c>
      <c r="U103" s="28">
        <v>35</v>
      </c>
    </row>
    <row r="104" spans="1:29" ht="28.5" customHeight="1" thickBot="1">
      <c r="A104" s="115" t="s">
        <v>1233</v>
      </c>
      <c r="F104" s="9" t="str">
        <f t="shared" si="2"/>
        <v>https://www.ssbuy.tw/detail_giftcode/dist/giftcodes/英雄刷刷刷.html</v>
      </c>
      <c r="H104" s="9" t="str">
        <f t="shared" si="3"/>
        <v>https://www.ssbuy.tw/detail_giftcode/dist/gamedetail/英雄刷刷刷.html</v>
      </c>
      <c r="I104" s="17" t="s">
        <v>1234</v>
      </c>
      <c r="J104" s="27" t="s">
        <v>1235</v>
      </c>
      <c r="K104" s="28">
        <v>2551</v>
      </c>
      <c r="L104" s="29" t="s">
        <v>1236</v>
      </c>
      <c r="M104" s="28">
        <v>1323</v>
      </c>
      <c r="N104" s="29" t="s">
        <v>1237</v>
      </c>
      <c r="O104" s="28">
        <v>812</v>
      </c>
      <c r="P104" s="29" t="s">
        <v>1238</v>
      </c>
      <c r="Q104" s="28">
        <v>539</v>
      </c>
      <c r="R104" s="29" t="s">
        <v>1239</v>
      </c>
      <c r="S104" s="28">
        <v>394</v>
      </c>
      <c r="T104" s="29" t="s">
        <v>1240</v>
      </c>
      <c r="U104" s="28">
        <v>267</v>
      </c>
      <c r="V104" s="29" t="s">
        <v>1241</v>
      </c>
      <c r="W104" s="28">
        <v>137</v>
      </c>
      <c r="X104" s="29" t="s">
        <v>1242</v>
      </c>
      <c r="Y104" s="9">
        <v>89</v>
      </c>
      <c r="Z104" s="29" t="s">
        <v>1243</v>
      </c>
      <c r="AA104" s="9">
        <v>53</v>
      </c>
      <c r="AB104" s="29" t="s">
        <v>1244</v>
      </c>
      <c r="AC104" s="9">
        <v>30</v>
      </c>
    </row>
    <row r="105" spans="1:29" ht="28.5" customHeight="1" thickBot="1">
      <c r="A105" s="116" t="s">
        <v>1245</v>
      </c>
      <c r="F105" s="9" t="str">
        <f t="shared" si="2"/>
        <v>https://www.ssbuy.tw/detail_giftcode/dist/giftcodes/萬靈物語.html</v>
      </c>
      <c r="H105" s="9" t="str">
        <f t="shared" si="3"/>
        <v>https://www.ssbuy.tw/detail_giftcode/dist/gamedetail/萬靈物語.html</v>
      </c>
      <c r="I105" s="17" t="s">
        <v>1246</v>
      </c>
      <c r="J105" s="27" t="s">
        <v>12</v>
      </c>
      <c r="K105" s="28">
        <v>2551</v>
      </c>
      <c r="L105" s="29" t="s">
        <v>13</v>
      </c>
      <c r="M105" s="28">
        <v>1323</v>
      </c>
      <c r="N105" s="29" t="s">
        <v>14</v>
      </c>
      <c r="O105" s="28">
        <v>539</v>
      </c>
      <c r="P105" s="29" t="s">
        <v>15</v>
      </c>
      <c r="Q105" s="28">
        <v>394</v>
      </c>
      <c r="R105" s="29" t="s">
        <v>16</v>
      </c>
      <c r="S105" s="28">
        <v>137</v>
      </c>
      <c r="T105" s="29" t="s">
        <v>7</v>
      </c>
      <c r="U105" s="28">
        <v>35</v>
      </c>
    </row>
    <row r="106" spans="1:29" ht="28.5" customHeight="1" thickBot="1">
      <c r="A106" s="116" t="s">
        <v>1247</v>
      </c>
      <c r="F106" s="9" t="str">
        <f t="shared" si="2"/>
        <v>https://www.ssbuy.tw/detail_giftcode/dist/giftcodes/斗羅大陸：逆轉時空.html</v>
      </c>
      <c r="H106" s="9" t="str">
        <f t="shared" si="3"/>
        <v>https://www.ssbuy.tw/detail_giftcode/dist/gamedetail/斗羅大陸：逆轉時空.html</v>
      </c>
      <c r="I106" s="17" t="s">
        <v>1248</v>
      </c>
      <c r="J106" s="27" t="s">
        <v>1249</v>
      </c>
      <c r="K106" s="28">
        <v>2551</v>
      </c>
      <c r="L106" s="29" t="s">
        <v>1250</v>
      </c>
      <c r="M106" s="28">
        <v>1323</v>
      </c>
      <c r="N106" s="29" t="s">
        <v>1251</v>
      </c>
      <c r="O106" s="28">
        <v>803</v>
      </c>
      <c r="P106" s="29" t="s">
        <v>1252</v>
      </c>
      <c r="Q106" s="28">
        <v>539</v>
      </c>
      <c r="R106" s="29" t="s">
        <v>1253</v>
      </c>
      <c r="S106" s="28">
        <v>394</v>
      </c>
      <c r="T106" s="29" t="s">
        <v>1254</v>
      </c>
      <c r="U106" s="28">
        <v>267</v>
      </c>
      <c r="V106" s="29" t="s">
        <v>1255</v>
      </c>
      <c r="W106" s="28">
        <v>137</v>
      </c>
      <c r="X106" s="29" t="s">
        <v>1256</v>
      </c>
      <c r="Y106" s="28">
        <v>35</v>
      </c>
    </row>
    <row r="107" spans="1:29" ht="28.5" customHeight="1" thickBot="1">
      <c r="A107" s="116" t="s">
        <v>1257</v>
      </c>
      <c r="F107" s="9" t="str">
        <f t="shared" si="2"/>
        <v>https://www.ssbuy.tw/detail_giftcode/dist/giftcodes/魔靈召喚：保衛戰.html</v>
      </c>
      <c r="H107" s="9" t="str">
        <f t="shared" si="3"/>
        <v>https://www.ssbuy.tw/detail_giftcode/dist/gamedetail/魔靈召喚：保衛戰.html</v>
      </c>
      <c r="I107" s="17" t="s">
        <v>1258</v>
      </c>
      <c r="J107" s="27" t="s">
        <v>1259</v>
      </c>
      <c r="K107" s="28">
        <v>2551</v>
      </c>
      <c r="L107" s="29" t="s">
        <v>1260</v>
      </c>
      <c r="M107" s="28">
        <v>1631</v>
      </c>
      <c r="N107" s="29" t="s">
        <v>1261</v>
      </c>
      <c r="O107" s="28">
        <v>975</v>
      </c>
      <c r="P107" s="29" t="s">
        <v>1262</v>
      </c>
      <c r="Q107" s="28">
        <v>574</v>
      </c>
      <c r="R107" s="29" t="s">
        <v>1263</v>
      </c>
      <c r="S107" s="28">
        <v>241</v>
      </c>
      <c r="T107" s="29" t="s">
        <v>1264</v>
      </c>
      <c r="U107" s="28">
        <v>89</v>
      </c>
    </row>
    <row r="108" spans="1:29" ht="28.5" customHeight="1" thickBot="1">
      <c r="A108" s="116" t="s">
        <v>1265</v>
      </c>
      <c r="F108" s="9" t="str">
        <f t="shared" si="2"/>
        <v>https://www.ssbuy.tw/detail_giftcode/dist/giftcodes/潘多蘭島.html</v>
      </c>
      <c r="H108" s="9" t="str">
        <f t="shared" si="3"/>
        <v>https://www.ssbuy.tw/detail_giftcode/dist/gamedetail/潘多蘭島.html</v>
      </c>
      <c r="I108" s="17" t="s">
        <v>1266</v>
      </c>
      <c r="J108" s="27" t="s">
        <v>1267</v>
      </c>
      <c r="K108" s="28">
        <v>2551</v>
      </c>
      <c r="L108" s="29" t="s">
        <v>1268</v>
      </c>
      <c r="M108" s="28">
        <v>1323</v>
      </c>
      <c r="N108" s="29" t="s">
        <v>1269</v>
      </c>
      <c r="O108" s="28">
        <v>539</v>
      </c>
      <c r="P108" s="29" t="s">
        <v>232</v>
      </c>
      <c r="Q108" s="28">
        <v>267</v>
      </c>
      <c r="R108" s="29" t="s">
        <v>16</v>
      </c>
      <c r="S108" s="28">
        <v>137</v>
      </c>
      <c r="T108" s="29" t="s">
        <v>1270</v>
      </c>
      <c r="U108" s="28">
        <v>283</v>
      </c>
      <c r="V108" s="29" t="s">
        <v>1271</v>
      </c>
      <c r="W108" s="28">
        <v>812</v>
      </c>
      <c r="X108" s="29" t="s">
        <v>1272</v>
      </c>
      <c r="Y108" s="28">
        <v>137</v>
      </c>
      <c r="Z108" s="29" t="s">
        <v>1273</v>
      </c>
      <c r="AA108" s="28">
        <v>137</v>
      </c>
    </row>
    <row r="109" spans="1:29" ht="28.5" customHeight="1" thickBot="1">
      <c r="A109" s="116" t="s">
        <v>1274</v>
      </c>
      <c r="F109" s="9" t="str">
        <f t="shared" si="2"/>
        <v>https://www.ssbuy.tw/detail_giftcode/dist/giftcodes/電鋸果汁大亂鬥.html</v>
      </c>
      <c r="H109" s="9" t="str">
        <f t="shared" si="3"/>
        <v>https://www.ssbuy.tw/detail_giftcode/dist/gamedetail/電鋸果汁大亂鬥.html</v>
      </c>
      <c r="I109" s="17" t="s">
        <v>8264</v>
      </c>
      <c r="J109" s="27" t="s">
        <v>1275</v>
      </c>
      <c r="K109" s="28">
        <v>2551</v>
      </c>
      <c r="L109" s="29" t="s">
        <v>5</v>
      </c>
      <c r="M109" s="28">
        <v>1323</v>
      </c>
      <c r="N109" s="29" t="s">
        <v>17</v>
      </c>
      <c r="O109" s="28">
        <v>539</v>
      </c>
      <c r="P109" s="29" t="s">
        <v>1276</v>
      </c>
      <c r="Q109" s="28">
        <v>267</v>
      </c>
      <c r="R109" s="29" t="s">
        <v>1277</v>
      </c>
      <c r="S109" s="28">
        <v>137</v>
      </c>
      <c r="T109" s="29" t="s">
        <v>1278</v>
      </c>
      <c r="U109" s="28">
        <v>324</v>
      </c>
      <c r="V109" s="29" t="s">
        <v>1279</v>
      </c>
      <c r="W109" s="28">
        <v>266</v>
      </c>
    </row>
    <row r="110" spans="1:29" ht="28.5" customHeight="1" thickBot="1">
      <c r="A110" s="116" t="s">
        <v>1280</v>
      </c>
      <c r="F110" s="9" t="str">
        <f t="shared" si="2"/>
        <v>https://www.ssbuy.tw/detail_giftcode/dist/giftcodes/風色幻想NeXus.html</v>
      </c>
      <c r="H110" s="9" t="str">
        <f t="shared" si="3"/>
        <v>https://www.ssbuy.tw/detail_giftcode/dist/gamedetail/風色幻想NeXus.html</v>
      </c>
      <c r="I110" s="17" t="s">
        <v>1281</v>
      </c>
      <c r="J110" s="27" t="s">
        <v>1282</v>
      </c>
      <c r="K110" s="28">
        <v>2551</v>
      </c>
      <c r="L110" s="29" t="s">
        <v>1283</v>
      </c>
      <c r="M110" s="28">
        <v>1323</v>
      </c>
      <c r="N110" s="29" t="s">
        <v>1284</v>
      </c>
      <c r="O110" s="28">
        <v>812</v>
      </c>
      <c r="P110" s="29" t="s">
        <v>1285</v>
      </c>
      <c r="Q110" s="28">
        <v>394</v>
      </c>
      <c r="R110" s="29" t="s">
        <v>1286</v>
      </c>
      <c r="S110" s="28">
        <v>137</v>
      </c>
      <c r="T110" s="29" t="s">
        <v>1287</v>
      </c>
      <c r="U110" s="28">
        <v>539</v>
      </c>
      <c r="V110" s="29" t="s">
        <v>1288</v>
      </c>
      <c r="W110" s="28">
        <v>267</v>
      </c>
      <c r="X110" s="29" t="s">
        <v>1289</v>
      </c>
      <c r="Y110" s="28">
        <v>137</v>
      </c>
    </row>
    <row r="111" spans="1:29" ht="28.5" customHeight="1" thickBot="1">
      <c r="A111" s="116" t="s">
        <v>1290</v>
      </c>
      <c r="F111" s="9" t="str">
        <f t="shared" si="2"/>
        <v>https://www.ssbuy.tw/detail_giftcode/dist/giftcodes/星河訣愛.html</v>
      </c>
      <c r="H111" s="9" t="str">
        <f t="shared" si="3"/>
        <v>https://www.ssbuy.tw/detail_giftcode/dist/gamedetail/星河訣愛.html</v>
      </c>
      <c r="I111" s="17" t="s">
        <v>1291</v>
      </c>
      <c r="J111" s="27" t="s">
        <v>235</v>
      </c>
      <c r="K111" s="28">
        <v>2551</v>
      </c>
      <c r="L111" s="29" t="s">
        <v>236</v>
      </c>
      <c r="M111" s="28">
        <v>1323</v>
      </c>
      <c r="N111" s="29" t="s">
        <v>1292</v>
      </c>
      <c r="O111" s="28">
        <v>812</v>
      </c>
      <c r="P111" s="29" t="s">
        <v>237</v>
      </c>
      <c r="Q111" s="28">
        <v>539</v>
      </c>
      <c r="R111" s="29" t="s">
        <v>238</v>
      </c>
      <c r="S111" s="28">
        <v>267</v>
      </c>
      <c r="T111" s="29" t="s">
        <v>239</v>
      </c>
      <c r="U111" s="28">
        <v>137</v>
      </c>
      <c r="V111" s="29" t="s">
        <v>240</v>
      </c>
      <c r="W111" s="28">
        <v>35</v>
      </c>
    </row>
    <row r="112" spans="1:29" ht="28.5" customHeight="1" thickBot="1">
      <c r="A112" s="115" t="s">
        <v>3</v>
      </c>
      <c r="F112" s="9" t="str">
        <f t="shared" si="2"/>
        <v>https://www.ssbuy.tw/detail_giftcode/dist/giftcodes/kingshot.html</v>
      </c>
      <c r="H112" s="9" t="str">
        <f t="shared" si="3"/>
        <v>https://www.ssbuy.tw/detail_giftcode/dist/gamedetail/kingshot.html</v>
      </c>
      <c r="I112" s="17" t="s">
        <v>1293</v>
      </c>
      <c r="J112" s="19" t="s">
        <v>245</v>
      </c>
      <c r="K112" s="9">
        <v>2551</v>
      </c>
      <c r="L112" s="18" t="s">
        <v>246</v>
      </c>
      <c r="M112" s="9">
        <v>1323</v>
      </c>
      <c r="N112" s="18" t="s">
        <v>4</v>
      </c>
      <c r="O112" s="9">
        <v>539</v>
      </c>
      <c r="P112" s="18" t="s">
        <v>5</v>
      </c>
      <c r="Q112" s="9">
        <v>267</v>
      </c>
      <c r="R112" s="18" t="s">
        <v>1294</v>
      </c>
      <c r="S112" s="9">
        <v>137</v>
      </c>
      <c r="T112" s="18" t="s">
        <v>6</v>
      </c>
      <c r="U112" s="9">
        <v>35</v>
      </c>
      <c r="V112" s="18" t="s">
        <v>1295</v>
      </c>
      <c r="W112" s="9">
        <v>267</v>
      </c>
      <c r="X112" s="18" t="s">
        <v>1296</v>
      </c>
      <c r="Y112" s="9">
        <v>137</v>
      </c>
      <c r="Z112" s="18" t="s">
        <v>206</v>
      </c>
      <c r="AA112" s="9">
        <v>88</v>
      </c>
    </row>
    <row r="113" spans="1:31" ht="28.5" customHeight="1" thickBot="1">
      <c r="A113" s="115" t="s">
        <v>1297</v>
      </c>
      <c r="F113" s="9" t="str">
        <f t="shared" si="2"/>
        <v>https://www.ssbuy.tw/detail_giftcode/dist/giftcodes/胡鬧地牢.html</v>
      </c>
      <c r="H113" s="9" t="str">
        <f t="shared" si="3"/>
        <v>https://www.ssbuy.tw/detail_giftcode/dist/gamedetail/胡鬧地牢.html</v>
      </c>
      <c r="I113" s="17" t="s">
        <v>1298</v>
      </c>
      <c r="J113" s="19" t="s">
        <v>1299</v>
      </c>
      <c r="K113" s="9">
        <v>2442</v>
      </c>
      <c r="L113" s="18" t="s">
        <v>1300</v>
      </c>
      <c r="M113" s="9">
        <v>1234</v>
      </c>
      <c r="N113" s="18" t="s">
        <v>1301</v>
      </c>
      <c r="O113" s="9">
        <v>413</v>
      </c>
      <c r="P113" s="18" t="s">
        <v>1302</v>
      </c>
      <c r="Q113" s="9">
        <v>137</v>
      </c>
      <c r="R113" s="29" t="s">
        <v>7</v>
      </c>
      <c r="S113" s="28">
        <v>27</v>
      </c>
    </row>
    <row r="114" spans="1:31" ht="28.5" customHeight="1" thickBot="1">
      <c r="A114" s="115" t="s">
        <v>1303</v>
      </c>
      <c r="F114" s="9" t="str">
        <f t="shared" si="2"/>
        <v>https://www.ssbuy.tw/detail_giftcode/dist/giftcodes/小小軍團-重生.html</v>
      </c>
      <c r="H114" s="9" t="str">
        <f t="shared" si="3"/>
        <v>https://www.ssbuy.tw/detail_giftcode/dist/gamedetail/小小軍團-重生.html</v>
      </c>
      <c r="I114" s="17" t="s">
        <v>1304</v>
      </c>
      <c r="J114" s="27" t="s">
        <v>1305</v>
      </c>
      <c r="K114" s="28">
        <v>2442</v>
      </c>
      <c r="L114" s="29" t="s">
        <v>1306</v>
      </c>
      <c r="M114" s="28">
        <v>1234</v>
      </c>
      <c r="N114" s="29" t="s">
        <v>1307</v>
      </c>
      <c r="O114" s="28">
        <v>582</v>
      </c>
      <c r="P114" s="29" t="s">
        <v>1308</v>
      </c>
      <c r="Q114" s="28">
        <v>270</v>
      </c>
      <c r="R114" s="29" t="s">
        <v>1309</v>
      </c>
      <c r="S114" s="28">
        <v>137</v>
      </c>
      <c r="T114" s="29" t="s">
        <v>1310</v>
      </c>
      <c r="U114" s="28">
        <v>27</v>
      </c>
      <c r="V114" s="29" t="s">
        <v>1311</v>
      </c>
      <c r="W114" s="28">
        <v>270</v>
      </c>
      <c r="X114" s="29" t="s">
        <v>1312</v>
      </c>
      <c r="Y114" s="28">
        <v>137</v>
      </c>
      <c r="Z114" s="29" t="s">
        <v>1313</v>
      </c>
      <c r="AA114" s="28">
        <v>413</v>
      </c>
    </row>
    <row r="115" spans="1:31" ht="28.5" customHeight="1" thickBot="1">
      <c r="A115" s="116" t="s">
        <v>1314</v>
      </c>
      <c r="F115" s="9" t="str">
        <f t="shared" si="2"/>
        <v>https://www.ssbuy.tw/detail_giftcode/dist/giftcodes/爪爪遠征.html</v>
      </c>
      <c r="H115" s="9" t="str">
        <f t="shared" si="3"/>
        <v>https://www.ssbuy.tw/detail_giftcode/dist/gamedetail/爪爪遠征.html</v>
      </c>
      <c r="I115" s="17" t="s">
        <v>1315</v>
      </c>
      <c r="J115" s="27" t="s">
        <v>1316</v>
      </c>
      <c r="K115" s="28">
        <v>1232</v>
      </c>
      <c r="L115" s="29" t="s">
        <v>1317</v>
      </c>
      <c r="M115" s="28">
        <v>818</v>
      </c>
      <c r="N115" s="29" t="s">
        <v>1318</v>
      </c>
      <c r="O115" s="28">
        <v>578</v>
      </c>
      <c r="P115" s="29" t="s">
        <v>1319</v>
      </c>
      <c r="Q115" s="28">
        <v>185</v>
      </c>
      <c r="R115" s="29" t="s">
        <v>1320</v>
      </c>
      <c r="S115" s="28">
        <v>83</v>
      </c>
      <c r="T115" s="29" t="s">
        <v>1321</v>
      </c>
      <c r="U115" s="28">
        <v>35</v>
      </c>
      <c r="V115" s="29" t="s">
        <v>1322</v>
      </c>
      <c r="W115" s="28">
        <v>185</v>
      </c>
      <c r="X115" s="29" t="s">
        <v>1323</v>
      </c>
      <c r="Y115" s="28">
        <v>185</v>
      </c>
    </row>
    <row r="116" spans="1:31" ht="28.5" customHeight="1" thickBot="1">
      <c r="A116" s="116" t="s">
        <v>1324</v>
      </c>
      <c r="F116" s="9" t="str">
        <f t="shared" si="2"/>
        <v>https://www.ssbuy.tw/detail_giftcode/dist/giftcodes/勇士團團轉.html</v>
      </c>
      <c r="H116" s="9" t="str">
        <f t="shared" si="3"/>
        <v>https://www.ssbuy.tw/detail_giftcode/dist/gamedetail/勇士團團轉.html</v>
      </c>
      <c r="I116" s="17" t="s">
        <v>1325</v>
      </c>
      <c r="J116" s="27" t="s">
        <v>1326</v>
      </c>
      <c r="K116" s="28">
        <v>578</v>
      </c>
      <c r="L116" s="29" t="s">
        <v>1327</v>
      </c>
      <c r="M116" s="28">
        <v>269</v>
      </c>
      <c r="N116" s="29" t="s">
        <v>1328</v>
      </c>
      <c r="O116" s="28">
        <v>110</v>
      </c>
      <c r="P116" s="29" t="s">
        <v>1329</v>
      </c>
      <c r="Q116" s="28">
        <v>83</v>
      </c>
      <c r="R116" s="29" t="s">
        <v>1330</v>
      </c>
      <c r="S116" s="28">
        <v>411</v>
      </c>
    </row>
    <row r="117" spans="1:31" ht="28.5" customHeight="1" thickBot="1">
      <c r="A117" s="116" t="s">
        <v>1331</v>
      </c>
      <c r="F117" s="9" t="str">
        <f t="shared" si="2"/>
        <v>https://www.ssbuy.tw/detail_giftcode/dist/giftcodes/魁 三國志大戰.html</v>
      </c>
      <c r="H117" s="9" t="str">
        <f t="shared" si="3"/>
        <v>https://www.ssbuy.tw/detail_giftcode/dist/gamedetail/魁 三國志大戰.html</v>
      </c>
      <c r="I117" s="17" t="s">
        <v>1332</v>
      </c>
      <c r="J117" s="27" t="s">
        <v>1333</v>
      </c>
      <c r="K117" s="28">
        <v>1622</v>
      </c>
      <c r="L117" s="29" t="s">
        <v>1334</v>
      </c>
      <c r="M117" s="28">
        <v>818</v>
      </c>
      <c r="N117" s="29" t="s">
        <v>1335</v>
      </c>
      <c r="O117" s="28">
        <v>411</v>
      </c>
      <c r="P117" s="29" t="s">
        <v>1336</v>
      </c>
      <c r="Q117" s="28">
        <v>83</v>
      </c>
      <c r="R117" s="29" t="s">
        <v>1337</v>
      </c>
      <c r="S117" s="28">
        <v>35</v>
      </c>
      <c r="T117" s="29" t="s">
        <v>1338</v>
      </c>
      <c r="U117" s="28">
        <v>110</v>
      </c>
    </row>
    <row r="118" spans="1:31" ht="28.5" customHeight="1" thickBot="1">
      <c r="A118" s="116" t="s">
        <v>8</v>
      </c>
      <c r="F118" s="9" t="str">
        <f t="shared" si="2"/>
        <v>https://www.ssbuy.tw/detail_giftcode/dist/giftcodes/tokyo beast.html</v>
      </c>
      <c r="H118" s="9" t="str">
        <f t="shared" si="3"/>
        <v>https://www.ssbuy.tw/detail_giftcode/dist/gamedetail/tokyo beast.html</v>
      </c>
      <c r="I118" s="17" t="s">
        <v>1339</v>
      </c>
      <c r="J118" s="27" t="s">
        <v>1340</v>
      </c>
      <c r="K118" s="28">
        <v>2414</v>
      </c>
      <c r="L118" s="29" t="s">
        <v>1341</v>
      </c>
      <c r="M118" s="28">
        <v>1622</v>
      </c>
      <c r="N118" s="29" t="s">
        <v>1342</v>
      </c>
      <c r="O118" s="28">
        <v>1232</v>
      </c>
      <c r="P118" s="29" t="s">
        <v>1343</v>
      </c>
      <c r="Q118" s="28">
        <v>818</v>
      </c>
      <c r="R118" s="29" t="s">
        <v>1344</v>
      </c>
      <c r="S118" s="28">
        <v>578</v>
      </c>
      <c r="T118" s="29" t="s">
        <v>1345</v>
      </c>
      <c r="U118" s="28">
        <v>269</v>
      </c>
      <c r="V118" s="29" t="s">
        <v>1346</v>
      </c>
      <c r="W118" s="28">
        <v>138</v>
      </c>
      <c r="X118" s="29" t="s">
        <v>1347</v>
      </c>
      <c r="Y118" s="28">
        <v>83</v>
      </c>
      <c r="Z118" s="29" t="s">
        <v>1348</v>
      </c>
      <c r="AA118" s="28">
        <v>35</v>
      </c>
      <c r="AB118" s="29" t="s">
        <v>1349</v>
      </c>
      <c r="AC118" s="28">
        <v>2414</v>
      </c>
      <c r="AD118" s="29" t="s">
        <v>1350</v>
      </c>
      <c r="AE118" s="28">
        <v>818</v>
      </c>
    </row>
    <row r="119" spans="1:31" ht="28.5" customHeight="1" thickBot="1">
      <c r="A119" s="117" t="s">
        <v>1351</v>
      </c>
      <c r="F119" s="9" t="str">
        <f t="shared" si="2"/>
        <v>https://www.ssbuy.tw/detail_giftcode/dist/giftcodes/切換英雄：放置型RPG.html</v>
      </c>
      <c r="H119" s="9" t="str">
        <f t="shared" si="3"/>
        <v>https://www.ssbuy.tw/detail_giftcode/dist/gamedetail/切換英雄：放置型RPG.html</v>
      </c>
      <c r="I119" s="17" t="s">
        <v>1352</v>
      </c>
      <c r="J119" s="27" t="s">
        <v>1353</v>
      </c>
      <c r="K119" s="28">
        <v>1867</v>
      </c>
      <c r="L119" s="29" t="s">
        <v>1354</v>
      </c>
      <c r="M119" s="28">
        <v>1232</v>
      </c>
      <c r="N119" s="29" t="s">
        <v>1355</v>
      </c>
      <c r="O119" s="28">
        <v>818</v>
      </c>
      <c r="P119" s="29" t="s">
        <v>1356</v>
      </c>
      <c r="Q119" s="28">
        <v>327</v>
      </c>
      <c r="R119" s="29" t="s">
        <v>1357</v>
      </c>
      <c r="S119" s="28">
        <v>185</v>
      </c>
      <c r="T119" s="29" t="s">
        <v>1358</v>
      </c>
      <c r="U119" s="28">
        <v>110</v>
      </c>
      <c r="V119" s="29" t="s">
        <v>1278</v>
      </c>
      <c r="W119" s="28">
        <v>185</v>
      </c>
      <c r="X119" s="29" t="s">
        <v>1359</v>
      </c>
      <c r="Y119" s="28">
        <v>818</v>
      </c>
      <c r="Z119" s="29" t="s">
        <v>1360</v>
      </c>
      <c r="AA119" s="28">
        <v>578</v>
      </c>
      <c r="AB119" s="29" t="s">
        <v>1361</v>
      </c>
      <c r="AC119" s="28">
        <v>327</v>
      </c>
    </row>
    <row r="120" spans="1:31" ht="28.5" customHeight="1" thickBot="1">
      <c r="A120" s="114" t="s">
        <v>1362</v>
      </c>
      <c r="F120" s="9" t="str">
        <f t="shared" si="2"/>
        <v>https://www.ssbuy.tw/detail_giftcode/dist/giftcodes/小死神傳奇.html</v>
      </c>
      <c r="H120" s="9" t="str">
        <f t="shared" si="3"/>
        <v>https://www.ssbuy.tw/detail_giftcode/dist/gamedetail/小死神傳奇.html</v>
      </c>
      <c r="I120" s="17" t="s">
        <v>1363</v>
      </c>
      <c r="J120" s="27" t="s">
        <v>1364</v>
      </c>
      <c r="K120" s="28">
        <v>2011</v>
      </c>
      <c r="L120" s="29" t="s">
        <v>1365</v>
      </c>
      <c r="M120" s="28">
        <v>1066</v>
      </c>
      <c r="N120" s="29" t="s">
        <v>1366</v>
      </c>
      <c r="O120" s="28">
        <v>244</v>
      </c>
      <c r="P120" s="29" t="s">
        <v>1367</v>
      </c>
      <c r="Q120" s="28">
        <v>110</v>
      </c>
      <c r="R120" s="29" t="s">
        <v>1368</v>
      </c>
      <c r="S120" s="28">
        <v>35</v>
      </c>
      <c r="T120" s="29" t="s">
        <v>9</v>
      </c>
      <c r="U120" s="28">
        <v>653</v>
      </c>
      <c r="V120" s="29" t="s">
        <v>10</v>
      </c>
      <c r="W120" s="28">
        <v>244</v>
      </c>
      <c r="X120" s="29" t="s">
        <v>11</v>
      </c>
      <c r="Y120" s="28">
        <v>110</v>
      </c>
    </row>
    <row r="121" spans="1:31" ht="28.5" customHeight="1" thickBot="1">
      <c r="A121" s="114" t="s">
        <v>1369</v>
      </c>
      <c r="F121" s="9" t="str">
        <f t="shared" si="2"/>
        <v>https://www.ssbuy.tw/detail_giftcode/dist/giftcodes/闇影詩章：凌越世界.html</v>
      </c>
      <c r="H121" s="9" t="str">
        <f t="shared" si="3"/>
        <v>https://www.ssbuy.tw/detail_giftcode/dist/gamedetail/闇影詩章：凌越世界.html</v>
      </c>
      <c r="I121" s="17" t="s">
        <v>1370</v>
      </c>
      <c r="J121" s="27" t="s">
        <v>1371</v>
      </c>
      <c r="K121" s="28">
        <v>1948</v>
      </c>
      <c r="L121" s="29" t="s">
        <v>1372</v>
      </c>
      <c r="M121" s="28">
        <v>984</v>
      </c>
      <c r="N121" s="29" t="s">
        <v>1373</v>
      </c>
      <c r="O121" s="28">
        <v>620</v>
      </c>
      <c r="P121" s="29" t="s">
        <v>1374</v>
      </c>
      <c r="Q121" s="28">
        <v>419</v>
      </c>
      <c r="R121" s="29" t="s">
        <v>1375</v>
      </c>
      <c r="S121" s="28">
        <v>210</v>
      </c>
      <c r="T121" s="29" t="s">
        <v>1376</v>
      </c>
      <c r="U121" s="28">
        <v>115</v>
      </c>
      <c r="V121" s="29" t="s">
        <v>1377</v>
      </c>
      <c r="W121" s="28">
        <v>32</v>
      </c>
      <c r="X121" s="29" t="s">
        <v>1378</v>
      </c>
      <c r="Y121" s="28">
        <v>984</v>
      </c>
      <c r="Z121" s="29" t="s">
        <v>1329</v>
      </c>
      <c r="AA121" s="28">
        <v>419</v>
      </c>
    </row>
    <row r="122" spans="1:31" ht="28.5" customHeight="1" thickBot="1">
      <c r="A122" s="116" t="s">
        <v>1379</v>
      </c>
      <c r="F122" s="9" t="str">
        <f t="shared" si="2"/>
        <v>https://www.ssbuy.tw/detail_giftcode/dist/giftcodes/雪月風花.html</v>
      </c>
      <c r="H122" s="9" t="str">
        <f t="shared" si="3"/>
        <v>https://www.ssbuy.tw/detail_giftcode/dist/gamedetail/雪月風花.html</v>
      </c>
      <c r="I122" s="17" t="s">
        <v>1380</v>
      </c>
      <c r="J122" s="27" t="s">
        <v>18</v>
      </c>
      <c r="K122" s="28">
        <v>2551</v>
      </c>
      <c r="L122" s="29" t="s">
        <v>19</v>
      </c>
      <c r="M122" s="28">
        <v>1323</v>
      </c>
      <c r="N122" s="29" t="s">
        <v>20</v>
      </c>
      <c r="O122" s="28">
        <v>786</v>
      </c>
      <c r="P122" s="29" t="s">
        <v>21</v>
      </c>
      <c r="Q122" s="28">
        <v>539</v>
      </c>
      <c r="R122" s="29" t="s">
        <v>22</v>
      </c>
      <c r="S122" s="28">
        <v>267</v>
      </c>
      <c r="T122" s="29" t="s">
        <v>23</v>
      </c>
      <c r="U122" s="28">
        <v>138</v>
      </c>
    </row>
    <row r="123" spans="1:31" ht="28.5" customHeight="1" thickBot="1">
      <c r="A123" s="116" t="s">
        <v>1381</v>
      </c>
      <c r="F123" s="9" t="str">
        <f t="shared" si="2"/>
        <v>https://www.ssbuy.tw/detail_giftcode/dist/giftcodes/文明帝國：同盟時代.html</v>
      </c>
      <c r="H123" s="9" t="str">
        <f t="shared" si="3"/>
        <v>https://www.ssbuy.tw/detail_giftcode/dist/gamedetail/文明帝國：同盟時代.html</v>
      </c>
      <c r="I123" s="17" t="s">
        <v>1382</v>
      </c>
      <c r="J123" s="27" t="s">
        <v>12</v>
      </c>
      <c r="K123" s="28">
        <v>2551</v>
      </c>
      <c r="L123" s="29" t="s">
        <v>13</v>
      </c>
      <c r="M123" s="28">
        <v>1323</v>
      </c>
      <c r="N123" s="29" t="s">
        <v>24</v>
      </c>
      <c r="O123" s="28">
        <v>786</v>
      </c>
      <c r="P123" s="29" t="s">
        <v>14</v>
      </c>
      <c r="Q123" s="28">
        <v>539</v>
      </c>
      <c r="R123" s="29" t="s">
        <v>16</v>
      </c>
      <c r="S123" s="28">
        <v>138</v>
      </c>
      <c r="T123" s="29" t="s">
        <v>25</v>
      </c>
      <c r="U123" s="28">
        <v>267</v>
      </c>
      <c r="V123" s="29" t="s">
        <v>26</v>
      </c>
      <c r="W123" s="28">
        <v>138</v>
      </c>
    </row>
    <row r="124" spans="1:31" ht="28.5" customHeight="1" thickBot="1">
      <c r="A124" s="116" t="s">
        <v>1383</v>
      </c>
      <c r="F124" s="9" t="str">
        <f t="shared" si="2"/>
        <v>https://www.ssbuy.tw/detail_giftcode/dist/giftcodes/魔法商店大亨.html</v>
      </c>
      <c r="H124" s="9" t="str">
        <f t="shared" si="3"/>
        <v>https://www.ssbuy.tw/detail_giftcode/dist/gamedetail/魔法商店大亨.html</v>
      </c>
      <c r="I124" s="17" t="s">
        <v>1384</v>
      </c>
      <c r="J124" s="27" t="s">
        <v>27</v>
      </c>
      <c r="K124" s="28">
        <v>559</v>
      </c>
      <c r="L124" s="29" t="s">
        <v>28</v>
      </c>
      <c r="M124" s="28">
        <v>397</v>
      </c>
      <c r="N124" s="29" t="s">
        <v>29</v>
      </c>
      <c r="O124" s="28">
        <v>236</v>
      </c>
      <c r="P124" s="29" t="s">
        <v>30</v>
      </c>
      <c r="Q124" s="28">
        <v>133</v>
      </c>
      <c r="R124" s="29" t="s">
        <v>31</v>
      </c>
      <c r="S124" s="28">
        <v>80</v>
      </c>
      <c r="T124" s="29" t="s">
        <v>32</v>
      </c>
      <c r="U124" s="28">
        <v>53</v>
      </c>
    </row>
    <row r="125" spans="1:31" ht="28.5" customHeight="1" thickBot="1">
      <c r="A125" s="116" t="s">
        <v>1385</v>
      </c>
      <c r="F125" s="9" t="str">
        <f t="shared" si="2"/>
        <v>https://www.ssbuy.tw/detail_giftcode/dist/giftcodes/新仙劍奇俠傳lite.html</v>
      </c>
      <c r="H125" s="9" t="str">
        <f t="shared" si="3"/>
        <v>https://www.ssbuy.tw/detail_giftcode/dist/gamedetail/新仙劍奇俠傳lite.html</v>
      </c>
      <c r="I125" s="17" t="s">
        <v>1386</v>
      </c>
      <c r="J125" s="27" t="s">
        <v>33</v>
      </c>
      <c r="K125" s="28">
        <v>2450</v>
      </c>
      <c r="L125" s="29" t="s">
        <v>34</v>
      </c>
      <c r="M125" s="28">
        <v>1328</v>
      </c>
      <c r="N125" s="29" t="s">
        <v>35</v>
      </c>
      <c r="O125" s="28">
        <v>808</v>
      </c>
      <c r="P125" s="29" t="s">
        <v>36</v>
      </c>
      <c r="Q125" s="28">
        <v>437</v>
      </c>
      <c r="R125" s="29" t="s">
        <v>37</v>
      </c>
      <c r="S125" s="28">
        <v>273</v>
      </c>
      <c r="T125" s="29" t="s">
        <v>38</v>
      </c>
      <c r="U125" s="28">
        <v>137</v>
      </c>
      <c r="V125" s="29" t="s">
        <v>39</v>
      </c>
      <c r="W125" s="28">
        <v>30</v>
      </c>
    </row>
    <row r="126" spans="1:31" ht="28.5" customHeight="1" thickBot="1">
      <c r="A126" s="116" t="s">
        <v>1387</v>
      </c>
      <c r="F126" s="9" t="str">
        <f t="shared" si="2"/>
        <v>https://www.ssbuy.tw/detail_giftcode/dist/giftcodes/神州M.html</v>
      </c>
      <c r="H126" s="9" t="str">
        <f t="shared" si="3"/>
        <v>https://www.ssbuy.tw/detail_giftcode/dist/gamedetail/神州M.html</v>
      </c>
      <c r="I126" s="17" t="s">
        <v>1388</v>
      </c>
      <c r="J126" s="27" t="s">
        <v>40</v>
      </c>
      <c r="K126" s="28">
        <v>2333</v>
      </c>
      <c r="L126" s="29" t="s">
        <v>41</v>
      </c>
      <c r="M126" s="28">
        <v>1030</v>
      </c>
      <c r="N126" s="29" t="s">
        <v>42</v>
      </c>
      <c r="O126" s="28">
        <v>631</v>
      </c>
      <c r="P126" s="29" t="s">
        <v>43</v>
      </c>
      <c r="Q126" s="28">
        <v>236</v>
      </c>
      <c r="R126" s="29" t="s">
        <v>44</v>
      </c>
      <c r="S126" s="28">
        <v>115</v>
      </c>
      <c r="T126" s="29" t="s">
        <v>45</v>
      </c>
      <c r="U126" s="28">
        <v>35</v>
      </c>
      <c r="V126" s="29" t="s">
        <v>46</v>
      </c>
      <c r="W126" s="28">
        <v>2333</v>
      </c>
      <c r="X126" s="29" t="s">
        <v>47</v>
      </c>
      <c r="Y126" s="28">
        <v>1030</v>
      </c>
      <c r="Z126" s="29" t="s">
        <v>9</v>
      </c>
      <c r="AA126" s="28">
        <v>631</v>
      </c>
      <c r="AB126" s="29" t="s">
        <v>10</v>
      </c>
      <c r="AC126" s="28">
        <v>236</v>
      </c>
    </row>
    <row r="127" spans="1:31" ht="28.5" customHeight="1" thickBot="1">
      <c r="A127" s="114" t="s">
        <v>1389</v>
      </c>
      <c r="F127" s="9" t="str">
        <f t="shared" si="2"/>
        <v>https://www.ssbuy.tw/detail_giftcode/dist/giftcodes/英雄傳說：卡卡布三部曲.html</v>
      </c>
      <c r="H127" s="9" t="str">
        <f t="shared" si="3"/>
        <v>https://www.ssbuy.tw/detail_giftcode/dist/gamedetail/英雄傳說：卡卡布三部曲.html</v>
      </c>
      <c r="I127" s="17" t="s">
        <v>1390</v>
      </c>
      <c r="J127" s="27" t="s">
        <v>48</v>
      </c>
      <c r="K127" s="28">
        <v>2333</v>
      </c>
      <c r="L127" s="29" t="s">
        <v>49</v>
      </c>
      <c r="M127" s="28">
        <v>1190</v>
      </c>
      <c r="N127" s="29" t="s">
        <v>50</v>
      </c>
      <c r="O127" s="28">
        <v>539</v>
      </c>
      <c r="P127" s="29" t="s">
        <v>51</v>
      </c>
      <c r="Q127" s="28">
        <v>267</v>
      </c>
      <c r="R127" s="29" t="s">
        <v>52</v>
      </c>
      <c r="S127" s="28">
        <v>115</v>
      </c>
      <c r="T127" s="29" t="s">
        <v>53</v>
      </c>
      <c r="U127" s="28">
        <v>35</v>
      </c>
      <c r="V127" s="29" t="s">
        <v>54</v>
      </c>
      <c r="W127" s="28">
        <v>138</v>
      </c>
      <c r="X127" s="29" t="s">
        <v>55</v>
      </c>
      <c r="Y127" s="28">
        <v>267</v>
      </c>
      <c r="Z127" s="29" t="s">
        <v>56</v>
      </c>
      <c r="AA127" s="28">
        <v>539</v>
      </c>
    </row>
    <row r="128" spans="1:31" ht="28.5" customHeight="1" thickBot="1">
      <c r="A128" s="116" t="s">
        <v>57</v>
      </c>
      <c r="F128" s="9" t="str">
        <f t="shared" si="2"/>
        <v>https://www.ssbuy.tw/detail_giftcode/dist/giftcodes/胡來英雄.html</v>
      </c>
      <c r="H128" s="9" t="str">
        <f t="shared" si="3"/>
        <v>https://www.ssbuy.tw/detail_giftcode/dist/gamedetail/胡來英雄.html</v>
      </c>
      <c r="I128" s="10" t="s">
        <v>1391</v>
      </c>
      <c r="J128" s="27" t="s">
        <v>61</v>
      </c>
      <c r="K128" s="28">
        <v>2551</v>
      </c>
      <c r="L128" s="29" t="s">
        <v>62</v>
      </c>
      <c r="M128" s="28">
        <v>1323</v>
      </c>
      <c r="N128" s="29" t="s">
        <v>63</v>
      </c>
      <c r="O128" s="28">
        <v>786</v>
      </c>
      <c r="P128" s="29" t="s">
        <v>64</v>
      </c>
      <c r="Q128" s="28">
        <v>539</v>
      </c>
      <c r="R128" s="29" t="s">
        <v>65</v>
      </c>
      <c r="S128" s="28">
        <v>267</v>
      </c>
      <c r="T128" s="29" t="s">
        <v>16</v>
      </c>
      <c r="U128" s="28">
        <v>138</v>
      </c>
      <c r="V128" s="29" t="s">
        <v>7</v>
      </c>
      <c r="W128" s="28">
        <v>35</v>
      </c>
      <c r="X128" s="29" t="s">
        <v>66</v>
      </c>
      <c r="Y128" s="28">
        <v>267</v>
      </c>
      <c r="Z128" s="29" t="s">
        <v>67</v>
      </c>
      <c r="AA128" s="28">
        <v>267</v>
      </c>
      <c r="AB128" s="29" t="s">
        <v>68</v>
      </c>
      <c r="AC128" s="28">
        <v>539</v>
      </c>
    </row>
    <row r="129" spans="1:35" ht="28.5" customHeight="1" thickBot="1">
      <c r="A129" s="116" t="s">
        <v>58</v>
      </c>
      <c r="F129" s="9" t="str">
        <f t="shared" si="2"/>
        <v>https://www.ssbuy.tw/detail_giftcode/dist/giftcodes/一天又一天的RPG.html</v>
      </c>
      <c r="H129" s="9" t="str">
        <f t="shared" si="3"/>
        <v>https://www.ssbuy.tw/detail_giftcode/dist/gamedetail/一天又一天的RPG.html</v>
      </c>
      <c r="I129" s="10" t="s">
        <v>1392</v>
      </c>
      <c r="J129" s="27" t="s">
        <v>69</v>
      </c>
      <c r="K129" s="28">
        <v>2551</v>
      </c>
      <c r="L129" s="29" t="s">
        <v>70</v>
      </c>
      <c r="M129" s="28">
        <v>1804</v>
      </c>
      <c r="N129" s="29" t="s">
        <v>71</v>
      </c>
      <c r="O129" s="28">
        <v>1323</v>
      </c>
      <c r="P129" s="29" t="s">
        <v>72</v>
      </c>
      <c r="Q129" s="28">
        <v>786</v>
      </c>
      <c r="R129" s="29" t="s">
        <v>73</v>
      </c>
      <c r="S129" s="28">
        <v>539</v>
      </c>
      <c r="T129" s="29" t="s">
        <v>74</v>
      </c>
      <c r="U129" s="28">
        <v>397</v>
      </c>
      <c r="V129" s="29" t="s">
        <v>75</v>
      </c>
      <c r="W129" s="28">
        <v>138</v>
      </c>
      <c r="X129" s="29" t="s">
        <v>76</v>
      </c>
      <c r="Y129" s="28">
        <v>89</v>
      </c>
      <c r="Z129" s="29" t="s">
        <v>77</v>
      </c>
      <c r="AA129" s="28">
        <v>62</v>
      </c>
      <c r="AB129" s="29" t="s">
        <v>78</v>
      </c>
      <c r="AC129" s="28">
        <v>35</v>
      </c>
    </row>
    <row r="130" spans="1:35" ht="28.5" customHeight="1" thickBot="1">
      <c r="A130" s="116" t="s">
        <v>59</v>
      </c>
      <c r="F130" s="9" t="str">
        <f t="shared" si="2"/>
        <v>https://www.ssbuy.tw/detail_giftcode/dist/giftcodes/銀與血.html</v>
      </c>
      <c r="H130" s="9" t="str">
        <f t="shared" si="3"/>
        <v>https://www.ssbuy.tw/detail_giftcode/dist/gamedetail/銀與血.html</v>
      </c>
      <c r="I130" s="17" t="s">
        <v>1393</v>
      </c>
      <c r="J130" s="27" t="s">
        <v>79</v>
      </c>
      <c r="K130" s="28">
        <v>2099</v>
      </c>
      <c r="L130" s="29" t="s">
        <v>80</v>
      </c>
      <c r="M130" s="28">
        <v>1410</v>
      </c>
      <c r="N130" s="29" t="s">
        <v>81</v>
      </c>
      <c r="O130" s="28">
        <v>786</v>
      </c>
      <c r="P130" s="29" t="s">
        <v>82</v>
      </c>
      <c r="Q130" s="28">
        <v>539</v>
      </c>
      <c r="R130" s="29" t="s">
        <v>83</v>
      </c>
      <c r="S130" s="28">
        <v>267</v>
      </c>
      <c r="T130" s="29" t="s">
        <v>84</v>
      </c>
      <c r="U130" s="28">
        <v>138</v>
      </c>
      <c r="V130" s="29" t="s">
        <v>85</v>
      </c>
      <c r="W130" s="28">
        <v>138</v>
      </c>
      <c r="X130" s="29" t="s">
        <v>86</v>
      </c>
      <c r="Y130" s="28">
        <v>397</v>
      </c>
      <c r="Z130" s="29" t="s">
        <v>87</v>
      </c>
      <c r="AA130" s="28">
        <v>539</v>
      </c>
      <c r="AB130" s="29" t="s">
        <v>88</v>
      </c>
      <c r="AC130" s="28">
        <v>267</v>
      </c>
      <c r="AD130" s="29" t="s">
        <v>89</v>
      </c>
      <c r="AE130" s="28">
        <v>397</v>
      </c>
    </row>
    <row r="131" spans="1:35" ht="28.5" customHeight="1" thickBot="1">
      <c r="A131" s="116" t="s">
        <v>60</v>
      </c>
      <c r="F131" s="9" t="str">
        <f t="shared" ref="F131:F194" si="4">IF(A131="","", "https://www.ssbuy.tw/detail_giftcode/dist/giftcodes/" &amp; IF(ISNUMBER(LEFT(A131,1)*1), "game-", "") &amp; A131 &amp; ".html")</f>
        <v>https://www.ssbuy.tw/detail_giftcode/dist/giftcodes/緋石之心.html</v>
      </c>
      <c r="H131" s="9" t="str">
        <f t="shared" ref="H131:H194" si="5">IF(A131="","", "https://www.ssbuy.tw/detail_giftcode/dist/gamedetail/" &amp; IF(ISNUMBER(LEFT(A131,1)*1), "game-", "") &amp; A131 &amp; ".html")</f>
        <v>https://www.ssbuy.tw/detail_giftcode/dist/gamedetail/緋石之心.html</v>
      </c>
      <c r="I131" s="10" t="s">
        <v>1394</v>
      </c>
      <c r="J131" s="27" t="s">
        <v>90</v>
      </c>
      <c r="K131" s="28">
        <v>2333</v>
      </c>
      <c r="L131" s="29" t="s">
        <v>91</v>
      </c>
      <c r="M131" s="28">
        <v>1190</v>
      </c>
      <c r="N131" s="29" t="s">
        <v>92</v>
      </c>
      <c r="O131" s="28">
        <v>786</v>
      </c>
      <c r="P131" s="29" t="s">
        <v>93</v>
      </c>
      <c r="Q131" s="28">
        <v>559</v>
      </c>
      <c r="R131" s="29" t="s">
        <v>94</v>
      </c>
      <c r="S131" s="28">
        <v>267</v>
      </c>
      <c r="T131" s="29" t="s">
        <v>95</v>
      </c>
      <c r="U131" s="28">
        <v>133</v>
      </c>
      <c r="V131" s="29" t="s">
        <v>96</v>
      </c>
      <c r="W131" s="28">
        <v>27</v>
      </c>
      <c r="X131" s="29" t="s">
        <v>97</v>
      </c>
      <c r="Y131" s="28">
        <v>133</v>
      </c>
      <c r="Z131" s="29" t="s">
        <v>98</v>
      </c>
      <c r="AA131" s="28">
        <v>267</v>
      </c>
    </row>
    <row r="132" spans="1:35" ht="28.5" customHeight="1" thickBot="1">
      <c r="A132" s="116" t="s">
        <v>1395</v>
      </c>
      <c r="F132" s="9" t="str">
        <f t="shared" si="4"/>
        <v>https://www.ssbuy.tw/detail_giftcode/dist/giftcodes/滔湧少女.html</v>
      </c>
      <c r="H132" s="9" t="str">
        <f t="shared" si="5"/>
        <v>https://www.ssbuy.tw/detail_giftcode/dist/gamedetail/滔湧少女.html</v>
      </c>
      <c r="I132" s="10" t="s">
        <v>1396</v>
      </c>
      <c r="J132" s="27" t="s">
        <v>12</v>
      </c>
      <c r="K132" s="28">
        <v>2551</v>
      </c>
      <c r="L132" s="29" t="s">
        <v>118</v>
      </c>
      <c r="M132" s="28">
        <v>1804</v>
      </c>
      <c r="N132" s="29" t="s">
        <v>119</v>
      </c>
      <c r="O132" s="28">
        <v>1323</v>
      </c>
      <c r="P132" s="29" t="s">
        <v>24</v>
      </c>
      <c r="Q132" s="28">
        <v>786</v>
      </c>
      <c r="R132" s="29" t="s">
        <v>14</v>
      </c>
      <c r="S132" s="28">
        <v>539</v>
      </c>
      <c r="T132" s="29" t="s">
        <v>15</v>
      </c>
      <c r="U132" s="28">
        <v>397</v>
      </c>
      <c r="V132" s="29" t="s">
        <v>120</v>
      </c>
      <c r="W132" s="28">
        <v>267</v>
      </c>
      <c r="X132" s="29" t="s">
        <v>16</v>
      </c>
      <c r="Y132" s="28">
        <v>138</v>
      </c>
      <c r="Z132" s="29" t="s">
        <v>121</v>
      </c>
      <c r="AA132" s="28">
        <v>89</v>
      </c>
      <c r="AB132" s="29" t="s">
        <v>7</v>
      </c>
      <c r="AC132" s="28">
        <v>35</v>
      </c>
    </row>
    <row r="133" spans="1:35" ht="28.5" customHeight="1" thickBot="1">
      <c r="A133" s="116" t="s">
        <v>99</v>
      </c>
      <c r="F133" s="9" t="str">
        <f t="shared" si="4"/>
        <v>https://www.ssbuy.tw/detail_giftcode/dist/giftcodes/漫威祕法狂潮.html</v>
      </c>
      <c r="H133" s="9" t="str">
        <f t="shared" si="5"/>
        <v>https://www.ssbuy.tw/detail_giftcode/dist/gamedetail/漫威祕法狂潮.html</v>
      </c>
      <c r="I133" s="10" t="s">
        <v>1397</v>
      </c>
      <c r="J133" s="27" t="s">
        <v>101</v>
      </c>
      <c r="K133" s="28">
        <v>2551</v>
      </c>
      <c r="L133" s="29" t="s">
        <v>102</v>
      </c>
      <c r="M133" s="28">
        <v>1323</v>
      </c>
      <c r="N133" s="29" t="s">
        <v>103</v>
      </c>
      <c r="O133" s="28">
        <v>559</v>
      </c>
      <c r="P133" s="29" t="s">
        <v>104</v>
      </c>
      <c r="Q133" s="28">
        <v>267</v>
      </c>
      <c r="R133" s="29" t="s">
        <v>105</v>
      </c>
      <c r="S133" s="28">
        <v>138</v>
      </c>
      <c r="T133" s="29" t="s">
        <v>106</v>
      </c>
      <c r="U133" s="28">
        <v>35</v>
      </c>
      <c r="V133" s="29" t="s">
        <v>107</v>
      </c>
      <c r="W133" s="28">
        <v>138</v>
      </c>
    </row>
    <row r="134" spans="1:35" ht="28.5" customHeight="1" thickBot="1">
      <c r="A134" s="116" t="s">
        <v>100</v>
      </c>
      <c r="F134" s="9" t="str">
        <f t="shared" si="4"/>
        <v>https://www.ssbuy.tw/detail_giftcode/dist/giftcodes/魔教回歸：2D MMORPG.html</v>
      </c>
      <c r="H134" s="9" t="str">
        <f t="shared" si="5"/>
        <v>https://www.ssbuy.tw/detail_giftcode/dist/gamedetail/魔教回歸：2D MMORPG.html</v>
      </c>
      <c r="I134" s="17" t="s">
        <v>1398</v>
      </c>
      <c r="J134" s="27" t="s">
        <v>108</v>
      </c>
      <c r="K134" s="28">
        <v>1943</v>
      </c>
      <c r="L134" s="29" t="s">
        <v>109</v>
      </c>
      <c r="M134" s="28">
        <v>1030</v>
      </c>
      <c r="N134" s="29" t="s">
        <v>110</v>
      </c>
      <c r="O134" s="28">
        <v>631</v>
      </c>
      <c r="P134" s="29" t="s">
        <v>111</v>
      </c>
      <c r="Q134" s="28">
        <v>236</v>
      </c>
      <c r="R134" s="29" t="s">
        <v>112</v>
      </c>
      <c r="S134" s="28">
        <v>53</v>
      </c>
      <c r="T134" s="29" t="s">
        <v>113</v>
      </c>
      <c r="U134" s="28">
        <v>107</v>
      </c>
      <c r="V134" s="29" t="s">
        <v>114</v>
      </c>
      <c r="W134" s="28">
        <v>631</v>
      </c>
      <c r="X134" s="29" t="s">
        <v>115</v>
      </c>
      <c r="Y134" s="28">
        <v>397</v>
      </c>
      <c r="Z134" s="29" t="s">
        <v>116</v>
      </c>
      <c r="AA134" s="28">
        <v>1804</v>
      </c>
      <c r="AB134" s="29" t="s">
        <v>117</v>
      </c>
      <c r="AC134" s="28">
        <v>236</v>
      </c>
    </row>
    <row r="135" spans="1:35" ht="28.5" customHeight="1" thickBot="1">
      <c r="A135" s="116" t="s">
        <v>122</v>
      </c>
      <c r="F135" s="9" t="str">
        <f t="shared" si="4"/>
        <v>https://www.ssbuy.tw/detail_giftcode/dist/giftcodes/屍戰王朝.html</v>
      </c>
      <c r="H135" s="9" t="str">
        <f t="shared" si="5"/>
        <v>https://www.ssbuy.tw/detail_giftcode/dist/gamedetail/屍戰王朝.html</v>
      </c>
      <c r="I135" s="10" t="s">
        <v>1399</v>
      </c>
      <c r="J135" s="27" t="s">
        <v>125</v>
      </c>
      <c r="K135" s="28">
        <v>2551</v>
      </c>
      <c r="L135" s="29" t="s">
        <v>126</v>
      </c>
      <c r="M135" s="28">
        <v>2386</v>
      </c>
      <c r="N135" s="29" t="s">
        <v>127</v>
      </c>
      <c r="O135" s="28">
        <v>1987</v>
      </c>
      <c r="P135" s="29" t="s">
        <v>128</v>
      </c>
      <c r="Q135" s="28">
        <v>1323</v>
      </c>
      <c r="R135" s="29" t="s">
        <v>129</v>
      </c>
      <c r="S135" s="28">
        <v>1078</v>
      </c>
      <c r="T135" s="29" t="s">
        <v>130</v>
      </c>
      <c r="U135" s="28">
        <v>786</v>
      </c>
      <c r="V135" s="29" t="s">
        <v>131</v>
      </c>
      <c r="W135" s="28">
        <v>539</v>
      </c>
      <c r="X135" s="29" t="s">
        <v>132</v>
      </c>
      <c r="Y135" s="28">
        <v>394</v>
      </c>
      <c r="Z135" s="29" t="s">
        <v>133</v>
      </c>
      <c r="AA135" s="28">
        <v>267</v>
      </c>
      <c r="AB135" s="29" t="s">
        <v>134</v>
      </c>
      <c r="AC135" s="28">
        <v>141</v>
      </c>
      <c r="AD135" s="29" t="s">
        <v>135</v>
      </c>
      <c r="AE135" s="28">
        <v>27</v>
      </c>
      <c r="AF135" s="29" t="s">
        <v>136</v>
      </c>
      <c r="AG135" s="28">
        <v>227</v>
      </c>
    </row>
    <row r="136" spans="1:35" ht="28.5" customHeight="1" thickBot="1">
      <c r="A136" s="116" t="s">
        <v>123</v>
      </c>
      <c r="F136" s="9" t="str">
        <f t="shared" si="4"/>
        <v>https://www.ssbuy.tw/detail_giftcode/dist/giftcodes/機甲變變變.html</v>
      </c>
      <c r="H136" s="9" t="str">
        <f t="shared" si="5"/>
        <v>https://www.ssbuy.tw/detail_giftcode/dist/gamedetail/機甲變變變.html</v>
      </c>
      <c r="I136" s="10" t="s">
        <v>1400</v>
      </c>
      <c r="J136" s="27" t="s">
        <v>4</v>
      </c>
      <c r="K136" s="28">
        <v>2551</v>
      </c>
      <c r="L136" s="29" t="s">
        <v>137</v>
      </c>
      <c r="M136" s="28">
        <v>1323</v>
      </c>
      <c r="N136" s="29" t="s">
        <v>138</v>
      </c>
      <c r="O136" s="28">
        <v>539</v>
      </c>
      <c r="P136" s="29" t="s">
        <v>139</v>
      </c>
      <c r="Q136" s="28">
        <v>267</v>
      </c>
      <c r="R136" s="29" t="s">
        <v>140</v>
      </c>
      <c r="S136" s="28">
        <v>141</v>
      </c>
      <c r="T136" s="29" t="s">
        <v>7</v>
      </c>
      <c r="U136" s="28">
        <v>30</v>
      </c>
      <c r="V136" s="29" t="s">
        <v>141</v>
      </c>
      <c r="W136" s="28">
        <v>141</v>
      </c>
      <c r="X136" s="29" t="s">
        <v>142</v>
      </c>
      <c r="Y136" s="28">
        <v>539</v>
      </c>
      <c r="Z136" s="29" t="s">
        <v>143</v>
      </c>
      <c r="AA136" s="28">
        <v>267</v>
      </c>
      <c r="AB136" s="29" t="s">
        <v>144</v>
      </c>
      <c r="AC136" s="28">
        <v>786</v>
      </c>
    </row>
    <row r="137" spans="1:35" ht="28.5" customHeight="1" thickBot="1">
      <c r="A137" s="116" t="s">
        <v>1401</v>
      </c>
      <c r="F137" s="9" t="str">
        <f t="shared" si="4"/>
        <v>https://www.ssbuy.tw/detail_giftcode/dist/giftcodes/狼少女蘭吉.html</v>
      </c>
      <c r="H137" s="9" t="str">
        <f t="shared" si="5"/>
        <v>https://www.ssbuy.tw/detail_giftcode/dist/gamedetail/狼少女蘭吉.html</v>
      </c>
      <c r="I137" s="10" t="s">
        <v>1402</v>
      </c>
      <c r="J137" s="27" t="s">
        <v>145</v>
      </c>
      <c r="K137" s="28">
        <v>1845</v>
      </c>
      <c r="L137" s="29" t="s">
        <v>146</v>
      </c>
      <c r="M137" s="28">
        <v>786</v>
      </c>
      <c r="N137" s="29" t="s">
        <v>147</v>
      </c>
      <c r="O137" s="28">
        <v>539</v>
      </c>
      <c r="P137" s="29" t="s">
        <v>148</v>
      </c>
      <c r="Q137" s="28">
        <v>183</v>
      </c>
      <c r="R137" s="29" t="s">
        <v>149</v>
      </c>
      <c r="S137" s="28">
        <v>109</v>
      </c>
      <c r="T137" s="29" t="s">
        <v>64</v>
      </c>
      <c r="U137" s="28">
        <v>30</v>
      </c>
      <c r="V137" s="29" t="s">
        <v>150</v>
      </c>
      <c r="W137" s="28">
        <v>1603</v>
      </c>
      <c r="X137" s="29" t="s">
        <v>47</v>
      </c>
      <c r="Y137" s="28">
        <v>1054</v>
      </c>
      <c r="Z137" s="29" t="s">
        <v>151</v>
      </c>
      <c r="AA137" s="28">
        <v>786</v>
      </c>
      <c r="AB137" s="29" t="s">
        <v>152</v>
      </c>
      <c r="AC137" s="28">
        <v>539</v>
      </c>
      <c r="AD137" s="29" t="s">
        <v>153</v>
      </c>
      <c r="AE137" s="28">
        <v>394</v>
      </c>
      <c r="AF137" s="29" t="s">
        <v>154</v>
      </c>
      <c r="AG137" s="28">
        <v>158</v>
      </c>
      <c r="AH137" s="29" t="s">
        <v>11</v>
      </c>
      <c r="AI137" s="28">
        <v>109</v>
      </c>
    </row>
    <row r="138" spans="1:35" ht="28.5" customHeight="1" thickBot="1">
      <c r="A138" s="116" t="s">
        <v>3210</v>
      </c>
      <c r="F138" s="9" t="str">
        <f t="shared" si="4"/>
        <v>https://www.ssbuy.tw/detail_giftcode/dist/giftcodes/RO仙境傳說：曙光.html</v>
      </c>
      <c r="H138" s="9" t="str">
        <f t="shared" si="5"/>
        <v>https://www.ssbuy.tw/detail_giftcode/dist/gamedetail/RO仙境傳說：曙光.html</v>
      </c>
      <c r="I138" s="10" t="s">
        <v>1403</v>
      </c>
      <c r="J138" s="27" t="s">
        <v>155</v>
      </c>
      <c r="K138" s="28">
        <v>2551</v>
      </c>
      <c r="L138" s="29" t="s">
        <v>156</v>
      </c>
      <c r="M138" s="28">
        <v>1323</v>
      </c>
      <c r="N138" s="29" t="s">
        <v>157</v>
      </c>
      <c r="O138" s="28">
        <v>786</v>
      </c>
      <c r="P138" s="29" t="s">
        <v>158</v>
      </c>
      <c r="Q138" s="28">
        <v>539</v>
      </c>
      <c r="R138" s="29" t="s">
        <v>159</v>
      </c>
      <c r="S138" s="28">
        <v>394</v>
      </c>
      <c r="T138" s="29" t="s">
        <v>160</v>
      </c>
      <c r="U138" s="28">
        <v>267</v>
      </c>
      <c r="V138" s="29" t="s">
        <v>161</v>
      </c>
      <c r="W138" s="28">
        <v>141</v>
      </c>
      <c r="X138" s="29" t="s">
        <v>162</v>
      </c>
      <c r="Y138" s="28">
        <v>30</v>
      </c>
    </row>
    <row r="139" spans="1:35" ht="28.5" customHeight="1" thickBot="1">
      <c r="A139" s="116" t="s">
        <v>124</v>
      </c>
      <c r="F139" s="9" t="str">
        <f t="shared" si="4"/>
        <v>https://www.ssbuy.tw/detail_giftcode/dist/giftcodes/星曲Ultra.html</v>
      </c>
      <c r="H139" s="9" t="str">
        <f t="shared" si="5"/>
        <v>https://www.ssbuy.tw/detail_giftcode/dist/gamedetail/星曲Ultra.html</v>
      </c>
      <c r="I139" s="10" t="s">
        <v>1404</v>
      </c>
      <c r="J139" s="27" t="s">
        <v>4</v>
      </c>
      <c r="K139" s="28">
        <v>2551</v>
      </c>
      <c r="L139" s="29" t="s">
        <v>5</v>
      </c>
      <c r="M139" s="28">
        <v>1323</v>
      </c>
      <c r="N139" s="29" t="s">
        <v>17</v>
      </c>
      <c r="O139" s="28">
        <v>539</v>
      </c>
      <c r="P139" s="29" t="s">
        <v>163</v>
      </c>
      <c r="Q139" s="28">
        <v>267</v>
      </c>
      <c r="R139" s="29" t="s">
        <v>6</v>
      </c>
      <c r="S139" s="28">
        <v>141</v>
      </c>
      <c r="T139" s="29" t="s">
        <v>164</v>
      </c>
      <c r="U139" s="28">
        <v>30</v>
      </c>
      <c r="V139" s="29" t="s">
        <v>165</v>
      </c>
      <c r="W139" s="28">
        <v>450</v>
      </c>
    </row>
    <row r="140" spans="1:35" ht="28.5" customHeight="1" thickBot="1">
      <c r="A140" s="116" t="s">
        <v>166</v>
      </c>
      <c r="F140" s="9" t="str">
        <f t="shared" si="4"/>
        <v>https://www.ssbuy.tw/detail_giftcode/dist/giftcodes/第七天災.html</v>
      </c>
      <c r="H140" s="9" t="str">
        <f t="shared" si="5"/>
        <v>https://www.ssbuy.tw/detail_giftcode/dist/gamedetail/第七天災.html</v>
      </c>
      <c r="I140" s="10" t="s">
        <v>1405</v>
      </c>
      <c r="J140" s="27" t="s">
        <v>168</v>
      </c>
      <c r="K140" s="28">
        <v>2551</v>
      </c>
      <c r="L140" s="29" t="s">
        <v>169</v>
      </c>
      <c r="M140" s="28">
        <v>1323</v>
      </c>
      <c r="N140" s="29" t="s">
        <v>170</v>
      </c>
      <c r="O140" s="28">
        <v>786</v>
      </c>
      <c r="P140" s="29" t="s">
        <v>171</v>
      </c>
      <c r="Q140" s="28">
        <v>539</v>
      </c>
      <c r="R140" s="29" t="s">
        <v>172</v>
      </c>
      <c r="S140" s="28">
        <v>394</v>
      </c>
      <c r="T140" s="29" t="s">
        <v>173</v>
      </c>
      <c r="U140" s="28">
        <v>267</v>
      </c>
      <c r="V140" s="29" t="s">
        <v>174</v>
      </c>
      <c r="W140" s="28">
        <v>148</v>
      </c>
      <c r="X140" s="29" t="s">
        <v>175</v>
      </c>
      <c r="Y140" s="28">
        <v>35</v>
      </c>
      <c r="Z140" s="29" t="s">
        <v>176</v>
      </c>
      <c r="AA140" s="28">
        <v>52</v>
      </c>
      <c r="AB140" s="29" t="s">
        <v>177</v>
      </c>
      <c r="AC140" s="28">
        <v>267</v>
      </c>
      <c r="AD140" s="29" t="s">
        <v>178</v>
      </c>
      <c r="AE140" s="28">
        <v>148</v>
      </c>
    </row>
    <row r="141" spans="1:35" ht="28.5" customHeight="1" thickBot="1">
      <c r="A141" s="116" t="s">
        <v>1406</v>
      </c>
      <c r="F141" s="9" t="str">
        <f t="shared" si="4"/>
        <v>https://www.ssbuy.tw/detail_giftcode/dist/giftcodes/百萬神界.html</v>
      </c>
      <c r="H141" s="9" t="str">
        <f t="shared" si="5"/>
        <v>https://www.ssbuy.tw/detail_giftcode/dist/gamedetail/百萬神界.html</v>
      </c>
      <c r="I141" s="10" t="s">
        <v>1407</v>
      </c>
      <c r="J141" s="27" t="s">
        <v>179</v>
      </c>
      <c r="K141" s="28">
        <v>2753</v>
      </c>
      <c r="L141" s="29" t="s">
        <v>180</v>
      </c>
      <c r="M141" s="28">
        <v>1394</v>
      </c>
      <c r="N141" s="29" t="s">
        <v>181</v>
      </c>
      <c r="O141" s="28">
        <v>850</v>
      </c>
      <c r="P141" s="29" t="s">
        <v>182</v>
      </c>
      <c r="Q141" s="28">
        <v>539</v>
      </c>
      <c r="R141" s="29" t="s">
        <v>183</v>
      </c>
      <c r="S141" s="28">
        <v>289</v>
      </c>
      <c r="T141" s="29" t="s">
        <v>65</v>
      </c>
      <c r="U141" s="28">
        <v>152</v>
      </c>
      <c r="V141" s="29" t="s">
        <v>121</v>
      </c>
      <c r="W141" s="28">
        <v>30</v>
      </c>
    </row>
    <row r="142" spans="1:35" ht="28.5" customHeight="1" thickBot="1">
      <c r="A142" s="116" t="s">
        <v>167</v>
      </c>
      <c r="F142" s="9" t="str">
        <f t="shared" si="4"/>
        <v>https://www.ssbuy.tw/detail_giftcode/dist/giftcodes/Dark war.html</v>
      </c>
      <c r="H142" s="9" t="str">
        <f t="shared" si="5"/>
        <v>https://www.ssbuy.tw/detail_giftcode/dist/gamedetail/Dark war.html</v>
      </c>
      <c r="I142" s="10" t="s">
        <v>1408</v>
      </c>
      <c r="J142" s="27" t="s">
        <v>4</v>
      </c>
      <c r="K142" s="28">
        <v>2474</v>
      </c>
      <c r="L142" s="29" t="s">
        <v>5</v>
      </c>
      <c r="M142" s="28">
        <v>1257</v>
      </c>
      <c r="N142" s="29" t="s">
        <v>17</v>
      </c>
      <c r="O142" s="28">
        <v>522</v>
      </c>
      <c r="P142" s="29" t="s">
        <v>163</v>
      </c>
      <c r="Q142" s="28">
        <v>267</v>
      </c>
      <c r="R142" s="29" t="s">
        <v>6</v>
      </c>
      <c r="S142" s="28">
        <v>139</v>
      </c>
      <c r="T142" s="29" t="s">
        <v>164</v>
      </c>
      <c r="U142" s="28">
        <v>35</v>
      </c>
      <c r="V142" s="29" t="s">
        <v>184</v>
      </c>
      <c r="W142" s="28">
        <v>522</v>
      </c>
      <c r="X142" s="29" t="s">
        <v>185</v>
      </c>
      <c r="Y142" s="28">
        <v>637</v>
      </c>
      <c r="Z142" s="29" t="s">
        <v>186</v>
      </c>
      <c r="AA142" s="28">
        <v>83</v>
      </c>
    </row>
    <row r="143" spans="1:35" ht="28.5" customHeight="1" thickBot="1">
      <c r="A143" s="114" t="s">
        <v>187</v>
      </c>
      <c r="F143" s="9" t="str">
        <f t="shared" si="4"/>
        <v>https://www.ssbuy.tw/detail_giftcode/dist/giftcodes/美男惡徒.html</v>
      </c>
      <c r="H143" s="9" t="str">
        <f t="shared" si="5"/>
        <v>https://www.ssbuy.tw/detail_giftcode/dist/gamedetail/美男惡徒.html</v>
      </c>
      <c r="I143" s="10" t="s">
        <v>1409</v>
      </c>
      <c r="J143" s="27" t="s">
        <v>188</v>
      </c>
      <c r="K143" s="30">
        <v>2551</v>
      </c>
      <c r="L143" s="29" t="s">
        <v>189</v>
      </c>
      <c r="M143" s="30">
        <v>1764</v>
      </c>
      <c r="N143" s="29" t="s">
        <v>190</v>
      </c>
      <c r="O143" s="30">
        <v>1217</v>
      </c>
      <c r="P143" s="31" t="s">
        <v>191</v>
      </c>
      <c r="Q143" s="30">
        <v>727</v>
      </c>
      <c r="R143" s="31" t="s">
        <v>63</v>
      </c>
      <c r="S143" s="30">
        <v>394</v>
      </c>
      <c r="T143" s="31" t="s">
        <v>192</v>
      </c>
      <c r="U143" s="30">
        <v>267</v>
      </c>
      <c r="V143" s="31" t="s">
        <v>193</v>
      </c>
      <c r="W143" s="30">
        <v>165</v>
      </c>
      <c r="X143" s="31" t="s">
        <v>194</v>
      </c>
      <c r="Y143" s="30">
        <v>61</v>
      </c>
      <c r="Z143" s="31" t="s">
        <v>195</v>
      </c>
      <c r="AA143" s="30">
        <v>35</v>
      </c>
      <c r="AB143" s="31" t="s">
        <v>196</v>
      </c>
      <c r="AC143" s="30">
        <v>157</v>
      </c>
    </row>
    <row r="144" spans="1:35" ht="28.5" customHeight="1" thickBot="1">
      <c r="A144" s="115" t="s">
        <v>197</v>
      </c>
      <c r="F144" s="9" t="str">
        <f t="shared" si="4"/>
        <v>https://www.ssbuy.tw/detail_giftcode/dist/giftcodes/三國冰河時代.html</v>
      </c>
      <c r="H144" s="9" t="str">
        <f t="shared" si="5"/>
        <v>https://www.ssbuy.tw/detail_giftcode/dist/gamedetail/三國冰河時代.html</v>
      </c>
      <c r="I144" s="17" t="s">
        <v>224</v>
      </c>
      <c r="J144" s="27" t="s">
        <v>200</v>
      </c>
      <c r="K144" s="30">
        <v>2551</v>
      </c>
      <c r="L144" s="29" t="s">
        <v>201</v>
      </c>
      <c r="M144" s="30">
        <v>1323</v>
      </c>
      <c r="N144" s="29" t="s">
        <v>202</v>
      </c>
      <c r="O144" s="30">
        <v>539</v>
      </c>
      <c r="P144" s="31" t="s">
        <v>203</v>
      </c>
      <c r="Q144" s="30">
        <v>267</v>
      </c>
      <c r="R144" s="31" t="s">
        <v>204</v>
      </c>
      <c r="S144" s="30">
        <v>148</v>
      </c>
      <c r="T144" s="31" t="s">
        <v>205</v>
      </c>
      <c r="U144" s="30">
        <v>35</v>
      </c>
      <c r="V144" s="31" t="s">
        <v>206</v>
      </c>
      <c r="W144" s="30">
        <v>57</v>
      </c>
    </row>
    <row r="145" spans="1:43" ht="28.5" customHeight="1" thickBot="1">
      <c r="A145" s="116" t="s">
        <v>198</v>
      </c>
      <c r="F145" s="9" t="str">
        <f t="shared" si="4"/>
        <v>https://www.ssbuy.tw/detail_giftcode/dist/giftcodes/暗黑崛起.html</v>
      </c>
      <c r="H145" s="9" t="str">
        <f t="shared" si="5"/>
        <v>https://www.ssbuy.tw/detail_giftcode/dist/gamedetail/暗黑崛起.html</v>
      </c>
      <c r="I145" s="17" t="s">
        <v>225</v>
      </c>
      <c r="J145" s="27" t="s">
        <v>18</v>
      </c>
      <c r="K145" s="30">
        <v>2386</v>
      </c>
      <c r="L145" s="29" t="s">
        <v>19</v>
      </c>
      <c r="M145" s="30">
        <v>1442</v>
      </c>
      <c r="N145" s="29" t="s">
        <v>20</v>
      </c>
      <c r="O145" s="30">
        <v>786</v>
      </c>
      <c r="P145" s="31" t="s">
        <v>207</v>
      </c>
      <c r="Q145" s="30">
        <v>394</v>
      </c>
      <c r="R145" s="31" t="s">
        <v>23</v>
      </c>
      <c r="S145" s="30">
        <v>130</v>
      </c>
      <c r="T145" s="31" t="s">
        <v>208</v>
      </c>
      <c r="U145" s="30">
        <v>35</v>
      </c>
      <c r="V145" s="31" t="s">
        <v>209</v>
      </c>
      <c r="W145" s="30">
        <v>104</v>
      </c>
    </row>
    <row r="146" spans="1:43" ht="28.5" customHeight="1" thickBot="1">
      <c r="A146" s="116" t="s">
        <v>199</v>
      </c>
      <c r="F146" s="9" t="str">
        <f t="shared" si="4"/>
        <v>https://www.ssbuy.tw/detail_giftcode/dist/giftcodes/轉生魔劍士養成：策略放置RPG.html</v>
      </c>
      <c r="H146" s="9" t="str">
        <f t="shared" si="5"/>
        <v>https://www.ssbuy.tw/detail_giftcode/dist/gamedetail/轉生魔劍士養成：策略放置RPG.html</v>
      </c>
      <c r="I146" s="17" t="s">
        <v>226</v>
      </c>
      <c r="J146" s="27" t="s">
        <v>210</v>
      </c>
      <c r="K146" s="30">
        <v>2386</v>
      </c>
      <c r="L146" s="29" t="s">
        <v>211</v>
      </c>
      <c r="M146" s="30">
        <v>1603</v>
      </c>
      <c r="N146" s="29" t="s">
        <v>212</v>
      </c>
      <c r="O146" s="30">
        <v>786</v>
      </c>
      <c r="P146" s="31" t="s">
        <v>213</v>
      </c>
      <c r="Q146" s="30">
        <v>278</v>
      </c>
      <c r="R146" s="31" t="s">
        <v>214</v>
      </c>
      <c r="S146" s="30">
        <v>130</v>
      </c>
      <c r="T146" s="31" t="s">
        <v>215</v>
      </c>
      <c r="U146" s="30">
        <v>52</v>
      </c>
      <c r="V146" s="31" t="s">
        <v>216</v>
      </c>
      <c r="W146" s="30">
        <v>130</v>
      </c>
      <c r="X146" s="31" t="s">
        <v>217</v>
      </c>
      <c r="Y146" s="30">
        <v>278</v>
      </c>
      <c r="Z146" s="31" t="s">
        <v>218</v>
      </c>
      <c r="AA146" s="30">
        <v>539</v>
      </c>
      <c r="AB146" s="31" t="s">
        <v>219</v>
      </c>
      <c r="AC146" s="30">
        <v>786</v>
      </c>
    </row>
    <row r="147" spans="1:43" ht="28.5" customHeight="1" thickBot="1">
      <c r="A147" s="115" t="s">
        <v>220</v>
      </c>
      <c r="F147" s="9" t="str">
        <f t="shared" si="4"/>
        <v>https://www.ssbuy.tw/detail_giftcode/dist/giftcodes/極速漂移：3V3.html</v>
      </c>
      <c r="H147" s="9" t="str">
        <f t="shared" si="5"/>
        <v>https://www.ssbuy.tw/detail_giftcode/dist/gamedetail/極速漂移：3V3.html</v>
      </c>
      <c r="I147" s="17" t="s">
        <v>227</v>
      </c>
      <c r="J147" s="27" t="s">
        <v>4</v>
      </c>
      <c r="K147" s="30">
        <v>2386</v>
      </c>
      <c r="L147" s="29" t="s">
        <v>5</v>
      </c>
      <c r="M147" s="30">
        <v>1217</v>
      </c>
      <c r="N147" s="29" t="s">
        <v>17</v>
      </c>
      <c r="O147" s="30">
        <v>539</v>
      </c>
      <c r="P147" s="31" t="s">
        <v>163</v>
      </c>
      <c r="Q147" s="30">
        <v>278</v>
      </c>
      <c r="R147" s="31" t="s">
        <v>6</v>
      </c>
      <c r="S147" s="30">
        <v>130</v>
      </c>
      <c r="T147" s="31" t="s">
        <v>164</v>
      </c>
      <c r="U147" s="30">
        <v>35</v>
      </c>
      <c r="V147" s="31" t="s">
        <v>221</v>
      </c>
      <c r="W147" s="30">
        <v>278</v>
      </c>
      <c r="X147" s="31" t="s">
        <v>222</v>
      </c>
      <c r="Y147" s="30">
        <v>539</v>
      </c>
      <c r="Z147" s="31" t="s">
        <v>107</v>
      </c>
      <c r="AA147" s="30">
        <v>130</v>
      </c>
      <c r="AB147" s="31" t="s">
        <v>66</v>
      </c>
      <c r="AC147" s="30">
        <v>323</v>
      </c>
      <c r="AD147" s="31" t="s">
        <v>223</v>
      </c>
      <c r="AE147" s="30">
        <v>87</v>
      </c>
    </row>
    <row r="148" spans="1:43" ht="28.5" customHeight="1" thickBot="1">
      <c r="A148" s="116" t="s">
        <v>228</v>
      </c>
      <c r="F148" s="9" t="str">
        <f t="shared" si="4"/>
        <v>https://www.ssbuy.tw/detail_giftcode/dist/giftcodes/斗羅大陸：獵魂世界.html</v>
      </c>
      <c r="H148" s="9" t="str">
        <f t="shared" si="5"/>
        <v>https://www.ssbuy.tw/detail_giftcode/dist/gamedetail/斗羅大陸：獵魂世界.html</v>
      </c>
      <c r="I148" s="17" t="s">
        <v>230</v>
      </c>
      <c r="J148" s="27" t="s">
        <v>12</v>
      </c>
      <c r="K148" s="30">
        <v>2595</v>
      </c>
      <c r="L148" s="29" t="s">
        <v>13</v>
      </c>
      <c r="M148" s="30">
        <v>1323</v>
      </c>
      <c r="N148" s="29" t="s">
        <v>24</v>
      </c>
      <c r="O148" s="30">
        <v>786</v>
      </c>
      <c r="P148" s="31" t="s">
        <v>14</v>
      </c>
      <c r="Q148" s="30">
        <v>548</v>
      </c>
      <c r="R148" s="31" t="s">
        <v>232</v>
      </c>
      <c r="S148" s="30">
        <v>394</v>
      </c>
      <c r="T148" s="31" t="s">
        <v>233</v>
      </c>
      <c r="U148" s="30">
        <v>198</v>
      </c>
      <c r="V148" s="31" t="s">
        <v>121</v>
      </c>
      <c r="W148" s="30">
        <v>86</v>
      </c>
      <c r="X148" s="31" t="s">
        <v>7</v>
      </c>
      <c r="Y148" s="30">
        <v>35</v>
      </c>
      <c r="Z148" s="31" t="s">
        <v>234</v>
      </c>
      <c r="AA148" s="30">
        <v>146</v>
      </c>
      <c r="AB148" s="31" t="s">
        <v>177</v>
      </c>
      <c r="AC148" s="30">
        <v>266</v>
      </c>
    </row>
    <row r="149" spans="1:43" ht="28.5" customHeight="1" thickBot="1">
      <c r="A149" s="116" t="s">
        <v>229</v>
      </c>
      <c r="F149" s="9" t="str">
        <f t="shared" si="4"/>
        <v>https://www.ssbuy.tw/detail_giftcode/dist/giftcodes/指點兵兵.html</v>
      </c>
      <c r="H149" s="9" t="str">
        <f t="shared" si="5"/>
        <v>https://www.ssbuy.tw/detail_giftcode/dist/gamedetail/指點兵兵.html</v>
      </c>
      <c r="I149" s="17" t="s">
        <v>231</v>
      </c>
      <c r="J149" s="27" t="s">
        <v>235</v>
      </c>
      <c r="K149" s="30">
        <v>2551</v>
      </c>
      <c r="L149" s="29" t="s">
        <v>236</v>
      </c>
      <c r="M149" s="30">
        <v>1323</v>
      </c>
      <c r="N149" s="29" t="s">
        <v>237</v>
      </c>
      <c r="O149" s="30">
        <v>539</v>
      </c>
      <c r="P149" s="31" t="s">
        <v>238</v>
      </c>
      <c r="Q149" s="30">
        <v>266</v>
      </c>
      <c r="R149" s="31" t="s">
        <v>239</v>
      </c>
      <c r="S149" s="30">
        <v>146</v>
      </c>
      <c r="T149" s="31" t="s">
        <v>240</v>
      </c>
      <c r="U149" s="30">
        <v>35</v>
      </c>
    </row>
    <row r="150" spans="1:43" ht="28.5" customHeight="1" thickBot="1">
      <c r="A150" s="116" t="s">
        <v>241</v>
      </c>
      <c r="F150" s="9" t="str">
        <f t="shared" si="4"/>
        <v>https://www.ssbuy.tw/detail_giftcode/dist/giftcodes/變身傳奇.html</v>
      </c>
      <c r="H150" s="9" t="str">
        <f t="shared" si="5"/>
        <v>https://www.ssbuy.tw/detail_giftcode/dist/gamedetail/變身傳奇.html</v>
      </c>
      <c r="I150" s="17" t="s">
        <v>243</v>
      </c>
      <c r="J150" s="27" t="s">
        <v>245</v>
      </c>
      <c r="K150" s="30">
        <v>1949</v>
      </c>
      <c r="L150" s="29" t="s">
        <v>246</v>
      </c>
      <c r="M150" s="30">
        <v>1010</v>
      </c>
      <c r="N150" s="29" t="s">
        <v>247</v>
      </c>
      <c r="O150" s="30">
        <v>618</v>
      </c>
      <c r="P150" s="31" t="s">
        <v>248</v>
      </c>
      <c r="Q150" s="30">
        <v>310</v>
      </c>
      <c r="R150" s="31" t="s">
        <v>1410</v>
      </c>
      <c r="S150" s="30">
        <v>230</v>
      </c>
      <c r="T150" s="31" t="s">
        <v>17</v>
      </c>
      <c r="U150" s="30">
        <v>76</v>
      </c>
      <c r="V150" s="31" t="s">
        <v>249</v>
      </c>
      <c r="W150" s="30">
        <v>230</v>
      </c>
      <c r="X150" s="31" t="s">
        <v>250</v>
      </c>
      <c r="Y150" s="30">
        <v>175</v>
      </c>
      <c r="Z150" s="31" t="s">
        <v>251</v>
      </c>
      <c r="AA150" s="30">
        <v>127</v>
      </c>
      <c r="AB150" s="31" t="s">
        <v>252</v>
      </c>
      <c r="AC150" s="30">
        <v>101</v>
      </c>
      <c r="AD150" s="31" t="s">
        <v>253</v>
      </c>
      <c r="AE150" s="30">
        <v>51</v>
      </c>
    </row>
    <row r="151" spans="1:43" ht="28.5" customHeight="1" thickBot="1">
      <c r="A151" s="116" t="s">
        <v>242</v>
      </c>
      <c r="F151" s="9" t="str">
        <f t="shared" si="4"/>
        <v>https://www.ssbuy.tw/detail_giftcode/dist/giftcodes/Blue eyes：公會大師.html</v>
      </c>
      <c r="H151" s="9" t="str">
        <f t="shared" si="5"/>
        <v>https://www.ssbuy.tw/detail_giftcode/dist/gamedetail/Blue eyes：公會大師.html</v>
      </c>
      <c r="I151" s="17" t="s">
        <v>244</v>
      </c>
      <c r="J151" s="27" t="s">
        <v>254</v>
      </c>
      <c r="K151" s="30">
        <v>2340</v>
      </c>
      <c r="L151" s="29" t="s">
        <v>255</v>
      </c>
      <c r="M151" s="30">
        <v>1166</v>
      </c>
      <c r="N151" s="29" t="s">
        <v>256</v>
      </c>
      <c r="O151" s="30">
        <v>618</v>
      </c>
      <c r="P151" s="31" t="s">
        <v>257</v>
      </c>
      <c r="Q151" s="30">
        <v>310</v>
      </c>
      <c r="R151" s="31" t="s">
        <v>258</v>
      </c>
      <c r="S151" s="30">
        <v>101</v>
      </c>
      <c r="T151" s="31" t="s">
        <v>259</v>
      </c>
      <c r="U151" s="30">
        <v>1793</v>
      </c>
      <c r="V151" s="31" t="s">
        <v>260</v>
      </c>
      <c r="W151" s="30">
        <v>1558</v>
      </c>
      <c r="X151" s="31" t="s">
        <v>261</v>
      </c>
      <c r="Y151" s="30">
        <v>1010</v>
      </c>
      <c r="Z151" s="31" t="s">
        <v>262</v>
      </c>
      <c r="AA151" s="30">
        <v>775</v>
      </c>
      <c r="AB151" s="31" t="s">
        <v>263</v>
      </c>
      <c r="AC151" s="30">
        <v>618</v>
      </c>
      <c r="AD151" s="31" t="s">
        <v>264</v>
      </c>
      <c r="AE151" s="30">
        <v>548</v>
      </c>
      <c r="AF151" s="31" t="s">
        <v>265</v>
      </c>
      <c r="AG151" s="30">
        <v>254</v>
      </c>
      <c r="AH151" s="31" t="s">
        <v>250</v>
      </c>
      <c r="AI151" s="30">
        <v>175</v>
      </c>
      <c r="AJ151" s="31" t="s">
        <v>252</v>
      </c>
      <c r="AK151" s="30">
        <v>101</v>
      </c>
      <c r="AL151" s="32" t="s">
        <v>266</v>
      </c>
      <c r="AM151" s="20">
        <v>76</v>
      </c>
      <c r="AN151" s="21" t="s">
        <v>267</v>
      </c>
      <c r="AO151" s="20">
        <v>25</v>
      </c>
    </row>
    <row r="152" spans="1:43" ht="28.5" customHeight="1" thickBot="1">
      <c r="A152" s="115" t="s">
        <v>268</v>
      </c>
      <c r="F152" s="9" t="str">
        <f t="shared" si="4"/>
        <v>https://www.ssbuy.tw/detail_giftcode/dist/giftcodes/杖劍傳說：坎斯汀之約.html</v>
      </c>
      <c r="H152" s="9" t="str">
        <f t="shared" si="5"/>
        <v>https://www.ssbuy.tw/detail_giftcode/dist/gamedetail/杖劍傳說：坎斯汀之約.html</v>
      </c>
      <c r="I152" s="17" t="s">
        <v>269</v>
      </c>
      <c r="J152" s="27" t="s">
        <v>270</v>
      </c>
      <c r="K152" s="30">
        <v>2510</v>
      </c>
      <c r="L152" s="29" t="s">
        <v>271</v>
      </c>
      <c r="M152" s="30">
        <v>1308</v>
      </c>
      <c r="N152" s="29" t="s">
        <v>272</v>
      </c>
      <c r="O152" s="30">
        <v>766</v>
      </c>
      <c r="P152" s="31" t="s">
        <v>273</v>
      </c>
      <c r="Q152" s="30">
        <v>385</v>
      </c>
      <c r="R152" s="31" t="s">
        <v>274</v>
      </c>
      <c r="S152" s="30">
        <v>142</v>
      </c>
      <c r="T152" s="31" t="s">
        <v>275</v>
      </c>
      <c r="U152" s="30">
        <v>28</v>
      </c>
      <c r="V152" s="31" t="s">
        <v>276</v>
      </c>
      <c r="W152" s="30">
        <v>142</v>
      </c>
      <c r="X152" s="31" t="s">
        <v>277</v>
      </c>
      <c r="Y152" s="30">
        <v>259</v>
      </c>
      <c r="Z152" s="31" t="s">
        <v>278</v>
      </c>
      <c r="AA152" s="30">
        <v>1308</v>
      </c>
      <c r="AB152" s="31" t="s">
        <v>262</v>
      </c>
      <c r="AC152" s="30">
        <v>766</v>
      </c>
      <c r="AD152" s="31" t="s">
        <v>279</v>
      </c>
      <c r="AE152" s="30">
        <v>526</v>
      </c>
      <c r="AF152" s="31" t="s">
        <v>280</v>
      </c>
      <c r="AG152" s="30">
        <v>259</v>
      </c>
      <c r="AH152" s="31" t="s">
        <v>281</v>
      </c>
      <c r="AI152" s="30">
        <v>142</v>
      </c>
      <c r="AJ152" s="31" t="s">
        <v>282</v>
      </c>
      <c r="AK152" s="30">
        <v>84</v>
      </c>
    </row>
    <row r="153" spans="1:43" ht="28.5" customHeight="1" thickBot="1">
      <c r="A153" s="115" t="s">
        <v>283</v>
      </c>
      <c r="F153" s="9" t="str">
        <f t="shared" si="4"/>
        <v>https://www.ssbuy.tw/detail_giftcode/dist/giftcodes/超級海戰：紀元崛起.html</v>
      </c>
      <c r="H153" s="9" t="str">
        <f t="shared" si="5"/>
        <v>https://www.ssbuy.tw/detail_giftcode/dist/gamedetail/超級海戰：紀元崛起.html</v>
      </c>
      <c r="I153" s="17" t="s">
        <v>292</v>
      </c>
      <c r="J153" s="27" t="s">
        <v>12</v>
      </c>
      <c r="K153" s="30">
        <v>2314</v>
      </c>
      <c r="L153" s="29" t="s">
        <v>13</v>
      </c>
      <c r="M153" s="30">
        <v>1153</v>
      </c>
      <c r="N153" s="29" t="s">
        <v>24</v>
      </c>
      <c r="O153" s="30">
        <v>766</v>
      </c>
      <c r="P153" s="31" t="s">
        <v>14</v>
      </c>
      <c r="Q153" s="30">
        <v>541</v>
      </c>
      <c r="R153" s="31" t="s">
        <v>15</v>
      </c>
      <c r="S153" s="30">
        <v>385</v>
      </c>
      <c r="T153" s="31" t="s">
        <v>120</v>
      </c>
      <c r="U153" s="30">
        <v>251</v>
      </c>
      <c r="V153" s="31" t="s">
        <v>284</v>
      </c>
      <c r="W153" s="30">
        <v>228</v>
      </c>
      <c r="X153" s="31" t="s">
        <v>16</v>
      </c>
      <c r="Y153" s="30">
        <v>125</v>
      </c>
      <c r="Z153" s="31" t="s">
        <v>121</v>
      </c>
      <c r="AA153" s="30">
        <v>75</v>
      </c>
      <c r="AB153" s="31" t="s">
        <v>285</v>
      </c>
      <c r="AC153" s="30">
        <v>50</v>
      </c>
      <c r="AD153" s="31" t="s">
        <v>7</v>
      </c>
      <c r="AE153" s="30">
        <v>25</v>
      </c>
      <c r="AF153" s="31" t="s">
        <v>286</v>
      </c>
      <c r="AG153" s="30">
        <v>2314</v>
      </c>
      <c r="AH153" s="31" t="s">
        <v>287</v>
      </c>
      <c r="AI153" s="30">
        <v>1153</v>
      </c>
      <c r="AJ153" s="31" t="s">
        <v>288</v>
      </c>
      <c r="AK153" s="30">
        <v>766</v>
      </c>
      <c r="AL153" s="32" t="s">
        <v>289</v>
      </c>
      <c r="AM153" s="20">
        <v>385</v>
      </c>
      <c r="AN153" s="21" t="s">
        <v>290</v>
      </c>
      <c r="AO153" s="20">
        <v>125</v>
      </c>
      <c r="AP153" s="21" t="s">
        <v>291</v>
      </c>
      <c r="AQ153" s="20">
        <v>25</v>
      </c>
    </row>
    <row r="154" spans="1:43" ht="28.5" customHeight="1" thickBot="1">
      <c r="A154" s="114" t="s">
        <v>293</v>
      </c>
      <c r="F154" s="9" t="str">
        <f t="shared" si="4"/>
        <v>https://www.ssbuy.tw/detail_giftcode/dist/giftcodes/進擊的惡魔團.html</v>
      </c>
      <c r="H154" s="9" t="str">
        <f t="shared" si="5"/>
        <v>https://www.ssbuy.tw/detail_giftcode/dist/gamedetail/進擊的惡魔團.html</v>
      </c>
      <c r="I154" s="17" t="s">
        <v>294</v>
      </c>
      <c r="J154" s="27" t="s">
        <v>295</v>
      </c>
      <c r="K154" s="30">
        <v>2314</v>
      </c>
      <c r="L154" s="29" t="s">
        <v>296</v>
      </c>
      <c r="M154" s="30">
        <v>1153</v>
      </c>
      <c r="N154" s="29" t="s">
        <v>297</v>
      </c>
      <c r="O154" s="30">
        <v>541</v>
      </c>
      <c r="P154" s="31" t="s">
        <v>298</v>
      </c>
      <c r="Q154" s="30">
        <v>251</v>
      </c>
      <c r="R154" s="31" t="s">
        <v>299</v>
      </c>
      <c r="S154" s="30">
        <v>125</v>
      </c>
      <c r="T154" s="31" t="s">
        <v>300</v>
      </c>
      <c r="U154" s="30">
        <v>25</v>
      </c>
      <c r="V154" s="31" t="s">
        <v>301</v>
      </c>
      <c r="W154" s="30">
        <v>2314</v>
      </c>
      <c r="X154" s="31" t="s">
        <v>302</v>
      </c>
      <c r="Y154" s="30">
        <v>1153</v>
      </c>
      <c r="Z154" s="31" t="s">
        <v>262</v>
      </c>
      <c r="AA154" s="30">
        <v>766</v>
      </c>
      <c r="AB154" s="31" t="s">
        <v>264</v>
      </c>
      <c r="AC154" s="30">
        <v>541</v>
      </c>
      <c r="AD154" s="31" t="s">
        <v>303</v>
      </c>
      <c r="AE154" s="30">
        <v>306</v>
      </c>
      <c r="AF154" s="31" t="s">
        <v>265</v>
      </c>
      <c r="AG154" s="30">
        <v>251</v>
      </c>
      <c r="AH154" s="31" t="s">
        <v>250</v>
      </c>
      <c r="AI154" s="30">
        <v>173</v>
      </c>
      <c r="AJ154" s="31" t="s">
        <v>251</v>
      </c>
      <c r="AK154" s="30">
        <v>125</v>
      </c>
      <c r="AL154" s="32" t="s">
        <v>253</v>
      </c>
      <c r="AM154" s="20">
        <v>50</v>
      </c>
      <c r="AN154" s="21" t="s">
        <v>267</v>
      </c>
      <c r="AO154" s="20">
        <v>25</v>
      </c>
    </row>
    <row r="155" spans="1:43" ht="28.5" customHeight="1" thickBot="1">
      <c r="A155" s="116" t="s">
        <v>304</v>
      </c>
      <c r="F155" s="9" t="str">
        <f t="shared" si="4"/>
        <v>https://www.ssbuy.tw/detail_giftcode/dist/giftcodes/蝕影：緋之契.html</v>
      </c>
      <c r="H155" s="9" t="str">
        <f t="shared" si="5"/>
        <v>https://www.ssbuy.tw/detail_giftcode/dist/gamedetail/蝕影：緋之契.html</v>
      </c>
      <c r="I155" s="17" t="s">
        <v>306</v>
      </c>
      <c r="J155" s="27" t="s">
        <v>308</v>
      </c>
      <c r="K155" s="30">
        <v>2518</v>
      </c>
      <c r="L155" s="29" t="s">
        <v>309</v>
      </c>
      <c r="M155" s="30">
        <v>1277</v>
      </c>
      <c r="N155" s="29" t="s">
        <v>310</v>
      </c>
      <c r="O155" s="30">
        <v>766</v>
      </c>
      <c r="P155" s="31" t="s">
        <v>311</v>
      </c>
      <c r="Q155" s="30">
        <v>526</v>
      </c>
      <c r="R155" s="31" t="s">
        <v>312</v>
      </c>
      <c r="S155" s="30">
        <v>385</v>
      </c>
      <c r="T155" s="31" t="s">
        <v>313</v>
      </c>
      <c r="U155" s="30">
        <v>259</v>
      </c>
      <c r="V155" s="31" t="s">
        <v>314</v>
      </c>
      <c r="W155" s="30">
        <v>142</v>
      </c>
      <c r="X155" s="31" t="s">
        <v>315</v>
      </c>
      <c r="Y155" s="30">
        <v>113</v>
      </c>
      <c r="Z155" s="31" t="s">
        <v>316</v>
      </c>
      <c r="AA155" s="30">
        <v>84</v>
      </c>
      <c r="AB155" s="31" t="s">
        <v>317</v>
      </c>
      <c r="AC155" s="30">
        <v>58</v>
      </c>
      <c r="AD155" s="31" t="s">
        <v>318</v>
      </c>
      <c r="AE155" s="30">
        <v>28</v>
      </c>
    </row>
    <row r="156" spans="1:43" ht="28.5" customHeight="1" thickBot="1">
      <c r="A156" s="116" t="s">
        <v>305</v>
      </c>
      <c r="F156" s="9" t="str">
        <f t="shared" si="4"/>
        <v>https://www.ssbuy.tw/detail_giftcode/dist/giftcodes/RO：Crush.html</v>
      </c>
      <c r="H156" s="9" t="str">
        <f t="shared" si="5"/>
        <v>https://www.ssbuy.tw/detail_giftcode/dist/gamedetail/RO：Crush.html</v>
      </c>
      <c r="I156" s="17" t="s">
        <v>307</v>
      </c>
      <c r="J156" s="27" t="s">
        <v>319</v>
      </c>
      <c r="K156" s="30">
        <v>2314</v>
      </c>
      <c r="L156" s="29" t="s">
        <v>320</v>
      </c>
      <c r="M156" s="30">
        <v>1153</v>
      </c>
      <c r="N156" s="29" t="s">
        <v>321</v>
      </c>
      <c r="O156" s="30">
        <v>541</v>
      </c>
      <c r="P156" s="31" t="s">
        <v>15</v>
      </c>
      <c r="Q156" s="30">
        <v>251</v>
      </c>
      <c r="R156" s="31" t="s">
        <v>322</v>
      </c>
      <c r="S156" s="30">
        <v>125</v>
      </c>
      <c r="T156" s="31" t="s">
        <v>7</v>
      </c>
      <c r="U156" s="30">
        <v>25</v>
      </c>
    </row>
    <row r="157" spans="1:43" ht="28.5" customHeight="1" thickBot="1">
      <c r="A157" s="116" t="s">
        <v>323</v>
      </c>
      <c r="F157" s="9" t="str">
        <f t="shared" si="4"/>
        <v>https://www.ssbuy.tw/detail_giftcode/dist/giftcodes/溯回青空.html</v>
      </c>
      <c r="H157" s="9" t="str">
        <f t="shared" si="5"/>
        <v>https://www.ssbuy.tw/detail_giftcode/dist/gamedetail/溯回青空.html</v>
      </c>
      <c r="I157" s="10" t="s">
        <v>1411</v>
      </c>
      <c r="J157" s="27" t="s">
        <v>1437</v>
      </c>
      <c r="K157" s="30">
        <v>1860</v>
      </c>
      <c r="L157" s="29" t="s">
        <v>1438</v>
      </c>
      <c r="M157" s="30">
        <v>1860</v>
      </c>
      <c r="N157" s="29" t="s">
        <v>1439</v>
      </c>
      <c r="O157" s="30">
        <v>1160</v>
      </c>
      <c r="P157" s="31" t="s">
        <v>1440</v>
      </c>
      <c r="Q157" s="30">
        <v>1004</v>
      </c>
      <c r="R157" s="31" t="s">
        <v>1441</v>
      </c>
      <c r="S157" s="30">
        <v>624</v>
      </c>
      <c r="T157" s="31" t="s">
        <v>1442</v>
      </c>
      <c r="U157" s="30">
        <v>260</v>
      </c>
      <c r="V157" s="31" t="s">
        <v>1443</v>
      </c>
      <c r="W157" s="30">
        <v>101</v>
      </c>
      <c r="X157" s="31" t="s">
        <v>1444</v>
      </c>
      <c r="Y157" s="30">
        <v>28</v>
      </c>
      <c r="Z157" s="31" t="s">
        <v>1445</v>
      </c>
      <c r="AA157" s="30">
        <v>160</v>
      </c>
      <c r="AB157" s="31" t="s">
        <v>1446</v>
      </c>
      <c r="AC157" s="30">
        <v>101</v>
      </c>
      <c r="AD157" s="31" t="s">
        <v>1447</v>
      </c>
      <c r="AE157" s="30">
        <v>76</v>
      </c>
    </row>
    <row r="158" spans="1:43" ht="28.5" customHeight="1" thickBot="1">
      <c r="A158" s="116" t="s">
        <v>324</v>
      </c>
      <c r="F158" s="9" t="str">
        <f t="shared" si="4"/>
        <v>https://www.ssbuy.tw/detail_giftcode/dist/giftcodes/蒼之啟示錄.html</v>
      </c>
      <c r="H158" s="9" t="str">
        <f t="shared" si="5"/>
        <v>https://www.ssbuy.tw/detail_giftcode/dist/gamedetail/蒼之啟示錄.html</v>
      </c>
      <c r="I158" s="10" t="s">
        <v>1412</v>
      </c>
      <c r="J158" s="27" t="s">
        <v>1417</v>
      </c>
      <c r="K158" s="30">
        <v>1803</v>
      </c>
      <c r="L158" s="29" t="s">
        <v>1418</v>
      </c>
      <c r="M158" s="30">
        <v>937</v>
      </c>
      <c r="N158" s="29" t="s">
        <v>1419</v>
      </c>
      <c r="O158" s="30">
        <v>551</v>
      </c>
      <c r="P158" s="31" t="s">
        <v>1420</v>
      </c>
      <c r="Q158" s="30">
        <v>391</v>
      </c>
      <c r="R158" s="31" t="s">
        <v>1421</v>
      </c>
      <c r="S158" s="30">
        <v>279</v>
      </c>
      <c r="T158" s="31" t="s">
        <v>1422</v>
      </c>
      <c r="U158" s="30">
        <v>176</v>
      </c>
      <c r="V158" s="31" t="s">
        <v>1423</v>
      </c>
      <c r="W158" s="30">
        <v>102</v>
      </c>
      <c r="X158" s="31" t="s">
        <v>1424</v>
      </c>
      <c r="Y158" s="30">
        <v>17</v>
      </c>
    </row>
    <row r="159" spans="1:43" ht="28.5" customHeight="1" thickBot="1">
      <c r="A159" s="116" t="s">
        <v>325</v>
      </c>
      <c r="F159" s="9" t="str">
        <f t="shared" si="4"/>
        <v>https://www.ssbuy.tw/detail_giftcode/dist/giftcodes/第六絕區.html</v>
      </c>
      <c r="H159" s="9" t="str">
        <f t="shared" si="5"/>
        <v>https://www.ssbuy.tw/detail_giftcode/dist/gamedetail/第六絕區.html</v>
      </c>
      <c r="I159" s="10" t="s">
        <v>1413</v>
      </c>
      <c r="J159" s="27" t="s">
        <v>12</v>
      </c>
      <c r="K159" s="30">
        <v>2554</v>
      </c>
      <c r="L159" s="29" t="s">
        <v>13</v>
      </c>
      <c r="M159" s="30">
        <v>1330</v>
      </c>
      <c r="N159" s="29" t="s">
        <v>24</v>
      </c>
      <c r="O159" s="30">
        <v>779</v>
      </c>
      <c r="P159" s="31" t="s">
        <v>120</v>
      </c>
      <c r="Q159" s="30">
        <v>263</v>
      </c>
      <c r="R159" s="31" t="s">
        <v>16</v>
      </c>
      <c r="S159" s="30">
        <v>145</v>
      </c>
      <c r="T159" s="31" t="s">
        <v>7</v>
      </c>
      <c r="U159" s="30">
        <v>28</v>
      </c>
      <c r="V159" s="31" t="s">
        <v>1425</v>
      </c>
      <c r="W159" s="30">
        <v>145</v>
      </c>
      <c r="X159" s="31" t="s">
        <v>1426</v>
      </c>
      <c r="Y159" s="30">
        <v>263</v>
      </c>
      <c r="Z159" s="31" t="s">
        <v>1427</v>
      </c>
      <c r="AA159" s="30">
        <v>2554</v>
      </c>
      <c r="AB159" s="31" t="s">
        <v>278</v>
      </c>
      <c r="AC159" s="30">
        <v>1330</v>
      </c>
      <c r="AD159" s="31" t="s">
        <v>262</v>
      </c>
      <c r="AE159" s="30">
        <v>779</v>
      </c>
      <c r="AF159" s="31" t="s">
        <v>279</v>
      </c>
      <c r="AG159" s="30">
        <v>535</v>
      </c>
      <c r="AH159" s="31" t="s">
        <v>280</v>
      </c>
      <c r="AI159" s="30">
        <v>263</v>
      </c>
      <c r="AJ159" s="31" t="s">
        <v>281</v>
      </c>
      <c r="AK159" s="30">
        <v>145</v>
      </c>
      <c r="AL159" s="32" t="s">
        <v>1428</v>
      </c>
      <c r="AM159" s="20">
        <v>28</v>
      </c>
    </row>
    <row r="160" spans="1:43" ht="28.5" customHeight="1" thickBot="1">
      <c r="A160" s="116" t="s">
        <v>1416</v>
      </c>
      <c r="F160" s="9" t="str">
        <f t="shared" si="4"/>
        <v>https://www.ssbuy.tw/detail_giftcode/dist/giftcodes/MO.CO.html</v>
      </c>
      <c r="H160" s="9" t="str">
        <f t="shared" si="5"/>
        <v>https://www.ssbuy.tw/detail_giftcode/dist/gamedetail/MO.CO.html</v>
      </c>
      <c r="I160" s="10" t="s">
        <v>1414</v>
      </c>
      <c r="J160" s="27" t="s">
        <v>1459</v>
      </c>
      <c r="K160" s="30">
        <v>2525</v>
      </c>
      <c r="L160" s="29" t="s">
        <v>1460</v>
      </c>
      <c r="M160" s="30">
        <v>1315</v>
      </c>
      <c r="N160" s="29" t="s">
        <v>1461</v>
      </c>
      <c r="O160" s="30">
        <v>529</v>
      </c>
      <c r="P160" s="31" t="s">
        <v>1462</v>
      </c>
      <c r="Q160" s="30">
        <v>260</v>
      </c>
      <c r="R160" s="31" t="s">
        <v>1463</v>
      </c>
      <c r="S160" s="30">
        <v>143</v>
      </c>
    </row>
    <row r="161" spans="1:43" ht="28.5" customHeight="1" thickBot="1">
      <c r="A161" s="116" t="s">
        <v>326</v>
      </c>
      <c r="F161" s="9" t="str">
        <f t="shared" si="4"/>
        <v>https://www.ssbuy.tw/detail_giftcode/dist/giftcodes/幻世三國：一騎當千.html</v>
      </c>
      <c r="H161" s="9" t="str">
        <f t="shared" si="5"/>
        <v>https://www.ssbuy.tw/detail_giftcode/dist/gamedetail/幻世三國：一騎當千.html</v>
      </c>
      <c r="I161" s="10" t="s">
        <v>1415</v>
      </c>
      <c r="J161" s="27" t="s">
        <v>1429</v>
      </c>
      <c r="K161" s="30">
        <v>2525</v>
      </c>
      <c r="L161" s="29" t="s">
        <v>1430</v>
      </c>
      <c r="M161" s="30">
        <v>1938</v>
      </c>
      <c r="N161" s="29" t="s">
        <v>1431</v>
      </c>
      <c r="O161" s="30">
        <v>1160</v>
      </c>
      <c r="P161" s="31" t="s">
        <v>1432</v>
      </c>
      <c r="Q161" s="30">
        <v>771</v>
      </c>
      <c r="R161" s="31" t="s">
        <v>1433</v>
      </c>
      <c r="S161" s="30">
        <v>387</v>
      </c>
      <c r="T161" s="31" t="s">
        <v>1434</v>
      </c>
      <c r="U161" s="30">
        <v>143</v>
      </c>
      <c r="V161" s="31" t="s">
        <v>1435</v>
      </c>
      <c r="W161" s="30">
        <v>28</v>
      </c>
      <c r="X161" s="31" t="s">
        <v>1436</v>
      </c>
      <c r="Y161" s="30">
        <v>308</v>
      </c>
      <c r="Z161" s="31" t="s">
        <v>107</v>
      </c>
      <c r="AA161" s="30">
        <v>143</v>
      </c>
    </row>
    <row r="162" spans="1:43" ht="28.5" customHeight="1" thickBot="1">
      <c r="A162" s="116" t="s">
        <v>1448</v>
      </c>
      <c r="F162" s="9" t="str">
        <f t="shared" si="4"/>
        <v>https://www.ssbuy.tw/detail_giftcode/dist/giftcodes/小兵立大功.html</v>
      </c>
      <c r="H162" s="9" t="str">
        <f t="shared" si="5"/>
        <v>https://www.ssbuy.tw/detail_giftcode/dist/gamedetail/小兵立大功.html</v>
      </c>
      <c r="I162" s="10" t="s">
        <v>3322</v>
      </c>
      <c r="J162" s="27" t="s">
        <v>1450</v>
      </c>
      <c r="K162" s="30">
        <v>1160</v>
      </c>
      <c r="L162" s="29" t="s">
        <v>1451</v>
      </c>
      <c r="M162" s="30">
        <v>693</v>
      </c>
      <c r="N162" s="29" t="s">
        <v>1452</v>
      </c>
      <c r="O162" s="30">
        <v>466</v>
      </c>
      <c r="P162" s="31" t="s">
        <v>1453</v>
      </c>
      <c r="Q162" s="30">
        <v>237</v>
      </c>
      <c r="R162" s="31" t="s">
        <v>1454</v>
      </c>
      <c r="S162" s="30">
        <v>126</v>
      </c>
      <c r="T162" s="31" t="s">
        <v>1455</v>
      </c>
      <c r="U162" s="30">
        <v>25</v>
      </c>
      <c r="V162" s="31" t="s">
        <v>1456</v>
      </c>
      <c r="W162" s="30">
        <v>1751</v>
      </c>
      <c r="X162" s="31" t="s">
        <v>302</v>
      </c>
      <c r="Y162" s="30">
        <v>1160</v>
      </c>
      <c r="Z162" s="31" t="s">
        <v>1457</v>
      </c>
      <c r="AA162" s="30">
        <v>466</v>
      </c>
      <c r="AB162" s="31" t="s">
        <v>1458</v>
      </c>
      <c r="AC162" s="30">
        <v>237</v>
      </c>
      <c r="AD162" s="31" t="s">
        <v>251</v>
      </c>
      <c r="AE162" s="30">
        <v>126</v>
      </c>
      <c r="AF162" s="31" t="s">
        <v>253</v>
      </c>
      <c r="AG162" s="30">
        <v>50</v>
      </c>
      <c r="AH162" s="31" t="s">
        <v>267</v>
      </c>
      <c r="AI162" s="30">
        <v>25</v>
      </c>
    </row>
    <row r="163" spans="1:43" ht="28.5" customHeight="1" thickBot="1">
      <c r="A163" s="116" t="s">
        <v>1449</v>
      </c>
      <c r="F163" s="9" t="str">
        <f t="shared" si="4"/>
        <v>https://www.ssbuy.tw/detail_giftcode/dist/giftcodes/像素全明星.html</v>
      </c>
      <c r="H163" s="9" t="str">
        <f t="shared" si="5"/>
        <v>https://www.ssbuy.tw/detail_giftcode/dist/gamedetail/像素全明星.html</v>
      </c>
      <c r="I163" s="10" t="s">
        <v>2550</v>
      </c>
      <c r="J163" s="27" t="s">
        <v>12</v>
      </c>
      <c r="K163" s="30">
        <v>2327</v>
      </c>
      <c r="L163" s="29" t="s">
        <v>13</v>
      </c>
      <c r="M163" s="30">
        <v>1160</v>
      </c>
      <c r="N163" s="29" t="s">
        <v>24</v>
      </c>
      <c r="O163" s="30">
        <v>771</v>
      </c>
      <c r="P163" s="31" t="s">
        <v>14</v>
      </c>
      <c r="Q163" s="30">
        <v>529</v>
      </c>
      <c r="R163" s="31" t="s">
        <v>15</v>
      </c>
      <c r="S163" s="30">
        <v>387</v>
      </c>
      <c r="T163" s="31" t="s">
        <v>120</v>
      </c>
      <c r="U163" s="30">
        <v>260</v>
      </c>
      <c r="V163" s="31" t="s">
        <v>65</v>
      </c>
      <c r="W163" s="30">
        <v>229</v>
      </c>
      <c r="X163" s="31" t="s">
        <v>6</v>
      </c>
      <c r="Y163" s="30">
        <v>229</v>
      </c>
      <c r="Z163" s="31" t="s">
        <v>233</v>
      </c>
      <c r="AA163" s="30">
        <v>174</v>
      </c>
      <c r="AB163" s="31" t="s">
        <v>16</v>
      </c>
      <c r="AC163" s="30">
        <v>126</v>
      </c>
      <c r="AD163" s="31" t="s">
        <v>121</v>
      </c>
      <c r="AE163" s="30">
        <v>84</v>
      </c>
      <c r="AF163" s="31" t="s">
        <v>285</v>
      </c>
      <c r="AG163" s="30">
        <v>59</v>
      </c>
      <c r="AH163" s="31" t="s">
        <v>7</v>
      </c>
      <c r="AI163" s="30">
        <v>28</v>
      </c>
    </row>
    <row r="164" spans="1:43" ht="28.5" customHeight="1" thickBot="1">
      <c r="A164" s="116" t="s">
        <v>1464</v>
      </c>
      <c r="F164" s="9" t="str">
        <f t="shared" si="4"/>
        <v>https://www.ssbuy.tw/detail_giftcode/dist/giftcodes/浣熊傳說.html</v>
      </c>
      <c r="H164" s="9" t="str">
        <f t="shared" si="5"/>
        <v>https://www.ssbuy.tw/detail_giftcode/dist/gamedetail/浣熊傳說.html</v>
      </c>
      <c r="I164" s="17" t="s">
        <v>1470</v>
      </c>
      <c r="J164" s="27" t="s">
        <v>12</v>
      </c>
      <c r="K164" s="30">
        <v>2327</v>
      </c>
      <c r="L164" s="29" t="s">
        <v>13</v>
      </c>
      <c r="M164" s="30">
        <v>1160</v>
      </c>
      <c r="N164" s="29" t="s">
        <v>24</v>
      </c>
      <c r="O164" s="30">
        <v>771</v>
      </c>
      <c r="P164" s="31" t="s">
        <v>14</v>
      </c>
      <c r="Q164" s="30">
        <v>529</v>
      </c>
      <c r="R164" s="31" t="s">
        <v>120</v>
      </c>
      <c r="S164" s="30">
        <v>260</v>
      </c>
      <c r="T164" s="31" t="s">
        <v>16</v>
      </c>
      <c r="U164" s="30">
        <v>143</v>
      </c>
      <c r="V164" s="31" t="s">
        <v>7</v>
      </c>
      <c r="W164" s="30">
        <v>28</v>
      </c>
    </row>
    <row r="165" spans="1:43" ht="28.5" customHeight="1" thickBot="1">
      <c r="A165" s="116" t="s">
        <v>1465</v>
      </c>
      <c r="F165" s="9" t="str">
        <f t="shared" si="4"/>
        <v>https://www.ssbuy.tw/detail_giftcode/dist/giftcodes/勇者格鬥城.html</v>
      </c>
      <c r="H165" s="9" t="str">
        <f t="shared" si="5"/>
        <v>https://www.ssbuy.tw/detail_giftcode/dist/gamedetail/勇者格鬥城.html</v>
      </c>
      <c r="I165" s="17" t="s">
        <v>1471</v>
      </c>
      <c r="J165" s="27" t="s">
        <v>1466</v>
      </c>
      <c r="K165" s="30">
        <v>2494</v>
      </c>
      <c r="L165" s="29" t="s">
        <v>1467</v>
      </c>
      <c r="M165" s="30">
        <v>2413</v>
      </c>
      <c r="N165" s="29" t="s">
        <v>5</v>
      </c>
      <c r="O165" s="30">
        <v>1946</v>
      </c>
      <c r="P165" s="31" t="s">
        <v>13</v>
      </c>
      <c r="Q165" s="30">
        <v>1276</v>
      </c>
      <c r="R165" s="31" t="s">
        <v>62</v>
      </c>
      <c r="S165" s="30">
        <v>1167</v>
      </c>
      <c r="T165" s="31" t="s">
        <v>24</v>
      </c>
      <c r="U165" s="30">
        <v>771</v>
      </c>
      <c r="V165" s="31" t="s">
        <v>1468</v>
      </c>
      <c r="W165" s="30">
        <v>654</v>
      </c>
      <c r="X165" s="31" t="s">
        <v>14</v>
      </c>
      <c r="Y165" s="30">
        <v>505</v>
      </c>
      <c r="Z165" s="31" t="s">
        <v>15</v>
      </c>
      <c r="AA165" s="30">
        <v>387</v>
      </c>
      <c r="AB165" s="31" t="s">
        <v>1469</v>
      </c>
      <c r="AC165" s="30">
        <v>347</v>
      </c>
      <c r="AD165" s="31" t="s">
        <v>120</v>
      </c>
      <c r="AE165" s="30">
        <v>268</v>
      </c>
      <c r="AF165" s="31" t="s">
        <v>322</v>
      </c>
      <c r="AG165" s="30">
        <v>160</v>
      </c>
      <c r="AH165" s="31" t="s">
        <v>16</v>
      </c>
      <c r="AI165" s="30">
        <v>126</v>
      </c>
      <c r="AJ165" s="31" t="s">
        <v>1327</v>
      </c>
      <c r="AK165" s="30">
        <v>118</v>
      </c>
      <c r="AL165" s="32" t="s">
        <v>121</v>
      </c>
      <c r="AM165" s="20">
        <v>76</v>
      </c>
      <c r="AN165" s="21" t="s">
        <v>285</v>
      </c>
      <c r="AO165" s="20">
        <v>50</v>
      </c>
      <c r="AP165" s="21" t="s">
        <v>7</v>
      </c>
      <c r="AQ165" s="20">
        <v>25</v>
      </c>
    </row>
    <row r="166" spans="1:43" ht="28.5" customHeight="1" thickBot="1">
      <c r="A166" s="116" t="s">
        <v>1472</v>
      </c>
      <c r="F166" s="9" t="str">
        <f t="shared" si="4"/>
        <v>https://www.ssbuy.tw/detail_giftcode/dist/giftcodes/龐寶：背包英雄們.html</v>
      </c>
      <c r="H166" s="9" t="str">
        <f t="shared" si="5"/>
        <v>https://www.ssbuy.tw/detail_giftcode/dist/gamedetail/龐寶：背包英雄們.html</v>
      </c>
      <c r="I166" s="17" t="s">
        <v>1474</v>
      </c>
      <c r="J166" s="27" t="s">
        <v>4</v>
      </c>
      <c r="K166" s="30">
        <v>2335</v>
      </c>
      <c r="L166" s="29" t="s">
        <v>190</v>
      </c>
      <c r="M166" s="30">
        <v>1284</v>
      </c>
      <c r="N166" s="29" t="s">
        <v>1476</v>
      </c>
      <c r="O166" s="30">
        <v>521</v>
      </c>
      <c r="P166" s="31" t="s">
        <v>163</v>
      </c>
      <c r="Q166" s="30">
        <v>260</v>
      </c>
      <c r="R166" s="31" t="s">
        <v>233</v>
      </c>
      <c r="S166" s="30">
        <v>139</v>
      </c>
      <c r="T166" s="31" t="s">
        <v>1477</v>
      </c>
      <c r="U166" s="30">
        <v>83</v>
      </c>
      <c r="V166" s="31" t="s">
        <v>1478</v>
      </c>
      <c r="W166" s="30">
        <v>201</v>
      </c>
    </row>
    <row r="167" spans="1:43" ht="28.5" customHeight="1" thickBot="1">
      <c r="A167" s="116" t="s">
        <v>1473</v>
      </c>
      <c r="F167" s="9" t="str">
        <f t="shared" si="4"/>
        <v>https://www.ssbuy.tw/detail_giftcode/dist/giftcodes/星耀球會.html</v>
      </c>
      <c r="H167" s="9" t="str">
        <f t="shared" si="5"/>
        <v>https://www.ssbuy.tw/detail_giftcode/dist/gamedetail/星耀球會.html</v>
      </c>
      <c r="I167" s="17" t="s">
        <v>1475</v>
      </c>
      <c r="J167" s="27" t="s">
        <v>1479</v>
      </c>
      <c r="K167" s="30">
        <v>2296</v>
      </c>
      <c r="L167" s="29" t="s">
        <v>1480</v>
      </c>
      <c r="M167" s="30">
        <v>1144</v>
      </c>
      <c r="N167" s="29" t="s">
        <v>1481</v>
      </c>
      <c r="O167" s="30">
        <v>529</v>
      </c>
      <c r="P167" s="31" t="s">
        <v>1482</v>
      </c>
      <c r="Q167" s="30">
        <v>260</v>
      </c>
      <c r="R167" s="31" t="s">
        <v>1483</v>
      </c>
      <c r="S167" s="30">
        <v>143</v>
      </c>
      <c r="T167" s="31" t="s">
        <v>1484</v>
      </c>
      <c r="U167" s="30">
        <v>50</v>
      </c>
    </row>
    <row r="168" spans="1:43" ht="28.5" customHeight="1" thickBot="1">
      <c r="A168" s="38" t="s">
        <v>1485</v>
      </c>
      <c r="F168" s="9" t="str">
        <f t="shared" si="4"/>
        <v>https://www.ssbuy.tw/detail_giftcode/dist/giftcodes/東方幻想ECLIPSE.html</v>
      </c>
      <c r="H168" s="9" t="str">
        <f t="shared" si="5"/>
        <v>https://www.ssbuy.tw/detail_giftcode/dist/gamedetail/東方幻想ECLIPSE.html</v>
      </c>
      <c r="I168" s="23" t="s">
        <v>1486</v>
      </c>
      <c r="J168" s="27" t="s">
        <v>1487</v>
      </c>
      <c r="K168" s="30">
        <v>2539</v>
      </c>
      <c r="L168" s="29" t="s">
        <v>1488</v>
      </c>
      <c r="M168" s="30">
        <v>1323</v>
      </c>
      <c r="N168" s="29" t="s">
        <v>1489</v>
      </c>
      <c r="O168" s="30">
        <v>775</v>
      </c>
      <c r="P168" s="31" t="s">
        <v>1490</v>
      </c>
      <c r="Q168" s="30">
        <v>389</v>
      </c>
      <c r="R168" s="31" t="s">
        <v>1491</v>
      </c>
      <c r="S168" s="30">
        <v>144</v>
      </c>
      <c r="T168" s="31" t="s">
        <v>1492</v>
      </c>
      <c r="U168" s="30">
        <v>28</v>
      </c>
      <c r="V168" s="31" t="s">
        <v>1427</v>
      </c>
      <c r="W168" s="30">
        <v>2539</v>
      </c>
      <c r="X168" s="31" t="s">
        <v>260</v>
      </c>
      <c r="Y168" s="30">
        <v>1558</v>
      </c>
      <c r="Z168" s="31" t="s">
        <v>278</v>
      </c>
      <c r="AA168" s="30">
        <v>1323</v>
      </c>
      <c r="AB168" s="31" t="s">
        <v>261</v>
      </c>
      <c r="AC168" s="30">
        <v>1010</v>
      </c>
      <c r="AD168" s="31" t="s">
        <v>262</v>
      </c>
      <c r="AE168" s="30">
        <v>775</v>
      </c>
      <c r="AF168" s="31" t="s">
        <v>1493</v>
      </c>
      <c r="AG168" s="30">
        <v>389</v>
      </c>
      <c r="AH168" s="31" t="s">
        <v>280</v>
      </c>
      <c r="AI168" s="30">
        <v>262</v>
      </c>
      <c r="AJ168" s="31" t="s">
        <v>1494</v>
      </c>
      <c r="AK168" s="30">
        <v>198</v>
      </c>
      <c r="AL168" s="32" t="s">
        <v>281</v>
      </c>
      <c r="AM168" s="20">
        <v>144</v>
      </c>
      <c r="AN168" s="21" t="s">
        <v>1428</v>
      </c>
      <c r="AO168" s="20">
        <v>28</v>
      </c>
    </row>
    <row r="169" spans="1:43" ht="28.5" customHeight="1" thickBot="1">
      <c r="A169" s="116" t="s">
        <v>1495</v>
      </c>
      <c r="F169" s="9" t="str">
        <f t="shared" si="4"/>
        <v>https://www.ssbuy.tw/detail_giftcode/dist/giftcodes/世紀帝國M.html</v>
      </c>
      <c r="H169" s="9" t="str">
        <f t="shared" si="5"/>
        <v>https://www.ssbuy.tw/detail_giftcode/dist/gamedetail/世紀帝國M.html</v>
      </c>
      <c r="I169" s="23" t="s">
        <v>1503</v>
      </c>
      <c r="J169" s="27" t="s">
        <v>1498</v>
      </c>
      <c r="K169" s="30">
        <v>2508</v>
      </c>
      <c r="L169" s="29" t="s">
        <v>1499</v>
      </c>
      <c r="M169" s="30">
        <v>1268</v>
      </c>
      <c r="N169" s="29" t="s">
        <v>1500</v>
      </c>
      <c r="O169" s="30">
        <v>548</v>
      </c>
      <c r="P169" s="31" t="s">
        <v>3976</v>
      </c>
      <c r="Q169" s="30">
        <v>278</v>
      </c>
      <c r="R169" s="31" t="s">
        <v>1501</v>
      </c>
      <c r="S169" s="30">
        <v>127</v>
      </c>
      <c r="T169" s="31" t="s">
        <v>1502</v>
      </c>
      <c r="U169" s="30">
        <v>25</v>
      </c>
    </row>
    <row r="170" spans="1:43" ht="28.5" customHeight="1" thickBot="1">
      <c r="A170" s="116" t="s">
        <v>1496</v>
      </c>
      <c r="F170" s="9" t="str">
        <f t="shared" si="4"/>
        <v>https://www.ssbuy.tw/detail_giftcode/dist/giftcodes/歐啦!守得豬.html</v>
      </c>
      <c r="H170" s="9" t="str">
        <f t="shared" si="5"/>
        <v>https://www.ssbuy.tw/detail_giftcode/dist/gamedetail/歐啦!守得豬.html</v>
      </c>
      <c r="I170" s="23" t="s">
        <v>1504</v>
      </c>
      <c r="J170" s="27" t="s">
        <v>61</v>
      </c>
      <c r="K170" s="30">
        <v>2539</v>
      </c>
      <c r="L170" s="29" t="s">
        <v>62</v>
      </c>
      <c r="M170" s="30">
        <v>1323</v>
      </c>
      <c r="N170" s="29" t="s">
        <v>3977</v>
      </c>
      <c r="O170" s="30">
        <v>579</v>
      </c>
      <c r="P170" s="31" t="s">
        <v>1326</v>
      </c>
      <c r="Q170" s="30">
        <v>294</v>
      </c>
      <c r="R170" s="31" t="s">
        <v>16</v>
      </c>
      <c r="S170" s="30">
        <v>144</v>
      </c>
      <c r="T170" s="31" t="s">
        <v>7</v>
      </c>
      <c r="U170" s="30">
        <v>28</v>
      </c>
      <c r="V170" s="31" t="s">
        <v>177</v>
      </c>
      <c r="W170" s="30">
        <v>294</v>
      </c>
      <c r="X170" s="31" t="s">
        <v>1295</v>
      </c>
      <c r="Y170" s="30">
        <v>144</v>
      </c>
    </row>
    <row r="171" spans="1:43" ht="28.5" customHeight="1" thickBot="1">
      <c r="A171" s="116" t="s">
        <v>1497</v>
      </c>
      <c r="F171" s="9" t="str">
        <f t="shared" si="4"/>
        <v>https://www.ssbuy.tw/detail_giftcode/dist/giftcodes/game-18櫻花幕府.html</v>
      </c>
      <c r="H171" s="9" t="str">
        <f t="shared" si="5"/>
        <v>https://www.ssbuy.tw/detail_giftcode/dist/gamedetail/game-18櫻花幕府.html</v>
      </c>
      <c r="I171" s="17" t="s">
        <v>1505</v>
      </c>
      <c r="J171" s="27" t="s">
        <v>1506</v>
      </c>
      <c r="K171" s="30">
        <v>2340</v>
      </c>
      <c r="L171" s="29" t="s">
        <v>1507</v>
      </c>
      <c r="M171" s="30">
        <v>1166</v>
      </c>
      <c r="N171" s="29" t="s">
        <v>1508</v>
      </c>
      <c r="O171" s="30">
        <v>775</v>
      </c>
      <c r="P171" s="31" t="s">
        <v>1509</v>
      </c>
      <c r="Q171" s="30">
        <v>532</v>
      </c>
      <c r="R171" s="31" t="s">
        <v>1510</v>
      </c>
      <c r="S171" s="30">
        <v>262</v>
      </c>
      <c r="T171" s="31" t="s">
        <v>1511</v>
      </c>
      <c r="U171" s="30">
        <v>144</v>
      </c>
      <c r="V171" s="31" t="s">
        <v>1512</v>
      </c>
      <c r="W171" s="30">
        <v>28</v>
      </c>
    </row>
    <row r="172" spans="1:43" ht="28.5" customHeight="1" thickBot="1">
      <c r="A172" s="116" t="s">
        <v>1513</v>
      </c>
      <c r="F172" s="9" t="str">
        <f t="shared" si="4"/>
        <v>https://www.ssbuy.tw/detail_giftcode/dist/giftcodes/大武道.html</v>
      </c>
      <c r="H172" s="9" t="str">
        <f t="shared" si="5"/>
        <v>https://www.ssbuy.tw/detail_giftcode/dist/gamedetail/大武道.html</v>
      </c>
      <c r="I172" s="17" t="s">
        <v>1526</v>
      </c>
      <c r="J172" s="27" t="s">
        <v>1514</v>
      </c>
      <c r="K172" s="30">
        <v>2539</v>
      </c>
      <c r="L172" s="29" t="s">
        <v>1515</v>
      </c>
      <c r="M172" s="30">
        <v>1323</v>
      </c>
      <c r="N172" s="29" t="s">
        <v>1516</v>
      </c>
      <c r="O172" s="30">
        <v>532</v>
      </c>
      <c r="P172" s="31" t="s">
        <v>1517</v>
      </c>
      <c r="Q172" s="30">
        <v>389</v>
      </c>
      <c r="R172" s="31" t="s">
        <v>318</v>
      </c>
      <c r="S172" s="30">
        <v>144</v>
      </c>
      <c r="T172" s="31" t="s">
        <v>1518</v>
      </c>
      <c r="U172" s="30">
        <v>28</v>
      </c>
      <c r="V172" s="31" t="s">
        <v>1519</v>
      </c>
      <c r="W172" s="30">
        <v>681</v>
      </c>
      <c r="X172" s="31" t="s">
        <v>107</v>
      </c>
      <c r="Y172" s="30">
        <v>144</v>
      </c>
      <c r="Z172" s="31" t="s">
        <v>176</v>
      </c>
      <c r="AA172" s="30">
        <v>28</v>
      </c>
    </row>
    <row r="173" spans="1:43" ht="28.5" customHeight="1" thickBot="1">
      <c r="A173" s="38" t="s">
        <v>3978</v>
      </c>
      <c r="F173" s="9" t="str">
        <f t="shared" si="4"/>
        <v>https://www.ssbuy.tw/detail_giftcode/dist/giftcodes/奇蹟MU：暴走之翼.html</v>
      </c>
      <c r="H173" s="9" t="str">
        <f t="shared" si="5"/>
        <v>https://www.ssbuy.tw/detail_giftcode/dist/gamedetail/奇蹟MU：暴走之翼.html</v>
      </c>
      <c r="I173" s="10" t="s">
        <v>3979</v>
      </c>
      <c r="J173" s="27" t="s">
        <v>155</v>
      </c>
      <c r="K173" s="30">
        <v>2525</v>
      </c>
      <c r="L173" s="29" t="s">
        <v>1520</v>
      </c>
      <c r="M173" s="30">
        <v>1284</v>
      </c>
      <c r="N173" s="29" t="s">
        <v>1521</v>
      </c>
      <c r="O173" s="30">
        <v>624</v>
      </c>
      <c r="P173" s="31" t="s">
        <v>1522</v>
      </c>
      <c r="Q173" s="30">
        <v>545</v>
      </c>
      <c r="R173" s="31" t="s">
        <v>159</v>
      </c>
      <c r="S173" s="30">
        <v>387</v>
      </c>
      <c r="T173" s="31" t="s">
        <v>160</v>
      </c>
      <c r="U173" s="30">
        <v>260</v>
      </c>
      <c r="V173" s="31" t="s">
        <v>1523</v>
      </c>
      <c r="W173" s="30">
        <v>174</v>
      </c>
      <c r="X173" s="31" t="s">
        <v>1524</v>
      </c>
      <c r="Y173" s="30">
        <v>160</v>
      </c>
      <c r="Z173" s="31" t="s">
        <v>1525</v>
      </c>
      <c r="AA173" s="30">
        <v>139</v>
      </c>
      <c r="AB173" s="31" t="s">
        <v>162</v>
      </c>
      <c r="AC173" s="30">
        <v>28</v>
      </c>
    </row>
    <row r="174" spans="1:43" ht="28.5" customHeight="1" thickBot="1">
      <c r="A174" s="116" t="s">
        <v>1529</v>
      </c>
      <c r="F174" s="9" t="str">
        <f t="shared" si="4"/>
        <v>https://www.ssbuy.tw/detail_giftcode/dist/giftcodes/劍太傳說：新的開始.html</v>
      </c>
      <c r="H174" s="9" t="str">
        <f t="shared" si="5"/>
        <v>https://www.ssbuy.tw/detail_giftcode/dist/gamedetail/劍太傳說：新的開始.html</v>
      </c>
      <c r="I174" s="23" t="s">
        <v>1527</v>
      </c>
      <c r="J174" s="27" t="s">
        <v>235</v>
      </c>
      <c r="K174" s="30">
        <v>2539</v>
      </c>
      <c r="L174" s="29" t="s">
        <v>236</v>
      </c>
      <c r="M174" s="30">
        <v>1323</v>
      </c>
      <c r="N174" s="29" t="s">
        <v>1292</v>
      </c>
      <c r="O174" s="30">
        <v>775</v>
      </c>
      <c r="P174" s="31" t="s">
        <v>237</v>
      </c>
      <c r="Q174" s="30">
        <v>532</v>
      </c>
      <c r="R174" s="31" t="s">
        <v>238</v>
      </c>
      <c r="S174" s="30">
        <v>262</v>
      </c>
      <c r="T174" s="31" t="s">
        <v>239</v>
      </c>
      <c r="U174" s="30">
        <v>144</v>
      </c>
      <c r="V174" s="31" t="s">
        <v>240</v>
      </c>
      <c r="W174" s="30">
        <v>28</v>
      </c>
      <c r="X174" s="31" t="s">
        <v>1531</v>
      </c>
      <c r="Y174" s="30">
        <v>775</v>
      </c>
    </row>
    <row r="175" spans="1:43" ht="28.5" customHeight="1" thickBot="1">
      <c r="A175" s="116" t="s">
        <v>1530</v>
      </c>
      <c r="F175" s="9" t="str">
        <f t="shared" si="4"/>
        <v>https://www.ssbuy.tw/detail_giftcode/dist/giftcodes/三國。群英燎原.html</v>
      </c>
      <c r="H175" s="9" t="str">
        <f t="shared" si="5"/>
        <v>https://www.ssbuy.tw/detail_giftcode/dist/gamedetail/三國。群英燎原.html</v>
      </c>
      <c r="I175" s="23" t="s">
        <v>1528</v>
      </c>
      <c r="J175" s="27" t="s">
        <v>235</v>
      </c>
      <c r="K175" s="30">
        <v>2539</v>
      </c>
      <c r="L175" s="29" t="s">
        <v>236</v>
      </c>
      <c r="M175" s="30">
        <v>1323</v>
      </c>
      <c r="N175" s="29" t="s">
        <v>237</v>
      </c>
      <c r="O175" s="30">
        <v>775</v>
      </c>
      <c r="P175" s="31" t="s">
        <v>238</v>
      </c>
      <c r="Q175" s="30">
        <v>262</v>
      </c>
      <c r="R175" s="31" t="s">
        <v>239</v>
      </c>
      <c r="S175" s="30">
        <v>144</v>
      </c>
      <c r="T175" s="31" t="s">
        <v>240</v>
      </c>
      <c r="U175" s="30">
        <v>28</v>
      </c>
    </row>
    <row r="176" spans="1:43" ht="28.5" customHeight="1" thickBot="1">
      <c r="A176" s="116" t="s">
        <v>1532</v>
      </c>
      <c r="F176" s="9" t="str">
        <f t="shared" si="4"/>
        <v>https://www.ssbuy.tw/detail_giftcode/dist/giftcodes/Final War：寒霜前線.html</v>
      </c>
      <c r="H176" s="9" t="str">
        <f t="shared" si="5"/>
        <v>https://www.ssbuy.tw/detail_giftcode/dist/gamedetail/Final War：寒霜前線.html</v>
      </c>
      <c r="I176" s="10" t="s">
        <v>2609</v>
      </c>
      <c r="J176" s="27" t="s">
        <v>1536</v>
      </c>
      <c r="K176" s="30">
        <v>2340</v>
      </c>
      <c r="L176" s="29" t="s">
        <v>1537</v>
      </c>
      <c r="M176" s="30">
        <v>1323</v>
      </c>
      <c r="N176" s="29" t="s">
        <v>1538</v>
      </c>
      <c r="O176" s="30">
        <v>532</v>
      </c>
      <c r="P176" s="31" t="s">
        <v>1539</v>
      </c>
      <c r="Q176" s="30">
        <v>262</v>
      </c>
      <c r="R176" s="31" t="s">
        <v>1540</v>
      </c>
      <c r="S176" s="30">
        <v>144</v>
      </c>
      <c r="T176" s="31" t="s">
        <v>1541</v>
      </c>
      <c r="U176" s="30">
        <v>28</v>
      </c>
    </row>
    <row r="177" spans="1:35" ht="28.5" customHeight="1" thickBot="1">
      <c r="A177" s="116" t="s">
        <v>1533</v>
      </c>
      <c r="F177" s="9" t="str">
        <f t="shared" si="4"/>
        <v>https://www.ssbuy.tw/detail_giftcode/dist/giftcodes/黑夜獵人.html</v>
      </c>
      <c r="H177" s="9" t="str">
        <f t="shared" si="5"/>
        <v>https://www.ssbuy.tw/detail_giftcode/dist/gamedetail/黑夜獵人.html</v>
      </c>
      <c r="I177" s="10" t="s">
        <v>1534</v>
      </c>
      <c r="J177" s="27" t="s">
        <v>1542</v>
      </c>
      <c r="K177" s="30">
        <v>2340</v>
      </c>
      <c r="L177" s="29" t="s">
        <v>1543</v>
      </c>
      <c r="M177" s="30">
        <v>1166</v>
      </c>
      <c r="N177" s="29" t="s">
        <v>1544</v>
      </c>
      <c r="O177" s="30">
        <v>548</v>
      </c>
      <c r="P177" s="31" t="s">
        <v>1545</v>
      </c>
      <c r="Q177" s="30">
        <v>254</v>
      </c>
      <c r="R177" s="31" t="s">
        <v>1546</v>
      </c>
      <c r="S177" s="30">
        <v>127</v>
      </c>
      <c r="T177" s="31" t="s">
        <v>1547</v>
      </c>
      <c r="U177" s="30">
        <v>25</v>
      </c>
    </row>
    <row r="178" spans="1:35" ht="28.5" customHeight="1" thickBot="1">
      <c r="A178" s="114" t="s">
        <v>1548</v>
      </c>
      <c r="C178" s="36" t="s">
        <v>1552</v>
      </c>
      <c r="D178" s="16" t="s">
        <v>1550</v>
      </c>
      <c r="E178" s="16" t="s">
        <v>1549</v>
      </c>
      <c r="F178" s="9" t="str">
        <f t="shared" si="4"/>
        <v>https://www.ssbuy.tw/detail_giftcode/dist/giftcodes/魔法黯道.html</v>
      </c>
      <c r="G178" s="16" t="s">
        <v>1551</v>
      </c>
      <c r="H178" s="9" t="str">
        <f t="shared" si="5"/>
        <v>https://www.ssbuy.tw/detail_giftcode/dist/gamedetail/魔法黯道.html</v>
      </c>
      <c r="I178" s="37" t="s">
        <v>3998</v>
      </c>
      <c r="J178" s="27" t="s">
        <v>1553</v>
      </c>
      <c r="K178" s="30">
        <v>2340</v>
      </c>
      <c r="L178" s="29" t="s">
        <v>1554</v>
      </c>
      <c r="M178" s="30">
        <v>1166</v>
      </c>
      <c r="N178" s="29" t="s">
        <v>1555</v>
      </c>
      <c r="O178" s="30">
        <v>775</v>
      </c>
      <c r="P178" s="31" t="s">
        <v>1556</v>
      </c>
      <c r="Q178" s="30">
        <v>532</v>
      </c>
      <c r="R178" s="31" t="s">
        <v>1557</v>
      </c>
      <c r="S178" s="30">
        <v>262</v>
      </c>
      <c r="T178" s="31" t="s">
        <v>1558</v>
      </c>
      <c r="U178" s="30">
        <v>144</v>
      </c>
      <c r="V178" s="31" t="s">
        <v>1559</v>
      </c>
      <c r="W178" s="30">
        <v>28</v>
      </c>
      <c r="X178" s="31" t="s">
        <v>1560</v>
      </c>
      <c r="Y178" s="30">
        <v>262</v>
      </c>
      <c r="Z178" s="31" t="s">
        <v>107</v>
      </c>
      <c r="AA178" s="30">
        <v>144</v>
      </c>
      <c r="AB178" s="31" t="s">
        <v>1561</v>
      </c>
      <c r="AC178" s="30">
        <v>775</v>
      </c>
    </row>
    <row r="179" spans="1:35" ht="28.5" customHeight="1" thickBot="1">
      <c r="A179" s="114" t="s">
        <v>1562</v>
      </c>
      <c r="C179" s="36" t="s">
        <v>1563</v>
      </c>
      <c r="D179" s="16" t="s">
        <v>1564</v>
      </c>
      <c r="E179" s="16" t="s">
        <v>1565</v>
      </c>
      <c r="F179" s="9" t="str">
        <f t="shared" si="4"/>
        <v>https://www.ssbuy.tw/detail_giftcode/dist/giftcodes/神代紀事.html</v>
      </c>
      <c r="G179" s="16" t="s">
        <v>1566</v>
      </c>
      <c r="H179" s="9" t="str">
        <f t="shared" si="5"/>
        <v>https://www.ssbuy.tw/detail_giftcode/dist/gamedetail/神代紀事.html</v>
      </c>
      <c r="I179" s="10" t="s">
        <v>3426</v>
      </c>
      <c r="J179" s="27" t="s">
        <v>1567</v>
      </c>
      <c r="K179" s="30">
        <v>2340</v>
      </c>
      <c r="L179" s="29" t="s">
        <v>1568</v>
      </c>
      <c r="M179" s="30">
        <v>1166</v>
      </c>
      <c r="N179" s="29" t="s">
        <v>1569</v>
      </c>
      <c r="O179" s="30">
        <v>697</v>
      </c>
      <c r="P179" s="31" t="s">
        <v>1570</v>
      </c>
      <c r="Q179" s="30">
        <v>357</v>
      </c>
      <c r="R179" s="31" t="s">
        <v>1571</v>
      </c>
      <c r="S179" s="30">
        <v>127</v>
      </c>
      <c r="T179" s="31" t="s">
        <v>1572</v>
      </c>
      <c r="U179" s="30">
        <v>25</v>
      </c>
      <c r="V179" s="31" t="s">
        <v>1573</v>
      </c>
      <c r="W179" s="30">
        <v>230</v>
      </c>
      <c r="X179" s="31" t="s">
        <v>1574</v>
      </c>
      <c r="Y179" s="30">
        <v>697</v>
      </c>
      <c r="Z179" s="31" t="s">
        <v>1575</v>
      </c>
      <c r="AA179" s="30">
        <v>230</v>
      </c>
      <c r="AB179" s="31" t="s">
        <v>1576</v>
      </c>
      <c r="AC179" s="30">
        <v>25</v>
      </c>
      <c r="AD179" s="31" t="s">
        <v>1577</v>
      </c>
      <c r="AE179" s="30">
        <v>357</v>
      </c>
      <c r="AF179" s="31" t="s">
        <v>1578</v>
      </c>
      <c r="AG179" s="30">
        <v>127</v>
      </c>
      <c r="AH179" s="31" t="s">
        <v>1579</v>
      </c>
      <c r="AI179" s="30">
        <v>25</v>
      </c>
    </row>
    <row r="180" spans="1:35" ht="28.5" customHeight="1" thickBot="1">
      <c r="A180" s="114" t="s">
        <v>1580</v>
      </c>
      <c r="C180" s="36" t="s">
        <v>1584</v>
      </c>
      <c r="D180" s="16" t="s">
        <v>1582</v>
      </c>
      <c r="E180" s="16" t="s">
        <v>1583</v>
      </c>
      <c r="F180" s="9" t="str">
        <f t="shared" si="4"/>
        <v>https://www.ssbuy.tw/detail_giftcode/dist/giftcodes/天命國度.html</v>
      </c>
      <c r="G180" s="9" t="s">
        <v>1585</v>
      </c>
      <c r="H180" s="9" t="str">
        <f t="shared" si="5"/>
        <v>https://www.ssbuy.tw/detail_giftcode/dist/gamedetail/天命國度.html</v>
      </c>
      <c r="I180" s="23" t="s">
        <v>1581</v>
      </c>
      <c r="J180" s="27" t="s">
        <v>1586</v>
      </c>
      <c r="K180" s="30">
        <v>2539</v>
      </c>
      <c r="L180" s="29" t="s">
        <v>1587</v>
      </c>
      <c r="M180" s="30">
        <v>1323</v>
      </c>
      <c r="N180" s="29" t="s">
        <v>1588</v>
      </c>
      <c r="O180" s="30">
        <v>262</v>
      </c>
      <c r="P180" s="31" t="s">
        <v>1589</v>
      </c>
      <c r="Q180" s="30">
        <v>144</v>
      </c>
      <c r="R180" s="31" t="s">
        <v>1590</v>
      </c>
      <c r="S180" s="30">
        <v>28</v>
      </c>
      <c r="T180" s="31" t="s">
        <v>1591</v>
      </c>
      <c r="U180" s="30">
        <v>532</v>
      </c>
    </row>
    <row r="181" spans="1:35" ht="28.5" customHeight="1" thickBot="1">
      <c r="A181" s="38" t="s">
        <v>1592</v>
      </c>
      <c r="C181" s="8" t="s">
        <v>1594</v>
      </c>
      <c r="D181" s="16" t="s">
        <v>1593</v>
      </c>
      <c r="E181" s="9" t="s">
        <v>1595</v>
      </c>
      <c r="F181" s="9" t="str">
        <f t="shared" si="4"/>
        <v>https://www.ssbuy.tw/detail_giftcode/dist/giftcodes/戰國武士道.html</v>
      </c>
      <c r="G181" s="9" t="s">
        <v>1596</v>
      </c>
      <c r="H181" s="9" t="str">
        <f t="shared" si="5"/>
        <v>https://www.ssbuy.tw/detail_giftcode/dist/gamedetail/戰國武士道.html</v>
      </c>
      <c r="I181" s="10" t="s">
        <v>1621</v>
      </c>
      <c r="J181" s="27" t="s">
        <v>1603</v>
      </c>
      <c r="K181" s="30">
        <v>2539</v>
      </c>
      <c r="L181" s="29" t="s">
        <v>1602</v>
      </c>
      <c r="M181" s="30">
        <v>1323</v>
      </c>
      <c r="N181" s="29" t="s">
        <v>1604</v>
      </c>
      <c r="O181" s="30">
        <v>783</v>
      </c>
      <c r="P181" s="31" t="s">
        <v>1605</v>
      </c>
      <c r="Q181" s="30">
        <v>397</v>
      </c>
      <c r="R181" s="31" t="s">
        <v>1606</v>
      </c>
      <c r="S181" s="30">
        <v>144</v>
      </c>
      <c r="T181" s="31" t="s">
        <v>1607</v>
      </c>
      <c r="U181" s="30">
        <v>25</v>
      </c>
      <c r="V181" s="31" t="s">
        <v>1608</v>
      </c>
      <c r="W181" s="30">
        <v>1252</v>
      </c>
      <c r="X181" s="31" t="s">
        <v>1609</v>
      </c>
      <c r="Y181" s="30">
        <v>135</v>
      </c>
      <c r="Z181" s="31" t="s">
        <v>1610</v>
      </c>
      <c r="AA181" s="30">
        <v>85</v>
      </c>
    </row>
    <row r="182" spans="1:35" ht="28.5" customHeight="1" thickBot="1">
      <c r="A182" s="38" t="s">
        <v>1597</v>
      </c>
      <c r="C182" s="36" t="s">
        <v>1599</v>
      </c>
      <c r="D182" s="16" t="s">
        <v>1600</v>
      </c>
      <c r="E182" s="16" t="s">
        <v>1601</v>
      </c>
      <c r="F182" s="9" t="str">
        <f t="shared" si="4"/>
        <v>https://www.ssbuy.tw/detail_giftcode/dist/giftcodes/超蝦大作戰.html</v>
      </c>
      <c r="G182" s="16" t="s">
        <v>1598</v>
      </c>
      <c r="H182" s="9" t="str">
        <f t="shared" si="5"/>
        <v>https://www.ssbuy.tw/detail_giftcode/dist/gamedetail/超蝦大作戰.html</v>
      </c>
      <c r="I182" s="37" t="s">
        <v>3999</v>
      </c>
      <c r="J182" s="27" t="s">
        <v>1611</v>
      </c>
      <c r="K182" s="30">
        <v>2539</v>
      </c>
      <c r="L182" s="29" t="s">
        <v>1612</v>
      </c>
      <c r="M182" s="30">
        <v>1793</v>
      </c>
      <c r="N182" s="29" t="s">
        <v>1613</v>
      </c>
      <c r="O182" s="30">
        <v>1323</v>
      </c>
      <c r="P182" s="31" t="s">
        <v>1614</v>
      </c>
      <c r="Q182" s="30">
        <v>775</v>
      </c>
      <c r="R182" s="31" t="s">
        <v>1615</v>
      </c>
      <c r="S182" s="30">
        <v>532</v>
      </c>
      <c r="T182" s="31" t="s">
        <v>1616</v>
      </c>
      <c r="U182" s="30">
        <v>389</v>
      </c>
      <c r="V182" s="31" t="s">
        <v>1617</v>
      </c>
      <c r="W182" s="30">
        <v>262</v>
      </c>
      <c r="X182" s="31" t="s">
        <v>1618</v>
      </c>
      <c r="Y182" s="30">
        <v>238</v>
      </c>
      <c r="Z182" s="31" t="s">
        <v>1619</v>
      </c>
      <c r="AA182" s="30">
        <v>144</v>
      </c>
      <c r="AB182" s="31" t="s">
        <v>1620</v>
      </c>
      <c r="AC182" s="30">
        <v>110</v>
      </c>
    </row>
    <row r="183" spans="1:35" ht="28.5" customHeight="1" thickBot="1">
      <c r="A183" s="38" t="s">
        <v>1622</v>
      </c>
      <c r="C183" s="36" t="s">
        <v>1623</v>
      </c>
      <c r="D183" s="9" t="s">
        <v>1625</v>
      </c>
      <c r="E183" s="16" t="s">
        <v>1624</v>
      </c>
      <c r="F183" s="9" t="str">
        <f t="shared" si="4"/>
        <v>https://www.ssbuy.tw/detail_giftcode/dist/giftcodes/真妖獸!廢柴要修仙.html</v>
      </c>
      <c r="G183" s="16" t="s">
        <v>1626</v>
      </c>
      <c r="H183" s="9" t="str">
        <f t="shared" si="5"/>
        <v>https://www.ssbuy.tw/detail_giftcode/dist/gamedetail/真妖獸!廢柴要修仙.html</v>
      </c>
      <c r="I183" s="10" t="s">
        <v>3445</v>
      </c>
      <c r="J183" s="27" t="s">
        <v>1627</v>
      </c>
      <c r="K183" s="30">
        <v>2539</v>
      </c>
      <c r="L183" s="29" t="s">
        <v>313</v>
      </c>
      <c r="M183" s="30">
        <v>1323</v>
      </c>
      <c r="N183" s="29" t="s">
        <v>1628</v>
      </c>
      <c r="O183" s="30">
        <v>775</v>
      </c>
      <c r="P183" s="31" t="s">
        <v>1629</v>
      </c>
      <c r="Q183" s="30">
        <v>532</v>
      </c>
      <c r="R183" s="31" t="s">
        <v>1630</v>
      </c>
      <c r="S183" s="30">
        <v>262</v>
      </c>
      <c r="T183" s="31" t="s">
        <v>1631</v>
      </c>
      <c r="U183" s="30">
        <v>144</v>
      </c>
      <c r="V183" s="31" t="s">
        <v>1632</v>
      </c>
      <c r="W183" s="30">
        <v>59</v>
      </c>
      <c r="X183" s="31" t="s">
        <v>1518</v>
      </c>
      <c r="Y183" s="30">
        <v>28</v>
      </c>
    </row>
    <row r="184" spans="1:35" ht="28.5" customHeight="1" thickBot="1">
      <c r="A184" s="38" t="s">
        <v>1637</v>
      </c>
      <c r="C184" s="36" t="s">
        <v>1635</v>
      </c>
      <c r="D184" s="16" t="s">
        <v>1634</v>
      </c>
      <c r="E184" s="16" t="s">
        <v>1633</v>
      </c>
      <c r="F184" s="9" t="str">
        <f t="shared" si="4"/>
        <v>https://www.ssbuy.tw/detail_giftcode/dist/giftcodes/三國志Thrones.html</v>
      </c>
      <c r="G184" s="16" t="s">
        <v>1636</v>
      </c>
      <c r="H184" s="9" t="str">
        <f t="shared" si="5"/>
        <v>https://www.ssbuy.tw/detail_giftcode/dist/gamedetail/三國志Thrones.html</v>
      </c>
      <c r="I184" s="37" t="s">
        <v>4000</v>
      </c>
      <c r="J184" s="27" t="s">
        <v>235</v>
      </c>
      <c r="K184" s="30">
        <v>3010</v>
      </c>
      <c r="L184" s="29" t="s">
        <v>236</v>
      </c>
      <c r="M184" s="30">
        <v>1550</v>
      </c>
      <c r="N184" s="29" t="s">
        <v>1292</v>
      </c>
      <c r="O184" s="30">
        <v>932</v>
      </c>
      <c r="P184" s="31" t="s">
        <v>1638</v>
      </c>
      <c r="Q184" s="30">
        <v>475</v>
      </c>
      <c r="R184" s="31" t="s">
        <v>239</v>
      </c>
      <c r="S184" s="30">
        <v>156</v>
      </c>
      <c r="T184" s="31" t="s">
        <v>240</v>
      </c>
      <c r="U184" s="30">
        <v>28</v>
      </c>
    </row>
    <row r="185" spans="1:35" ht="28.5" customHeight="1" thickBot="1">
      <c r="A185" s="38" t="s">
        <v>1645</v>
      </c>
      <c r="C185" s="36" t="s">
        <v>1641</v>
      </c>
      <c r="D185" s="16" t="s">
        <v>1640</v>
      </c>
      <c r="E185" s="16" t="s">
        <v>1642</v>
      </c>
      <c r="F185" s="9" t="str">
        <f t="shared" si="4"/>
        <v>https://www.ssbuy.tw/detail_giftcode/dist/giftcodes/英勇之地.html</v>
      </c>
      <c r="G185" s="16" t="s">
        <v>1639</v>
      </c>
      <c r="H185" s="9" t="str">
        <f t="shared" si="5"/>
        <v>https://www.ssbuy.tw/detail_giftcode/dist/gamedetail/英勇之地.html</v>
      </c>
      <c r="I185" s="10" t="s">
        <v>3980</v>
      </c>
      <c r="J185" s="27" t="s">
        <v>12</v>
      </c>
      <c r="K185" s="30">
        <v>2415</v>
      </c>
      <c r="L185" s="29" t="s">
        <v>13</v>
      </c>
      <c r="M185" s="30">
        <v>1225</v>
      </c>
      <c r="N185" s="29" t="s">
        <v>24</v>
      </c>
      <c r="O185" s="30">
        <v>735</v>
      </c>
      <c r="P185" s="31" t="s">
        <v>15</v>
      </c>
      <c r="Q185" s="30">
        <v>372</v>
      </c>
      <c r="R185" s="31" t="s">
        <v>16</v>
      </c>
      <c r="S185" s="30">
        <v>132</v>
      </c>
      <c r="T185" s="31" t="s">
        <v>7</v>
      </c>
      <c r="U185" s="30">
        <v>26</v>
      </c>
      <c r="V185" s="31" t="s">
        <v>107</v>
      </c>
      <c r="W185" s="30">
        <v>132</v>
      </c>
      <c r="X185" s="31" t="s">
        <v>1436</v>
      </c>
      <c r="Y185" s="30">
        <v>372</v>
      </c>
      <c r="Z185" s="31" t="s">
        <v>1643</v>
      </c>
      <c r="AA185" s="30">
        <v>1127</v>
      </c>
      <c r="AB185" s="31" t="s">
        <v>1644</v>
      </c>
      <c r="AC185" s="30">
        <v>472</v>
      </c>
    </row>
    <row r="186" spans="1:35" ht="28.5" customHeight="1" thickBot="1">
      <c r="A186" s="116" t="s">
        <v>1646</v>
      </c>
      <c r="C186" s="36" t="s">
        <v>1650</v>
      </c>
      <c r="D186" s="16" t="s">
        <v>1648</v>
      </c>
      <c r="E186" s="16" t="s">
        <v>1649</v>
      </c>
      <c r="F186" s="9" t="str">
        <f t="shared" si="4"/>
        <v>https://www.ssbuy.tw/detail_giftcode/dist/giftcodes/未鑑定勇者團.html</v>
      </c>
      <c r="G186" s="16" t="s">
        <v>1636</v>
      </c>
      <c r="H186" s="9" t="str">
        <f t="shared" si="5"/>
        <v>https://www.ssbuy.tw/detail_giftcode/dist/gamedetail/未鑑定勇者團.html</v>
      </c>
      <c r="I186" s="37" t="s">
        <v>4001</v>
      </c>
      <c r="J186" s="27" t="s">
        <v>1655</v>
      </c>
      <c r="K186" s="30">
        <v>2355</v>
      </c>
      <c r="L186" s="29" t="s">
        <v>1656</v>
      </c>
      <c r="M186" s="30">
        <v>937</v>
      </c>
      <c r="N186" s="29" t="s">
        <v>1657</v>
      </c>
      <c r="O186" s="30">
        <v>232</v>
      </c>
      <c r="P186" s="31" t="s">
        <v>1658</v>
      </c>
      <c r="Q186" s="30">
        <v>176</v>
      </c>
      <c r="R186" s="31" t="s">
        <v>1659</v>
      </c>
      <c r="S186" s="30">
        <v>102</v>
      </c>
    </row>
    <row r="187" spans="1:35" ht="28.5" customHeight="1" thickBot="1">
      <c r="A187" s="116" t="s">
        <v>1647</v>
      </c>
      <c r="C187" s="8" t="s">
        <v>1653</v>
      </c>
      <c r="D187" s="9" t="s">
        <v>1652</v>
      </c>
      <c r="E187" s="9" t="s">
        <v>1654</v>
      </c>
      <c r="F187" s="9" t="str">
        <f t="shared" si="4"/>
        <v>https://www.ssbuy.tw/detail_giftcode/dist/giftcodes/戰靈異聞社.html</v>
      </c>
      <c r="G187" s="16" t="s">
        <v>1651</v>
      </c>
      <c r="H187" s="9" t="str">
        <f t="shared" si="5"/>
        <v>https://www.ssbuy.tw/detail_giftcode/dist/gamedetail/戰靈異聞社.html</v>
      </c>
      <c r="I187" s="37" t="s">
        <v>4002</v>
      </c>
      <c r="J187" s="27" t="s">
        <v>1660</v>
      </c>
      <c r="K187" s="30">
        <v>2555</v>
      </c>
      <c r="L187" s="29" t="s">
        <v>1661</v>
      </c>
      <c r="M187" s="30">
        <v>1331</v>
      </c>
      <c r="N187" s="29" t="s">
        <v>1662</v>
      </c>
      <c r="O187" s="30">
        <v>788</v>
      </c>
      <c r="P187" s="31" t="s">
        <v>1663</v>
      </c>
      <c r="Q187" s="30">
        <v>535</v>
      </c>
      <c r="R187" s="31" t="s">
        <v>1664</v>
      </c>
      <c r="S187" s="30">
        <v>391</v>
      </c>
      <c r="T187" s="31" t="s">
        <v>1665</v>
      </c>
      <c r="U187" s="30">
        <v>343</v>
      </c>
      <c r="V187" s="31" t="s">
        <v>1666</v>
      </c>
      <c r="W187" s="30">
        <v>264</v>
      </c>
      <c r="X187" s="31" t="s">
        <v>1667</v>
      </c>
      <c r="Y187" s="30">
        <v>145</v>
      </c>
      <c r="Z187" s="31" t="s">
        <v>1668</v>
      </c>
      <c r="AA187" s="30">
        <v>28</v>
      </c>
    </row>
    <row r="188" spans="1:35" ht="28.5" customHeight="1" thickBot="1">
      <c r="A188" s="114" t="s">
        <v>1669</v>
      </c>
      <c r="C188" s="36" t="s">
        <v>1671</v>
      </c>
      <c r="D188" s="16" t="s">
        <v>1672</v>
      </c>
      <c r="E188" s="16" t="s">
        <v>1670</v>
      </c>
      <c r="F188" s="9" t="str">
        <f t="shared" si="4"/>
        <v>https://www.ssbuy.tw/detail_giftcode/dist/giftcodes/見習骷髏王.html</v>
      </c>
      <c r="G188" s="16" t="s">
        <v>1673</v>
      </c>
      <c r="H188" s="9" t="str">
        <f t="shared" si="5"/>
        <v>https://www.ssbuy.tw/detail_giftcode/dist/gamedetail/見習骷髏王.html</v>
      </c>
      <c r="I188" s="37" t="s">
        <v>4003</v>
      </c>
      <c r="J188" s="27" t="s">
        <v>1674</v>
      </c>
      <c r="K188" s="30">
        <v>1961</v>
      </c>
      <c r="L188" s="29" t="s">
        <v>1675</v>
      </c>
      <c r="M188" s="30">
        <v>1804</v>
      </c>
      <c r="N188" s="29" t="s">
        <v>1676</v>
      </c>
      <c r="O188" s="30">
        <v>1331</v>
      </c>
      <c r="P188" s="31" t="s">
        <v>1677</v>
      </c>
      <c r="Q188" s="30">
        <v>1174</v>
      </c>
      <c r="R188" s="31" t="s">
        <v>1678</v>
      </c>
      <c r="S188" s="30">
        <v>937</v>
      </c>
      <c r="T188" s="31" t="s">
        <v>151</v>
      </c>
      <c r="U188" s="30">
        <v>780</v>
      </c>
      <c r="V188" s="31" t="s">
        <v>1679</v>
      </c>
      <c r="W188" s="30">
        <v>535</v>
      </c>
      <c r="X188" s="31" t="s">
        <v>1680</v>
      </c>
      <c r="Y188" s="30">
        <v>264</v>
      </c>
      <c r="Z188" s="31" t="s">
        <v>1681</v>
      </c>
      <c r="AA188" s="30">
        <v>184</v>
      </c>
      <c r="AB188" s="31" t="s">
        <v>1682</v>
      </c>
      <c r="AC188" s="30">
        <v>145</v>
      </c>
      <c r="AD188" s="31" t="s">
        <v>1683</v>
      </c>
      <c r="AE188" s="30">
        <v>28</v>
      </c>
    </row>
    <row r="189" spans="1:35" ht="28.5" customHeight="1" thickBot="1">
      <c r="A189" s="114" t="s">
        <v>1685</v>
      </c>
      <c r="C189" s="8" t="s">
        <v>1684</v>
      </c>
      <c r="D189" s="9" t="s">
        <v>1684</v>
      </c>
      <c r="E189" s="16" t="s">
        <v>3981</v>
      </c>
      <c r="F189" s="9" t="str">
        <f t="shared" si="4"/>
        <v>https://www.ssbuy.tw/detail_giftcode/dist/giftcodes/全明星無雙.html</v>
      </c>
      <c r="G189" s="16" t="s">
        <v>1636</v>
      </c>
      <c r="H189" s="9" t="str">
        <f t="shared" si="5"/>
        <v>https://www.ssbuy.tw/detail_giftcode/dist/gamedetail/全明星無雙.html</v>
      </c>
      <c r="I189" s="10" t="s">
        <v>3487</v>
      </c>
      <c r="J189" s="27" t="s">
        <v>61</v>
      </c>
      <c r="K189" s="30">
        <v>2555</v>
      </c>
      <c r="L189" s="29" t="s">
        <v>62</v>
      </c>
      <c r="M189" s="30">
        <v>1331</v>
      </c>
      <c r="N189" s="29" t="s">
        <v>63</v>
      </c>
      <c r="O189" s="30">
        <v>780</v>
      </c>
      <c r="P189" s="31" t="s">
        <v>64</v>
      </c>
      <c r="Q189" s="30">
        <v>535</v>
      </c>
      <c r="R189" s="31" t="s">
        <v>1276</v>
      </c>
      <c r="S189" s="30">
        <v>391</v>
      </c>
      <c r="T189" s="31" t="s">
        <v>65</v>
      </c>
      <c r="U189" s="30">
        <v>264</v>
      </c>
      <c r="V189" s="31" t="s">
        <v>16</v>
      </c>
      <c r="W189" s="30">
        <v>145</v>
      </c>
      <c r="X189" s="31" t="s">
        <v>7</v>
      </c>
      <c r="Y189" s="30">
        <v>28</v>
      </c>
    </row>
    <row r="190" spans="1:35" ht="28.5" customHeight="1" thickBot="1">
      <c r="A190" s="114" t="s">
        <v>3492</v>
      </c>
      <c r="C190" s="36" t="s">
        <v>3494</v>
      </c>
      <c r="D190" s="16" t="s">
        <v>3493</v>
      </c>
      <c r="E190" s="16" t="s">
        <v>3496</v>
      </c>
      <c r="F190" s="9" t="str">
        <f t="shared" si="4"/>
        <v>https://www.ssbuy.tw/detail_giftcode/dist/giftcodes/伊瑟.html</v>
      </c>
      <c r="G190" s="16" t="s">
        <v>3495</v>
      </c>
      <c r="H190" s="9" t="str">
        <f t="shared" si="5"/>
        <v>https://www.ssbuy.tw/detail_giftcode/dist/gamedetail/伊瑟.html</v>
      </c>
      <c r="I190" s="10" t="s">
        <v>3982</v>
      </c>
      <c r="J190" s="11" t="s">
        <v>3497</v>
      </c>
      <c r="K190" s="9" t="s">
        <v>3497</v>
      </c>
      <c r="L190" s="9" t="s">
        <v>3497</v>
      </c>
      <c r="M190" s="9" t="s">
        <v>3497</v>
      </c>
      <c r="N190" s="9" t="s">
        <v>3497</v>
      </c>
      <c r="O190" s="9" t="s">
        <v>3497</v>
      </c>
    </row>
    <row r="191" spans="1:35" ht="28.5" customHeight="1" thickBot="1">
      <c r="A191" s="114" t="s">
        <v>3501</v>
      </c>
      <c r="C191" s="36" t="s">
        <v>3508</v>
      </c>
      <c r="D191" s="16" t="s">
        <v>3507</v>
      </c>
      <c r="E191" s="9" t="s">
        <v>3506</v>
      </c>
      <c r="F191" s="9" t="str">
        <f t="shared" si="4"/>
        <v>https://www.ssbuy.tw/detail_giftcode/dist/giftcodes/手刀搶英雄.html</v>
      </c>
      <c r="G191" s="9" t="s">
        <v>3505</v>
      </c>
      <c r="H191" s="9" t="str">
        <f t="shared" si="5"/>
        <v>https://www.ssbuy.tw/detail_giftcode/dist/gamedetail/手刀搶英雄.html</v>
      </c>
      <c r="I191" s="10" t="s">
        <v>3983</v>
      </c>
      <c r="J191" s="27" t="s">
        <v>3509</v>
      </c>
      <c r="K191" s="30">
        <v>1961</v>
      </c>
      <c r="L191" s="29" t="s">
        <v>3510</v>
      </c>
      <c r="M191" s="30">
        <v>1567</v>
      </c>
      <c r="N191" s="29" t="s">
        <v>3511</v>
      </c>
      <c r="O191" s="30">
        <v>1016</v>
      </c>
      <c r="P191" s="31" t="s">
        <v>3512</v>
      </c>
      <c r="Q191" s="30">
        <v>622</v>
      </c>
      <c r="R191" s="31" t="s">
        <v>3513</v>
      </c>
      <c r="S191" s="30">
        <v>232</v>
      </c>
      <c r="T191" s="31" t="s">
        <v>3514</v>
      </c>
      <c r="U191" s="30">
        <v>102</v>
      </c>
      <c r="V191" s="31" t="s">
        <v>3515</v>
      </c>
      <c r="W191" s="30">
        <v>51</v>
      </c>
      <c r="X191" s="31" t="s">
        <v>3516</v>
      </c>
      <c r="Y191" s="30">
        <v>232</v>
      </c>
    </row>
    <row r="192" spans="1:35" ht="28.5" customHeight="1" thickBot="1">
      <c r="A192" s="116" t="s">
        <v>3537</v>
      </c>
      <c r="C192" s="36" t="s">
        <v>3525</v>
      </c>
      <c r="D192" s="16" t="s">
        <v>3524</v>
      </c>
      <c r="E192" s="16" t="s">
        <v>3526</v>
      </c>
      <c r="F192" s="9" t="str">
        <f t="shared" si="4"/>
        <v>https://www.ssbuy.tw/detail_giftcode/dist/giftcodes/荒野亂鬥.html</v>
      </c>
      <c r="G192" s="16" t="s">
        <v>3527</v>
      </c>
      <c r="H192" s="9" t="str">
        <f t="shared" si="5"/>
        <v>https://www.ssbuy.tw/detail_giftcode/dist/gamedetail/荒野亂鬥.html</v>
      </c>
      <c r="I192" s="10" t="s">
        <v>3984</v>
      </c>
      <c r="J192" s="27" t="s">
        <v>3551</v>
      </c>
      <c r="K192" s="30">
        <v>2415</v>
      </c>
      <c r="L192" s="29" t="s">
        <v>3552</v>
      </c>
      <c r="M192" s="30">
        <v>1225</v>
      </c>
      <c r="N192" s="29" t="s">
        <v>3553</v>
      </c>
      <c r="O192" s="30">
        <v>497</v>
      </c>
      <c r="P192" s="31" t="s">
        <v>3554</v>
      </c>
      <c r="Q192" s="30">
        <v>248</v>
      </c>
      <c r="R192" s="31" t="s">
        <v>3555</v>
      </c>
      <c r="S192" s="30">
        <v>132</v>
      </c>
      <c r="T192" s="31" t="s">
        <v>32</v>
      </c>
      <c r="U192" s="30">
        <v>53</v>
      </c>
    </row>
    <row r="193" spans="1:33" ht="28.5" customHeight="1" thickBot="1">
      <c r="A193" s="116" t="s">
        <v>3536</v>
      </c>
      <c r="C193" s="36" t="s">
        <v>3531</v>
      </c>
      <c r="D193" s="16" t="s">
        <v>3530</v>
      </c>
      <c r="E193" s="16" t="s">
        <v>3529</v>
      </c>
      <c r="F193" s="9" t="str">
        <f t="shared" si="4"/>
        <v>https://www.ssbuy.tw/detail_giftcode/dist/giftcodes/遺忘之劍.html</v>
      </c>
      <c r="G193" s="16" t="s">
        <v>3532</v>
      </c>
      <c r="H193" s="9" t="str">
        <f t="shared" si="5"/>
        <v>https://www.ssbuy.tw/detail_giftcode/dist/gamedetail/遺忘之劍.html</v>
      </c>
      <c r="I193" s="10" t="s">
        <v>3985</v>
      </c>
      <c r="J193" s="27" t="s">
        <v>3556</v>
      </c>
      <c r="K193" s="30">
        <v>1890</v>
      </c>
      <c r="L193" s="29" t="s">
        <v>3557</v>
      </c>
      <c r="M193" s="30">
        <v>945</v>
      </c>
      <c r="N193" s="29" t="s">
        <v>3558</v>
      </c>
      <c r="O193" s="30">
        <v>575</v>
      </c>
      <c r="P193" s="31" t="s">
        <v>3559</v>
      </c>
      <c r="Q193" s="30">
        <v>192</v>
      </c>
      <c r="R193" s="31" t="s">
        <v>3560</v>
      </c>
      <c r="S193" s="30">
        <v>102</v>
      </c>
      <c r="T193" s="31" t="s">
        <v>3561</v>
      </c>
      <c r="U193" s="30">
        <v>64</v>
      </c>
      <c r="V193" s="31" t="s">
        <v>3562</v>
      </c>
      <c r="W193" s="30">
        <v>192</v>
      </c>
    </row>
    <row r="194" spans="1:33" ht="28.5" customHeight="1" thickBot="1">
      <c r="A194" s="116" t="s">
        <v>3523</v>
      </c>
      <c r="C194" s="36" t="s">
        <v>3533</v>
      </c>
      <c r="D194" s="16" t="s">
        <v>3534</v>
      </c>
      <c r="E194" s="16" t="s">
        <v>3535</v>
      </c>
      <c r="F194" s="9" t="str">
        <f t="shared" si="4"/>
        <v>https://www.ssbuy.tw/detail_giftcode/dist/giftcodes/破壞突擊隊.html</v>
      </c>
      <c r="G194" s="16" t="s">
        <v>3528</v>
      </c>
      <c r="H194" s="9" t="str">
        <f t="shared" si="5"/>
        <v>https://www.ssbuy.tw/detail_giftcode/dist/gamedetail/破壞突擊隊.html</v>
      </c>
      <c r="I194" s="37" t="s">
        <v>4004</v>
      </c>
      <c r="J194" s="27" t="s">
        <v>3568</v>
      </c>
      <c r="K194" s="30">
        <v>622</v>
      </c>
      <c r="L194" s="29" t="s">
        <v>3569</v>
      </c>
      <c r="M194" s="30">
        <v>312</v>
      </c>
      <c r="N194" s="29" t="s">
        <v>3570</v>
      </c>
      <c r="O194" s="30">
        <v>176</v>
      </c>
      <c r="P194" s="31" t="s">
        <v>3571</v>
      </c>
      <c r="Q194" s="30">
        <v>102</v>
      </c>
      <c r="R194" s="31" t="s">
        <v>3572</v>
      </c>
      <c r="S194" s="30">
        <v>51</v>
      </c>
      <c r="T194" s="31" t="s">
        <v>3573</v>
      </c>
      <c r="U194" s="30">
        <v>26</v>
      </c>
      <c r="V194" s="31" t="s">
        <v>3574</v>
      </c>
      <c r="W194" s="30">
        <v>391</v>
      </c>
      <c r="X194" s="31" t="s">
        <v>3575</v>
      </c>
      <c r="Y194" s="30">
        <v>391</v>
      </c>
      <c r="Z194" s="31" t="s">
        <v>3576</v>
      </c>
      <c r="AA194" s="30">
        <v>622</v>
      </c>
    </row>
    <row r="195" spans="1:33" ht="28.5" customHeight="1" thickBot="1">
      <c r="A195" s="114" t="s">
        <v>3563</v>
      </c>
      <c r="C195" s="36" t="s">
        <v>3567</v>
      </c>
      <c r="D195" s="16" t="s">
        <v>3566</v>
      </c>
      <c r="E195" s="16" t="s">
        <v>3564</v>
      </c>
      <c r="F195" s="9" t="str">
        <f t="shared" ref="F195:F258" si="6">IF(A195="","", "https://www.ssbuy.tw/detail_giftcode/dist/giftcodes/" &amp; IF(ISNUMBER(LEFT(A195,1)*1), "game-", "") &amp; A195 &amp; ".html")</f>
        <v>https://www.ssbuy.tw/detail_giftcode/dist/giftcodes/月兔茶屋：悠閒之旅.html</v>
      </c>
      <c r="G195" s="16" t="s">
        <v>3565</v>
      </c>
      <c r="H195" s="9" t="str">
        <f t="shared" ref="H195:H258" si="7">IF(A195="","", "https://www.ssbuy.tw/detail_giftcode/dist/gamedetail/" &amp; IF(ISNUMBER(LEFT(A195,1)*1), "game-", "") &amp; A195 &amp; ".html")</f>
        <v>https://www.ssbuy.tw/detail_giftcode/dist/gamedetail/月兔茶屋：悠閒之旅.html</v>
      </c>
      <c r="I195" s="10" t="s">
        <v>3986</v>
      </c>
      <c r="J195" s="27" t="s">
        <v>3568</v>
      </c>
      <c r="K195" s="30">
        <v>622</v>
      </c>
      <c r="L195" s="29" t="s">
        <v>3569</v>
      </c>
      <c r="M195" s="30">
        <v>312</v>
      </c>
      <c r="N195" s="29" t="s">
        <v>3570</v>
      </c>
      <c r="O195" s="30">
        <v>176</v>
      </c>
      <c r="P195" s="31" t="s">
        <v>3571</v>
      </c>
      <c r="Q195" s="30">
        <v>102</v>
      </c>
      <c r="R195" s="31" t="s">
        <v>3572</v>
      </c>
      <c r="S195" s="30">
        <v>51</v>
      </c>
      <c r="T195" s="31" t="s">
        <v>3573</v>
      </c>
      <c r="U195" s="30">
        <v>26</v>
      </c>
      <c r="V195" s="31" t="s">
        <v>3574</v>
      </c>
      <c r="W195" s="30">
        <v>391</v>
      </c>
      <c r="X195" s="31" t="s">
        <v>3575</v>
      </c>
      <c r="Y195" s="30">
        <v>391</v>
      </c>
      <c r="Z195" s="31" t="s">
        <v>3576</v>
      </c>
      <c r="AA195" s="30">
        <v>622</v>
      </c>
    </row>
    <row r="196" spans="1:33" ht="28.5" customHeight="1" thickBot="1">
      <c r="A196" s="38" t="s">
        <v>3577</v>
      </c>
      <c r="C196" s="8" t="s">
        <v>3579</v>
      </c>
      <c r="D196" s="16" t="s">
        <v>3578</v>
      </c>
      <c r="E196" s="9" t="s">
        <v>3581</v>
      </c>
      <c r="F196" s="9" t="str">
        <f t="shared" si="6"/>
        <v>https://www.ssbuy.tw/detail_giftcode/dist/giftcodes/吞食天地 虛擬世界.html</v>
      </c>
      <c r="G196" s="9" t="s">
        <v>3580</v>
      </c>
      <c r="H196" s="9" t="str">
        <f t="shared" si="7"/>
        <v>https://www.ssbuy.tw/detail_giftcode/dist/gamedetail/吞食天地 虛擬世界.html</v>
      </c>
      <c r="I196" s="10" t="s">
        <v>3987</v>
      </c>
      <c r="J196" s="27" t="s">
        <v>3587</v>
      </c>
      <c r="K196" s="30">
        <v>2355</v>
      </c>
      <c r="L196" s="29" t="s">
        <v>3588</v>
      </c>
      <c r="M196" s="30">
        <v>1174</v>
      </c>
      <c r="N196" s="29" t="s">
        <v>3589</v>
      </c>
      <c r="O196" s="30">
        <v>359</v>
      </c>
      <c r="P196" s="31" t="s">
        <v>239</v>
      </c>
      <c r="Q196" s="30">
        <v>240</v>
      </c>
      <c r="R196" s="31" t="s">
        <v>3590</v>
      </c>
      <c r="S196" s="30">
        <v>153</v>
      </c>
      <c r="T196" s="31" t="s">
        <v>3591</v>
      </c>
      <c r="U196" s="30">
        <v>77</v>
      </c>
      <c r="V196" s="31" t="s">
        <v>3592</v>
      </c>
      <c r="W196" s="30">
        <v>26</v>
      </c>
      <c r="X196" s="31" t="s">
        <v>3593</v>
      </c>
      <c r="Y196" s="30">
        <v>359</v>
      </c>
      <c r="Z196" s="31" t="s">
        <v>3594</v>
      </c>
      <c r="AA196" s="30">
        <v>240</v>
      </c>
      <c r="AB196" s="31" t="s">
        <v>3595</v>
      </c>
      <c r="AC196" s="30">
        <v>240</v>
      </c>
      <c r="AD196" s="31" t="s">
        <v>3596</v>
      </c>
      <c r="AE196" s="30">
        <v>128</v>
      </c>
      <c r="AF196" s="31" t="s">
        <v>3597</v>
      </c>
      <c r="AG196" s="30">
        <v>128</v>
      </c>
    </row>
    <row r="197" spans="1:33" ht="28.5" customHeight="1" thickBot="1">
      <c r="A197" s="114" t="s">
        <v>3618</v>
      </c>
      <c r="C197" s="8" t="s">
        <v>3598</v>
      </c>
      <c r="D197" s="8" t="s">
        <v>3598</v>
      </c>
      <c r="E197" s="9" t="s">
        <v>3599</v>
      </c>
      <c r="F197" s="9" t="str">
        <f t="shared" si="6"/>
        <v>https://www.ssbuy.tw/detail_giftcode/dist/giftcodes/封神：蒼嵐契約.html</v>
      </c>
      <c r="G197" s="16" t="s">
        <v>3617</v>
      </c>
      <c r="H197" s="9" t="str">
        <f t="shared" si="7"/>
        <v>https://www.ssbuy.tw/detail_giftcode/dist/gamedetail/封神：蒼嵐契約.html</v>
      </c>
      <c r="I197" s="10" t="s">
        <v>3988</v>
      </c>
      <c r="J197" s="27" t="s">
        <v>235</v>
      </c>
      <c r="K197" s="30">
        <v>2355</v>
      </c>
      <c r="L197" s="29" t="s">
        <v>236</v>
      </c>
      <c r="M197" s="30">
        <v>1174</v>
      </c>
      <c r="N197" s="29" t="s">
        <v>1292</v>
      </c>
      <c r="O197" s="30">
        <v>780</v>
      </c>
      <c r="P197" s="31" t="s">
        <v>237</v>
      </c>
      <c r="Q197" s="30">
        <v>535</v>
      </c>
      <c r="R197" s="31" t="s">
        <v>1638</v>
      </c>
      <c r="S197" s="30">
        <v>391</v>
      </c>
      <c r="T197" s="31" t="s">
        <v>238</v>
      </c>
      <c r="U197" s="30">
        <v>264</v>
      </c>
      <c r="V197" s="31" t="s">
        <v>239</v>
      </c>
      <c r="W197" s="30">
        <v>145</v>
      </c>
      <c r="X197" s="31" t="s">
        <v>240</v>
      </c>
      <c r="Y197" s="30">
        <v>28</v>
      </c>
      <c r="Z197" s="31" t="s">
        <v>1313</v>
      </c>
      <c r="AA197" s="30">
        <v>780</v>
      </c>
      <c r="AB197" s="31" t="s">
        <v>3615</v>
      </c>
      <c r="AC197" s="30">
        <v>264</v>
      </c>
      <c r="AD197" s="31" t="s">
        <v>3616</v>
      </c>
      <c r="AE197" s="30">
        <v>391</v>
      </c>
    </row>
    <row r="198" spans="1:33" ht="28.5" customHeight="1" thickBot="1">
      <c r="A198" s="114" t="s">
        <v>3619</v>
      </c>
      <c r="C198" s="8" t="s">
        <v>3623</v>
      </c>
      <c r="D198" s="16" t="s">
        <v>3622</v>
      </c>
      <c r="E198" s="16" t="s">
        <v>3620</v>
      </c>
      <c r="F198" s="9" t="str">
        <f t="shared" si="6"/>
        <v>https://www.ssbuy.tw/detail_giftcode/dist/giftcodes/Gear Fight!.html</v>
      </c>
      <c r="G198" s="16" t="s">
        <v>3621</v>
      </c>
      <c r="H198" s="9" t="str">
        <f t="shared" si="7"/>
        <v>https://www.ssbuy.tw/detail_giftcode/dist/gamedetail/Gear Fight!.html</v>
      </c>
      <c r="I198" s="10" t="s">
        <v>3989</v>
      </c>
      <c r="J198" s="27" t="s">
        <v>3624</v>
      </c>
      <c r="K198" s="30">
        <v>780</v>
      </c>
      <c r="L198" s="29" t="s">
        <v>3625</v>
      </c>
      <c r="M198" s="30">
        <v>232</v>
      </c>
      <c r="N198" s="29" t="s">
        <v>3626</v>
      </c>
      <c r="O198" s="30">
        <v>51</v>
      </c>
      <c r="P198" s="31" t="s">
        <v>3627</v>
      </c>
      <c r="Q198" s="30">
        <v>232</v>
      </c>
      <c r="R198" s="31" t="s">
        <v>3628</v>
      </c>
      <c r="S198" s="30">
        <v>391</v>
      </c>
      <c r="T198" s="31" t="s">
        <v>3629</v>
      </c>
      <c r="U198" s="30">
        <v>256</v>
      </c>
    </row>
    <row r="199" spans="1:33" ht="28.5" customHeight="1" thickBot="1">
      <c r="A199" s="114" t="s">
        <v>3631</v>
      </c>
      <c r="C199" s="36" t="s">
        <v>3634</v>
      </c>
      <c r="D199" s="16" t="s">
        <v>3633</v>
      </c>
      <c r="E199" s="16" t="s">
        <v>3632</v>
      </c>
      <c r="F199" s="9" t="str">
        <f t="shared" si="6"/>
        <v>https://www.ssbuy.tw/detail_giftcode/dist/giftcodes/救世者之樹 M.html</v>
      </c>
      <c r="G199" s="16" t="s">
        <v>3630</v>
      </c>
      <c r="H199" s="9" t="str">
        <f t="shared" si="7"/>
        <v>https://www.ssbuy.tw/detail_giftcode/dist/gamedetail/救世者之樹 M.html</v>
      </c>
      <c r="I199" s="10" t="s">
        <v>3990</v>
      </c>
      <c r="J199" s="27" t="s">
        <v>3640</v>
      </c>
      <c r="K199" s="30">
        <v>2555</v>
      </c>
      <c r="L199" s="29" t="s">
        <v>3641</v>
      </c>
      <c r="M199" s="30">
        <v>2119</v>
      </c>
      <c r="N199" s="29" t="s">
        <v>3642</v>
      </c>
      <c r="O199" s="30">
        <v>1063</v>
      </c>
      <c r="P199" s="31" t="s">
        <v>3643</v>
      </c>
      <c r="Q199" s="30">
        <v>701</v>
      </c>
      <c r="R199" s="31" t="s">
        <v>3644</v>
      </c>
      <c r="S199" s="30">
        <v>312</v>
      </c>
      <c r="T199" s="31" t="s">
        <v>3645</v>
      </c>
      <c r="U199" s="30">
        <v>162</v>
      </c>
      <c r="V199" s="31" t="s">
        <v>3646</v>
      </c>
      <c r="W199" s="30">
        <v>85</v>
      </c>
      <c r="X199" s="31" t="s">
        <v>3647</v>
      </c>
      <c r="Y199" s="30">
        <v>51</v>
      </c>
      <c r="Z199" s="31" t="s">
        <v>3648</v>
      </c>
      <c r="AA199" s="30">
        <v>654</v>
      </c>
    </row>
    <row r="200" spans="1:33" ht="28.5" customHeight="1" thickBot="1">
      <c r="A200" s="116" t="s">
        <v>3658</v>
      </c>
      <c r="C200" s="8" t="s">
        <v>3682</v>
      </c>
      <c r="D200" s="9" t="s">
        <v>3683</v>
      </c>
      <c r="E200" s="9" t="s">
        <v>3666</v>
      </c>
      <c r="F200" s="9" t="str">
        <f t="shared" si="6"/>
        <v>https://www.ssbuy.tw/detail_giftcode/dist/giftcodes/勝利女神：妮姬.html</v>
      </c>
      <c r="G200" s="9" t="s">
        <v>3673</v>
      </c>
      <c r="H200" s="9" t="str">
        <f t="shared" si="7"/>
        <v>https://www.ssbuy.tw/detail_giftcode/dist/gamedetail/勝利女神：妮姬.html</v>
      </c>
      <c r="I200" s="10" t="s">
        <v>3991</v>
      </c>
      <c r="J200" s="27" t="s">
        <v>1427</v>
      </c>
      <c r="K200" s="30">
        <v>2415</v>
      </c>
      <c r="L200" s="29" t="s">
        <v>3694</v>
      </c>
      <c r="M200" s="30">
        <v>1348</v>
      </c>
      <c r="N200" s="29" t="s">
        <v>262</v>
      </c>
      <c r="O200" s="30">
        <v>735</v>
      </c>
      <c r="P200" s="31" t="s">
        <v>3695</v>
      </c>
      <c r="Q200" s="30">
        <v>621</v>
      </c>
      <c r="R200" s="31" t="s">
        <v>279</v>
      </c>
      <c r="S200" s="30">
        <v>497</v>
      </c>
      <c r="T200" s="31" t="s">
        <v>1493</v>
      </c>
      <c r="U200" s="30">
        <v>373</v>
      </c>
      <c r="V200" s="31" t="s">
        <v>280</v>
      </c>
      <c r="W200" s="30">
        <v>248</v>
      </c>
      <c r="X200" s="31" t="s">
        <v>3696</v>
      </c>
      <c r="Y200" s="30">
        <v>199</v>
      </c>
      <c r="Z200" s="31" t="s">
        <v>281</v>
      </c>
      <c r="AA200" s="30">
        <v>132</v>
      </c>
      <c r="AB200" s="31" t="s">
        <v>3697</v>
      </c>
      <c r="AC200" s="30">
        <v>106</v>
      </c>
      <c r="AD200" s="31" t="s">
        <v>3698</v>
      </c>
      <c r="AE200" s="30">
        <v>53</v>
      </c>
      <c r="AF200" s="31" t="s">
        <v>1428</v>
      </c>
      <c r="AG200" s="30">
        <v>40</v>
      </c>
    </row>
    <row r="201" spans="1:33" ht="28.5" customHeight="1" thickBot="1">
      <c r="A201" s="116" t="s">
        <v>3659</v>
      </c>
      <c r="C201" s="9" t="s">
        <v>3623</v>
      </c>
      <c r="D201" s="9" t="s">
        <v>3685</v>
      </c>
      <c r="E201" s="9" t="s">
        <v>3669</v>
      </c>
      <c r="F201" s="9" t="str">
        <f t="shared" si="6"/>
        <v>https://www.ssbuy.tw/detail_giftcode/dist/giftcodes/野龍小隊.html</v>
      </c>
      <c r="G201" s="9" t="s">
        <v>3684</v>
      </c>
      <c r="H201" s="9" t="str">
        <f t="shared" si="7"/>
        <v>https://www.ssbuy.tw/detail_giftcode/dist/gamedetail/野龍小隊.html</v>
      </c>
      <c r="I201" s="37" t="s">
        <v>4005</v>
      </c>
      <c r="J201" s="27" t="s">
        <v>3699</v>
      </c>
      <c r="K201" s="30">
        <v>1961</v>
      </c>
      <c r="L201" s="29" t="s">
        <v>261</v>
      </c>
      <c r="M201" s="30">
        <v>1016</v>
      </c>
      <c r="N201" s="29" t="s">
        <v>263</v>
      </c>
      <c r="O201" s="30">
        <v>622</v>
      </c>
      <c r="P201" s="31" t="s">
        <v>249</v>
      </c>
      <c r="Q201" s="30">
        <v>232</v>
      </c>
      <c r="R201" s="31" t="s">
        <v>252</v>
      </c>
      <c r="S201" s="30">
        <v>102</v>
      </c>
      <c r="T201" s="31" t="s">
        <v>253</v>
      </c>
      <c r="U201" s="30">
        <v>51</v>
      </c>
    </row>
    <row r="202" spans="1:33" ht="28.5" customHeight="1" thickBot="1">
      <c r="A202" s="116" t="s">
        <v>3660</v>
      </c>
      <c r="C202" s="8" t="s">
        <v>3623</v>
      </c>
      <c r="D202" s="9" t="s">
        <v>3686</v>
      </c>
      <c r="E202" s="9" t="s">
        <v>3672</v>
      </c>
      <c r="F202" s="9" t="str">
        <f t="shared" si="6"/>
        <v>https://www.ssbuy.tw/detail_giftcode/dist/giftcodes/BangBang殭屍：避難所戰爭.html</v>
      </c>
      <c r="G202" s="9" t="s">
        <v>3674</v>
      </c>
      <c r="H202" s="9" t="str">
        <f t="shared" si="7"/>
        <v>https://www.ssbuy.tw/detail_giftcode/dist/gamedetail/BangBang殭屍：避難所戰爭.html</v>
      </c>
      <c r="I202" s="37" t="s">
        <v>4006</v>
      </c>
      <c r="J202" s="27" t="s">
        <v>301</v>
      </c>
      <c r="K202" s="30">
        <v>2355</v>
      </c>
      <c r="L202" s="29" t="s">
        <v>302</v>
      </c>
      <c r="M202" s="30">
        <v>1174</v>
      </c>
      <c r="N202" s="29" t="s">
        <v>262</v>
      </c>
      <c r="O202" s="30">
        <v>780</v>
      </c>
      <c r="P202" s="31" t="s">
        <v>264</v>
      </c>
      <c r="Q202" s="30">
        <v>551</v>
      </c>
      <c r="R202" s="31" t="s">
        <v>1493</v>
      </c>
      <c r="S202" s="30">
        <v>391</v>
      </c>
      <c r="T202" s="31" t="s">
        <v>303</v>
      </c>
      <c r="U202" s="30">
        <v>312</v>
      </c>
      <c r="V202" s="31" t="s">
        <v>265</v>
      </c>
      <c r="W202" s="30">
        <v>256</v>
      </c>
      <c r="X202" s="31" t="s">
        <v>251</v>
      </c>
      <c r="Y202" s="30">
        <v>128</v>
      </c>
      <c r="Z202" s="31" t="s">
        <v>252</v>
      </c>
      <c r="AA202" s="30">
        <v>102</v>
      </c>
      <c r="AB202" s="31" t="s">
        <v>266</v>
      </c>
      <c r="AC202" s="30">
        <v>77</v>
      </c>
    </row>
    <row r="203" spans="1:33" ht="28.5" customHeight="1" thickBot="1">
      <c r="A203" s="116" t="s">
        <v>3661</v>
      </c>
      <c r="C203" s="8" t="s">
        <v>3687</v>
      </c>
      <c r="D203" s="9" t="s">
        <v>3687</v>
      </c>
      <c r="E203" s="16" t="s">
        <v>3681</v>
      </c>
      <c r="F203" s="9" t="str">
        <f t="shared" si="6"/>
        <v>https://www.ssbuy.tw/detail_giftcode/dist/giftcodes/主公超會閃.html</v>
      </c>
      <c r="G203" s="9" t="s">
        <v>3688</v>
      </c>
      <c r="H203" s="9" t="str">
        <f t="shared" si="7"/>
        <v>https://www.ssbuy.tw/detail_giftcode/dist/gamedetail/主公超會閃.html</v>
      </c>
      <c r="I203" s="10" t="s">
        <v>3992</v>
      </c>
      <c r="J203" s="27" t="s">
        <v>3700</v>
      </c>
      <c r="K203" s="30">
        <v>2555</v>
      </c>
      <c r="L203" s="29" t="s">
        <v>3701</v>
      </c>
      <c r="M203" s="30">
        <v>1331</v>
      </c>
      <c r="N203" s="29" t="s">
        <v>3702</v>
      </c>
      <c r="O203" s="30">
        <v>780</v>
      </c>
      <c r="P203" s="31" t="s">
        <v>3703</v>
      </c>
      <c r="Q203" s="30">
        <v>535</v>
      </c>
      <c r="R203" s="31" t="s">
        <v>3704</v>
      </c>
      <c r="S203" s="30">
        <v>391</v>
      </c>
      <c r="T203" s="31" t="s">
        <v>3705</v>
      </c>
      <c r="U203" s="30">
        <v>264</v>
      </c>
      <c r="V203" s="31" t="s">
        <v>3706</v>
      </c>
      <c r="W203" s="30">
        <v>232</v>
      </c>
      <c r="X203" s="31" t="s">
        <v>3707</v>
      </c>
      <c r="Y203" s="30">
        <v>208</v>
      </c>
      <c r="Z203" s="31" t="s">
        <v>3708</v>
      </c>
      <c r="AA203" s="30">
        <v>111</v>
      </c>
      <c r="AB203" s="31" t="s">
        <v>3709</v>
      </c>
      <c r="AC203" s="30">
        <v>85</v>
      </c>
    </row>
    <row r="204" spans="1:33" ht="28.5" customHeight="1" thickBot="1">
      <c r="A204" s="116" t="s">
        <v>3662</v>
      </c>
      <c r="C204" s="36" t="s">
        <v>3690</v>
      </c>
      <c r="D204" s="16" t="s">
        <v>3691</v>
      </c>
      <c r="E204" s="9" t="s">
        <v>3668</v>
      </c>
      <c r="F204" s="9" t="str">
        <f t="shared" si="6"/>
        <v>https://www.ssbuy.tw/detail_giftcode/dist/giftcodes/小兵來支援.html</v>
      </c>
      <c r="G204" s="35" t="s">
        <v>3689</v>
      </c>
      <c r="H204" s="9" t="str">
        <f t="shared" si="7"/>
        <v>https://www.ssbuy.tw/detail_giftcode/dist/gamedetail/小兵來支援.html</v>
      </c>
      <c r="I204" s="37" t="s">
        <v>4007</v>
      </c>
      <c r="J204" s="27" t="s">
        <v>3710</v>
      </c>
      <c r="K204" s="30">
        <v>2555</v>
      </c>
      <c r="L204" s="29" t="s">
        <v>3711</v>
      </c>
      <c r="M204" s="30">
        <v>1331</v>
      </c>
      <c r="N204" s="29" t="s">
        <v>3712</v>
      </c>
      <c r="O204" s="30">
        <v>535</v>
      </c>
      <c r="P204" s="31" t="s">
        <v>3713</v>
      </c>
      <c r="Q204" s="30">
        <v>145</v>
      </c>
      <c r="R204" s="31" t="s">
        <v>3714</v>
      </c>
      <c r="S204" s="30">
        <v>391</v>
      </c>
      <c r="T204" s="31" t="s">
        <v>3715</v>
      </c>
      <c r="U204" s="30">
        <v>780</v>
      </c>
      <c r="V204" s="31" t="s">
        <v>3716</v>
      </c>
      <c r="W204" s="30">
        <v>615</v>
      </c>
    </row>
    <row r="205" spans="1:33" ht="28.5" customHeight="1" thickBot="1">
      <c r="A205" s="116" t="s">
        <v>3663</v>
      </c>
      <c r="C205" s="8" t="s">
        <v>3623</v>
      </c>
      <c r="D205" s="16" t="s">
        <v>3693</v>
      </c>
      <c r="E205" s="9" t="s">
        <v>3670</v>
      </c>
      <c r="F205" s="9" t="str">
        <f t="shared" si="6"/>
        <v>https://www.ssbuy.tw/detail_giftcode/dist/giftcodes/姆姆鬥惡龍.html</v>
      </c>
      <c r="G205" s="9" t="s">
        <v>3675</v>
      </c>
      <c r="H205" s="9" t="str">
        <f t="shared" si="7"/>
        <v>https://www.ssbuy.tw/detail_giftcode/dist/gamedetail/姆姆鬥惡龍.html</v>
      </c>
      <c r="I205" s="37" t="s">
        <v>4008</v>
      </c>
      <c r="J205" s="27" t="s">
        <v>1427</v>
      </c>
      <c r="K205" s="30">
        <v>2555</v>
      </c>
      <c r="L205" s="29" t="s">
        <v>278</v>
      </c>
      <c r="M205" s="30">
        <v>1331</v>
      </c>
      <c r="N205" s="29" t="s">
        <v>262</v>
      </c>
      <c r="O205" s="30">
        <v>780</v>
      </c>
      <c r="P205" s="31" t="s">
        <v>279</v>
      </c>
      <c r="Q205" s="30">
        <v>535</v>
      </c>
      <c r="R205" s="31" t="s">
        <v>1493</v>
      </c>
      <c r="S205" s="30">
        <v>391</v>
      </c>
      <c r="T205" s="31" t="s">
        <v>280</v>
      </c>
      <c r="U205" s="30">
        <v>264</v>
      </c>
      <c r="V205" s="31" t="s">
        <v>281</v>
      </c>
      <c r="W205" s="30">
        <v>145</v>
      </c>
      <c r="X205" s="31" t="s">
        <v>1428</v>
      </c>
      <c r="Y205" s="30">
        <v>28</v>
      </c>
    </row>
    <row r="206" spans="1:33" ht="28.5" customHeight="1" thickBot="1">
      <c r="A206" s="116" t="s">
        <v>3664</v>
      </c>
      <c r="C206" s="8" t="s">
        <v>3679</v>
      </c>
      <c r="D206" s="9" t="s">
        <v>3680</v>
      </c>
      <c r="E206" s="9" t="s">
        <v>3667</v>
      </c>
      <c r="F206" s="9" t="str">
        <f t="shared" si="6"/>
        <v>https://www.ssbuy.tw/detail_giftcode/dist/giftcodes/發條特攻隊.html</v>
      </c>
      <c r="G206" s="9" t="s">
        <v>3678</v>
      </c>
      <c r="H206" s="9" t="str">
        <f t="shared" si="7"/>
        <v>https://www.ssbuy.tw/detail_giftcode/dist/gamedetail/發條特攻隊.html</v>
      </c>
      <c r="I206" s="37" t="s">
        <v>4009</v>
      </c>
      <c r="J206" s="27" t="s">
        <v>3717</v>
      </c>
      <c r="K206" s="30">
        <v>2363</v>
      </c>
      <c r="L206" s="29" t="s">
        <v>3718</v>
      </c>
      <c r="M206" s="30">
        <v>1182</v>
      </c>
      <c r="N206" s="29" t="s">
        <v>262</v>
      </c>
      <c r="O206" s="30">
        <v>780</v>
      </c>
      <c r="P206" s="31" t="s">
        <v>3719</v>
      </c>
      <c r="Q206" s="30">
        <v>599</v>
      </c>
      <c r="R206" s="31" t="s">
        <v>3720</v>
      </c>
      <c r="S206" s="30">
        <v>479</v>
      </c>
      <c r="T206" s="31" t="s">
        <v>3721</v>
      </c>
      <c r="U206" s="30">
        <v>359</v>
      </c>
      <c r="V206" s="31" t="s">
        <v>1458</v>
      </c>
      <c r="W206" s="30">
        <v>240</v>
      </c>
      <c r="X206" s="31" t="s">
        <v>251</v>
      </c>
      <c r="Y206" s="30">
        <v>128</v>
      </c>
    </row>
    <row r="207" spans="1:33" ht="28.5" customHeight="1" thickBot="1">
      <c r="A207" s="116" t="s">
        <v>3665</v>
      </c>
      <c r="C207" s="36" t="s">
        <v>3692</v>
      </c>
      <c r="D207" s="9" t="s">
        <v>3676</v>
      </c>
      <c r="E207" s="9" t="s">
        <v>3677</v>
      </c>
      <c r="F207" s="9" t="str">
        <f t="shared" si="6"/>
        <v>https://www.ssbuy.tw/detail_giftcode/dist/giftcodes/天命：群星.html</v>
      </c>
      <c r="G207" s="9" t="s">
        <v>3671</v>
      </c>
      <c r="H207" s="9" t="str">
        <f t="shared" si="7"/>
        <v>https://www.ssbuy.tw/detail_giftcode/dist/gamedetail/天命：群星.html</v>
      </c>
      <c r="I207" s="10" t="s">
        <v>3993</v>
      </c>
      <c r="J207" s="27" t="s">
        <v>3722</v>
      </c>
      <c r="K207" s="30">
        <v>2363</v>
      </c>
      <c r="L207" s="29" t="s">
        <v>3722</v>
      </c>
      <c r="M207" s="30">
        <v>1182</v>
      </c>
      <c r="N207" s="29" t="s">
        <v>3723</v>
      </c>
      <c r="O207" s="30">
        <v>599</v>
      </c>
      <c r="P207" s="31" t="s">
        <v>3724</v>
      </c>
      <c r="Q207" s="30">
        <v>240</v>
      </c>
      <c r="R207" s="31" t="s">
        <v>3725</v>
      </c>
      <c r="S207" s="30">
        <v>128</v>
      </c>
      <c r="T207" s="31" t="s">
        <v>3726</v>
      </c>
      <c r="U207" s="30">
        <v>26</v>
      </c>
      <c r="V207" s="31" t="s">
        <v>3727</v>
      </c>
      <c r="W207" s="30">
        <v>128</v>
      </c>
      <c r="X207" s="31" t="s">
        <v>3728</v>
      </c>
      <c r="Y207" s="30">
        <v>128</v>
      </c>
    </row>
    <row r="208" spans="1:33" ht="28.5" customHeight="1" thickBot="1">
      <c r="A208" s="116" t="s">
        <v>3796</v>
      </c>
      <c r="C208" s="8" t="s">
        <v>3807</v>
      </c>
      <c r="D208" s="9" t="s">
        <v>3808</v>
      </c>
      <c r="E208" s="9" t="s">
        <v>3809</v>
      </c>
      <c r="F208" s="9" t="str">
        <f t="shared" si="6"/>
        <v>https://www.ssbuy.tw/detail_giftcode/dist/giftcodes/血影雙生.html</v>
      </c>
      <c r="G208" s="9" t="s">
        <v>3802</v>
      </c>
      <c r="H208" s="9" t="str">
        <f t="shared" si="7"/>
        <v>https://www.ssbuy.tw/detail_giftcode/dist/gamedetail/血影雙生.html</v>
      </c>
      <c r="I208" s="10" t="s">
        <v>3994</v>
      </c>
      <c r="J208" s="27" t="s">
        <v>3838</v>
      </c>
      <c r="K208" s="30">
        <v>2555</v>
      </c>
      <c r="L208" s="29" t="s">
        <v>3839</v>
      </c>
      <c r="M208" s="30">
        <v>1331</v>
      </c>
      <c r="N208" s="29" t="s">
        <v>3840</v>
      </c>
      <c r="O208" s="30">
        <v>780</v>
      </c>
      <c r="P208" s="31" t="s">
        <v>3841</v>
      </c>
      <c r="Q208" s="30">
        <v>535</v>
      </c>
      <c r="R208" s="31" t="s">
        <v>3842</v>
      </c>
      <c r="S208" s="30">
        <v>264</v>
      </c>
      <c r="T208" s="31" t="s">
        <v>3843</v>
      </c>
      <c r="U208" s="30">
        <v>145</v>
      </c>
      <c r="V208" s="31" t="s">
        <v>3844</v>
      </c>
      <c r="W208" s="30">
        <v>145</v>
      </c>
    </row>
    <row r="209" spans="1:35" ht="28.5" customHeight="1" thickBot="1">
      <c r="A209" s="116" t="s">
        <v>3797</v>
      </c>
      <c r="C209" s="8" t="s">
        <v>3801</v>
      </c>
      <c r="D209" s="9" t="s">
        <v>3800</v>
      </c>
      <c r="E209" s="9" t="s">
        <v>3798</v>
      </c>
      <c r="F209" s="9" t="str">
        <f t="shared" si="6"/>
        <v>https://www.ssbuy.tw/detail_giftcode/dist/giftcodes/我的勇者外傳.html</v>
      </c>
      <c r="G209" s="9" t="s">
        <v>3799</v>
      </c>
      <c r="H209" s="9" t="str">
        <f t="shared" si="7"/>
        <v>https://www.ssbuy.tw/detail_giftcode/dist/gamedetail/我的勇者外傳.html</v>
      </c>
      <c r="I209" s="10" t="s">
        <v>3995</v>
      </c>
      <c r="J209" s="27" t="s">
        <v>3823</v>
      </c>
      <c r="K209" s="30">
        <v>2555</v>
      </c>
      <c r="L209" s="29" t="s">
        <v>3824</v>
      </c>
      <c r="M209" s="30">
        <v>1331</v>
      </c>
      <c r="N209" s="29" t="s">
        <v>3825</v>
      </c>
      <c r="O209" s="30">
        <v>535</v>
      </c>
      <c r="P209" s="31" t="s">
        <v>3826</v>
      </c>
      <c r="Q209" s="30">
        <v>288</v>
      </c>
      <c r="R209" s="31" t="s">
        <v>3827</v>
      </c>
      <c r="S209" s="30">
        <v>145</v>
      </c>
      <c r="T209" s="31" t="s">
        <v>3828</v>
      </c>
      <c r="U209" s="30">
        <v>60</v>
      </c>
      <c r="V209" s="31" t="s">
        <v>3829</v>
      </c>
      <c r="W209" s="30">
        <v>28</v>
      </c>
      <c r="X209" s="31" t="s">
        <v>3830</v>
      </c>
      <c r="Y209" s="30">
        <v>145</v>
      </c>
      <c r="Z209" s="31" t="s">
        <v>3831</v>
      </c>
      <c r="AA209" s="30">
        <v>85</v>
      </c>
    </row>
    <row r="210" spans="1:35" ht="28.5" customHeight="1" thickBot="1">
      <c r="A210" s="116" t="s">
        <v>4022</v>
      </c>
      <c r="C210" s="8" t="s">
        <v>3803</v>
      </c>
      <c r="D210" s="9" t="s">
        <v>3806</v>
      </c>
      <c r="E210" s="9" t="s">
        <v>3804</v>
      </c>
      <c r="F210" s="9" t="str">
        <f t="shared" si="6"/>
        <v>https://www.ssbuy.tw/detail_giftcode/dist/giftcodes/女神契約：異世界遠征隊.html</v>
      </c>
      <c r="G210" s="9" t="s">
        <v>3805</v>
      </c>
      <c r="H210" s="9" t="str">
        <f t="shared" si="7"/>
        <v>https://www.ssbuy.tw/detail_giftcode/dist/gamedetail/女神契約：異世界遠征隊.html</v>
      </c>
      <c r="I210" s="10" t="s">
        <v>3996</v>
      </c>
      <c r="J210" s="27" t="s">
        <v>3832</v>
      </c>
      <c r="K210" s="30">
        <v>2355</v>
      </c>
      <c r="L210" s="29" t="s">
        <v>3833</v>
      </c>
      <c r="M210" s="30">
        <v>1174</v>
      </c>
      <c r="N210" s="29" t="s">
        <v>3834</v>
      </c>
      <c r="O210" s="30">
        <v>551</v>
      </c>
      <c r="P210" s="31" t="s">
        <v>3835</v>
      </c>
      <c r="Q210" s="30">
        <v>256</v>
      </c>
      <c r="R210" s="31" t="s">
        <v>62</v>
      </c>
      <c r="S210" s="30">
        <v>102</v>
      </c>
      <c r="T210" s="31" t="s">
        <v>65</v>
      </c>
      <c r="U210" s="30">
        <v>26</v>
      </c>
      <c r="V210" s="31" t="s">
        <v>3836</v>
      </c>
      <c r="W210" s="30">
        <v>102</v>
      </c>
      <c r="X210" s="31" t="s">
        <v>3837</v>
      </c>
      <c r="Y210" s="30">
        <v>102</v>
      </c>
      <c r="Z210" s="31" t="s">
        <v>1561</v>
      </c>
      <c r="AA210" s="30">
        <v>780</v>
      </c>
    </row>
    <row r="211" spans="1:35" ht="28.5" customHeight="1" thickBot="1">
      <c r="A211" s="116" t="s">
        <v>4021</v>
      </c>
      <c r="C211" s="36" t="s">
        <v>3875</v>
      </c>
      <c r="D211" s="16" t="s">
        <v>3874</v>
      </c>
      <c r="E211" s="16" t="s">
        <v>3877</v>
      </c>
      <c r="F211" s="9" t="str">
        <f t="shared" si="6"/>
        <v>https://www.ssbuy.tw/detail_giftcode/dist/giftcodes/Pixel Starships 2.html</v>
      </c>
      <c r="G211" s="16" t="s">
        <v>3876</v>
      </c>
      <c r="H211" s="9" t="str">
        <f t="shared" si="7"/>
        <v>https://www.ssbuy.tw/detail_giftcode/dist/gamedetail/Pixel Starships 2.html</v>
      </c>
      <c r="I211" s="10" t="s">
        <v>3907</v>
      </c>
      <c r="J211" s="27" t="s">
        <v>3940</v>
      </c>
      <c r="K211" s="30">
        <v>2355</v>
      </c>
      <c r="L211" s="29" t="s">
        <v>3941</v>
      </c>
      <c r="M211" s="30">
        <v>1174</v>
      </c>
      <c r="N211" s="29" t="s">
        <v>3942</v>
      </c>
      <c r="O211" s="30">
        <v>551</v>
      </c>
      <c r="P211" s="31" t="s">
        <v>3943</v>
      </c>
      <c r="Q211" s="30">
        <v>256</v>
      </c>
      <c r="R211" s="31" t="s">
        <v>3944</v>
      </c>
      <c r="S211" s="30">
        <v>128</v>
      </c>
      <c r="T211" s="31" t="s">
        <v>3945</v>
      </c>
      <c r="U211" s="30">
        <v>51</v>
      </c>
      <c r="V211" s="31" t="s">
        <v>3946</v>
      </c>
      <c r="W211" s="30">
        <v>232</v>
      </c>
    </row>
    <row r="212" spans="1:35" ht="28.5" customHeight="1" thickBot="1">
      <c r="A212" s="116" t="s">
        <v>3867</v>
      </c>
      <c r="C212" s="36" t="s">
        <v>3508</v>
      </c>
      <c r="D212" s="16" t="s">
        <v>3878</v>
      </c>
      <c r="E212" s="16" t="s">
        <v>3878</v>
      </c>
      <c r="F212" s="9" t="str">
        <f t="shared" si="6"/>
        <v>https://www.ssbuy.tw/detail_giftcode/dist/giftcodes/升級村莊大作戰.html</v>
      </c>
      <c r="G212" s="16" t="s">
        <v>3879</v>
      </c>
      <c r="H212" s="9" t="str">
        <f t="shared" si="7"/>
        <v>https://www.ssbuy.tw/detail_giftcode/dist/gamedetail/升級村莊大作戰.html</v>
      </c>
      <c r="I212" s="10" t="s">
        <v>3916</v>
      </c>
      <c r="J212" s="27" t="s">
        <v>3966</v>
      </c>
      <c r="K212" s="30">
        <v>1725</v>
      </c>
      <c r="L212" s="29" t="s">
        <v>3967</v>
      </c>
      <c r="M212" s="30">
        <v>827</v>
      </c>
      <c r="N212" s="29" t="s">
        <v>3968</v>
      </c>
      <c r="O212" s="30">
        <v>471</v>
      </c>
      <c r="P212" s="31" t="s">
        <v>3969</v>
      </c>
      <c r="Q212" s="30">
        <v>216</v>
      </c>
      <c r="R212" s="31" t="s">
        <v>64</v>
      </c>
      <c r="S212" s="30">
        <v>111</v>
      </c>
      <c r="T212" s="31" t="s">
        <v>65</v>
      </c>
      <c r="U212" s="30">
        <v>60</v>
      </c>
      <c r="V212" s="31" t="s">
        <v>3946</v>
      </c>
      <c r="W212" s="30">
        <v>232</v>
      </c>
      <c r="X212" s="31" t="s">
        <v>3970</v>
      </c>
      <c r="Y212" s="30">
        <v>391</v>
      </c>
      <c r="Z212" s="30"/>
    </row>
    <row r="213" spans="1:35" ht="28.5" customHeight="1" thickBot="1">
      <c r="A213" s="116" t="s">
        <v>3868</v>
      </c>
      <c r="C213" s="36" t="s">
        <v>3883</v>
      </c>
      <c r="D213" s="16" t="s">
        <v>3881</v>
      </c>
      <c r="E213" s="16" t="s">
        <v>3882</v>
      </c>
      <c r="F213" s="9" t="str">
        <f t="shared" si="6"/>
        <v>https://www.ssbuy.tw/detail_giftcode/dist/giftcodes/新月同行.html</v>
      </c>
      <c r="G213" s="9" t="s">
        <v>3880</v>
      </c>
      <c r="H213" s="9" t="str">
        <f t="shared" si="7"/>
        <v>https://www.ssbuy.tw/detail_giftcode/dist/gamedetail/新月同行.html</v>
      </c>
      <c r="I213" s="10" t="s">
        <v>3917</v>
      </c>
      <c r="J213" s="33" t="s">
        <v>2638</v>
      </c>
      <c r="K213" s="24" t="s">
        <v>2638</v>
      </c>
      <c r="L213" s="24" t="s">
        <v>2638</v>
      </c>
      <c r="M213" s="24" t="s">
        <v>2638</v>
      </c>
    </row>
    <row r="214" spans="1:35" ht="28.5" customHeight="1" thickBot="1">
      <c r="A214" s="116" t="s">
        <v>3913</v>
      </c>
      <c r="C214" s="36" t="s">
        <v>3508</v>
      </c>
      <c r="D214" s="9" t="s">
        <v>3918</v>
      </c>
      <c r="E214" s="9" t="s">
        <v>3918</v>
      </c>
      <c r="F214" s="9" t="str">
        <f t="shared" si="6"/>
        <v>https://www.ssbuy.tw/detail_giftcode/dist/giftcodes/超商勇者.html</v>
      </c>
      <c r="G214" s="9" t="s">
        <v>3918</v>
      </c>
      <c r="H214" s="9" t="str">
        <f t="shared" si="7"/>
        <v>https://www.ssbuy.tw/detail_giftcode/dist/gamedetail/超商勇者.html</v>
      </c>
      <c r="I214" s="10" t="s">
        <v>3914</v>
      </c>
      <c r="J214" s="27" t="s">
        <v>3971</v>
      </c>
      <c r="K214" s="30">
        <v>162</v>
      </c>
      <c r="L214" s="29" t="s">
        <v>3972</v>
      </c>
      <c r="M214" s="30">
        <v>77</v>
      </c>
      <c r="N214" s="29" t="s">
        <v>3973</v>
      </c>
      <c r="O214" s="30">
        <v>77</v>
      </c>
      <c r="P214" s="31" t="s">
        <v>3974</v>
      </c>
      <c r="Q214" s="30">
        <v>77</v>
      </c>
      <c r="R214" s="31" t="s">
        <v>3975</v>
      </c>
      <c r="S214" s="30">
        <v>162</v>
      </c>
    </row>
    <row r="215" spans="1:35" ht="28.5" customHeight="1" thickBot="1">
      <c r="A215" s="116" t="s">
        <v>3997</v>
      </c>
      <c r="C215" s="36" t="s">
        <v>3919</v>
      </c>
      <c r="D215" s="16" t="s">
        <v>3891</v>
      </c>
      <c r="E215" s="9" t="s">
        <v>3890</v>
      </c>
      <c r="F215" s="9" t="str">
        <f t="shared" si="6"/>
        <v>https://www.ssbuy.tw/detail_giftcode/dist/giftcodes/怪獸8號 THE GAME.html</v>
      </c>
      <c r="G215" s="9" t="s">
        <v>3884</v>
      </c>
      <c r="H215" s="9" t="str">
        <f t="shared" si="7"/>
        <v>https://www.ssbuy.tw/detail_giftcode/dist/gamedetail/怪獸8號 THE GAME.html</v>
      </c>
      <c r="I215" s="10" t="s">
        <v>3912</v>
      </c>
      <c r="J215" s="27" t="s">
        <v>4010</v>
      </c>
      <c r="K215" s="30">
        <v>1567</v>
      </c>
      <c r="L215" s="29" t="s">
        <v>4011</v>
      </c>
      <c r="M215" s="30">
        <v>780</v>
      </c>
      <c r="N215" s="29" t="s">
        <v>4012</v>
      </c>
      <c r="O215" s="30">
        <v>551</v>
      </c>
      <c r="P215" s="31" t="s">
        <v>4013</v>
      </c>
      <c r="Q215" s="30">
        <v>256</v>
      </c>
      <c r="R215" s="31" t="s">
        <v>4014</v>
      </c>
      <c r="S215" s="30">
        <v>162</v>
      </c>
      <c r="T215" s="31" t="s">
        <v>4015</v>
      </c>
      <c r="U215" s="30">
        <v>77</v>
      </c>
      <c r="V215" s="31" t="s">
        <v>4016</v>
      </c>
      <c r="W215" s="30">
        <v>26</v>
      </c>
      <c r="X215" s="31" t="s">
        <v>4017</v>
      </c>
      <c r="Y215" s="30">
        <v>102</v>
      </c>
      <c r="Z215" s="31" t="s">
        <v>4018</v>
      </c>
      <c r="AA215" s="30">
        <v>391</v>
      </c>
      <c r="AB215" s="31" t="s">
        <v>4019</v>
      </c>
      <c r="AC215" s="30">
        <v>256</v>
      </c>
      <c r="AD215" s="31" t="s">
        <v>4020</v>
      </c>
      <c r="AE215" s="30">
        <v>256</v>
      </c>
    </row>
    <row r="216" spans="1:35" ht="28.5" customHeight="1" thickBot="1">
      <c r="A216" s="116" t="s">
        <v>3869</v>
      </c>
      <c r="C216" s="36" t="s">
        <v>3892</v>
      </c>
      <c r="D216" s="16" t="s">
        <v>3893</v>
      </c>
      <c r="E216" s="16" t="s">
        <v>3894</v>
      </c>
      <c r="F216" s="9" t="str">
        <f t="shared" si="6"/>
        <v>https://www.ssbuy.tw/detail_giftcode/dist/giftcodes/貓旅館物語.html</v>
      </c>
      <c r="G216" s="9" t="s">
        <v>3885</v>
      </c>
      <c r="H216" s="9" t="str">
        <f t="shared" si="7"/>
        <v>https://www.ssbuy.tw/detail_giftcode/dist/gamedetail/貓旅館物語.html</v>
      </c>
      <c r="I216" s="10" t="s">
        <v>3911</v>
      </c>
      <c r="J216" s="27" t="s">
        <v>4023</v>
      </c>
      <c r="K216" s="30">
        <v>2355</v>
      </c>
      <c r="L216" s="29" t="s">
        <v>4024</v>
      </c>
      <c r="M216" s="30">
        <v>1174</v>
      </c>
      <c r="N216" s="29" t="s">
        <v>4025</v>
      </c>
      <c r="O216" s="30">
        <v>780</v>
      </c>
      <c r="P216" s="31" t="s">
        <v>4026</v>
      </c>
      <c r="Q216" s="30">
        <v>391</v>
      </c>
      <c r="R216" s="31" t="s">
        <v>4027</v>
      </c>
      <c r="S216" s="30">
        <v>128</v>
      </c>
      <c r="T216" s="31" t="s">
        <v>4028</v>
      </c>
      <c r="U216" s="30">
        <v>26</v>
      </c>
      <c r="V216" s="31" t="s">
        <v>4029</v>
      </c>
      <c r="W216" s="30">
        <v>128</v>
      </c>
    </row>
    <row r="217" spans="1:35" ht="28.5" customHeight="1" thickBot="1">
      <c r="A217" s="116" t="s">
        <v>3870</v>
      </c>
      <c r="C217" s="36" t="s">
        <v>3895</v>
      </c>
      <c r="D217" s="9" t="s">
        <v>3896</v>
      </c>
      <c r="E217" s="16" t="s">
        <v>3897</v>
      </c>
      <c r="F217" s="9" t="str">
        <f t="shared" si="6"/>
        <v>https://www.ssbuy.tw/detail_giftcode/dist/giftcodes/龍石戰爭.html</v>
      </c>
      <c r="G217" s="9" t="s">
        <v>3886</v>
      </c>
      <c r="H217" s="9" t="str">
        <f t="shared" si="7"/>
        <v>https://www.ssbuy.tw/detail_giftcode/dist/gamedetail/龍石戰爭.html</v>
      </c>
      <c r="I217" s="10" t="s">
        <v>3915</v>
      </c>
      <c r="J217" s="27" t="s">
        <v>4030</v>
      </c>
      <c r="K217" s="30">
        <v>2555</v>
      </c>
      <c r="L217" s="29" t="s">
        <v>13</v>
      </c>
      <c r="M217" s="30">
        <v>1292</v>
      </c>
      <c r="N217" s="29" t="s">
        <v>14</v>
      </c>
      <c r="O217" s="30">
        <v>511</v>
      </c>
      <c r="P217" s="31" t="s">
        <v>120</v>
      </c>
      <c r="Q217" s="30">
        <v>272</v>
      </c>
      <c r="R217" s="31" t="s">
        <v>16</v>
      </c>
      <c r="S217" s="30">
        <v>128</v>
      </c>
      <c r="T217" s="31" t="s">
        <v>285</v>
      </c>
      <c r="U217" s="30">
        <v>51</v>
      </c>
      <c r="V217" s="31" t="s">
        <v>4031</v>
      </c>
      <c r="W217" s="30">
        <v>77</v>
      </c>
      <c r="X217" s="31" t="s">
        <v>4032</v>
      </c>
      <c r="Y217" s="30">
        <v>128</v>
      </c>
    </row>
    <row r="218" spans="1:35" ht="28.5" customHeight="1" thickBot="1">
      <c r="A218" s="116" t="s">
        <v>3871</v>
      </c>
      <c r="C218" s="36" t="s">
        <v>3901</v>
      </c>
      <c r="D218" s="16" t="s">
        <v>3902</v>
      </c>
      <c r="E218" s="9" t="s">
        <v>3887</v>
      </c>
      <c r="F218" s="9" t="str">
        <f t="shared" si="6"/>
        <v>https://www.ssbuy.tw/detail_giftcode/dist/giftcodes/The King Of Fighters AFK.html</v>
      </c>
      <c r="G218" s="16" t="s">
        <v>3898</v>
      </c>
      <c r="H218" s="9" t="str">
        <f t="shared" si="7"/>
        <v>https://www.ssbuy.tw/detail_giftcode/dist/gamedetail/The King Of Fighters AFK.html</v>
      </c>
      <c r="I218" s="10" t="s">
        <v>3910</v>
      </c>
      <c r="J218" s="27" t="s">
        <v>301</v>
      </c>
      <c r="K218" s="30">
        <v>2355</v>
      </c>
      <c r="L218" s="29" t="s">
        <v>3947</v>
      </c>
      <c r="M218" s="30">
        <v>937</v>
      </c>
      <c r="N218" s="29" t="s">
        <v>3948</v>
      </c>
      <c r="O218" s="30">
        <v>827</v>
      </c>
      <c r="P218" s="31" t="s">
        <v>3949</v>
      </c>
      <c r="Q218" s="30">
        <v>764</v>
      </c>
      <c r="R218" s="31" t="s">
        <v>3950</v>
      </c>
      <c r="S218" s="30">
        <v>583</v>
      </c>
      <c r="T218" s="31" t="s">
        <v>279</v>
      </c>
      <c r="U218" s="30">
        <v>535</v>
      </c>
      <c r="V218" s="31" t="s">
        <v>1493</v>
      </c>
      <c r="W218" s="30">
        <v>391</v>
      </c>
      <c r="X218" s="31" t="s">
        <v>3951</v>
      </c>
      <c r="Y218" s="30">
        <v>375</v>
      </c>
      <c r="Z218" s="31" t="s">
        <v>249</v>
      </c>
      <c r="AA218" s="30">
        <v>232</v>
      </c>
      <c r="AB218" s="31" t="s">
        <v>3952</v>
      </c>
      <c r="AC218" s="30">
        <v>162</v>
      </c>
    </row>
    <row r="219" spans="1:35" ht="28.5" customHeight="1" thickBot="1">
      <c r="A219" s="116" t="s">
        <v>3872</v>
      </c>
      <c r="C219" s="36" t="s">
        <v>3903</v>
      </c>
      <c r="D219" s="16" t="s">
        <v>3904</v>
      </c>
      <c r="E219" s="9" t="s">
        <v>3888</v>
      </c>
      <c r="F219" s="9" t="str">
        <f t="shared" si="6"/>
        <v>https://www.ssbuy.tw/detail_giftcode/dist/giftcodes/邪門鬼道.html</v>
      </c>
      <c r="G219" s="16" t="s">
        <v>3899</v>
      </c>
      <c r="H219" s="9" t="str">
        <f t="shared" si="7"/>
        <v>https://www.ssbuy.tw/detail_giftcode/dist/gamedetail/邪門鬼道.html</v>
      </c>
      <c r="I219" s="10" t="s">
        <v>3909</v>
      </c>
      <c r="J219" s="27" t="s">
        <v>3955</v>
      </c>
      <c r="K219" s="30">
        <v>2555</v>
      </c>
      <c r="L219" s="29" t="s">
        <v>3956</v>
      </c>
      <c r="M219" s="30">
        <v>1331</v>
      </c>
      <c r="N219" s="29" t="s">
        <v>3957</v>
      </c>
      <c r="O219" s="30">
        <v>780</v>
      </c>
      <c r="P219" s="31" t="s">
        <v>3958</v>
      </c>
      <c r="Q219" s="30">
        <v>733</v>
      </c>
      <c r="R219" s="31" t="s">
        <v>3959</v>
      </c>
      <c r="S219" s="30">
        <v>685</v>
      </c>
      <c r="T219" s="31" t="s">
        <v>3960</v>
      </c>
      <c r="U219" s="30">
        <v>583</v>
      </c>
      <c r="V219" s="31" t="s">
        <v>3961</v>
      </c>
      <c r="W219" s="30">
        <v>535</v>
      </c>
      <c r="X219" s="31" t="s">
        <v>3962</v>
      </c>
      <c r="Y219" s="30">
        <v>471</v>
      </c>
      <c r="Z219" s="31" t="s">
        <v>3963</v>
      </c>
      <c r="AA219" s="30">
        <v>423</v>
      </c>
      <c r="AB219" s="31" t="s">
        <v>3964</v>
      </c>
      <c r="AC219" s="30">
        <v>391</v>
      </c>
      <c r="AD219" s="31" t="s">
        <v>3965</v>
      </c>
      <c r="AE219" s="30">
        <v>264</v>
      </c>
      <c r="AF219" s="31" t="s">
        <v>134</v>
      </c>
      <c r="AG219" s="30">
        <v>145</v>
      </c>
    </row>
    <row r="220" spans="1:35" ht="28.5" customHeight="1" thickBot="1">
      <c r="A220" s="116" t="s">
        <v>3873</v>
      </c>
      <c r="C220" s="36" t="s">
        <v>3905</v>
      </c>
      <c r="D220" s="16" t="s">
        <v>3906</v>
      </c>
      <c r="E220" s="9" t="s">
        <v>3889</v>
      </c>
      <c r="F220" s="9" t="str">
        <f t="shared" si="6"/>
        <v>https://www.ssbuy.tw/detail_giftcode/dist/giftcodes/Wind Breaker不良英雄譚.html</v>
      </c>
      <c r="G220" s="16" t="s">
        <v>3900</v>
      </c>
      <c r="H220" s="9" t="str">
        <f t="shared" si="7"/>
        <v>https://www.ssbuy.tw/detail_giftcode/dist/gamedetail/Wind Breaker不良英雄譚.html</v>
      </c>
      <c r="I220" s="10" t="s">
        <v>3908</v>
      </c>
      <c r="J220" s="27" t="s">
        <v>189</v>
      </c>
      <c r="K220" s="30">
        <v>1638</v>
      </c>
      <c r="L220" s="29" t="s">
        <v>1268</v>
      </c>
      <c r="M220" s="30">
        <v>811</v>
      </c>
      <c r="N220" s="29" t="s">
        <v>3953</v>
      </c>
      <c r="O220" s="30">
        <v>479</v>
      </c>
      <c r="P220" s="31" t="s">
        <v>64</v>
      </c>
      <c r="Q220" s="30">
        <v>248</v>
      </c>
      <c r="R220" s="31" t="s">
        <v>139</v>
      </c>
      <c r="S220" s="30">
        <v>164</v>
      </c>
      <c r="T220" s="31" t="s">
        <v>1252</v>
      </c>
      <c r="U220" s="30">
        <v>28</v>
      </c>
      <c r="V220" s="31" t="s">
        <v>3954</v>
      </c>
      <c r="W220" s="30">
        <v>170</v>
      </c>
    </row>
    <row r="221" spans="1:35" ht="28.5" customHeight="1" thickBot="1">
      <c r="A221" s="116" t="s">
        <v>4063</v>
      </c>
      <c r="C221" s="36" t="s">
        <v>4047</v>
      </c>
      <c r="D221" s="16" t="s">
        <v>4049</v>
      </c>
      <c r="E221" s="16" t="s">
        <v>4050</v>
      </c>
      <c r="F221" s="9" t="str">
        <f t="shared" si="6"/>
        <v>https://www.ssbuy.tw/detail_giftcode/dist/giftcodes/野蠻生存錄.html</v>
      </c>
      <c r="G221" s="16" t="s">
        <v>4048</v>
      </c>
      <c r="H221" s="9" t="str">
        <f t="shared" si="7"/>
        <v>https://www.ssbuy.tw/detail_giftcode/dist/gamedetail/野蠻生存錄.html</v>
      </c>
      <c r="I221" s="10" t="s">
        <v>4067</v>
      </c>
      <c r="J221" s="27" t="s">
        <v>4055</v>
      </c>
      <c r="K221" s="30">
        <v>2555</v>
      </c>
      <c r="L221" s="29" t="s">
        <v>4056</v>
      </c>
      <c r="M221" s="30">
        <v>1331</v>
      </c>
      <c r="N221" s="29" t="s">
        <v>4057</v>
      </c>
      <c r="O221" s="30">
        <v>535</v>
      </c>
      <c r="P221" s="31" t="s">
        <v>4058</v>
      </c>
      <c r="Q221" s="30">
        <v>264</v>
      </c>
      <c r="R221" s="31" t="s">
        <v>4059</v>
      </c>
      <c r="S221" s="30">
        <v>145</v>
      </c>
    </row>
    <row r="222" spans="1:35" ht="28.5" customHeight="1" thickBot="1">
      <c r="A222" s="116" t="s">
        <v>4064</v>
      </c>
      <c r="C222" s="36" t="s">
        <v>4052</v>
      </c>
      <c r="D222" s="16" t="s">
        <v>4053</v>
      </c>
      <c r="E222" s="16" t="s">
        <v>4051</v>
      </c>
      <c r="F222" s="9" t="str">
        <f t="shared" si="6"/>
        <v>https://www.ssbuy.tw/detail_giftcode/dist/giftcodes/萬獸崛起.html</v>
      </c>
      <c r="G222" s="16" t="s">
        <v>4054</v>
      </c>
      <c r="H222" s="9" t="str">
        <f t="shared" si="7"/>
        <v>https://www.ssbuy.tw/detail_giftcode/dist/gamedetail/萬獸崛起.html</v>
      </c>
      <c r="I222" s="10" t="s">
        <v>4068</v>
      </c>
      <c r="J222" s="27" t="s">
        <v>61</v>
      </c>
      <c r="K222" s="30">
        <v>2555</v>
      </c>
      <c r="L222" s="29" t="s">
        <v>62</v>
      </c>
      <c r="M222" s="30">
        <v>1331</v>
      </c>
      <c r="N222" s="29" t="s">
        <v>63</v>
      </c>
      <c r="O222" s="30">
        <v>780</v>
      </c>
      <c r="P222" s="31" t="s">
        <v>1276</v>
      </c>
      <c r="Q222" s="30">
        <v>391</v>
      </c>
      <c r="R222" s="31" t="s">
        <v>16</v>
      </c>
      <c r="S222" s="30">
        <v>145</v>
      </c>
      <c r="T222" s="31" t="s">
        <v>7</v>
      </c>
      <c r="U222" s="30">
        <v>28</v>
      </c>
    </row>
    <row r="223" spans="1:35" ht="28.5" customHeight="1" thickBot="1">
      <c r="A223" s="116" t="s">
        <v>4065</v>
      </c>
      <c r="C223" s="36" t="s">
        <v>4060</v>
      </c>
      <c r="D223" s="16" t="s">
        <v>4061</v>
      </c>
      <c r="E223" s="16" t="s">
        <v>4062</v>
      </c>
      <c r="F223" s="9" t="str">
        <f t="shared" si="6"/>
        <v>https://www.ssbuy.tw/detail_giftcode/dist/giftcodes/劍靈神域.html</v>
      </c>
      <c r="G223" s="16" t="s">
        <v>4066</v>
      </c>
      <c r="H223" s="9" t="str">
        <f t="shared" si="7"/>
        <v>https://www.ssbuy.tw/detail_giftcode/dist/gamedetail/劍靈神域.html</v>
      </c>
      <c r="I223" s="10" t="s">
        <v>4069</v>
      </c>
      <c r="J223" s="27" t="s">
        <v>4077</v>
      </c>
      <c r="K223" s="30">
        <v>2555</v>
      </c>
      <c r="L223" s="29" t="s">
        <v>4078</v>
      </c>
      <c r="M223" s="30">
        <v>1300</v>
      </c>
      <c r="N223" s="29" t="s">
        <v>4079</v>
      </c>
      <c r="O223" s="30">
        <v>788</v>
      </c>
      <c r="P223" s="31" t="s">
        <v>235</v>
      </c>
      <c r="Q223" s="30">
        <v>2555</v>
      </c>
      <c r="R223" s="31" t="s">
        <v>236</v>
      </c>
      <c r="S223" s="30">
        <v>1300</v>
      </c>
      <c r="T223" s="31" t="s">
        <v>1292</v>
      </c>
      <c r="U223" s="30">
        <v>788</v>
      </c>
      <c r="V223" s="31" t="s">
        <v>237</v>
      </c>
      <c r="W223" s="30">
        <v>535</v>
      </c>
      <c r="X223" s="31" t="s">
        <v>238</v>
      </c>
      <c r="Y223" s="30">
        <v>264</v>
      </c>
      <c r="Z223" s="31" t="s">
        <v>239</v>
      </c>
      <c r="AA223" s="30">
        <v>145</v>
      </c>
      <c r="AB223" s="31" t="s">
        <v>240</v>
      </c>
      <c r="AC223" s="30">
        <v>28</v>
      </c>
      <c r="AD223" s="31" t="s">
        <v>176</v>
      </c>
      <c r="AE223" s="30">
        <v>85</v>
      </c>
      <c r="AF223" s="31" t="s">
        <v>176</v>
      </c>
      <c r="AG223" s="30">
        <v>85</v>
      </c>
      <c r="AH223" s="16" t="s">
        <v>5417</v>
      </c>
      <c r="AI223" s="39" t="s">
        <v>5446</v>
      </c>
    </row>
    <row r="224" spans="1:35" ht="28.5" customHeight="1" thickBot="1">
      <c r="A224" s="116" t="s">
        <v>4080</v>
      </c>
      <c r="C224" s="36" t="s">
        <v>4083</v>
      </c>
      <c r="D224" s="16" t="s">
        <v>4085</v>
      </c>
      <c r="E224" s="16" t="s">
        <v>4086</v>
      </c>
      <c r="F224" s="9" t="str">
        <f t="shared" si="6"/>
        <v>https://www.ssbuy.tw/detail_giftcode/dist/giftcodes/國王駕到！堡堡大作戰.html</v>
      </c>
      <c r="G224" s="9" t="s">
        <v>4084</v>
      </c>
      <c r="H224" s="9" t="str">
        <f t="shared" si="7"/>
        <v>https://www.ssbuy.tw/detail_giftcode/dist/gamedetail/國王駕到！堡堡大作戰.html</v>
      </c>
      <c r="I224" s="10" t="s">
        <v>4092</v>
      </c>
      <c r="J224" s="27" t="s">
        <v>12</v>
      </c>
      <c r="K224" s="30">
        <v>2555</v>
      </c>
      <c r="L224" s="29" t="s">
        <v>13</v>
      </c>
      <c r="M224" s="30">
        <v>1331</v>
      </c>
      <c r="N224" s="29" t="s">
        <v>14</v>
      </c>
      <c r="O224" s="30">
        <v>551</v>
      </c>
      <c r="P224" s="31" t="s">
        <v>120</v>
      </c>
      <c r="Q224" s="30">
        <v>264</v>
      </c>
      <c r="R224" s="31" t="s">
        <v>16</v>
      </c>
      <c r="S224" s="30">
        <v>145</v>
      </c>
      <c r="T224" s="31" t="s">
        <v>7</v>
      </c>
      <c r="U224" s="30">
        <v>28</v>
      </c>
      <c r="V224" s="16" t="s">
        <v>5417</v>
      </c>
      <c r="W224" s="39" t="s">
        <v>5446</v>
      </c>
    </row>
    <row r="225" spans="1:35" ht="28.5" customHeight="1" thickBot="1">
      <c r="A225" s="38" t="s">
        <v>4121</v>
      </c>
      <c r="C225" s="36" t="s">
        <v>4101</v>
      </c>
      <c r="D225" s="16" t="s">
        <v>4102</v>
      </c>
      <c r="E225" s="16" t="s">
        <v>4105</v>
      </c>
      <c r="F225" s="9" t="str">
        <f t="shared" si="6"/>
        <v>https://www.ssbuy.tw/detail_giftcode/dist/giftcodes/阿瑞斯：命運的選擇者.html</v>
      </c>
      <c r="G225" s="16" t="s">
        <v>4103</v>
      </c>
      <c r="H225" s="9" t="str">
        <f t="shared" si="7"/>
        <v>https://www.ssbuy.tw/detail_giftcode/dist/gamedetail/阿瑞斯：命運的選擇者.html</v>
      </c>
      <c r="I225" s="10" t="s">
        <v>4107</v>
      </c>
      <c r="J225" s="33" t="s">
        <v>2638</v>
      </c>
      <c r="K225" s="24" t="s">
        <v>2638</v>
      </c>
      <c r="L225" s="24" t="s">
        <v>2638</v>
      </c>
      <c r="M225" s="24" t="s">
        <v>2638</v>
      </c>
      <c r="N225" s="24" t="s">
        <v>2638</v>
      </c>
      <c r="O225" s="24" t="s">
        <v>2638</v>
      </c>
    </row>
    <row r="226" spans="1:35" ht="28.5" customHeight="1" thickBot="1">
      <c r="A226" s="38" t="s">
        <v>4136</v>
      </c>
      <c r="C226" s="16" t="s">
        <v>4104</v>
      </c>
      <c r="D226" s="16" t="s">
        <v>4104</v>
      </c>
      <c r="E226" s="16" t="s">
        <v>4106</v>
      </c>
      <c r="F226" s="9" t="str">
        <f t="shared" si="6"/>
        <v>https://www.ssbuy.tw/detail_giftcode/dist/giftcodes/Draft showdown.html</v>
      </c>
      <c r="G226" s="16" t="s">
        <v>4104</v>
      </c>
      <c r="H226" s="9" t="str">
        <f t="shared" si="7"/>
        <v>https://www.ssbuy.tw/detail_giftcode/dist/gamedetail/Draft showdown.html</v>
      </c>
      <c r="I226" s="10" t="s">
        <v>4108</v>
      </c>
      <c r="J226" s="27" t="s">
        <v>4122</v>
      </c>
      <c r="K226" s="30">
        <v>171</v>
      </c>
      <c r="L226" s="29" t="s">
        <v>4123</v>
      </c>
      <c r="M226" s="30">
        <v>612</v>
      </c>
      <c r="N226" s="29" t="s">
        <v>4124</v>
      </c>
      <c r="O226" s="30">
        <v>2286</v>
      </c>
      <c r="P226" s="31" t="s">
        <v>4125</v>
      </c>
      <c r="Q226" s="30">
        <v>1139</v>
      </c>
      <c r="R226" s="31" t="s">
        <v>4126</v>
      </c>
      <c r="S226" s="30">
        <v>535</v>
      </c>
      <c r="T226" s="31" t="s">
        <v>4127</v>
      </c>
      <c r="U226" s="30">
        <v>124</v>
      </c>
      <c r="V226" s="16" t="s">
        <v>5417</v>
      </c>
      <c r="W226" s="39" t="s">
        <v>5446</v>
      </c>
    </row>
    <row r="227" spans="1:35" ht="28.5" customHeight="1" thickBot="1">
      <c r="A227" s="114" t="s">
        <v>4110</v>
      </c>
      <c r="C227" s="36" t="s">
        <v>4112</v>
      </c>
      <c r="D227" s="16" t="s">
        <v>4111</v>
      </c>
      <c r="E227" s="16" t="s">
        <v>4113</v>
      </c>
      <c r="F227" s="9" t="str">
        <f t="shared" si="6"/>
        <v>https://www.ssbuy.tw/detail_giftcode/dist/giftcodes/魔鏡2：瘋狂的蛇姬.html</v>
      </c>
      <c r="G227" s="16" t="s">
        <v>4109</v>
      </c>
      <c r="H227" s="9" t="str">
        <f t="shared" si="7"/>
        <v>https://www.ssbuy.tw/detail_giftcode/dist/gamedetail/魔鏡2：瘋狂的蛇姬.html</v>
      </c>
      <c r="I227" s="10" t="s">
        <v>4118</v>
      </c>
      <c r="J227" s="27" t="s">
        <v>12</v>
      </c>
      <c r="K227" s="30">
        <v>2479</v>
      </c>
      <c r="L227" s="29" t="s">
        <v>13</v>
      </c>
      <c r="M227" s="30">
        <v>1292</v>
      </c>
      <c r="N227" s="29" t="s">
        <v>24</v>
      </c>
      <c r="O227" s="30">
        <v>757</v>
      </c>
      <c r="P227" s="31" t="s">
        <v>14</v>
      </c>
      <c r="Q227" s="30">
        <v>519</v>
      </c>
      <c r="R227" s="31" t="s">
        <v>120</v>
      </c>
      <c r="S227" s="30">
        <v>256</v>
      </c>
      <c r="T227" s="31" t="s">
        <v>16</v>
      </c>
      <c r="U227" s="30">
        <v>140</v>
      </c>
      <c r="V227" s="31" t="s">
        <v>7</v>
      </c>
      <c r="W227" s="30">
        <v>27</v>
      </c>
      <c r="X227" s="31" t="s">
        <v>4128</v>
      </c>
      <c r="Y227" s="30">
        <v>256</v>
      </c>
      <c r="Z227" s="31" t="s">
        <v>4129</v>
      </c>
      <c r="AA227" s="30">
        <v>757</v>
      </c>
      <c r="AB227" s="31" t="s">
        <v>4130</v>
      </c>
      <c r="AC227" s="30">
        <v>380</v>
      </c>
      <c r="AD227" s="31" t="s">
        <v>4131</v>
      </c>
      <c r="AE227" s="30">
        <v>519</v>
      </c>
      <c r="AF227" s="16" t="s">
        <v>5417</v>
      </c>
      <c r="AG227" s="39" t="s">
        <v>5446</v>
      </c>
    </row>
    <row r="228" spans="1:35" ht="28.5" customHeight="1" thickBot="1">
      <c r="A228" s="114" t="s">
        <v>4119</v>
      </c>
      <c r="C228" s="36" t="s">
        <v>4117</v>
      </c>
      <c r="D228" s="16" t="s">
        <v>4116</v>
      </c>
      <c r="E228" s="16" t="s">
        <v>4115</v>
      </c>
      <c r="F228" s="9" t="str">
        <f t="shared" si="6"/>
        <v>https://www.ssbuy.tw/detail_giftcode/dist/giftcodes/量子機動隊.html</v>
      </c>
      <c r="G228" s="16" t="s">
        <v>4114</v>
      </c>
      <c r="H228" s="9" t="str">
        <f t="shared" si="7"/>
        <v>https://www.ssbuy.tw/detail_giftcode/dist/gamedetail/量子機動隊.html</v>
      </c>
      <c r="I228" s="10" t="s">
        <v>4120</v>
      </c>
      <c r="J228" s="27" t="s">
        <v>1660</v>
      </c>
      <c r="K228" s="30">
        <v>2487</v>
      </c>
      <c r="L228" s="29" t="s">
        <v>1661</v>
      </c>
      <c r="M228" s="30">
        <v>1261</v>
      </c>
      <c r="N228" s="29" t="s">
        <v>4132</v>
      </c>
      <c r="O228" s="30">
        <v>1009</v>
      </c>
      <c r="P228" s="31" t="s">
        <v>4133</v>
      </c>
      <c r="Q228" s="30">
        <v>887</v>
      </c>
      <c r="R228" s="31" t="s">
        <v>4134</v>
      </c>
      <c r="S228" s="30">
        <v>631</v>
      </c>
      <c r="T228" s="31" t="s">
        <v>1663</v>
      </c>
      <c r="U228" s="30">
        <v>512</v>
      </c>
      <c r="V228" s="31" t="s">
        <v>1666</v>
      </c>
      <c r="W228" s="30">
        <v>256</v>
      </c>
      <c r="X228" s="31" t="s">
        <v>1667</v>
      </c>
      <c r="Y228" s="30">
        <v>136</v>
      </c>
      <c r="Z228" s="31" t="s">
        <v>4135</v>
      </c>
      <c r="AA228" s="30">
        <v>57</v>
      </c>
      <c r="AB228" s="31" t="s">
        <v>1668</v>
      </c>
      <c r="AC228" s="30">
        <v>27</v>
      </c>
      <c r="AD228" s="16" t="s">
        <v>5417</v>
      </c>
      <c r="AE228" s="39" t="s">
        <v>5446</v>
      </c>
    </row>
    <row r="229" spans="1:35" ht="28.5" customHeight="1" thickBot="1">
      <c r="A229" s="116" t="s">
        <v>4243</v>
      </c>
      <c r="C229" s="36" t="s">
        <v>4174</v>
      </c>
      <c r="D229" s="16" t="s">
        <v>4175</v>
      </c>
      <c r="E229" s="9" t="s">
        <v>4176</v>
      </c>
      <c r="F229" s="9" t="str">
        <f t="shared" si="6"/>
        <v>https://www.ssbuy.tw/detail_giftcode/dist/giftcodes/呷飽未？殭殭醬.html</v>
      </c>
      <c r="G229" s="16" t="s">
        <v>4173</v>
      </c>
      <c r="H229" s="9" t="str">
        <f t="shared" si="7"/>
        <v>https://www.ssbuy.tw/detail_giftcode/dist/gamedetail/呷飽未？殭殭醬.html</v>
      </c>
      <c r="I229" s="34" t="s">
        <v>5129</v>
      </c>
      <c r="J229" s="27" t="s">
        <v>3717</v>
      </c>
      <c r="K229" s="30">
        <v>2293</v>
      </c>
      <c r="L229" s="29" t="s">
        <v>4196</v>
      </c>
      <c r="M229" s="30">
        <v>1529</v>
      </c>
      <c r="N229" s="29" t="s">
        <v>4197</v>
      </c>
      <c r="O229" s="30">
        <v>764</v>
      </c>
      <c r="P229" s="31" t="s">
        <v>262</v>
      </c>
      <c r="Q229" s="30">
        <v>757</v>
      </c>
      <c r="R229" s="31" t="s">
        <v>4191</v>
      </c>
      <c r="S229" s="30">
        <v>388</v>
      </c>
      <c r="T229" s="31" t="s">
        <v>4192</v>
      </c>
      <c r="U229" s="30">
        <v>372</v>
      </c>
      <c r="V229" s="31" t="s">
        <v>4193</v>
      </c>
      <c r="W229" s="30">
        <v>271</v>
      </c>
      <c r="X229" s="31" t="s">
        <v>265</v>
      </c>
      <c r="Y229" s="30">
        <v>248</v>
      </c>
      <c r="Z229" s="31" t="s">
        <v>4194</v>
      </c>
      <c r="AA229" s="30">
        <v>202</v>
      </c>
      <c r="AB229" s="31" t="s">
        <v>4195</v>
      </c>
      <c r="AC229" s="30">
        <v>132</v>
      </c>
      <c r="AD229" s="16" t="s">
        <v>5417</v>
      </c>
      <c r="AE229" s="39" t="s">
        <v>5446</v>
      </c>
    </row>
    <row r="230" spans="1:35" ht="28.5" customHeight="1" thickBot="1">
      <c r="A230" s="116" t="s">
        <v>5121</v>
      </c>
      <c r="C230" s="8" t="s">
        <v>4177</v>
      </c>
      <c r="D230" s="16" t="s">
        <v>4179</v>
      </c>
      <c r="E230" s="9" t="s">
        <v>4178</v>
      </c>
      <c r="F230" s="9" t="str">
        <f t="shared" si="6"/>
        <v>https://www.ssbuy.tw/detail_giftcode/dist/giftcodes/XXL猛漢町.html</v>
      </c>
      <c r="G230" s="16" t="s">
        <v>4241</v>
      </c>
      <c r="H230" s="9" t="str">
        <f t="shared" si="7"/>
        <v>https://www.ssbuy.tw/detail_giftcode/dist/gamedetail/XXL猛漢町.html</v>
      </c>
      <c r="I230" s="34" t="s">
        <v>5130</v>
      </c>
      <c r="J230" s="21" t="s">
        <v>4228</v>
      </c>
      <c r="K230" s="20">
        <v>4145</v>
      </c>
      <c r="L230" s="21" t="s">
        <v>4229</v>
      </c>
      <c r="M230" s="20">
        <v>2849</v>
      </c>
      <c r="N230" s="21" t="s">
        <v>4230</v>
      </c>
      <c r="O230" s="20">
        <v>1835</v>
      </c>
      <c r="P230" s="21" t="s">
        <v>4231</v>
      </c>
      <c r="Q230" s="20">
        <v>1208</v>
      </c>
      <c r="R230" s="21" t="s">
        <v>4232</v>
      </c>
      <c r="S230" s="20">
        <v>757</v>
      </c>
      <c r="T230" s="21" t="s">
        <v>4233</v>
      </c>
      <c r="U230" s="20">
        <v>465</v>
      </c>
      <c r="V230" s="21" t="s">
        <v>4234</v>
      </c>
      <c r="W230" s="20">
        <v>256</v>
      </c>
      <c r="X230" s="21" t="s">
        <v>4235</v>
      </c>
      <c r="Y230" s="20">
        <v>136</v>
      </c>
      <c r="Z230" s="21" t="s">
        <v>4236</v>
      </c>
      <c r="AA230" s="20">
        <v>54</v>
      </c>
      <c r="AB230" s="21" t="s">
        <v>4237</v>
      </c>
      <c r="AC230" s="20">
        <v>465</v>
      </c>
      <c r="AD230" s="21" t="s">
        <v>4238</v>
      </c>
      <c r="AE230" s="20">
        <v>165</v>
      </c>
      <c r="AF230" s="21" t="s">
        <v>4239</v>
      </c>
      <c r="AG230" s="20">
        <v>329</v>
      </c>
      <c r="AH230" s="16" t="s">
        <v>5417</v>
      </c>
      <c r="AI230" s="39" t="s">
        <v>5446</v>
      </c>
    </row>
    <row r="231" spans="1:35" ht="28.5" customHeight="1" thickBot="1">
      <c r="A231" s="116" t="s">
        <v>5122</v>
      </c>
      <c r="C231" s="36" t="s">
        <v>4187</v>
      </c>
      <c r="D231" s="16" t="s">
        <v>4181</v>
      </c>
      <c r="E231" s="16" t="s">
        <v>4182</v>
      </c>
      <c r="F231" s="9" t="str">
        <f t="shared" si="6"/>
        <v>https://www.ssbuy.tw/detail_giftcode/dist/giftcodes/Dead Impact：Survival Online.html</v>
      </c>
      <c r="G231" s="16" t="s">
        <v>4180</v>
      </c>
      <c r="H231" s="9" t="str">
        <f t="shared" si="7"/>
        <v>https://www.ssbuy.tw/detail_giftcode/dist/gamedetail/Dead Impact：Survival Online.html</v>
      </c>
      <c r="I231" s="34" t="s">
        <v>5131</v>
      </c>
      <c r="J231" s="27" t="s">
        <v>4156</v>
      </c>
      <c r="K231" s="30">
        <v>2286</v>
      </c>
      <c r="L231" s="29" t="s">
        <v>4157</v>
      </c>
      <c r="M231" s="30">
        <v>1521</v>
      </c>
      <c r="N231" s="29" t="s">
        <v>4158</v>
      </c>
      <c r="O231" s="30">
        <v>612</v>
      </c>
      <c r="P231" s="31" t="s">
        <v>4159</v>
      </c>
      <c r="Q231" s="30">
        <v>380</v>
      </c>
      <c r="R231" s="31" t="s">
        <v>1461</v>
      </c>
      <c r="S231" s="30">
        <v>248</v>
      </c>
      <c r="T231" s="31" t="s">
        <v>4160</v>
      </c>
      <c r="U231" s="30">
        <v>50</v>
      </c>
      <c r="V231" s="31" t="s">
        <v>4161</v>
      </c>
      <c r="W231" s="30">
        <v>612</v>
      </c>
      <c r="X231" s="31" t="s">
        <v>4162</v>
      </c>
      <c r="Y231" s="30">
        <v>302</v>
      </c>
      <c r="Z231" s="31" t="s">
        <v>4163</v>
      </c>
      <c r="AA231" s="30">
        <v>535</v>
      </c>
      <c r="AB231" s="16" t="s">
        <v>5417</v>
      </c>
      <c r="AC231" s="39" t="s">
        <v>5446</v>
      </c>
    </row>
    <row r="232" spans="1:35" ht="28.5" customHeight="1" thickBot="1">
      <c r="A232" s="116" t="s">
        <v>4240</v>
      </c>
      <c r="C232" s="36" t="s">
        <v>4186</v>
      </c>
      <c r="D232" s="16" t="s">
        <v>4184</v>
      </c>
      <c r="E232" s="16" t="s">
        <v>4185</v>
      </c>
      <c r="F232" s="9" t="str">
        <f t="shared" si="6"/>
        <v>https://www.ssbuy.tw/detail_giftcode/dist/giftcodes/無限子彈.html</v>
      </c>
      <c r="G232" s="16" t="s">
        <v>4183</v>
      </c>
      <c r="H232" s="9" t="str">
        <f t="shared" si="7"/>
        <v>https://www.ssbuy.tw/detail_giftcode/dist/gamedetail/無限子彈.html</v>
      </c>
      <c r="I232" s="34" t="s">
        <v>5132</v>
      </c>
      <c r="J232" s="27" t="s">
        <v>4164</v>
      </c>
      <c r="K232" s="30">
        <v>1521</v>
      </c>
      <c r="L232" s="29" t="s">
        <v>4165</v>
      </c>
      <c r="M232" s="30">
        <v>986</v>
      </c>
      <c r="N232" s="29" t="s">
        <v>1320</v>
      </c>
      <c r="O232" s="30">
        <v>380</v>
      </c>
      <c r="P232" s="31" t="s">
        <v>4166</v>
      </c>
      <c r="Q232" s="30">
        <v>248</v>
      </c>
      <c r="R232" s="31" t="s">
        <v>4167</v>
      </c>
      <c r="S232" s="30">
        <v>99</v>
      </c>
      <c r="T232" s="31" t="s">
        <v>3625</v>
      </c>
      <c r="U232" s="30">
        <v>25</v>
      </c>
      <c r="V232" s="31" t="s">
        <v>4168</v>
      </c>
      <c r="W232" s="30">
        <v>780</v>
      </c>
      <c r="X232" s="31" t="s">
        <v>4169</v>
      </c>
      <c r="Y232" s="30">
        <v>157</v>
      </c>
      <c r="Z232" s="31" t="s">
        <v>4170</v>
      </c>
      <c r="AA232" s="30">
        <v>248</v>
      </c>
      <c r="AB232" s="31" t="s">
        <v>4171</v>
      </c>
      <c r="AC232" s="30">
        <v>279</v>
      </c>
      <c r="AD232" s="16" t="s">
        <v>5417</v>
      </c>
      <c r="AE232" s="39" t="s">
        <v>5446</v>
      </c>
    </row>
    <row r="233" spans="1:35" ht="28.5" customHeight="1" thickBot="1">
      <c r="A233" s="116" t="s">
        <v>4198</v>
      </c>
      <c r="C233" s="36" t="s">
        <v>4190</v>
      </c>
      <c r="D233" s="16" t="s">
        <v>4189</v>
      </c>
      <c r="E233" s="16" t="s">
        <v>4188</v>
      </c>
      <c r="F233" s="9" t="str">
        <f t="shared" si="6"/>
        <v>https://www.ssbuy.tw/detail_giftcode/dist/giftcodes/Dunkadillo.html</v>
      </c>
      <c r="G233" s="16" t="s">
        <v>4242</v>
      </c>
      <c r="H233" s="9" t="str">
        <f t="shared" si="7"/>
        <v>https://www.ssbuy.tw/detail_giftcode/dist/gamedetail/Dunkadillo.html</v>
      </c>
      <c r="I233" s="34" t="s">
        <v>8632</v>
      </c>
      <c r="J233" s="27" t="s">
        <v>4172</v>
      </c>
      <c r="K233" s="30">
        <v>171</v>
      </c>
    </row>
    <row r="234" spans="1:35" ht="28.5" customHeight="1" thickBot="1">
      <c r="A234" s="116" t="s">
        <v>4244</v>
      </c>
      <c r="C234" s="36" t="s">
        <v>4253</v>
      </c>
      <c r="D234" s="9" t="s">
        <v>4256</v>
      </c>
      <c r="E234" s="9" t="s">
        <v>4254</v>
      </c>
      <c r="F234" s="9" t="str">
        <f t="shared" si="6"/>
        <v>https://www.ssbuy.tw/detail_giftcode/dist/giftcodes/遺跡的地平線.html</v>
      </c>
      <c r="G234" s="9" t="s">
        <v>4255</v>
      </c>
      <c r="H234" s="9" t="str">
        <f t="shared" si="7"/>
        <v>https://www.ssbuy.tw/detail_giftcode/dist/gamedetail/遺跡的地平線.html</v>
      </c>
      <c r="I234" s="10" t="s">
        <v>4277</v>
      </c>
      <c r="J234" s="21" t="s">
        <v>4317</v>
      </c>
      <c r="K234" s="20">
        <v>2479</v>
      </c>
      <c r="L234" s="21" t="s">
        <v>4318</v>
      </c>
      <c r="M234" s="20">
        <v>1292</v>
      </c>
      <c r="N234" s="21" t="s">
        <v>4319</v>
      </c>
      <c r="O234" s="20">
        <v>757</v>
      </c>
      <c r="P234" s="21" t="s">
        <v>4320</v>
      </c>
      <c r="Q234" s="20">
        <v>665</v>
      </c>
      <c r="R234" s="21" t="s">
        <v>4321</v>
      </c>
      <c r="S234" s="20">
        <v>519</v>
      </c>
      <c r="T234" s="21" t="s">
        <v>4322</v>
      </c>
      <c r="U234" s="20">
        <v>380</v>
      </c>
      <c r="V234" s="21" t="s">
        <v>4323</v>
      </c>
      <c r="W234" s="20">
        <v>256</v>
      </c>
      <c r="X234" s="21" t="s">
        <v>4324</v>
      </c>
      <c r="Y234" s="20">
        <v>209</v>
      </c>
      <c r="Z234" s="21" t="s">
        <v>4325</v>
      </c>
      <c r="AA234" s="20">
        <v>140</v>
      </c>
      <c r="AB234" s="21" t="s">
        <v>4326</v>
      </c>
      <c r="AC234" s="20">
        <v>83</v>
      </c>
      <c r="AD234" s="16" t="s">
        <v>5417</v>
      </c>
      <c r="AE234" s="39" t="s">
        <v>5446</v>
      </c>
    </row>
    <row r="235" spans="1:35" ht="28.5" customHeight="1" thickBot="1">
      <c r="A235" s="116" t="s">
        <v>4245</v>
      </c>
      <c r="C235" s="8" t="s">
        <v>4257</v>
      </c>
      <c r="D235" s="9" t="s">
        <v>4262</v>
      </c>
      <c r="E235" s="9" t="s">
        <v>4264</v>
      </c>
      <c r="F235" s="9" t="str">
        <f t="shared" si="6"/>
        <v>https://www.ssbuy.tw/detail_giftcode/dist/giftcodes/三國將將好.html</v>
      </c>
      <c r="G235" s="9" t="s">
        <v>4263</v>
      </c>
      <c r="H235" s="9" t="str">
        <f t="shared" si="7"/>
        <v>https://www.ssbuy.tw/detail_giftcode/dist/gamedetail/三國將將好.html</v>
      </c>
      <c r="I235" s="10" t="s">
        <v>4278</v>
      </c>
      <c r="J235" s="21" t="s">
        <v>301</v>
      </c>
      <c r="K235" s="20">
        <v>2286</v>
      </c>
      <c r="L235" s="21" t="s">
        <v>302</v>
      </c>
      <c r="M235" s="20">
        <v>1139</v>
      </c>
      <c r="N235" s="21" t="s">
        <v>262</v>
      </c>
      <c r="O235" s="20">
        <v>757</v>
      </c>
      <c r="P235" s="21" t="s">
        <v>264</v>
      </c>
      <c r="Q235" s="20">
        <v>535</v>
      </c>
      <c r="R235" s="21" t="s">
        <v>1493</v>
      </c>
      <c r="S235" s="20">
        <v>380</v>
      </c>
      <c r="T235" s="21" t="s">
        <v>265</v>
      </c>
      <c r="U235" s="20">
        <v>248</v>
      </c>
      <c r="V235" s="21" t="s">
        <v>250</v>
      </c>
      <c r="W235" s="20">
        <v>171</v>
      </c>
      <c r="X235" s="21" t="s">
        <v>251</v>
      </c>
      <c r="Y235" s="20">
        <v>124</v>
      </c>
      <c r="Z235" s="21" t="s">
        <v>266</v>
      </c>
      <c r="AA235" s="20">
        <v>74</v>
      </c>
      <c r="AB235" s="16" t="s">
        <v>5417</v>
      </c>
      <c r="AC235" s="39" t="s">
        <v>5446</v>
      </c>
    </row>
    <row r="236" spans="1:35" ht="28.5" customHeight="1" thickBot="1">
      <c r="A236" s="116" t="s">
        <v>4246</v>
      </c>
      <c r="C236" s="8" t="s">
        <v>4258</v>
      </c>
      <c r="D236" s="9" t="s">
        <v>4265</v>
      </c>
      <c r="E236" s="9" t="s">
        <v>4266</v>
      </c>
      <c r="F236" s="9" t="str">
        <f t="shared" si="6"/>
        <v>https://www.ssbuy.tw/detail_giftcode/dist/giftcodes/七騎士 Re：BIRTH.html</v>
      </c>
      <c r="G236" s="9" t="s">
        <v>4267</v>
      </c>
      <c r="H236" s="9" t="str">
        <f t="shared" si="7"/>
        <v>https://www.ssbuy.tw/detail_giftcode/dist/gamedetail/七騎士 Re：BIRTH.html</v>
      </c>
      <c r="I236" s="10" t="s">
        <v>4279</v>
      </c>
      <c r="J236" s="21" t="s">
        <v>1427</v>
      </c>
      <c r="K236" s="20">
        <v>2479</v>
      </c>
      <c r="L236" s="21" t="s">
        <v>259</v>
      </c>
      <c r="M236" s="20">
        <v>1750</v>
      </c>
      <c r="N236" s="21" t="s">
        <v>278</v>
      </c>
      <c r="O236" s="20">
        <v>1292</v>
      </c>
      <c r="P236" s="21" t="s">
        <v>3948</v>
      </c>
      <c r="Q236" s="20">
        <v>803</v>
      </c>
      <c r="R236" s="21" t="s">
        <v>262</v>
      </c>
      <c r="S236" s="20">
        <v>757</v>
      </c>
      <c r="T236" s="21" t="s">
        <v>279</v>
      </c>
      <c r="U236" s="20">
        <v>519</v>
      </c>
      <c r="V236" s="21" t="s">
        <v>280</v>
      </c>
      <c r="W236" s="20">
        <v>256</v>
      </c>
      <c r="X236" s="21" t="s">
        <v>4327</v>
      </c>
      <c r="Y236" s="20">
        <v>178</v>
      </c>
      <c r="Z236" s="21" t="s">
        <v>3697</v>
      </c>
      <c r="AA236" s="20">
        <v>107</v>
      </c>
      <c r="AB236" s="21" t="s">
        <v>3698</v>
      </c>
      <c r="AC236" s="20">
        <v>58</v>
      </c>
      <c r="AD236" s="21" t="s">
        <v>1428</v>
      </c>
      <c r="AE236" s="20">
        <v>27</v>
      </c>
      <c r="AF236" s="16" t="s">
        <v>5417</v>
      </c>
      <c r="AG236" s="39" t="s">
        <v>5446</v>
      </c>
    </row>
    <row r="237" spans="1:35" ht="28.5" customHeight="1" thickBot="1">
      <c r="A237" s="116" t="s">
        <v>4247</v>
      </c>
      <c r="C237" s="8" t="s">
        <v>4259</v>
      </c>
      <c r="D237" s="9" t="s">
        <v>4268</v>
      </c>
      <c r="E237" s="9" t="s">
        <v>4269</v>
      </c>
      <c r="F237" s="9" t="str">
        <f t="shared" si="6"/>
        <v>https://www.ssbuy.tw/detail_giftcode/dist/giftcodes/異界三國：死神契約.html</v>
      </c>
      <c r="G237" s="9" t="s">
        <v>4270</v>
      </c>
      <c r="H237" s="9" t="str">
        <f t="shared" si="7"/>
        <v>https://www.ssbuy.tw/detail_giftcode/dist/gamedetail/異界三國：死神契約.html</v>
      </c>
      <c r="I237" s="10" t="s">
        <v>4282</v>
      </c>
      <c r="J237" s="21" t="s">
        <v>4328</v>
      </c>
      <c r="K237" s="20">
        <v>2479</v>
      </c>
      <c r="L237" s="21" t="s">
        <v>4329</v>
      </c>
      <c r="M237" s="20">
        <v>1796</v>
      </c>
      <c r="N237" s="21" t="s">
        <v>4330</v>
      </c>
      <c r="O237" s="20">
        <v>1292</v>
      </c>
      <c r="P237" s="21" t="s">
        <v>4331</v>
      </c>
      <c r="Q237" s="20">
        <v>757</v>
      </c>
      <c r="R237" s="21" t="s">
        <v>4332</v>
      </c>
      <c r="S237" s="20">
        <v>380</v>
      </c>
      <c r="T237" s="21" t="s">
        <v>4333</v>
      </c>
      <c r="U237" s="20">
        <v>256</v>
      </c>
      <c r="V237" s="21" t="s">
        <v>4334</v>
      </c>
      <c r="W237" s="20">
        <v>140</v>
      </c>
      <c r="X237" s="21" t="s">
        <v>4335</v>
      </c>
      <c r="Y237" s="20">
        <v>83</v>
      </c>
      <c r="Z237" s="21" t="s">
        <v>4336</v>
      </c>
      <c r="AA237" s="20">
        <v>58</v>
      </c>
      <c r="AB237" s="21" t="s">
        <v>4337</v>
      </c>
      <c r="AC237" s="20">
        <v>27</v>
      </c>
      <c r="AD237" s="16" t="s">
        <v>5417</v>
      </c>
      <c r="AE237" s="39" t="s">
        <v>5446</v>
      </c>
    </row>
    <row r="238" spans="1:35" ht="28.5" customHeight="1" thickBot="1">
      <c r="A238" s="116" t="s">
        <v>4248</v>
      </c>
      <c r="C238" s="8" t="s">
        <v>4260</v>
      </c>
      <c r="D238" s="9" t="s">
        <v>4276</v>
      </c>
      <c r="E238" s="9" t="s">
        <v>4274</v>
      </c>
      <c r="F238" s="9" t="str">
        <f t="shared" si="6"/>
        <v>https://www.ssbuy.tw/detail_giftcode/dist/giftcodes/魔法師之徒.html</v>
      </c>
      <c r="G238" s="9" t="s">
        <v>4275</v>
      </c>
      <c r="H238" s="9" t="str">
        <f t="shared" si="7"/>
        <v>https://www.ssbuy.tw/detail_giftcode/dist/gamedetail/魔法師之徒.html</v>
      </c>
      <c r="I238" s="10" t="s">
        <v>4280</v>
      </c>
      <c r="J238" s="21" t="s">
        <v>4338</v>
      </c>
      <c r="K238" s="20">
        <v>2479</v>
      </c>
      <c r="L238" s="21" t="s">
        <v>4339</v>
      </c>
      <c r="M238" s="20">
        <v>1292</v>
      </c>
      <c r="N238" s="21" t="s">
        <v>4340</v>
      </c>
      <c r="O238" s="20">
        <v>757</v>
      </c>
      <c r="P238" s="21" t="s">
        <v>4341</v>
      </c>
      <c r="Q238" s="20">
        <v>519</v>
      </c>
      <c r="R238" s="21" t="s">
        <v>4342</v>
      </c>
      <c r="S238" s="20">
        <v>256</v>
      </c>
      <c r="T238" s="21" t="s">
        <v>4343</v>
      </c>
      <c r="U238" s="20">
        <v>140</v>
      </c>
      <c r="V238" s="21" t="s">
        <v>4344</v>
      </c>
      <c r="W238" s="20">
        <v>27</v>
      </c>
      <c r="X238" s="16" t="s">
        <v>5417</v>
      </c>
      <c r="Y238" s="39" t="s">
        <v>5446</v>
      </c>
    </row>
    <row r="239" spans="1:35" ht="28.5" customHeight="1" thickBot="1">
      <c r="A239" s="116" t="s">
        <v>4249</v>
      </c>
      <c r="C239" s="8" t="s">
        <v>4261</v>
      </c>
      <c r="D239" s="9" t="s">
        <v>4272</v>
      </c>
      <c r="E239" s="9" t="s">
        <v>4273</v>
      </c>
      <c r="F239" s="9" t="str">
        <f t="shared" si="6"/>
        <v>https://www.ssbuy.tw/detail_giftcode/dist/giftcodes/三國魂將傳.html</v>
      </c>
      <c r="G239" s="9" t="s">
        <v>4271</v>
      </c>
      <c r="H239" s="9" t="str">
        <f t="shared" si="7"/>
        <v>https://www.ssbuy.tw/detail_giftcode/dist/gamedetail/三國魂將傳.html</v>
      </c>
      <c r="I239" s="10" t="s">
        <v>4281</v>
      </c>
      <c r="J239" s="21" t="s">
        <v>235</v>
      </c>
      <c r="K239" s="20">
        <v>2286</v>
      </c>
      <c r="L239" s="21" t="s">
        <v>204</v>
      </c>
      <c r="M239" s="20">
        <v>1139</v>
      </c>
      <c r="N239" s="21" t="s">
        <v>1292</v>
      </c>
      <c r="O239" s="20">
        <v>757</v>
      </c>
      <c r="P239" s="21" t="s">
        <v>4444</v>
      </c>
      <c r="Q239" s="20">
        <v>519</v>
      </c>
      <c r="R239" s="21" t="s">
        <v>205</v>
      </c>
      <c r="S239" s="20">
        <v>256</v>
      </c>
      <c r="T239" s="21" t="s">
        <v>239</v>
      </c>
      <c r="U239" s="20">
        <v>140</v>
      </c>
      <c r="V239" s="21" t="s">
        <v>240</v>
      </c>
      <c r="W239" s="20">
        <v>27</v>
      </c>
      <c r="X239" s="21" t="s">
        <v>4445</v>
      </c>
      <c r="Y239" s="20">
        <v>380</v>
      </c>
      <c r="Z239" s="21" t="s">
        <v>4446</v>
      </c>
      <c r="AA239" s="20">
        <v>256</v>
      </c>
      <c r="AB239" s="16" t="s">
        <v>5417</v>
      </c>
      <c r="AC239" s="39" t="s">
        <v>5446</v>
      </c>
    </row>
    <row r="240" spans="1:35" ht="28.5" customHeight="1" thickBot="1">
      <c r="A240" s="38" t="s">
        <v>4412</v>
      </c>
      <c r="C240" s="8" t="s">
        <v>4388</v>
      </c>
      <c r="D240" s="9" t="s">
        <v>4389</v>
      </c>
      <c r="E240" s="9" t="s">
        <v>4387</v>
      </c>
      <c r="F240" s="9" t="str">
        <f t="shared" si="6"/>
        <v>https://www.ssbuy.tw/detail_giftcode/dist/giftcodes/龍息：神寂.html</v>
      </c>
      <c r="G240" s="9" t="s">
        <v>4390</v>
      </c>
      <c r="H240" s="9" t="str">
        <f t="shared" si="7"/>
        <v>https://www.ssbuy.tw/detail_giftcode/dist/gamedetail/龍息：神寂.html</v>
      </c>
      <c r="I240" s="10" t="s">
        <v>4391</v>
      </c>
      <c r="J240" s="21" t="s">
        <v>4399</v>
      </c>
      <c r="K240" s="20">
        <v>2479</v>
      </c>
      <c r="L240" s="21" t="s">
        <v>4400</v>
      </c>
      <c r="M240" s="20">
        <v>1292</v>
      </c>
      <c r="N240" s="21" t="s">
        <v>4401</v>
      </c>
      <c r="O240" s="20">
        <v>757</v>
      </c>
      <c r="P240" s="21" t="s">
        <v>4402</v>
      </c>
      <c r="Q240" s="20">
        <v>380</v>
      </c>
      <c r="R240" s="21" t="s">
        <v>4403</v>
      </c>
      <c r="S240" s="20">
        <v>140</v>
      </c>
      <c r="T240" s="21" t="s">
        <v>4404</v>
      </c>
      <c r="U240" s="20">
        <v>50</v>
      </c>
      <c r="V240" s="16" t="s">
        <v>5417</v>
      </c>
      <c r="W240" s="39" t="s">
        <v>5446</v>
      </c>
    </row>
    <row r="241" spans="1:33" ht="28.5" customHeight="1" thickBot="1">
      <c r="A241" s="116" t="s">
        <v>4413</v>
      </c>
      <c r="C241" s="8" t="s">
        <v>4419</v>
      </c>
      <c r="D241" s="8" t="s">
        <v>4417</v>
      </c>
      <c r="E241" s="9" t="s">
        <v>4418</v>
      </c>
      <c r="F241" s="9" t="str">
        <f t="shared" si="6"/>
        <v>https://www.ssbuy.tw/detail_giftcode/dist/giftcodes/玩具對決.html</v>
      </c>
      <c r="G241" s="9" t="s">
        <v>4416</v>
      </c>
      <c r="H241" s="9" t="str">
        <f t="shared" si="7"/>
        <v>https://www.ssbuy.tw/detail_giftcode/dist/gamedetail/玩具對決.html</v>
      </c>
      <c r="I241" s="34" t="s">
        <v>5133</v>
      </c>
      <c r="J241" s="21" t="s">
        <v>4429</v>
      </c>
      <c r="K241" s="20">
        <v>2286</v>
      </c>
      <c r="L241" s="21" t="s">
        <v>4430</v>
      </c>
      <c r="M241" s="20">
        <v>1139</v>
      </c>
      <c r="N241" s="21" t="s">
        <v>4166</v>
      </c>
      <c r="O241" s="20">
        <v>535</v>
      </c>
      <c r="P241" s="21" t="s">
        <v>4431</v>
      </c>
      <c r="Q241" s="20">
        <v>248</v>
      </c>
      <c r="R241" s="21" t="s">
        <v>27</v>
      </c>
      <c r="S241" s="20">
        <v>124</v>
      </c>
      <c r="T241" s="21" t="s">
        <v>3555</v>
      </c>
      <c r="U241" s="20">
        <v>25</v>
      </c>
      <c r="V241" s="21" t="s">
        <v>4432</v>
      </c>
      <c r="W241" s="20">
        <v>248</v>
      </c>
      <c r="X241" s="21" t="s">
        <v>1560</v>
      </c>
      <c r="Y241" s="20">
        <v>171</v>
      </c>
      <c r="Z241" s="21" t="s">
        <v>4433</v>
      </c>
      <c r="AA241" s="20">
        <v>124</v>
      </c>
      <c r="AB241" s="16" t="s">
        <v>5417</v>
      </c>
      <c r="AC241" s="39" t="s">
        <v>5446</v>
      </c>
    </row>
    <row r="242" spans="1:33" ht="28.5" customHeight="1" thickBot="1">
      <c r="A242" s="116" t="s">
        <v>4414</v>
      </c>
      <c r="C242" s="9" t="s">
        <v>4421</v>
      </c>
      <c r="D242" s="9" t="s">
        <v>4421</v>
      </c>
      <c r="E242" s="9" t="s">
        <v>4421</v>
      </c>
      <c r="F242" s="9" t="str">
        <f t="shared" si="6"/>
        <v>https://www.ssbuy.tw/detail_giftcode/dist/giftcodes/幸福都市：市長模擬器.html</v>
      </c>
      <c r="G242" s="9" t="s">
        <v>4420</v>
      </c>
      <c r="H242" s="9" t="str">
        <f t="shared" si="7"/>
        <v>https://www.ssbuy.tw/detail_giftcode/dist/gamedetail/幸福都市：市長模擬器.html</v>
      </c>
      <c r="I242" s="34" t="s">
        <v>5134</v>
      </c>
      <c r="J242" s="21" t="s">
        <v>301</v>
      </c>
      <c r="K242" s="20">
        <v>2286</v>
      </c>
      <c r="L242" s="21" t="s">
        <v>302</v>
      </c>
      <c r="M242" s="20">
        <v>1139</v>
      </c>
      <c r="N242" s="21" t="s">
        <v>264</v>
      </c>
      <c r="O242" s="20">
        <v>535</v>
      </c>
      <c r="P242" s="21" t="s">
        <v>1457</v>
      </c>
      <c r="Q242" s="20">
        <v>457</v>
      </c>
      <c r="R242" s="21" t="s">
        <v>249</v>
      </c>
      <c r="S242" s="20">
        <v>225</v>
      </c>
      <c r="T242" s="21" t="s">
        <v>1560</v>
      </c>
      <c r="U242" s="20">
        <v>457</v>
      </c>
      <c r="V242" s="21" t="s">
        <v>107</v>
      </c>
      <c r="W242" s="20">
        <v>248</v>
      </c>
      <c r="X242" s="16" t="s">
        <v>5417</v>
      </c>
      <c r="Y242" s="39" t="s">
        <v>5446</v>
      </c>
    </row>
    <row r="243" spans="1:33" ht="28.5" customHeight="1" thickBot="1">
      <c r="A243" s="116" t="s">
        <v>4415</v>
      </c>
      <c r="C243" s="8" t="s">
        <v>4428</v>
      </c>
      <c r="D243" s="9" t="s">
        <v>4426</v>
      </c>
      <c r="E243" s="9" t="s">
        <v>4423</v>
      </c>
      <c r="F243" s="9" t="str">
        <f t="shared" si="6"/>
        <v>https://www.ssbuy.tw/detail_giftcode/dist/giftcodes/黑道傳奇.html</v>
      </c>
      <c r="G243" s="9" t="s">
        <v>4422</v>
      </c>
      <c r="H243" s="9" t="str">
        <f t="shared" si="7"/>
        <v>https://www.ssbuy.tw/detail_giftcode/dist/gamedetail/黑道傳奇.html</v>
      </c>
      <c r="I243" s="34" t="s">
        <v>5135</v>
      </c>
      <c r="J243" s="21" t="s">
        <v>4434</v>
      </c>
      <c r="K243" s="20">
        <v>2479</v>
      </c>
      <c r="L243" s="21" t="s">
        <v>4435</v>
      </c>
      <c r="M243" s="20">
        <v>1292</v>
      </c>
      <c r="N243" s="21" t="s">
        <v>4436</v>
      </c>
      <c r="O243" s="20">
        <v>757</v>
      </c>
      <c r="P243" s="21" t="s">
        <v>4437</v>
      </c>
      <c r="Q243" s="20">
        <v>634</v>
      </c>
      <c r="R243" s="21" t="s">
        <v>127</v>
      </c>
      <c r="S243" s="20">
        <v>380</v>
      </c>
      <c r="T243" s="21" t="s">
        <v>128</v>
      </c>
      <c r="U243" s="20">
        <v>256</v>
      </c>
      <c r="V243" s="21" t="s">
        <v>4438</v>
      </c>
      <c r="W243" s="20">
        <v>140</v>
      </c>
      <c r="X243" s="21" t="s">
        <v>4439</v>
      </c>
      <c r="Y243" s="20">
        <v>83</v>
      </c>
      <c r="Z243" s="21" t="s">
        <v>4440</v>
      </c>
      <c r="AA243" s="20">
        <v>57</v>
      </c>
      <c r="AB243" s="16" t="s">
        <v>5417</v>
      </c>
      <c r="AC243" s="39" t="s">
        <v>5446</v>
      </c>
    </row>
    <row r="244" spans="1:33" ht="28.5" customHeight="1" thickBot="1">
      <c r="A244" s="116" t="s">
        <v>5123</v>
      </c>
      <c r="C244" s="8" t="s">
        <v>3623</v>
      </c>
      <c r="D244" s="9" t="s">
        <v>4427</v>
      </c>
      <c r="E244" s="9" t="s">
        <v>4424</v>
      </c>
      <c r="F244" s="9" t="str">
        <f t="shared" si="6"/>
        <v>https://www.ssbuy.tw/detail_giftcode/dist/giftcodes/The kingdom：medieval tales.html</v>
      </c>
      <c r="G244" s="9" t="s">
        <v>4425</v>
      </c>
      <c r="H244" s="9" t="str">
        <f t="shared" si="7"/>
        <v>https://www.ssbuy.tw/detail_giftcode/dist/gamedetail/The kingdom：medieval tales.html</v>
      </c>
      <c r="I244" s="34" t="s">
        <v>5136</v>
      </c>
      <c r="J244" s="21" t="s">
        <v>301</v>
      </c>
      <c r="K244" s="20">
        <v>2286</v>
      </c>
      <c r="L244" s="21" t="s">
        <v>302</v>
      </c>
      <c r="M244" s="20">
        <v>1139</v>
      </c>
      <c r="N244" s="21" t="s">
        <v>263</v>
      </c>
      <c r="O244" s="20">
        <v>612</v>
      </c>
      <c r="P244" s="21" t="s">
        <v>1457</v>
      </c>
      <c r="Q244" s="20">
        <v>457</v>
      </c>
      <c r="R244" s="21" t="s">
        <v>249</v>
      </c>
      <c r="S244" s="20">
        <v>225</v>
      </c>
      <c r="T244" s="21" t="s">
        <v>281</v>
      </c>
      <c r="U244" s="20">
        <v>140</v>
      </c>
      <c r="V244" s="21" t="s">
        <v>252</v>
      </c>
      <c r="W244" s="20">
        <v>99</v>
      </c>
      <c r="X244" s="21" t="s">
        <v>4441</v>
      </c>
      <c r="Y244" s="20">
        <v>225</v>
      </c>
      <c r="Z244" s="21" t="s">
        <v>4442</v>
      </c>
      <c r="AA244" s="20">
        <v>302</v>
      </c>
      <c r="AB244" s="21" t="s">
        <v>4443</v>
      </c>
      <c r="AC244" s="20">
        <v>612</v>
      </c>
      <c r="AD244" s="16" t="s">
        <v>5417</v>
      </c>
      <c r="AE244" s="39" t="s">
        <v>5446</v>
      </c>
    </row>
    <row r="245" spans="1:33" ht="28.5" customHeight="1" thickBot="1">
      <c r="A245" s="116" t="s">
        <v>5124</v>
      </c>
      <c r="C245" s="36" t="s">
        <v>4470</v>
      </c>
      <c r="D245" s="16" t="s">
        <v>4460</v>
      </c>
      <c r="E245" s="9" t="s">
        <v>4453</v>
      </c>
      <c r="F245" s="9" t="str">
        <f t="shared" si="6"/>
        <v>https://www.ssbuy.tw/detail_giftcode/dist/giftcodes/七龍珠激震小隊.html</v>
      </c>
      <c r="G245" s="9" t="s">
        <v>4452</v>
      </c>
      <c r="H245" s="9" t="str">
        <f t="shared" si="7"/>
        <v>https://www.ssbuy.tw/detail_giftcode/dist/gamedetail/七龍珠激震小隊.html</v>
      </c>
      <c r="I245" s="10" t="s">
        <v>4466</v>
      </c>
      <c r="J245" s="21" t="s">
        <v>4472</v>
      </c>
      <c r="K245" s="20">
        <v>2056</v>
      </c>
      <c r="L245" s="21" t="s">
        <v>4473</v>
      </c>
      <c r="M245" s="20">
        <v>1009</v>
      </c>
      <c r="N245" s="21" t="s">
        <v>4474</v>
      </c>
      <c r="O245" s="20">
        <v>519</v>
      </c>
      <c r="P245" s="21" t="s">
        <v>4475</v>
      </c>
      <c r="Q245" s="20">
        <v>178</v>
      </c>
      <c r="R245" s="21" t="s">
        <v>4476</v>
      </c>
      <c r="S245" s="20">
        <v>58</v>
      </c>
      <c r="T245" s="21" t="s">
        <v>4477</v>
      </c>
      <c r="U245" s="20">
        <v>1139</v>
      </c>
      <c r="V245" s="21" t="s">
        <v>4478</v>
      </c>
      <c r="W245" s="20">
        <v>256</v>
      </c>
      <c r="X245" s="16" t="s">
        <v>5417</v>
      </c>
      <c r="Y245" s="39" t="s">
        <v>5446</v>
      </c>
    </row>
    <row r="246" spans="1:33" ht="28.5" customHeight="1" thickBot="1">
      <c r="A246" s="116" t="s">
        <v>4449</v>
      </c>
      <c r="C246" s="8" t="s">
        <v>4471</v>
      </c>
      <c r="D246" s="9" t="s">
        <v>4465</v>
      </c>
      <c r="E246" s="16" t="s">
        <v>4454</v>
      </c>
      <c r="F246" s="9" t="str">
        <f t="shared" si="6"/>
        <v>https://www.ssbuy.tw/detail_giftcode/dist/giftcodes/Grave Strikers.html</v>
      </c>
      <c r="G246" s="9" t="s">
        <v>4455</v>
      </c>
      <c r="H246" s="9" t="str">
        <f t="shared" si="7"/>
        <v>https://www.ssbuy.tw/detail_giftcode/dist/gamedetail/Grave Strikers.html</v>
      </c>
      <c r="I246" s="10" t="s">
        <v>4467</v>
      </c>
      <c r="J246" s="21" t="s">
        <v>5125</v>
      </c>
      <c r="K246" s="20">
        <v>1139</v>
      </c>
      <c r="L246" s="21" t="s">
        <v>4494</v>
      </c>
      <c r="M246" s="20">
        <v>225</v>
      </c>
      <c r="N246" s="21" t="s">
        <v>4495</v>
      </c>
      <c r="O246" s="20">
        <v>99</v>
      </c>
      <c r="P246" s="21" t="s">
        <v>4496</v>
      </c>
      <c r="Q246" s="20">
        <v>25</v>
      </c>
      <c r="R246" s="16" t="s">
        <v>5417</v>
      </c>
      <c r="S246" s="39" t="s">
        <v>5446</v>
      </c>
    </row>
    <row r="247" spans="1:33" ht="28.5" customHeight="1" thickBot="1">
      <c r="A247" s="116" t="s">
        <v>4450</v>
      </c>
      <c r="C247" s="8" t="s">
        <v>4464</v>
      </c>
      <c r="D247" s="9" t="s">
        <v>4463</v>
      </c>
      <c r="E247" s="9" t="s">
        <v>4456</v>
      </c>
      <c r="F247" s="9" t="str">
        <f t="shared" si="6"/>
        <v>https://www.ssbuy.tw/detail_giftcode/dist/giftcodes/Stellar Sanctuary.html</v>
      </c>
      <c r="G247" s="9" t="s">
        <v>4457</v>
      </c>
      <c r="H247" s="9" t="str">
        <f t="shared" si="7"/>
        <v>https://www.ssbuy.tw/detail_giftcode/dist/gamedetail/Stellar Sanctuary.html</v>
      </c>
      <c r="I247" s="10" t="s">
        <v>4468</v>
      </c>
      <c r="J247" s="21" t="s">
        <v>4493</v>
      </c>
      <c r="K247" s="20">
        <v>2623</v>
      </c>
      <c r="L247" s="21" t="s">
        <v>4497</v>
      </c>
      <c r="M247" s="20">
        <v>2623</v>
      </c>
      <c r="N247" s="21" t="s">
        <v>4498</v>
      </c>
      <c r="O247" s="20">
        <v>1330</v>
      </c>
      <c r="P247" s="21" t="s">
        <v>4499</v>
      </c>
      <c r="Q247" s="20">
        <v>543</v>
      </c>
      <c r="R247" s="21" t="s">
        <v>4500</v>
      </c>
      <c r="S247" s="20">
        <v>271</v>
      </c>
      <c r="T247" s="21" t="s">
        <v>4501</v>
      </c>
      <c r="U247" s="20">
        <v>149</v>
      </c>
      <c r="V247" s="21" t="s">
        <v>4502</v>
      </c>
      <c r="W247" s="20">
        <v>29</v>
      </c>
      <c r="X247" s="16" t="s">
        <v>5417</v>
      </c>
      <c r="Y247" s="39" t="s">
        <v>5446</v>
      </c>
    </row>
    <row r="248" spans="1:33" ht="28.5" customHeight="1" thickBot="1">
      <c r="A248" s="116" t="s">
        <v>4451</v>
      </c>
      <c r="C248" s="8" t="s">
        <v>4461</v>
      </c>
      <c r="D248" s="16" t="s">
        <v>4462</v>
      </c>
      <c r="E248" s="9" t="s">
        <v>4458</v>
      </c>
      <c r="F248" s="9" t="str">
        <f t="shared" si="6"/>
        <v>https://www.ssbuy.tw/detail_giftcode/dist/giftcodes/古惑仔：風雲再起.html</v>
      </c>
      <c r="G248" s="9" t="s">
        <v>4459</v>
      </c>
      <c r="H248" s="9" t="str">
        <f t="shared" si="7"/>
        <v>https://www.ssbuy.tw/detail_giftcode/dist/gamedetail/古惑仔：風雲再起.html</v>
      </c>
      <c r="I248" s="10" t="s">
        <v>4469</v>
      </c>
      <c r="J248" s="21" t="s">
        <v>4479</v>
      </c>
      <c r="K248" s="20">
        <v>2449</v>
      </c>
      <c r="L248" s="21" t="s">
        <v>4480</v>
      </c>
      <c r="M248" s="20">
        <v>1911</v>
      </c>
      <c r="N248" s="21" t="s">
        <v>4481</v>
      </c>
      <c r="O248" s="20">
        <v>1529</v>
      </c>
      <c r="P248" s="21" t="s">
        <v>4482</v>
      </c>
      <c r="Q248" s="20">
        <v>1254</v>
      </c>
      <c r="R248" s="21" t="s">
        <v>4483</v>
      </c>
      <c r="S248" s="20">
        <v>757</v>
      </c>
      <c r="T248" s="21" t="s">
        <v>4484</v>
      </c>
      <c r="U248" s="20">
        <v>380</v>
      </c>
      <c r="V248" s="21" t="s">
        <v>4485</v>
      </c>
      <c r="W248" s="20">
        <v>264</v>
      </c>
      <c r="X248" s="21" t="s">
        <v>4486</v>
      </c>
      <c r="Y248" s="20">
        <v>124</v>
      </c>
      <c r="Z248" s="21" t="s">
        <v>4487</v>
      </c>
      <c r="AA248" s="20">
        <v>25</v>
      </c>
      <c r="AB248" s="16" t="s">
        <v>5417</v>
      </c>
      <c r="AC248" s="39" t="s">
        <v>5446</v>
      </c>
    </row>
    <row r="249" spans="1:33" ht="28.5" customHeight="1" thickBot="1">
      <c r="A249" s="116" t="s">
        <v>4532</v>
      </c>
      <c r="C249" s="8" t="s">
        <v>4536</v>
      </c>
      <c r="D249" s="9" t="s">
        <v>4535</v>
      </c>
      <c r="E249" s="9" t="s">
        <v>4537</v>
      </c>
      <c r="F249" s="9" t="str">
        <f t="shared" ref="F249:F253" si="8">IF(A249="","", "https://www.ssbuy.tw/detail_giftcode/dist/giftcodes/" &amp; IF(ISNUMBER(LEFT(A249,1)*1), "game-", "") &amp; A249 &amp; ".html")</f>
        <v>https://www.ssbuy.tw/detail_giftcode/dist/giftcodes/女神秘令.html</v>
      </c>
      <c r="G249" s="16" t="s">
        <v>4538</v>
      </c>
      <c r="H249" s="9" t="str">
        <f t="shared" ref="H249:H253" si="9">IF(A249="","", "https://www.ssbuy.tw/detail_giftcode/dist/gamedetail/" &amp; IF(ISNUMBER(LEFT(A249,1)*1), "game-", "") &amp; A249 &amp; ".html")</f>
        <v>https://www.ssbuy.tw/detail_giftcode/dist/gamedetail/女神秘令.html</v>
      </c>
      <c r="I249" s="10" t="s">
        <v>4551</v>
      </c>
      <c r="J249" s="21" t="s">
        <v>301</v>
      </c>
      <c r="K249" s="22">
        <v>2286</v>
      </c>
      <c r="L249" s="21" t="s">
        <v>302</v>
      </c>
      <c r="M249" s="22">
        <v>1139</v>
      </c>
      <c r="N249" s="21" t="s">
        <v>262</v>
      </c>
      <c r="O249" s="22">
        <v>757</v>
      </c>
      <c r="P249" s="21" t="s">
        <v>279</v>
      </c>
      <c r="Q249" s="22">
        <v>519</v>
      </c>
      <c r="R249" s="21" t="s">
        <v>1493</v>
      </c>
      <c r="S249" s="22">
        <v>380</v>
      </c>
      <c r="T249" s="21" t="s">
        <v>280</v>
      </c>
      <c r="U249" s="22">
        <v>256</v>
      </c>
      <c r="V249" s="21" t="s">
        <v>281</v>
      </c>
      <c r="W249" s="22">
        <v>140</v>
      </c>
      <c r="X249" s="21" t="s">
        <v>1428</v>
      </c>
      <c r="Y249" s="22">
        <v>27</v>
      </c>
      <c r="Z249" s="16" t="s">
        <v>5417</v>
      </c>
      <c r="AA249" s="39" t="s">
        <v>5446</v>
      </c>
    </row>
    <row r="250" spans="1:33" ht="28.5" customHeight="1" thickBot="1">
      <c r="A250" s="116" t="s">
        <v>4533</v>
      </c>
      <c r="C250" s="36" t="s">
        <v>4541</v>
      </c>
      <c r="D250" s="16" t="s">
        <v>4542</v>
      </c>
      <c r="E250" s="16" t="s">
        <v>4540</v>
      </c>
      <c r="F250" s="9" t="str">
        <f t="shared" si="8"/>
        <v>https://www.ssbuy.tw/detail_giftcode/dist/giftcodes/Torerowa.html</v>
      </c>
      <c r="G250" s="9" t="s">
        <v>4539</v>
      </c>
      <c r="H250" s="9" t="str">
        <f t="shared" si="9"/>
        <v>https://www.ssbuy.tw/detail_giftcode/dist/gamedetail/Torerowa.html</v>
      </c>
      <c r="I250" s="10" t="s">
        <v>4552</v>
      </c>
      <c r="J250" s="21" t="s">
        <v>4562</v>
      </c>
      <c r="K250" s="22">
        <v>2293</v>
      </c>
      <c r="L250" s="21" t="s">
        <v>4563</v>
      </c>
      <c r="M250" s="22">
        <v>1529</v>
      </c>
      <c r="N250" s="21" t="s">
        <v>4564</v>
      </c>
      <c r="O250" s="22">
        <v>764</v>
      </c>
      <c r="P250" s="21" t="s">
        <v>4565</v>
      </c>
      <c r="Q250" s="22">
        <v>465</v>
      </c>
      <c r="R250" s="21" t="s">
        <v>4566</v>
      </c>
      <c r="S250" s="22">
        <v>165</v>
      </c>
      <c r="T250" s="21" t="s">
        <v>4567</v>
      </c>
      <c r="U250" s="22">
        <v>124</v>
      </c>
      <c r="V250" s="21" t="s">
        <v>4568</v>
      </c>
      <c r="W250" s="22">
        <v>33</v>
      </c>
      <c r="X250" s="16" t="s">
        <v>5417</v>
      </c>
      <c r="Y250" s="39" t="s">
        <v>5446</v>
      </c>
    </row>
    <row r="251" spans="1:33" ht="28.5" customHeight="1" thickBot="1">
      <c r="A251" s="116" t="s">
        <v>4534</v>
      </c>
      <c r="C251" s="36" t="s">
        <v>4544</v>
      </c>
      <c r="D251" s="16" t="s">
        <v>4546</v>
      </c>
      <c r="E251" s="16" t="s">
        <v>4545</v>
      </c>
      <c r="F251" s="9" t="str">
        <f t="shared" si="8"/>
        <v>https://www.ssbuy.tw/detail_giftcode/dist/giftcodes/Ricochet Squad.html</v>
      </c>
      <c r="G251" s="16" t="s">
        <v>4543</v>
      </c>
      <c r="H251" s="9" t="str">
        <f t="shared" si="9"/>
        <v>https://www.ssbuy.tw/detail_giftcode/dist/gamedetail/Ricochet Squad.html</v>
      </c>
      <c r="I251" s="10" t="s">
        <v>4553</v>
      </c>
      <c r="J251" s="21" t="s">
        <v>4569</v>
      </c>
      <c r="K251" s="22">
        <v>2286</v>
      </c>
      <c r="L251" s="21" t="s">
        <v>4570</v>
      </c>
      <c r="M251" s="22">
        <v>1139</v>
      </c>
      <c r="N251" s="21" t="s">
        <v>4571</v>
      </c>
      <c r="O251" s="22">
        <v>535</v>
      </c>
      <c r="P251" s="21" t="s">
        <v>4572</v>
      </c>
      <c r="Q251" s="22">
        <v>248</v>
      </c>
      <c r="R251" s="21" t="s">
        <v>4573</v>
      </c>
      <c r="S251" s="22">
        <v>124</v>
      </c>
      <c r="T251" s="21" t="s">
        <v>4574</v>
      </c>
      <c r="U251" s="22">
        <v>25</v>
      </c>
      <c r="V251" s="16" t="s">
        <v>5417</v>
      </c>
      <c r="W251" s="39" t="s">
        <v>5446</v>
      </c>
    </row>
    <row r="252" spans="1:33" ht="28.5" customHeight="1" thickBot="1">
      <c r="A252" s="116" t="s">
        <v>4547</v>
      </c>
      <c r="C252" s="36" t="s">
        <v>4550</v>
      </c>
      <c r="D252" s="16" t="s">
        <v>4550</v>
      </c>
      <c r="E252" s="9" t="s">
        <v>4548</v>
      </c>
      <c r="F252" s="9" t="str">
        <f t="shared" si="8"/>
        <v>https://www.ssbuy.tw/detail_giftcode/dist/giftcodes/魔法村物語.html</v>
      </c>
      <c r="G252" s="9" t="s">
        <v>4549</v>
      </c>
      <c r="H252" s="9" t="str">
        <f t="shared" si="9"/>
        <v>https://www.ssbuy.tw/detail_giftcode/dist/gamedetail/魔法村物語.html</v>
      </c>
      <c r="I252" s="10" t="s">
        <v>4554</v>
      </c>
      <c r="J252" s="21" t="s">
        <v>12</v>
      </c>
      <c r="K252" s="22">
        <v>2286</v>
      </c>
      <c r="L252" s="21" t="s">
        <v>13</v>
      </c>
      <c r="M252" s="22">
        <v>1139</v>
      </c>
      <c r="N252" s="21" t="s">
        <v>24</v>
      </c>
      <c r="O252" s="22">
        <v>757</v>
      </c>
      <c r="P252" s="21" t="s">
        <v>14</v>
      </c>
      <c r="Q252" s="22">
        <v>519</v>
      </c>
      <c r="R252" s="21" t="s">
        <v>120</v>
      </c>
      <c r="S252" s="22">
        <v>248</v>
      </c>
      <c r="T252" s="21" t="s">
        <v>16</v>
      </c>
      <c r="U252" s="22">
        <v>124</v>
      </c>
      <c r="V252" s="21" t="s">
        <v>7</v>
      </c>
      <c r="W252" s="22">
        <v>25</v>
      </c>
      <c r="X252" s="21" t="s">
        <v>4581</v>
      </c>
      <c r="Y252" s="22">
        <v>535</v>
      </c>
      <c r="Z252" s="21" t="s">
        <v>4582</v>
      </c>
      <c r="AA252" s="22">
        <v>248</v>
      </c>
      <c r="AB252" s="21" t="s">
        <v>4583</v>
      </c>
      <c r="AC252" s="22">
        <v>124</v>
      </c>
      <c r="AD252" s="16" t="s">
        <v>5417</v>
      </c>
      <c r="AE252" s="39" t="s">
        <v>5446</v>
      </c>
    </row>
    <row r="253" spans="1:33" ht="28.5" customHeight="1" thickBot="1">
      <c r="A253" s="116" t="s">
        <v>4614</v>
      </c>
      <c r="C253" s="36" t="s">
        <v>4618</v>
      </c>
      <c r="D253" s="16" t="s">
        <v>4618</v>
      </c>
      <c r="E253" s="16" t="s">
        <v>4617</v>
      </c>
      <c r="F253" s="9" t="str">
        <f t="shared" si="8"/>
        <v>https://www.ssbuy.tw/detail_giftcode/dist/giftcodes/奇蹟MU：騎士袋你飛.html</v>
      </c>
      <c r="G253" s="16" t="s">
        <v>4616</v>
      </c>
      <c r="H253" s="9" t="str">
        <f t="shared" si="9"/>
        <v>https://www.ssbuy.tw/detail_giftcode/dist/gamedetail/奇蹟MU：騎士袋你飛.html</v>
      </c>
      <c r="I253" s="10" t="s">
        <v>4642</v>
      </c>
      <c r="J253" s="21" t="s">
        <v>145</v>
      </c>
      <c r="K253" s="22">
        <v>1605</v>
      </c>
      <c r="L253" s="21" t="s">
        <v>146</v>
      </c>
      <c r="M253" s="22">
        <v>810</v>
      </c>
      <c r="N253" s="21" t="s">
        <v>147</v>
      </c>
      <c r="O253" s="22">
        <v>496</v>
      </c>
      <c r="P253" s="21" t="s">
        <v>4644</v>
      </c>
      <c r="Q253" s="22">
        <v>198</v>
      </c>
      <c r="R253" s="21" t="s">
        <v>149</v>
      </c>
      <c r="S253" s="22">
        <v>103</v>
      </c>
      <c r="T253" s="21" t="s">
        <v>3975</v>
      </c>
      <c r="U253" s="22">
        <v>21</v>
      </c>
      <c r="V253" s="21" t="s">
        <v>4645</v>
      </c>
      <c r="W253" s="22">
        <v>163</v>
      </c>
      <c r="X253" s="21" t="s">
        <v>4646</v>
      </c>
      <c r="Y253" s="22">
        <v>58</v>
      </c>
      <c r="Z253" s="21" t="s">
        <v>4647</v>
      </c>
      <c r="AA253" s="22">
        <v>58</v>
      </c>
      <c r="AB253" s="21" t="s">
        <v>4648</v>
      </c>
      <c r="AC253" s="22">
        <v>58</v>
      </c>
      <c r="AD253" s="21" t="s">
        <v>4649</v>
      </c>
      <c r="AE253" s="22">
        <v>107</v>
      </c>
      <c r="AF253" s="16" t="s">
        <v>5417</v>
      </c>
      <c r="AG253" s="39" t="s">
        <v>5446</v>
      </c>
    </row>
    <row r="254" spans="1:33" ht="28.5" customHeight="1" thickBot="1">
      <c r="A254" s="116" t="s">
        <v>4615</v>
      </c>
      <c r="C254" s="36" t="s">
        <v>4621</v>
      </c>
      <c r="D254" s="16" t="s">
        <v>4621</v>
      </c>
      <c r="E254" s="16" t="s">
        <v>4620</v>
      </c>
      <c r="F254" s="9" t="str">
        <f t="shared" si="6"/>
        <v>https://www.ssbuy.tw/detail_giftcode/dist/giftcodes/AUR3：影月幻域.html</v>
      </c>
      <c r="G254" s="16" t="s">
        <v>4619</v>
      </c>
      <c r="H254" s="9" t="str">
        <f t="shared" si="7"/>
        <v>https://www.ssbuy.tw/detail_giftcode/dist/gamedetail/AUR3：影月幻域.html</v>
      </c>
      <c r="I254" s="10" t="s">
        <v>4643</v>
      </c>
      <c r="J254" s="21" t="s">
        <v>4650</v>
      </c>
      <c r="K254" s="22">
        <v>1139</v>
      </c>
      <c r="L254" s="21" t="s">
        <v>4651</v>
      </c>
      <c r="M254" s="22">
        <v>612</v>
      </c>
      <c r="N254" s="21" t="s">
        <v>4652</v>
      </c>
      <c r="O254" s="22">
        <v>380</v>
      </c>
      <c r="P254" s="21" t="s">
        <v>5126</v>
      </c>
      <c r="Q254" s="22">
        <v>194</v>
      </c>
      <c r="R254" s="21" t="s">
        <v>4653</v>
      </c>
      <c r="S254" s="22">
        <v>74</v>
      </c>
      <c r="T254" s="21" t="s">
        <v>4654</v>
      </c>
      <c r="U254" s="22">
        <v>17</v>
      </c>
      <c r="V254" s="21" t="s">
        <v>4655</v>
      </c>
      <c r="W254" s="22">
        <v>194</v>
      </c>
      <c r="X254" s="21" t="s">
        <v>4656</v>
      </c>
      <c r="Y254" s="22">
        <v>74</v>
      </c>
      <c r="Z254" s="16" t="s">
        <v>5417</v>
      </c>
      <c r="AA254" s="39" t="s">
        <v>5446</v>
      </c>
    </row>
    <row r="255" spans="1:33" ht="28.5" customHeight="1" thickBot="1">
      <c r="A255" s="116" t="s">
        <v>4678</v>
      </c>
      <c r="C255" s="36" t="s">
        <v>4667</v>
      </c>
      <c r="D255" s="16" t="s">
        <v>4668</v>
      </c>
      <c r="E255" s="16" t="s">
        <v>4665</v>
      </c>
      <c r="F255" s="9" t="str">
        <f t="shared" si="6"/>
        <v>https://www.ssbuy.tw/detail_giftcode/dist/giftcodes/純潔的魔法少女.html</v>
      </c>
      <c r="G255" s="16" t="s">
        <v>4666</v>
      </c>
      <c r="H255" s="9" t="str">
        <f t="shared" si="7"/>
        <v>https://www.ssbuy.tw/detail_giftcode/dist/gamedetail/純潔的魔法少女.html</v>
      </c>
      <c r="I255" s="10" t="s">
        <v>4682</v>
      </c>
      <c r="J255" s="21" t="s">
        <v>4697</v>
      </c>
      <c r="K255" s="22">
        <v>2555</v>
      </c>
      <c r="L255" s="21" t="s">
        <v>4698</v>
      </c>
      <c r="M255" s="22">
        <v>1331</v>
      </c>
      <c r="N255" s="21" t="s">
        <v>4699</v>
      </c>
      <c r="O255" s="22">
        <v>780</v>
      </c>
      <c r="P255" s="21" t="s">
        <v>4700</v>
      </c>
      <c r="Q255" s="22">
        <v>264</v>
      </c>
      <c r="R255" s="21" t="s">
        <v>4701</v>
      </c>
      <c r="S255" s="22">
        <v>145</v>
      </c>
      <c r="T255" s="21" t="s">
        <v>4702</v>
      </c>
      <c r="U255" s="22">
        <v>28</v>
      </c>
      <c r="V255" s="21" t="s">
        <v>4703</v>
      </c>
      <c r="W255" s="22">
        <v>216</v>
      </c>
      <c r="X255" s="16" t="s">
        <v>5417</v>
      </c>
      <c r="Y255" s="39" t="s">
        <v>5446</v>
      </c>
    </row>
    <row r="256" spans="1:33" ht="28.5" customHeight="1" thickBot="1">
      <c r="A256" s="116" t="s">
        <v>4661</v>
      </c>
      <c r="C256" s="36" t="s">
        <v>4669</v>
      </c>
      <c r="D256" s="16" t="s">
        <v>4674</v>
      </c>
      <c r="E256" s="16" t="s">
        <v>4673</v>
      </c>
      <c r="F256" s="9" t="str">
        <f t="shared" si="6"/>
        <v>https://www.ssbuy.tw/detail_giftcode/dist/giftcodes/Next Agers.html</v>
      </c>
      <c r="G256" s="16" t="s">
        <v>4672</v>
      </c>
      <c r="H256" s="9" t="str">
        <f t="shared" si="7"/>
        <v>https://www.ssbuy.tw/detail_giftcode/dist/gamedetail/Next Agers.html</v>
      </c>
      <c r="I256" s="10" t="s">
        <v>4683</v>
      </c>
      <c r="J256" s="21" t="s">
        <v>4</v>
      </c>
      <c r="K256" s="22">
        <v>2702</v>
      </c>
      <c r="L256" s="21" t="s">
        <v>5</v>
      </c>
      <c r="M256" s="22">
        <v>1370</v>
      </c>
      <c r="N256" s="21" t="s">
        <v>17</v>
      </c>
      <c r="O256" s="22">
        <v>559</v>
      </c>
      <c r="P256" s="21" t="s">
        <v>163</v>
      </c>
      <c r="Q256" s="22">
        <v>280</v>
      </c>
      <c r="R256" s="21" t="s">
        <v>6</v>
      </c>
      <c r="S256" s="22">
        <v>153</v>
      </c>
      <c r="T256" s="21" t="s">
        <v>164</v>
      </c>
      <c r="U256" s="22">
        <v>30</v>
      </c>
      <c r="V256" s="21" t="s">
        <v>4704</v>
      </c>
      <c r="W256" s="22">
        <v>6095</v>
      </c>
      <c r="X256" s="16" t="s">
        <v>5417</v>
      </c>
      <c r="Y256" s="39" t="s">
        <v>5446</v>
      </c>
    </row>
    <row r="257" spans="1:35" ht="28.5" customHeight="1" thickBot="1">
      <c r="A257" s="116" t="s">
        <v>4662</v>
      </c>
      <c r="C257" s="36" t="s">
        <v>4670</v>
      </c>
      <c r="D257" s="16" t="s">
        <v>4675</v>
      </c>
      <c r="E257" s="16" t="s">
        <v>4676</v>
      </c>
      <c r="F257" s="9" t="str">
        <f t="shared" si="6"/>
        <v>https://www.ssbuy.tw/detail_giftcode/dist/giftcodes/屍不可擋.html</v>
      </c>
      <c r="G257" s="16" t="s">
        <v>4677</v>
      </c>
      <c r="H257" s="9" t="str">
        <f t="shared" si="7"/>
        <v>https://www.ssbuy.tw/detail_giftcode/dist/gamedetail/屍不可擋.html</v>
      </c>
      <c r="I257" s="10" t="s">
        <v>4684</v>
      </c>
      <c r="J257" s="21" t="s">
        <v>4705</v>
      </c>
      <c r="K257" s="22">
        <v>2355</v>
      </c>
      <c r="L257" s="21" t="s">
        <v>4706</v>
      </c>
      <c r="M257" s="22">
        <v>1016</v>
      </c>
      <c r="N257" s="21" t="s">
        <v>4707</v>
      </c>
      <c r="O257" s="22">
        <v>551</v>
      </c>
      <c r="P257" s="21" t="s">
        <v>4708</v>
      </c>
      <c r="Q257" s="22">
        <v>256</v>
      </c>
      <c r="R257" s="21" t="s">
        <v>28</v>
      </c>
      <c r="S257" s="22">
        <v>128</v>
      </c>
      <c r="T257" s="21" t="s">
        <v>4709</v>
      </c>
      <c r="U257" s="22">
        <v>26</v>
      </c>
      <c r="V257" s="21" t="s">
        <v>1674</v>
      </c>
      <c r="W257" s="22">
        <v>1961</v>
      </c>
      <c r="X257" s="21" t="s">
        <v>4710</v>
      </c>
      <c r="Y257" s="22">
        <v>1410</v>
      </c>
      <c r="Z257" s="21" t="s">
        <v>47</v>
      </c>
      <c r="AA257" s="22">
        <v>1016</v>
      </c>
      <c r="AB257" s="21" t="s">
        <v>152</v>
      </c>
      <c r="AC257" s="22">
        <v>551</v>
      </c>
      <c r="AD257" s="16" t="s">
        <v>5417</v>
      </c>
      <c r="AE257" s="39" t="s">
        <v>5446</v>
      </c>
    </row>
    <row r="258" spans="1:35" ht="28.5" customHeight="1" thickBot="1">
      <c r="A258" s="116" t="s">
        <v>4663</v>
      </c>
      <c r="C258" s="36" t="s">
        <v>4671</v>
      </c>
      <c r="D258" s="9" t="s">
        <v>4679</v>
      </c>
      <c r="E258" s="16" t="s">
        <v>4680</v>
      </c>
      <c r="F258" s="9" t="str">
        <f t="shared" si="6"/>
        <v>https://www.ssbuy.tw/detail_giftcode/dist/giftcodes/RF ONLINE NEXT.html</v>
      </c>
      <c r="G258" s="16" t="s">
        <v>4681</v>
      </c>
      <c r="H258" s="9" t="str">
        <f t="shared" si="7"/>
        <v>https://www.ssbuy.tw/detail_giftcode/dist/gamedetail/RF ONLINE NEXT.html</v>
      </c>
      <c r="I258" s="10" t="s">
        <v>4685</v>
      </c>
      <c r="J258" s="21" t="s">
        <v>4731</v>
      </c>
      <c r="K258" s="22">
        <v>1725</v>
      </c>
      <c r="L258" s="21" t="s">
        <v>1268</v>
      </c>
      <c r="M258" s="22">
        <v>937</v>
      </c>
      <c r="N258" s="21" t="s">
        <v>4732</v>
      </c>
      <c r="O258" s="22">
        <v>375</v>
      </c>
      <c r="P258" s="21" t="s">
        <v>4733</v>
      </c>
      <c r="Q258" s="22">
        <v>184</v>
      </c>
      <c r="R258" s="21" t="s">
        <v>1302</v>
      </c>
      <c r="S258" s="22">
        <v>85</v>
      </c>
      <c r="T258" s="21" t="s">
        <v>4734</v>
      </c>
      <c r="U258" s="22">
        <v>28</v>
      </c>
      <c r="V258" s="21" t="s">
        <v>4735</v>
      </c>
      <c r="W258" s="22">
        <v>583</v>
      </c>
      <c r="X258" s="21" t="s">
        <v>4736</v>
      </c>
      <c r="Y258" s="22">
        <v>145</v>
      </c>
      <c r="Z258" s="21" t="s">
        <v>4737</v>
      </c>
      <c r="AA258" s="22">
        <v>162</v>
      </c>
      <c r="AB258" s="21" t="s">
        <v>4738</v>
      </c>
      <c r="AC258" s="22">
        <v>1725</v>
      </c>
      <c r="AD258" s="21" t="s">
        <v>4739</v>
      </c>
      <c r="AE258" s="22">
        <v>1725</v>
      </c>
      <c r="AF258" s="16" t="s">
        <v>5417</v>
      </c>
      <c r="AG258" s="39" t="s">
        <v>5446</v>
      </c>
    </row>
    <row r="259" spans="1:35" ht="28.5" customHeight="1" thickBot="1">
      <c r="A259" s="38" t="s">
        <v>4722</v>
      </c>
      <c r="C259" s="36" t="s">
        <v>4721</v>
      </c>
      <c r="D259" s="9" t="s">
        <v>4720</v>
      </c>
      <c r="E259" s="9" t="s">
        <v>4719</v>
      </c>
      <c r="F259" s="9" t="str">
        <f t="shared" ref="F259:F267" si="10">IF(A259="","", "https://www.ssbuy.tw/detail_giftcode/dist/giftcodes/" &amp; IF(ISNUMBER(LEFT(A259,1)*1), "game-", "") &amp; A259 &amp; ".html")</f>
        <v>https://www.ssbuy.tw/detail_giftcode/dist/giftcodes/少女掌門人.html</v>
      </c>
      <c r="G259" s="16" t="s">
        <v>4723</v>
      </c>
      <c r="H259" s="9" t="str">
        <f t="shared" ref="H259:H283" si="11">IF(A259="","", "https://www.ssbuy.tw/detail_giftcode/dist/gamedetail/" &amp; IF(ISNUMBER(LEFT(A259,1)*1), "game-", "") &amp; A259 &amp; ".html")</f>
        <v>https://www.ssbuy.tw/detail_giftcode/dist/gamedetail/少女掌門人.html</v>
      </c>
      <c r="I259" s="10" t="s">
        <v>4724</v>
      </c>
      <c r="J259" s="21" t="s">
        <v>4711</v>
      </c>
      <c r="K259" s="22">
        <v>2048</v>
      </c>
      <c r="L259" s="21" t="s">
        <v>4712</v>
      </c>
      <c r="M259" s="22">
        <v>1181</v>
      </c>
      <c r="N259" s="21" t="s">
        <v>4713</v>
      </c>
      <c r="O259" s="22">
        <v>843</v>
      </c>
      <c r="P259" s="21" t="s">
        <v>4714</v>
      </c>
      <c r="Q259" s="22">
        <v>423</v>
      </c>
      <c r="R259" s="21" t="s">
        <v>4715</v>
      </c>
      <c r="S259" s="22">
        <v>216</v>
      </c>
      <c r="T259" s="21" t="s">
        <v>4716</v>
      </c>
      <c r="U259" s="22">
        <v>55</v>
      </c>
      <c r="V259" s="21" t="s">
        <v>3574</v>
      </c>
      <c r="W259" s="22">
        <v>630</v>
      </c>
      <c r="X259" s="21" t="s">
        <v>4717</v>
      </c>
      <c r="Y259" s="22">
        <v>439</v>
      </c>
      <c r="Z259" s="21" t="s">
        <v>4718</v>
      </c>
      <c r="AA259" s="22">
        <v>630</v>
      </c>
      <c r="AB259" s="16" t="s">
        <v>5417</v>
      </c>
      <c r="AC259" s="39" t="s">
        <v>5446</v>
      </c>
    </row>
    <row r="260" spans="1:35" ht="28.5" customHeight="1" thickBot="1">
      <c r="A260" s="38" t="s">
        <v>4763</v>
      </c>
      <c r="C260" s="8" t="s">
        <v>4757</v>
      </c>
      <c r="D260" s="36" t="s">
        <v>4762</v>
      </c>
      <c r="E260" s="16" t="s">
        <v>4761</v>
      </c>
      <c r="F260" s="9" t="str">
        <f t="shared" si="10"/>
        <v>https://www.ssbuy.tw/detail_giftcode/dist/giftcodes/翼之櫻：放置決鬥者.html</v>
      </c>
      <c r="G260" s="16" t="s">
        <v>4759</v>
      </c>
      <c r="H260" s="9" t="str">
        <f t="shared" si="11"/>
        <v>https://www.ssbuy.tw/detail_giftcode/dist/gamedetail/翼之櫻：放置決鬥者.html</v>
      </c>
      <c r="I260" s="10" t="s">
        <v>4772</v>
      </c>
      <c r="J260" s="21" t="s">
        <v>4740</v>
      </c>
      <c r="K260" s="22">
        <v>2355</v>
      </c>
      <c r="L260" s="21" t="s">
        <v>4741</v>
      </c>
      <c r="M260" s="22">
        <v>1173</v>
      </c>
      <c r="N260" s="21" t="s">
        <v>4742</v>
      </c>
      <c r="O260" s="22">
        <v>780</v>
      </c>
      <c r="P260" s="21" t="s">
        <v>4743</v>
      </c>
      <c r="Q260" s="22">
        <v>391</v>
      </c>
      <c r="R260" s="21" t="s">
        <v>4744</v>
      </c>
      <c r="S260" s="22">
        <v>128</v>
      </c>
      <c r="T260" s="21" t="s">
        <v>4745</v>
      </c>
      <c r="U260" s="22">
        <v>26</v>
      </c>
      <c r="V260" s="21" t="s">
        <v>107</v>
      </c>
      <c r="W260" s="22">
        <v>128</v>
      </c>
      <c r="X260" s="21" t="s">
        <v>4746</v>
      </c>
      <c r="Y260" s="22">
        <v>77</v>
      </c>
      <c r="Z260" s="21" t="s">
        <v>4747</v>
      </c>
      <c r="AA260" s="22">
        <v>176</v>
      </c>
      <c r="AB260" s="21" t="s">
        <v>4748</v>
      </c>
      <c r="AC260" s="22">
        <v>551</v>
      </c>
      <c r="AD260" s="16" t="s">
        <v>5417</v>
      </c>
      <c r="AE260" s="39" t="s">
        <v>5446</v>
      </c>
    </row>
    <row r="261" spans="1:35" ht="28.5" customHeight="1" thickBot="1">
      <c r="A261" s="116" t="s">
        <v>4729</v>
      </c>
      <c r="C261" s="36" t="s">
        <v>4765</v>
      </c>
      <c r="D261" s="16" t="s">
        <v>4766</v>
      </c>
      <c r="E261" s="16" t="s">
        <v>4767</v>
      </c>
      <c r="F261" s="9" t="str">
        <f t="shared" si="10"/>
        <v>https://www.ssbuy.tw/detail_giftcode/dist/giftcodes/Oniro ARPG.html</v>
      </c>
      <c r="G261" s="16" t="s">
        <v>4764</v>
      </c>
      <c r="H261" s="9" t="str">
        <f t="shared" si="11"/>
        <v>https://www.ssbuy.tw/detail_giftcode/dist/gamedetail/Oniro ARPG.html</v>
      </c>
      <c r="I261" s="10" t="s">
        <v>4770</v>
      </c>
      <c r="J261" s="21" t="s">
        <v>4749</v>
      </c>
      <c r="K261" s="22">
        <v>1961</v>
      </c>
      <c r="L261" s="21" t="s">
        <v>4750</v>
      </c>
      <c r="M261" s="22">
        <v>1016</v>
      </c>
      <c r="N261" s="21" t="s">
        <v>4751</v>
      </c>
      <c r="O261" s="22">
        <v>551</v>
      </c>
      <c r="P261" s="21" t="s">
        <v>4752</v>
      </c>
      <c r="Q261" s="22">
        <v>232</v>
      </c>
      <c r="R261" s="21" t="s">
        <v>4753</v>
      </c>
      <c r="S261" s="22">
        <v>102</v>
      </c>
      <c r="T261" s="21" t="s">
        <v>1377</v>
      </c>
      <c r="U261" s="22">
        <v>26</v>
      </c>
      <c r="V261" s="21" t="s">
        <v>4754</v>
      </c>
      <c r="W261" s="22">
        <v>622</v>
      </c>
      <c r="X261" s="21" t="s">
        <v>4755</v>
      </c>
      <c r="Y261" s="22">
        <v>1173</v>
      </c>
      <c r="Z261" s="16" t="s">
        <v>5417</v>
      </c>
      <c r="AA261" s="39" t="s">
        <v>5446</v>
      </c>
    </row>
    <row r="262" spans="1:35" ht="28.5" customHeight="1" thickBot="1">
      <c r="A262" s="116" t="s">
        <v>4730</v>
      </c>
      <c r="C262" s="8" t="s">
        <v>4758</v>
      </c>
      <c r="D262" s="16" t="s">
        <v>4769</v>
      </c>
      <c r="E262" s="16" t="s">
        <v>4768</v>
      </c>
      <c r="F262" s="9" t="str">
        <f t="shared" si="10"/>
        <v>https://www.ssbuy.tw/detail_giftcode/dist/giftcodes/Legend of YMIR.html</v>
      </c>
      <c r="G262" s="16" t="s">
        <v>4760</v>
      </c>
      <c r="H262" s="9" t="str">
        <f t="shared" si="11"/>
        <v>https://www.ssbuy.tw/detail_giftcode/dist/gamedetail/Legend of YMIR.html</v>
      </c>
      <c r="I262" s="10" t="s">
        <v>4771</v>
      </c>
      <c r="J262" s="21" t="s">
        <v>1268</v>
      </c>
      <c r="K262" s="22">
        <v>2355</v>
      </c>
      <c r="L262" s="21" t="s">
        <v>17</v>
      </c>
      <c r="M262" s="22">
        <v>1173</v>
      </c>
      <c r="N262" s="21" t="s">
        <v>64</v>
      </c>
      <c r="O262" s="22">
        <v>780</v>
      </c>
      <c r="P262" s="21" t="s">
        <v>1277</v>
      </c>
      <c r="Q262" s="22">
        <v>256</v>
      </c>
      <c r="R262" s="21" t="s">
        <v>4756</v>
      </c>
      <c r="S262" s="22">
        <v>128</v>
      </c>
      <c r="T262" s="21" t="s">
        <v>285</v>
      </c>
      <c r="U262" s="22">
        <v>77</v>
      </c>
      <c r="V262" s="16" t="s">
        <v>5417</v>
      </c>
      <c r="W262" s="39" t="s">
        <v>5446</v>
      </c>
    </row>
    <row r="263" spans="1:35" ht="28.5" customHeight="1" thickBot="1">
      <c r="A263" s="38" t="s">
        <v>5127</v>
      </c>
      <c r="C263" s="36" t="s">
        <v>4773</v>
      </c>
      <c r="D263" s="16" t="s">
        <v>4773</v>
      </c>
      <c r="E263" s="16" t="s">
        <v>4774</v>
      </c>
      <c r="F263" s="9" t="str">
        <f t="shared" si="10"/>
        <v>https://www.ssbuy.tw/detail_giftcode/dist/giftcodes/Elysia：星空墜落.html</v>
      </c>
      <c r="G263" s="16" t="s">
        <v>4775</v>
      </c>
      <c r="H263" s="9" t="str">
        <f t="shared" si="11"/>
        <v>https://www.ssbuy.tw/detail_giftcode/dist/gamedetail/Elysia：星空墜落.html</v>
      </c>
      <c r="I263" s="10" t="s">
        <v>4776</v>
      </c>
      <c r="J263" s="21" t="s">
        <v>4851</v>
      </c>
      <c r="K263" s="22">
        <v>2371</v>
      </c>
      <c r="L263" s="21" t="s">
        <v>4852</v>
      </c>
      <c r="M263" s="22">
        <v>1204</v>
      </c>
      <c r="N263" s="21" t="s">
        <v>4853</v>
      </c>
      <c r="O263" s="22">
        <v>563</v>
      </c>
      <c r="P263" s="21" t="s">
        <v>4854</v>
      </c>
      <c r="Q263" s="22">
        <v>261</v>
      </c>
      <c r="R263" s="21" t="s">
        <v>4855</v>
      </c>
      <c r="S263" s="22">
        <v>128</v>
      </c>
      <c r="T263" s="21" t="s">
        <v>4856</v>
      </c>
      <c r="U263" s="22">
        <v>26</v>
      </c>
      <c r="V263" s="21" t="s">
        <v>4857</v>
      </c>
      <c r="W263" s="22">
        <v>400</v>
      </c>
      <c r="X263" s="21" t="s">
        <v>4858</v>
      </c>
      <c r="Y263" s="22">
        <v>128</v>
      </c>
      <c r="Z263" s="21" t="s">
        <v>4859</v>
      </c>
      <c r="AA263" s="22">
        <v>2371</v>
      </c>
      <c r="AB263" s="21" t="s">
        <v>4860</v>
      </c>
      <c r="AC263" s="22">
        <v>1204</v>
      </c>
      <c r="AD263" s="21" t="s">
        <v>4861</v>
      </c>
      <c r="AE263" s="22">
        <v>400</v>
      </c>
      <c r="AF263" s="21" t="s">
        <v>4862</v>
      </c>
      <c r="AG263" s="22">
        <v>26</v>
      </c>
      <c r="AH263" s="16" t="s">
        <v>5417</v>
      </c>
      <c r="AI263" s="39" t="s">
        <v>5446</v>
      </c>
    </row>
    <row r="264" spans="1:35" ht="28.5" customHeight="1" thickBot="1">
      <c r="A264" s="116" t="s">
        <v>4802</v>
      </c>
      <c r="E264" s="16" t="s">
        <v>4809</v>
      </c>
      <c r="F264" s="9" t="str">
        <f t="shared" si="10"/>
        <v>https://www.ssbuy.tw/detail_giftcode/dist/giftcodes/合併貓鎮.html</v>
      </c>
      <c r="G264" s="16" t="s">
        <v>4808</v>
      </c>
      <c r="H264" s="9" t="str">
        <f t="shared" si="11"/>
        <v>https://www.ssbuy.tw/detail_giftcode/dist/gamedetail/合併貓鎮.html</v>
      </c>
      <c r="I264" s="10" t="s">
        <v>4823</v>
      </c>
      <c r="J264" s="11" t="s">
        <v>4805</v>
      </c>
      <c r="K264" s="9" t="s">
        <v>4806</v>
      </c>
    </row>
    <row r="265" spans="1:35" ht="28.5" customHeight="1" thickBot="1">
      <c r="A265" s="116" t="s">
        <v>4803</v>
      </c>
      <c r="C265" s="36" t="s">
        <v>4810</v>
      </c>
      <c r="D265" s="16" t="s">
        <v>4812</v>
      </c>
      <c r="E265" s="16" t="s">
        <v>4813</v>
      </c>
      <c r="F265" s="9" t="str">
        <f t="shared" si="10"/>
        <v>https://www.ssbuy.tw/detail_giftcode/dist/giftcodes/幻牌交鋒.html</v>
      </c>
      <c r="G265" s="16" t="s">
        <v>4814</v>
      </c>
      <c r="H265" s="9" t="str">
        <f t="shared" si="11"/>
        <v>https://www.ssbuy.tw/detail_giftcode/dist/gamedetail/幻牌交鋒.html</v>
      </c>
      <c r="I265" s="34" t="s">
        <v>5137</v>
      </c>
      <c r="J265" s="21" t="s">
        <v>4826</v>
      </c>
      <c r="K265" s="22">
        <v>2371</v>
      </c>
      <c r="L265" s="21" t="s">
        <v>4827</v>
      </c>
      <c r="M265" s="22">
        <v>1204</v>
      </c>
      <c r="N265" s="21" t="s">
        <v>1432</v>
      </c>
      <c r="O265" s="22">
        <v>563</v>
      </c>
      <c r="P265" s="21" t="s">
        <v>1433</v>
      </c>
      <c r="Q265" s="22">
        <v>261</v>
      </c>
      <c r="R265" s="21" t="s">
        <v>1434</v>
      </c>
      <c r="S265" s="22">
        <v>128</v>
      </c>
      <c r="T265" s="21" t="s">
        <v>1435</v>
      </c>
      <c r="U265" s="22">
        <v>26</v>
      </c>
      <c r="V265" s="21" t="s">
        <v>4863</v>
      </c>
      <c r="W265" s="22">
        <v>247</v>
      </c>
      <c r="X265" s="21" t="s">
        <v>196</v>
      </c>
      <c r="Y265" s="22">
        <v>261</v>
      </c>
      <c r="Z265" s="21" t="s">
        <v>4829</v>
      </c>
      <c r="AA265" s="22">
        <v>162</v>
      </c>
      <c r="AB265" s="21" t="s">
        <v>4828</v>
      </c>
      <c r="AC265" s="22">
        <v>162</v>
      </c>
      <c r="AD265" s="16" t="s">
        <v>5417</v>
      </c>
      <c r="AE265" s="39" t="s">
        <v>5446</v>
      </c>
    </row>
    <row r="266" spans="1:35" ht="28.5" customHeight="1" thickBot="1">
      <c r="A266" s="116" t="s">
        <v>4815</v>
      </c>
      <c r="C266" s="36" t="s">
        <v>4816</v>
      </c>
      <c r="D266" s="16" t="s">
        <v>4819</v>
      </c>
      <c r="E266" s="16" t="s">
        <v>4818</v>
      </c>
      <c r="F266" s="9" t="str">
        <f t="shared" si="10"/>
        <v>https://www.ssbuy.tw/detail_giftcode/dist/giftcodes/激鬥！王國保衛戰.html</v>
      </c>
      <c r="G266" s="16" t="s">
        <v>4817</v>
      </c>
      <c r="H266" s="9" t="str">
        <f t="shared" si="11"/>
        <v>https://www.ssbuy.tw/detail_giftcode/dist/gamedetail/激鬥！王國保衛戰.html</v>
      </c>
      <c r="I266" s="10" t="s">
        <v>4824</v>
      </c>
      <c r="J266" s="21" t="s">
        <v>4830</v>
      </c>
      <c r="K266" s="22">
        <v>2609</v>
      </c>
      <c r="L266" s="21" t="s">
        <v>4831</v>
      </c>
      <c r="M266" s="22">
        <v>1365</v>
      </c>
      <c r="N266" s="21" t="s">
        <v>4832</v>
      </c>
      <c r="O266" s="22">
        <v>807</v>
      </c>
      <c r="P266" s="21" t="s">
        <v>4833</v>
      </c>
      <c r="Q266" s="22">
        <v>546</v>
      </c>
      <c r="R266" s="21" t="s">
        <v>4834</v>
      </c>
      <c r="S266" s="22">
        <v>400</v>
      </c>
      <c r="T266" s="21" t="s">
        <v>4835</v>
      </c>
      <c r="U266" s="22">
        <v>269</v>
      </c>
      <c r="V266" s="21" t="s">
        <v>4836</v>
      </c>
      <c r="W266" s="22">
        <v>145</v>
      </c>
      <c r="X266" s="21" t="s">
        <v>4837</v>
      </c>
      <c r="Y266" s="22">
        <v>29</v>
      </c>
      <c r="Z266" s="16" t="s">
        <v>5417</v>
      </c>
      <c r="AA266" s="39" t="s">
        <v>5446</v>
      </c>
    </row>
    <row r="267" spans="1:35" ht="28.5" customHeight="1" thickBot="1">
      <c r="A267" s="116" t="s">
        <v>4804</v>
      </c>
      <c r="C267" s="36" t="s">
        <v>4811</v>
      </c>
      <c r="D267" s="9" t="s">
        <v>4822</v>
      </c>
      <c r="E267" s="16" t="s">
        <v>4820</v>
      </c>
      <c r="F267" s="9" t="str">
        <f t="shared" si="10"/>
        <v>https://www.ssbuy.tw/detail_giftcode/dist/giftcodes/嘟嘟臉惡作劇.html</v>
      </c>
      <c r="G267" s="9" t="s">
        <v>4821</v>
      </c>
      <c r="H267" s="9" t="str">
        <f t="shared" si="11"/>
        <v>https://www.ssbuy.tw/detail_giftcode/dist/gamedetail/嘟嘟臉惡作劇.html</v>
      </c>
      <c r="I267" s="10" t="s">
        <v>4825</v>
      </c>
      <c r="J267" s="21" t="s">
        <v>4912</v>
      </c>
      <c r="K267" s="22">
        <v>2371</v>
      </c>
      <c r="L267" s="21" t="s">
        <v>4913</v>
      </c>
      <c r="M267" s="22">
        <v>1204</v>
      </c>
      <c r="N267" s="21" t="s">
        <v>4914</v>
      </c>
      <c r="O267" s="22">
        <v>807</v>
      </c>
      <c r="P267" s="21" t="s">
        <v>4915</v>
      </c>
      <c r="Q267" s="22">
        <v>530</v>
      </c>
      <c r="R267" s="21" t="s">
        <v>4916</v>
      </c>
      <c r="S267" s="22">
        <v>294</v>
      </c>
      <c r="T267" s="21" t="s">
        <v>4917</v>
      </c>
      <c r="U267" s="22">
        <v>136</v>
      </c>
      <c r="V267" s="21" t="s">
        <v>4918</v>
      </c>
      <c r="W267" s="22">
        <v>29</v>
      </c>
      <c r="X267" s="21" t="s">
        <v>4919</v>
      </c>
      <c r="Y267" s="22">
        <v>136</v>
      </c>
      <c r="Z267" s="21" t="s">
        <v>4920</v>
      </c>
      <c r="AA267" s="22">
        <v>136</v>
      </c>
      <c r="AB267" s="21" t="s">
        <v>4921</v>
      </c>
      <c r="AC267" s="22">
        <v>196</v>
      </c>
      <c r="AD267" s="16" t="s">
        <v>5417</v>
      </c>
      <c r="AE267" s="39" t="s">
        <v>5446</v>
      </c>
    </row>
    <row r="268" spans="1:35" ht="28.5" customHeight="1" thickBot="1">
      <c r="A268" s="116" t="s">
        <v>4889</v>
      </c>
      <c r="C268" s="36" t="s">
        <v>4891</v>
      </c>
      <c r="D268" s="16" t="s">
        <v>4874</v>
      </c>
      <c r="E268" s="16" t="s">
        <v>4875</v>
      </c>
      <c r="F268" s="8" t="str">
        <f t="shared" ref="F268:F311" si="12">IF(A268="", "", "gift-codes.html?game=" &amp; A268)</f>
        <v>gift-codes.html?game=我的花園世界</v>
      </c>
      <c r="G268" s="16" t="s">
        <v>4890</v>
      </c>
      <c r="H268" s="9" t="str">
        <f t="shared" si="11"/>
        <v>https://www.ssbuy.tw/detail_giftcode/dist/gamedetail/我的花園世界.html</v>
      </c>
      <c r="I268" s="10" t="s">
        <v>4892</v>
      </c>
      <c r="J268" s="21" t="s">
        <v>4884</v>
      </c>
      <c r="K268" s="22">
        <v>2609</v>
      </c>
      <c r="L268" s="21" t="s">
        <v>204</v>
      </c>
      <c r="M268" s="22">
        <v>1365</v>
      </c>
      <c r="N268" s="21" t="s">
        <v>4885</v>
      </c>
      <c r="O268" s="22">
        <v>807</v>
      </c>
      <c r="P268" s="21" t="s">
        <v>4444</v>
      </c>
      <c r="Q268" s="22">
        <v>546</v>
      </c>
      <c r="R268" s="21" t="s">
        <v>4886</v>
      </c>
      <c r="S268" s="22">
        <v>400</v>
      </c>
      <c r="T268" s="21" t="s">
        <v>205</v>
      </c>
      <c r="U268" s="22">
        <v>269</v>
      </c>
      <c r="V268" s="21" t="s">
        <v>239</v>
      </c>
      <c r="W268" s="22">
        <v>145</v>
      </c>
      <c r="X268" s="21" t="s">
        <v>240</v>
      </c>
      <c r="Y268" s="22">
        <v>29</v>
      </c>
      <c r="Z268" s="21" t="s">
        <v>4887</v>
      </c>
      <c r="AA268" s="22">
        <v>29</v>
      </c>
      <c r="AB268" s="21" t="s">
        <v>4888</v>
      </c>
      <c r="AC268" s="22">
        <v>145</v>
      </c>
      <c r="AD268" s="16" t="s">
        <v>5417</v>
      </c>
      <c r="AE268" s="39" t="s">
        <v>5446</v>
      </c>
    </row>
    <row r="269" spans="1:35" ht="28.5" customHeight="1" thickBot="1">
      <c r="A269" s="116" t="s">
        <v>4922</v>
      </c>
      <c r="C269" s="36" t="s">
        <v>4927</v>
      </c>
      <c r="D269" s="9" t="s">
        <v>4929</v>
      </c>
      <c r="E269" s="9" t="s">
        <v>4928</v>
      </c>
      <c r="F269" s="8" t="str">
        <f t="shared" si="12"/>
        <v>gift-codes.html?game=Awakenloop</v>
      </c>
      <c r="G269" s="9" t="s">
        <v>4930</v>
      </c>
      <c r="H269" s="9" t="str">
        <f t="shared" si="11"/>
        <v>https://www.ssbuy.tw/detail_giftcode/dist/gamedetail/Awakenloop.html</v>
      </c>
      <c r="I269" s="10" t="s">
        <v>4946</v>
      </c>
      <c r="J269" s="21" t="s">
        <v>4830</v>
      </c>
      <c r="K269" s="22">
        <v>2343</v>
      </c>
      <c r="L269" s="21" t="s">
        <v>4831</v>
      </c>
      <c r="M269" s="22">
        <v>1190</v>
      </c>
      <c r="N269" s="21" t="s">
        <v>4832</v>
      </c>
      <c r="O269" s="22">
        <v>798</v>
      </c>
      <c r="P269" s="21" t="s">
        <v>4833</v>
      </c>
      <c r="Q269" s="22">
        <v>540</v>
      </c>
      <c r="R269" s="21" t="s">
        <v>4834</v>
      </c>
      <c r="S269" s="22">
        <v>395</v>
      </c>
      <c r="T269" s="21" t="s">
        <v>4835</v>
      </c>
      <c r="U269" s="22">
        <v>258</v>
      </c>
      <c r="V269" s="21" t="s">
        <v>4836</v>
      </c>
      <c r="W269" s="22">
        <v>126</v>
      </c>
      <c r="X269" s="21" t="s">
        <v>4964</v>
      </c>
      <c r="Y269" s="22">
        <v>52</v>
      </c>
      <c r="Z269" s="21" t="s">
        <v>4837</v>
      </c>
      <c r="AA269" s="22">
        <v>26</v>
      </c>
      <c r="AB269" s="16" t="s">
        <v>5417</v>
      </c>
      <c r="AC269" s="39" t="s">
        <v>5446</v>
      </c>
    </row>
    <row r="270" spans="1:35" ht="28.5" customHeight="1" thickBot="1">
      <c r="A270" s="116" t="s">
        <v>4923</v>
      </c>
      <c r="C270" s="8" t="s">
        <v>4934</v>
      </c>
      <c r="D270" s="9" t="s">
        <v>4931</v>
      </c>
      <c r="E270" s="9" t="s">
        <v>4932</v>
      </c>
      <c r="F270" s="8" t="str">
        <f t="shared" si="12"/>
        <v>gift-codes.html?game=Astellia</v>
      </c>
      <c r="G270" s="9" t="s">
        <v>4933</v>
      </c>
      <c r="H270" s="9" t="str">
        <f t="shared" si="11"/>
        <v>https://www.ssbuy.tw/detail_giftcode/dist/gamedetail/Astellia.html</v>
      </c>
      <c r="I270" s="10" t="s">
        <v>4947</v>
      </c>
      <c r="J270" s="21" t="s">
        <v>4965</v>
      </c>
      <c r="K270" s="22">
        <v>2076</v>
      </c>
      <c r="L270" s="21" t="s">
        <v>261</v>
      </c>
      <c r="M270" s="22">
        <v>1030</v>
      </c>
      <c r="N270" s="21" t="s">
        <v>263</v>
      </c>
      <c r="O270" s="22">
        <v>637</v>
      </c>
      <c r="P270" s="21" t="s">
        <v>3696</v>
      </c>
      <c r="Q270" s="22">
        <v>227</v>
      </c>
      <c r="R270" s="16" t="s">
        <v>5417</v>
      </c>
      <c r="S270" s="39" t="s">
        <v>5446</v>
      </c>
    </row>
    <row r="271" spans="1:35" ht="28.5" customHeight="1" thickBot="1">
      <c r="A271" s="116" t="s">
        <v>4924</v>
      </c>
      <c r="C271" s="8" t="s">
        <v>4944</v>
      </c>
      <c r="D271" s="8" t="s">
        <v>4944</v>
      </c>
      <c r="E271" s="9" t="s">
        <v>4945</v>
      </c>
      <c r="F271" s="8" t="str">
        <f t="shared" si="12"/>
        <v>gift-codes.html?game=華夏千秋</v>
      </c>
      <c r="G271" s="9" t="s">
        <v>4935</v>
      </c>
      <c r="H271" s="9" t="str">
        <f t="shared" si="11"/>
        <v>https://www.ssbuy.tw/detail_giftcode/dist/gamedetail/華夏千秋.html</v>
      </c>
      <c r="I271" s="10" t="s">
        <v>4948</v>
      </c>
      <c r="J271" s="21" t="s">
        <v>4966</v>
      </c>
      <c r="K271" s="22">
        <v>2579</v>
      </c>
      <c r="L271" s="21" t="s">
        <v>4967</v>
      </c>
      <c r="M271" s="22">
        <v>1988</v>
      </c>
      <c r="N271" s="21" t="s">
        <v>4968</v>
      </c>
      <c r="O271" s="22">
        <v>1349</v>
      </c>
      <c r="P271" s="21" t="s">
        <v>4969</v>
      </c>
      <c r="Q271" s="22">
        <v>950</v>
      </c>
      <c r="R271" s="21" t="s">
        <v>4970</v>
      </c>
      <c r="S271" s="22">
        <v>798</v>
      </c>
      <c r="T271" s="21" t="s">
        <v>4971</v>
      </c>
      <c r="U271" s="22">
        <v>749</v>
      </c>
      <c r="V271" s="21" t="s">
        <v>4972</v>
      </c>
      <c r="W271" s="22">
        <v>540</v>
      </c>
      <c r="X271" s="21" t="s">
        <v>4973</v>
      </c>
      <c r="Y271" s="22">
        <v>395</v>
      </c>
      <c r="Z271" s="21" t="s">
        <v>4974</v>
      </c>
      <c r="AA271" s="22">
        <v>346</v>
      </c>
      <c r="AB271" s="21" t="s">
        <v>4975</v>
      </c>
      <c r="AC271" s="22">
        <v>314</v>
      </c>
      <c r="AD271" s="16" t="s">
        <v>5417</v>
      </c>
      <c r="AE271" s="39" t="s">
        <v>5446</v>
      </c>
    </row>
    <row r="272" spans="1:35" ht="28.5" customHeight="1" thickBot="1">
      <c r="A272" s="116" t="s">
        <v>4925</v>
      </c>
      <c r="C272" s="8" t="s">
        <v>4936</v>
      </c>
      <c r="D272" s="9" t="s">
        <v>4939</v>
      </c>
      <c r="E272" s="9" t="s">
        <v>4938</v>
      </c>
      <c r="F272" s="8" t="str">
        <f t="shared" si="12"/>
        <v>gift-codes.html?game=萌塔娘</v>
      </c>
      <c r="G272" s="9" t="s">
        <v>4937</v>
      </c>
      <c r="H272" s="9" t="str">
        <f t="shared" si="11"/>
        <v>https://www.ssbuy.tw/detail_giftcode/dist/gamedetail/萌塔娘.html</v>
      </c>
      <c r="I272" s="10" t="s">
        <v>4949</v>
      </c>
      <c r="J272" s="21" t="s">
        <v>4976</v>
      </c>
      <c r="K272" s="22">
        <v>2579</v>
      </c>
      <c r="L272" s="21" t="s">
        <v>4977</v>
      </c>
      <c r="M272" s="22">
        <v>1349</v>
      </c>
      <c r="N272" s="21" t="s">
        <v>4978</v>
      </c>
      <c r="O272" s="22">
        <v>798</v>
      </c>
      <c r="P272" s="21" t="s">
        <v>4979</v>
      </c>
      <c r="Q272" s="22">
        <v>395</v>
      </c>
      <c r="R272" s="21" t="s">
        <v>4980</v>
      </c>
      <c r="S272" s="22">
        <v>266</v>
      </c>
      <c r="T272" s="21" t="s">
        <v>4981</v>
      </c>
      <c r="U272" s="22">
        <v>143</v>
      </c>
      <c r="V272" s="21" t="s">
        <v>4982</v>
      </c>
      <c r="W272" s="22">
        <v>29</v>
      </c>
      <c r="X272" s="16" t="s">
        <v>5417</v>
      </c>
      <c r="Y272" s="39" t="s">
        <v>5446</v>
      </c>
    </row>
    <row r="273" spans="1:31" ht="28.5" customHeight="1" thickBot="1">
      <c r="A273" s="116" t="s">
        <v>4926</v>
      </c>
      <c r="C273" s="8" t="s">
        <v>4940</v>
      </c>
      <c r="D273" s="9" t="s">
        <v>4941</v>
      </c>
      <c r="E273" s="9" t="s">
        <v>4942</v>
      </c>
      <c r="F273" s="8" t="str">
        <f t="shared" si="12"/>
        <v>gift-codes.html?game=盜夢英雄2：幻野</v>
      </c>
      <c r="G273" s="9" t="s">
        <v>4943</v>
      </c>
      <c r="H273" s="9" t="str">
        <f t="shared" si="11"/>
        <v>https://www.ssbuy.tw/detail_giftcode/dist/gamedetail/盜夢英雄2：幻野.html</v>
      </c>
      <c r="I273" s="10" t="s">
        <v>4950</v>
      </c>
      <c r="J273" s="21" t="s">
        <v>4983</v>
      </c>
      <c r="K273" s="22">
        <v>2579</v>
      </c>
      <c r="L273" s="21" t="s">
        <v>1675</v>
      </c>
      <c r="M273" s="22">
        <v>1828</v>
      </c>
      <c r="N273" s="21" t="s">
        <v>1676</v>
      </c>
      <c r="O273" s="22">
        <v>1349</v>
      </c>
      <c r="P273" s="21" t="s">
        <v>1678</v>
      </c>
      <c r="Q273" s="22">
        <v>950</v>
      </c>
      <c r="R273" s="21" t="s">
        <v>151</v>
      </c>
      <c r="S273" s="22">
        <v>798</v>
      </c>
      <c r="T273" s="21" t="s">
        <v>4984</v>
      </c>
      <c r="U273" s="22">
        <v>669</v>
      </c>
      <c r="V273" s="21" t="s">
        <v>1679</v>
      </c>
      <c r="W273" s="22">
        <v>540</v>
      </c>
      <c r="X273" s="21" t="s">
        <v>153</v>
      </c>
      <c r="Y273" s="22">
        <v>395</v>
      </c>
      <c r="Z273" s="21" t="s">
        <v>4985</v>
      </c>
      <c r="AA273" s="22">
        <v>314</v>
      </c>
      <c r="AB273" s="21" t="s">
        <v>154</v>
      </c>
      <c r="AC273" s="22">
        <v>160</v>
      </c>
      <c r="AD273" s="16" t="s">
        <v>5417</v>
      </c>
      <c r="AE273" s="39" t="s">
        <v>5446</v>
      </c>
    </row>
    <row r="274" spans="1:31" ht="28.5" customHeight="1" thickBot="1">
      <c r="A274" s="38" t="s">
        <v>5000</v>
      </c>
      <c r="C274" s="8" t="s">
        <v>4997</v>
      </c>
      <c r="D274" s="9" t="s">
        <v>4998</v>
      </c>
      <c r="E274" s="9" t="s">
        <v>4999</v>
      </c>
      <c r="F274" s="8" t="str">
        <f t="shared" si="12"/>
        <v>gift-codes.html?game=貪婪洞窟：重生</v>
      </c>
      <c r="G274" s="16" t="s">
        <v>5001</v>
      </c>
      <c r="H274" s="9" t="str">
        <f t="shared" si="11"/>
        <v>https://www.ssbuy.tw/detail_giftcode/dist/gamedetail/貪婪洞窟：重生.html</v>
      </c>
      <c r="I274" s="10" t="s">
        <v>5002</v>
      </c>
      <c r="J274" s="21" t="s">
        <v>5003</v>
      </c>
      <c r="K274" s="22">
        <v>2343</v>
      </c>
      <c r="L274" s="21" t="s">
        <v>5004</v>
      </c>
      <c r="M274" s="22">
        <v>1190</v>
      </c>
      <c r="N274" s="21" t="s">
        <v>5005</v>
      </c>
      <c r="O274" s="22">
        <v>556</v>
      </c>
      <c r="P274" s="21" t="s">
        <v>5006</v>
      </c>
      <c r="Q274" s="22">
        <v>258</v>
      </c>
      <c r="R274" s="21" t="s">
        <v>5007</v>
      </c>
      <c r="S274" s="22">
        <v>126</v>
      </c>
      <c r="T274" s="21" t="s">
        <v>1377</v>
      </c>
      <c r="U274" s="22">
        <v>26</v>
      </c>
      <c r="V274" s="21" t="s">
        <v>5008</v>
      </c>
      <c r="W274" s="22">
        <v>556</v>
      </c>
      <c r="X274" s="21" t="s">
        <v>5009</v>
      </c>
      <c r="Y274" s="22">
        <v>556</v>
      </c>
      <c r="Z274" s="21" t="s">
        <v>5010</v>
      </c>
      <c r="AA274" s="22">
        <v>1190</v>
      </c>
      <c r="AB274" s="21" t="s">
        <v>5011</v>
      </c>
      <c r="AC274" s="22">
        <v>2343</v>
      </c>
      <c r="AD274" s="16" t="s">
        <v>5417</v>
      </c>
      <c r="AE274" s="39" t="s">
        <v>5446</v>
      </c>
    </row>
    <row r="275" spans="1:31" ht="28.5" customHeight="1" thickBot="1">
      <c r="A275" s="38" t="s">
        <v>5052</v>
      </c>
      <c r="C275" s="8" t="s">
        <v>5046</v>
      </c>
      <c r="D275" s="9" t="s">
        <v>5049</v>
      </c>
      <c r="E275" s="9" t="s">
        <v>5050</v>
      </c>
      <c r="F275" s="8" t="str">
        <f t="shared" si="12"/>
        <v>gift-codes.html?game=小兵特攻隊</v>
      </c>
      <c r="G275" s="9" t="s">
        <v>5051</v>
      </c>
      <c r="H275" s="9" t="str">
        <f t="shared" si="11"/>
        <v>https://www.ssbuy.tw/detail_giftcode/dist/gamedetail/小兵特攻隊.html</v>
      </c>
      <c r="I275" s="10" t="s">
        <v>5054</v>
      </c>
      <c r="J275" s="21" t="s">
        <v>12</v>
      </c>
      <c r="K275" s="22">
        <v>2302</v>
      </c>
      <c r="L275" s="21" t="s">
        <v>13</v>
      </c>
      <c r="M275" s="22">
        <v>1168</v>
      </c>
      <c r="N275" s="21" t="s">
        <v>24</v>
      </c>
      <c r="O275" s="22">
        <v>783</v>
      </c>
      <c r="P275" s="21" t="s">
        <v>15</v>
      </c>
      <c r="Q275" s="22">
        <v>388</v>
      </c>
      <c r="R275" s="21" t="s">
        <v>16</v>
      </c>
      <c r="S275" s="22">
        <v>141</v>
      </c>
      <c r="T275" s="21" t="s">
        <v>7</v>
      </c>
      <c r="U275" s="22">
        <v>28</v>
      </c>
      <c r="V275" s="21" t="s">
        <v>178</v>
      </c>
      <c r="W275" s="22">
        <v>141</v>
      </c>
      <c r="X275" s="21" t="s">
        <v>5053</v>
      </c>
      <c r="Y275" s="22">
        <v>141</v>
      </c>
      <c r="Z275" s="16" t="s">
        <v>5417</v>
      </c>
      <c r="AA275" s="39" t="s">
        <v>5446</v>
      </c>
    </row>
    <row r="276" spans="1:31" ht="28.5" customHeight="1" thickBot="1">
      <c r="A276" s="116" t="s">
        <v>5063</v>
      </c>
      <c r="C276" s="8" t="s">
        <v>5066</v>
      </c>
      <c r="D276" s="9" t="s">
        <v>5079</v>
      </c>
      <c r="E276" s="9" t="s">
        <v>5080</v>
      </c>
      <c r="F276" s="8" t="str">
        <f t="shared" si="12"/>
        <v>gift-codes.html?game=星塔旅人</v>
      </c>
      <c r="G276" s="16" t="s">
        <v>5081</v>
      </c>
      <c r="H276" s="9" t="str">
        <f t="shared" si="11"/>
        <v>https://www.ssbuy.tw/detail_giftcode/dist/gamedetail/星塔旅人.html</v>
      </c>
      <c r="I276" s="10" t="s">
        <v>5082</v>
      </c>
      <c r="J276" s="21" t="s">
        <v>5252</v>
      </c>
      <c r="K276" s="22">
        <v>2477</v>
      </c>
      <c r="L276" s="21" t="s">
        <v>5253</v>
      </c>
      <c r="M276" s="22">
        <v>1346</v>
      </c>
      <c r="N276" s="21" t="s">
        <v>5254</v>
      </c>
      <c r="O276" s="22">
        <v>713</v>
      </c>
      <c r="P276" s="21" t="s">
        <v>5255</v>
      </c>
      <c r="Q276" s="22">
        <v>340</v>
      </c>
      <c r="R276" s="21" t="s">
        <v>5256</v>
      </c>
      <c r="S276" s="22">
        <v>169</v>
      </c>
      <c r="T276" s="21" t="s">
        <v>5257</v>
      </c>
      <c r="U276" s="22">
        <v>82</v>
      </c>
      <c r="V276" s="21" t="s">
        <v>5258</v>
      </c>
      <c r="W276" s="22">
        <v>30</v>
      </c>
      <c r="X276" s="21" t="s">
        <v>5259</v>
      </c>
      <c r="Y276" s="22">
        <v>133</v>
      </c>
      <c r="Z276" s="16" t="s">
        <v>5417</v>
      </c>
      <c r="AA276" s="39" t="s">
        <v>5446</v>
      </c>
    </row>
    <row r="277" spans="1:31" ht="28.5" customHeight="1" thickBot="1">
      <c r="A277" s="116" t="s">
        <v>4664</v>
      </c>
      <c r="C277" s="8" t="s">
        <v>5069</v>
      </c>
      <c r="D277" s="9" t="s">
        <v>5070</v>
      </c>
      <c r="E277" s="9" t="s">
        <v>5072</v>
      </c>
      <c r="F277" s="8" t="str">
        <f t="shared" si="12"/>
        <v>gift-codes.html?game=卡厄斯夢境</v>
      </c>
      <c r="G277" s="9" t="s">
        <v>5071</v>
      </c>
      <c r="H277" s="9" t="str">
        <f t="shared" si="11"/>
        <v>https://www.ssbuy.tw/detail_giftcode/dist/gamedetail/卡厄斯夢境.html</v>
      </c>
      <c r="I277" s="10" t="s">
        <v>5083</v>
      </c>
      <c r="J277" s="21" t="s">
        <v>5003</v>
      </c>
      <c r="K277" s="22">
        <v>2230</v>
      </c>
      <c r="L277" s="21" t="s">
        <v>5004</v>
      </c>
      <c r="M277" s="22">
        <v>1389</v>
      </c>
      <c r="N277" s="21" t="s">
        <v>5156</v>
      </c>
      <c r="O277" s="22">
        <v>821</v>
      </c>
      <c r="P277" s="21" t="s">
        <v>5157</v>
      </c>
      <c r="Q277" s="22">
        <v>407</v>
      </c>
      <c r="R277" s="21" t="s">
        <v>5007</v>
      </c>
      <c r="S277" s="22">
        <v>147</v>
      </c>
      <c r="T277" s="21" t="s">
        <v>1377</v>
      </c>
      <c r="U277" s="22">
        <v>29</v>
      </c>
      <c r="V277" s="21" t="s">
        <v>5158</v>
      </c>
      <c r="W277" s="22">
        <v>147</v>
      </c>
      <c r="X277" s="21"/>
      <c r="Y277" s="22"/>
      <c r="Z277" s="16" t="s">
        <v>5417</v>
      </c>
      <c r="AA277" s="39" t="s">
        <v>5446</v>
      </c>
    </row>
    <row r="278" spans="1:31" ht="28.5" customHeight="1" thickBot="1">
      <c r="A278" s="116" t="s">
        <v>5064</v>
      </c>
      <c r="C278" s="8" t="s">
        <v>5068</v>
      </c>
      <c r="D278" s="9" t="s">
        <v>5073</v>
      </c>
      <c r="E278" s="9" t="s">
        <v>5075</v>
      </c>
      <c r="F278" s="8" t="str">
        <f t="shared" si="12"/>
        <v>gift-codes.html?game=星痕共鳴</v>
      </c>
      <c r="G278" s="9" t="s">
        <v>5074</v>
      </c>
      <c r="H278" s="9" t="str">
        <f t="shared" si="11"/>
        <v>https://www.ssbuy.tw/detail_giftcode/dist/gamedetail/星痕共鳴.html</v>
      </c>
      <c r="I278" s="10" t="s">
        <v>5084</v>
      </c>
      <c r="J278" s="21" t="s">
        <v>5088</v>
      </c>
      <c r="K278" s="22">
        <v>2533</v>
      </c>
      <c r="L278" s="21" t="s">
        <v>5089</v>
      </c>
      <c r="M278" s="22">
        <v>1325</v>
      </c>
      <c r="N278" s="21" t="s">
        <v>3512</v>
      </c>
      <c r="O278" s="22">
        <v>783</v>
      </c>
      <c r="P278" s="21" t="s">
        <v>5090</v>
      </c>
      <c r="Q278" s="22">
        <v>388</v>
      </c>
      <c r="R278" s="21" t="s">
        <v>5091</v>
      </c>
      <c r="S278" s="22">
        <v>261</v>
      </c>
      <c r="T278" s="21" t="s">
        <v>28</v>
      </c>
      <c r="U278" s="22">
        <v>141</v>
      </c>
      <c r="V278" s="21" t="s">
        <v>4709</v>
      </c>
      <c r="W278" s="22">
        <v>28</v>
      </c>
      <c r="X278" s="21" t="s">
        <v>178</v>
      </c>
      <c r="Y278" s="22">
        <v>141</v>
      </c>
      <c r="Z278" s="21" t="s">
        <v>5092</v>
      </c>
      <c r="AA278" s="22">
        <v>522</v>
      </c>
      <c r="AB278" s="21" t="s">
        <v>5093</v>
      </c>
      <c r="AC278" s="22">
        <v>261</v>
      </c>
      <c r="AD278" s="16" t="s">
        <v>5417</v>
      </c>
      <c r="AE278" s="39" t="s">
        <v>5446</v>
      </c>
    </row>
    <row r="279" spans="1:31" ht="28.5" customHeight="1" thickBot="1">
      <c r="A279" s="116" t="s">
        <v>5065</v>
      </c>
      <c r="C279" s="8" t="s">
        <v>5067</v>
      </c>
      <c r="D279" s="9" t="s">
        <v>5076</v>
      </c>
      <c r="E279" s="9" t="s">
        <v>5078</v>
      </c>
      <c r="F279" s="8" t="str">
        <f t="shared" si="12"/>
        <v>gift-codes.html?game=二重螺旋</v>
      </c>
      <c r="G279" s="9" t="s">
        <v>5077</v>
      </c>
      <c r="H279" s="9" t="str">
        <f t="shared" si="11"/>
        <v>https://www.ssbuy.tw/detail_giftcode/dist/gamedetail/二重螺旋.html</v>
      </c>
      <c r="I279" s="10" t="s">
        <v>5085</v>
      </c>
      <c r="J279" s="21" t="s">
        <v>5094</v>
      </c>
      <c r="K279" s="22">
        <v>2717</v>
      </c>
      <c r="L279" s="21" t="s">
        <v>5095</v>
      </c>
      <c r="M279" s="22">
        <v>1422</v>
      </c>
      <c r="N279" s="21" t="s">
        <v>5096</v>
      </c>
      <c r="O279" s="22">
        <v>840</v>
      </c>
      <c r="P279" s="21" t="s">
        <v>5097</v>
      </c>
      <c r="Q279" s="22">
        <v>416</v>
      </c>
      <c r="R279" s="21" t="s">
        <v>5098</v>
      </c>
      <c r="S279" s="22">
        <v>151</v>
      </c>
      <c r="T279" s="21" t="s">
        <v>5099</v>
      </c>
      <c r="U279" s="22">
        <v>30</v>
      </c>
      <c r="V279" s="21" t="s">
        <v>5360</v>
      </c>
      <c r="W279" s="22">
        <v>151</v>
      </c>
      <c r="X279" s="16" t="s">
        <v>5417</v>
      </c>
      <c r="Y279" s="39" t="s">
        <v>5446</v>
      </c>
      <c r="Z279" s="21"/>
      <c r="AA279" s="22"/>
      <c r="AB279" s="16"/>
      <c r="AC279" s="39"/>
    </row>
    <row r="280" spans="1:31" ht="28.5" customHeight="1" thickBot="1">
      <c r="A280" s="116" t="s">
        <v>5118</v>
      </c>
      <c r="C280" s="8" t="s">
        <v>5115</v>
      </c>
      <c r="D280" s="9" t="s">
        <v>5116</v>
      </c>
      <c r="E280" s="9" t="s">
        <v>5114</v>
      </c>
      <c r="F280" s="8" t="str">
        <f t="shared" si="12"/>
        <v>gift-codes.html?game=電馭跑酷</v>
      </c>
      <c r="G280" s="16" t="s">
        <v>5119</v>
      </c>
      <c r="H280" s="9" t="str">
        <f t="shared" si="11"/>
        <v>https://www.ssbuy.tw/detail_giftcode/dist/gamedetail/電馭跑酷.html</v>
      </c>
      <c r="I280" s="34" t="s">
        <v>5154</v>
      </c>
      <c r="J280" s="21" t="s">
        <v>5138</v>
      </c>
      <c r="K280" s="22">
        <v>2302</v>
      </c>
      <c r="L280" s="21" t="s">
        <v>5139</v>
      </c>
      <c r="M280" s="22">
        <v>1168</v>
      </c>
      <c r="N280" s="21" t="s">
        <v>5140</v>
      </c>
      <c r="O280" s="22">
        <v>467</v>
      </c>
      <c r="P280" s="21" t="s">
        <v>5141</v>
      </c>
      <c r="Q280" s="22">
        <v>248</v>
      </c>
      <c r="R280" s="21" t="s">
        <v>5142</v>
      </c>
      <c r="S280" s="22">
        <v>124</v>
      </c>
      <c r="T280" s="21" t="s">
        <v>5143</v>
      </c>
      <c r="U280" s="22">
        <v>51</v>
      </c>
      <c r="V280" s="21" t="s">
        <v>5144</v>
      </c>
      <c r="W280" s="22">
        <v>248</v>
      </c>
      <c r="X280" s="16" t="s">
        <v>5417</v>
      </c>
      <c r="Y280" s="39" t="s">
        <v>5446</v>
      </c>
    </row>
    <row r="281" spans="1:31" ht="28.5" customHeight="1" thickBot="1">
      <c r="A281" s="116" t="s">
        <v>5128</v>
      </c>
      <c r="C281" s="8" t="s">
        <v>5117</v>
      </c>
      <c r="D281" s="9" t="s">
        <v>5113</v>
      </c>
      <c r="E281" s="9" t="s">
        <v>5112</v>
      </c>
      <c r="F281" s="8" t="str">
        <f t="shared" si="12"/>
        <v>gift-codes.html?game=火焰紋章Shadows</v>
      </c>
      <c r="G281" s="16" t="s">
        <v>5120</v>
      </c>
      <c r="H281" s="9" t="str">
        <f t="shared" si="11"/>
        <v>https://www.ssbuy.tw/detail_giftcode/dist/gamedetail/火焰紋章Shadows.html</v>
      </c>
      <c r="I281" s="34" t="s">
        <v>5155</v>
      </c>
      <c r="J281" s="21" t="s">
        <v>5145</v>
      </c>
      <c r="K281" s="22">
        <v>1549</v>
      </c>
      <c r="L281" s="21" t="s">
        <v>5146</v>
      </c>
      <c r="M281" s="22">
        <v>1030</v>
      </c>
      <c r="N281" s="21" t="s">
        <v>5147</v>
      </c>
      <c r="O281" s="22">
        <v>673</v>
      </c>
      <c r="P281" s="21" t="s">
        <v>5148</v>
      </c>
      <c r="Q281" s="22">
        <v>344</v>
      </c>
      <c r="R281" s="21" t="s">
        <v>5149</v>
      </c>
      <c r="S281" s="22">
        <v>157</v>
      </c>
      <c r="T281" s="21" t="s">
        <v>5150</v>
      </c>
      <c r="U281" s="22">
        <v>81</v>
      </c>
      <c r="V281" s="21" t="s">
        <v>5151</v>
      </c>
      <c r="W281" s="22">
        <v>17</v>
      </c>
      <c r="X281" s="21" t="s">
        <v>5152</v>
      </c>
      <c r="Y281" s="22">
        <v>244</v>
      </c>
      <c r="Z281" s="21" t="s">
        <v>5153</v>
      </c>
      <c r="AA281" s="22">
        <v>139</v>
      </c>
      <c r="AB281" s="16" t="s">
        <v>5417</v>
      </c>
      <c r="AC281" s="39" t="s">
        <v>5446</v>
      </c>
    </row>
    <row r="282" spans="1:31" ht="28.5" customHeight="1" thickBot="1">
      <c r="A282" s="116" t="s">
        <v>5198</v>
      </c>
      <c r="C282" s="8" t="s">
        <v>5159</v>
      </c>
      <c r="D282" s="9" t="s">
        <v>5160</v>
      </c>
      <c r="E282" s="9" t="s">
        <v>5161</v>
      </c>
      <c r="F282" s="8" t="str">
        <f t="shared" si="12"/>
        <v>gift-codes.html?game=石器時代：寵物世界</v>
      </c>
      <c r="G282" s="16" t="s">
        <v>5175</v>
      </c>
      <c r="H282" s="9" t="str">
        <f t="shared" si="11"/>
        <v>https://www.ssbuy.tw/detail_giftcode/dist/gamedetail/石器時代：寵物世界.html</v>
      </c>
      <c r="I282" s="10" t="s">
        <v>5178</v>
      </c>
      <c r="J282" s="21" t="s">
        <v>4983</v>
      </c>
      <c r="K282" s="22">
        <v>2655</v>
      </c>
      <c r="L282" s="21" t="s">
        <v>1674</v>
      </c>
      <c r="M282" s="22">
        <v>2047</v>
      </c>
      <c r="N282" s="21" t="s">
        <v>5168</v>
      </c>
      <c r="O282" s="22">
        <v>1357</v>
      </c>
      <c r="P282" s="21" t="s">
        <v>5169</v>
      </c>
      <c r="Q282" s="22">
        <v>1085</v>
      </c>
      <c r="R282" s="21" t="s">
        <v>5170</v>
      </c>
      <c r="S282" s="22">
        <v>822</v>
      </c>
      <c r="T282" s="21" t="s">
        <v>5171</v>
      </c>
      <c r="U282" s="22">
        <v>680</v>
      </c>
      <c r="V282" s="21" t="s">
        <v>152</v>
      </c>
      <c r="W282" s="22">
        <v>572</v>
      </c>
      <c r="X282" s="21" t="s">
        <v>153</v>
      </c>
      <c r="Y282" s="22">
        <v>407</v>
      </c>
      <c r="Z282" s="21" t="s">
        <v>5172</v>
      </c>
      <c r="AA282" s="22">
        <v>357</v>
      </c>
      <c r="AB282" s="21" t="s">
        <v>1680</v>
      </c>
      <c r="AC282" s="22">
        <v>274</v>
      </c>
      <c r="AD282" s="16" t="s">
        <v>5417</v>
      </c>
      <c r="AE282" s="39" t="s">
        <v>5446</v>
      </c>
    </row>
    <row r="283" spans="1:31" ht="28.5" customHeight="1" thickBot="1">
      <c r="A283" s="116" t="s">
        <v>5173</v>
      </c>
      <c r="C283" s="8" t="s">
        <v>5162</v>
      </c>
      <c r="D283" s="9" t="s">
        <v>5163</v>
      </c>
      <c r="E283" s="9" t="s">
        <v>5164</v>
      </c>
      <c r="F283" s="8" t="str">
        <f t="shared" si="12"/>
        <v>gift-codes.html?game=蔚藍星球：國王很忙</v>
      </c>
      <c r="G283" s="16" t="s">
        <v>5176</v>
      </c>
      <c r="H283" s="9" t="str">
        <f t="shared" si="11"/>
        <v>https://www.ssbuy.tw/detail_giftcode/dist/gamedetail/蔚藍星球：國王很忙.html</v>
      </c>
      <c r="I283" s="10" t="s">
        <v>5179</v>
      </c>
      <c r="J283" s="21" t="s">
        <v>5320</v>
      </c>
      <c r="K283" s="22">
        <v>2717</v>
      </c>
      <c r="L283" s="21" t="s">
        <v>5321</v>
      </c>
      <c r="M283" s="22">
        <v>1422</v>
      </c>
      <c r="N283" s="21" t="s">
        <v>5322</v>
      </c>
      <c r="O283" s="22">
        <v>586</v>
      </c>
      <c r="P283" s="21" t="s">
        <v>5323</v>
      </c>
      <c r="Q283" s="22">
        <v>416</v>
      </c>
      <c r="R283" s="21" t="s">
        <v>1302</v>
      </c>
      <c r="S283" s="22">
        <v>151</v>
      </c>
      <c r="T283" s="21" t="s">
        <v>7</v>
      </c>
      <c r="U283" s="22">
        <v>30</v>
      </c>
      <c r="V283" s="21" t="s">
        <v>5324</v>
      </c>
      <c r="W283" s="22">
        <v>151</v>
      </c>
      <c r="X283" s="21" t="s">
        <v>5325</v>
      </c>
      <c r="Y283" s="22">
        <v>89</v>
      </c>
      <c r="Z283" s="16" t="s">
        <v>5417</v>
      </c>
      <c r="AA283" s="39" t="s">
        <v>5446</v>
      </c>
    </row>
    <row r="284" spans="1:31" ht="28.5" customHeight="1" thickBot="1">
      <c r="A284" s="116" t="s">
        <v>5174</v>
      </c>
      <c r="C284" s="8" t="s">
        <v>5165</v>
      </c>
      <c r="D284" s="9" t="s">
        <v>5166</v>
      </c>
      <c r="E284" s="9" t="s">
        <v>5167</v>
      </c>
      <c r="F284" s="8" t="str">
        <f t="shared" si="12"/>
        <v>gift-codes.html?game=胸懷三國：美人計</v>
      </c>
      <c r="G284" s="16" t="s">
        <v>5177</v>
      </c>
      <c r="H284" s="9" t="str">
        <f t="shared" ref="H284:H311" si="13">IF(A284="", "", "https://www.ssbuy.tw/game-detail.html?game="&amp;A284)</f>
        <v>https://www.ssbuy.tw/game-detail.html?game=胸懷三國：美人計</v>
      </c>
      <c r="I284" s="10" t="s">
        <v>5180</v>
      </c>
      <c r="J284" s="21" t="s">
        <v>5267</v>
      </c>
      <c r="K284" s="22">
        <v>2717</v>
      </c>
      <c r="L284" s="21" t="s">
        <v>5268</v>
      </c>
      <c r="M284" s="22">
        <v>1388</v>
      </c>
      <c r="N284" s="21" t="s">
        <v>5269</v>
      </c>
      <c r="O284" s="22">
        <v>841</v>
      </c>
      <c r="P284" s="21" t="s">
        <v>5270</v>
      </c>
      <c r="Q284" s="22">
        <v>586</v>
      </c>
      <c r="R284" s="21" t="s">
        <v>5271</v>
      </c>
      <c r="S284" s="22">
        <v>416</v>
      </c>
      <c r="T284" s="21" t="s">
        <v>5272</v>
      </c>
      <c r="U284" s="22">
        <v>280</v>
      </c>
      <c r="V284" s="21" t="s">
        <v>5273</v>
      </c>
      <c r="W284" s="22">
        <v>146</v>
      </c>
      <c r="X284" s="21" t="s">
        <v>5274</v>
      </c>
      <c r="Y284" s="22">
        <v>30</v>
      </c>
      <c r="Z284" s="21" t="s">
        <v>5275</v>
      </c>
      <c r="AA284" s="22">
        <v>416</v>
      </c>
      <c r="AB284" s="21" t="s">
        <v>5276</v>
      </c>
      <c r="AC284" s="22">
        <v>586</v>
      </c>
      <c r="AD284" s="16" t="s">
        <v>5417</v>
      </c>
      <c r="AE284" s="39" t="s">
        <v>5446</v>
      </c>
    </row>
    <row r="285" spans="1:31" ht="28.5" customHeight="1" thickBot="1">
      <c r="A285" s="116" t="s">
        <v>5224</v>
      </c>
      <c r="C285" s="8" t="s">
        <v>5222</v>
      </c>
      <c r="D285" s="9" t="s">
        <v>5223</v>
      </c>
      <c r="E285" s="9" t="s">
        <v>5212</v>
      </c>
      <c r="F285" s="8" t="str">
        <f t="shared" si="12"/>
        <v>gift-codes.html?game=弓箭英雄：塔防</v>
      </c>
      <c r="G285" s="16" t="s">
        <v>5225</v>
      </c>
      <c r="H285" s="9" t="str">
        <f t="shared" si="13"/>
        <v>https://www.ssbuy.tw/game-detail.html?game=弓箭英雄：塔防</v>
      </c>
      <c r="I285" s="10" t="s">
        <v>5251</v>
      </c>
      <c r="J285" s="21" t="s">
        <v>5247</v>
      </c>
      <c r="K285" s="22">
        <v>2469</v>
      </c>
      <c r="L285" s="21" t="s">
        <v>1466</v>
      </c>
      <c r="M285" s="22">
        <v>1253</v>
      </c>
      <c r="N285" s="21" t="s">
        <v>1294</v>
      </c>
      <c r="O285" s="22">
        <v>501</v>
      </c>
      <c r="P285" s="21" t="s">
        <v>64</v>
      </c>
      <c r="Q285" s="22">
        <v>257</v>
      </c>
      <c r="R285" s="21" t="s">
        <v>6</v>
      </c>
      <c r="S285" s="22">
        <v>133</v>
      </c>
      <c r="T285" s="21" t="s">
        <v>5248</v>
      </c>
      <c r="U285" s="22">
        <v>27</v>
      </c>
      <c r="V285" s="16" t="s">
        <v>5417</v>
      </c>
      <c r="W285" s="39" t="s">
        <v>5446</v>
      </c>
    </row>
    <row r="286" spans="1:31" ht="28.5" customHeight="1" thickBot="1">
      <c r="A286" s="116" t="s">
        <v>5230</v>
      </c>
      <c r="C286" s="8" t="s">
        <v>5214</v>
      </c>
      <c r="D286" s="9" t="s">
        <v>5213</v>
      </c>
      <c r="E286" s="9" t="s">
        <v>5215</v>
      </c>
      <c r="F286" s="8" t="str">
        <f t="shared" si="12"/>
        <v>gift-codes.html?game=十二之天M</v>
      </c>
      <c r="G286" s="16" t="s">
        <v>5226</v>
      </c>
      <c r="H286" s="9" t="str">
        <f t="shared" si="13"/>
        <v>https://www.ssbuy.tw/game-detail.html?game=十二之天M</v>
      </c>
      <c r="I286" s="34" t="s">
        <v>5244</v>
      </c>
      <c r="J286" s="21" t="s">
        <v>5260</v>
      </c>
      <c r="K286" s="22">
        <v>2717</v>
      </c>
      <c r="L286" s="21" t="s">
        <v>5261</v>
      </c>
      <c r="M286" s="22">
        <v>1422</v>
      </c>
      <c r="N286" s="21" t="s">
        <v>5262</v>
      </c>
      <c r="O286" s="22">
        <v>840</v>
      </c>
      <c r="P286" s="21" t="s">
        <v>5263</v>
      </c>
      <c r="Q286" s="22">
        <v>416</v>
      </c>
      <c r="R286" s="21" t="s">
        <v>1536</v>
      </c>
      <c r="S286" s="22">
        <v>151</v>
      </c>
      <c r="T286" s="21" t="s">
        <v>1538</v>
      </c>
      <c r="U286" s="22">
        <v>30</v>
      </c>
      <c r="V286" s="21" t="s">
        <v>5264</v>
      </c>
      <c r="W286" s="22">
        <v>213</v>
      </c>
      <c r="X286" s="21" t="s">
        <v>5265</v>
      </c>
      <c r="Y286" s="22">
        <v>357</v>
      </c>
      <c r="Z286" s="21" t="s">
        <v>5266</v>
      </c>
      <c r="AA286" s="22">
        <v>705</v>
      </c>
      <c r="AB286" s="16" t="s">
        <v>5417</v>
      </c>
      <c r="AC286" s="39" t="s">
        <v>5446</v>
      </c>
    </row>
    <row r="287" spans="1:31" ht="28.5" customHeight="1" thickBot="1">
      <c r="A287" s="116" t="s">
        <v>5231</v>
      </c>
      <c r="C287" s="8" t="s">
        <v>5218</v>
      </c>
      <c r="D287" s="9" t="s">
        <v>5217</v>
      </c>
      <c r="E287" s="9" t="s">
        <v>5216</v>
      </c>
      <c r="F287" s="8" t="str">
        <f t="shared" si="12"/>
        <v>gift-codes.html?game=NBA巔峰對決</v>
      </c>
      <c r="G287" s="16" t="s">
        <v>5227</v>
      </c>
      <c r="H287" s="9" t="str">
        <f t="shared" si="13"/>
        <v>https://www.ssbuy.tw/game-detail.html?game=NBA巔峰對決</v>
      </c>
      <c r="I287" s="10" t="s">
        <v>5245</v>
      </c>
      <c r="J287" s="21" t="s">
        <v>5371</v>
      </c>
      <c r="K287" s="22">
        <v>2717</v>
      </c>
      <c r="L287" s="21" t="s">
        <v>5372</v>
      </c>
      <c r="M287" s="22">
        <v>1422</v>
      </c>
      <c r="N287" s="21" t="s">
        <v>5373</v>
      </c>
      <c r="O287" s="22">
        <v>840</v>
      </c>
      <c r="P287" s="21" t="s">
        <v>5374</v>
      </c>
      <c r="Q287" s="22">
        <v>586</v>
      </c>
      <c r="R287" s="21" t="s">
        <v>5375</v>
      </c>
      <c r="S287" s="22">
        <v>297</v>
      </c>
      <c r="T287" s="21" t="s">
        <v>5376</v>
      </c>
      <c r="U287" s="22">
        <v>146</v>
      </c>
      <c r="V287" s="21" t="s">
        <v>5377</v>
      </c>
      <c r="W287" s="22">
        <v>30</v>
      </c>
      <c r="X287" s="21" t="s">
        <v>5378</v>
      </c>
      <c r="Y287" s="22">
        <v>9</v>
      </c>
      <c r="Z287" s="21" t="s">
        <v>1295</v>
      </c>
      <c r="AA287" s="22">
        <v>146</v>
      </c>
      <c r="AB287" s="16" t="s">
        <v>5417</v>
      </c>
      <c r="AC287" s="39" t="s">
        <v>5446</v>
      </c>
    </row>
    <row r="288" spans="1:31" ht="28.5" customHeight="1" thickBot="1">
      <c r="A288" s="116" t="s">
        <v>5228</v>
      </c>
      <c r="C288" s="8" t="s">
        <v>5221</v>
      </c>
      <c r="D288" s="9" t="s">
        <v>5220</v>
      </c>
      <c r="E288" s="9" t="s">
        <v>5219</v>
      </c>
      <c r="F288" s="8" t="str">
        <f t="shared" si="12"/>
        <v>gift-codes.html?game=三國志：王戰</v>
      </c>
      <c r="G288" s="16" t="s">
        <v>5229</v>
      </c>
      <c r="H288" s="9" t="str">
        <f t="shared" si="13"/>
        <v>https://www.ssbuy.tw/game-detail.html?game=三國志：王戰</v>
      </c>
      <c r="I288" s="10" t="s">
        <v>5246</v>
      </c>
      <c r="J288" s="16" t="s">
        <v>5417</v>
      </c>
      <c r="K288" s="39" t="s">
        <v>5446</v>
      </c>
    </row>
    <row r="289" spans="1:31" ht="28.5" customHeight="1" thickBot="1">
      <c r="A289" s="38" t="s">
        <v>5334</v>
      </c>
      <c r="C289" s="8" t="s">
        <v>5338</v>
      </c>
      <c r="D289" s="9" t="s">
        <v>5335</v>
      </c>
      <c r="E289" s="9" t="s">
        <v>5337</v>
      </c>
      <c r="F289" s="8" t="str">
        <f t="shared" si="12"/>
        <v>gift-codes.html?game=信長 霸道</v>
      </c>
      <c r="G289" s="9" t="s">
        <v>5336</v>
      </c>
      <c r="H289" s="9" t="str">
        <f t="shared" si="13"/>
        <v>https://www.ssbuy.tw/game-detail.html?game=信長 霸道</v>
      </c>
      <c r="I289" s="10" t="s">
        <v>5349</v>
      </c>
      <c r="J289" s="21" t="s">
        <v>5339</v>
      </c>
      <c r="K289" s="22">
        <v>2086</v>
      </c>
      <c r="L289" s="21" t="s">
        <v>5340</v>
      </c>
      <c r="M289" s="22">
        <v>1051</v>
      </c>
      <c r="N289" s="21" t="s">
        <v>5341</v>
      </c>
      <c r="O289" s="22">
        <v>531</v>
      </c>
      <c r="P289" s="21" t="s">
        <v>5342</v>
      </c>
      <c r="Q289" s="22">
        <v>357</v>
      </c>
      <c r="R289" s="21" t="s">
        <v>5343</v>
      </c>
      <c r="S289" s="22">
        <v>149</v>
      </c>
      <c r="T289" s="21" t="s">
        <v>5344</v>
      </c>
      <c r="U289" s="22">
        <v>32</v>
      </c>
      <c r="V289" s="21" t="s">
        <v>5345</v>
      </c>
      <c r="W289" s="22">
        <v>1051</v>
      </c>
      <c r="X289" s="21" t="s">
        <v>5346</v>
      </c>
      <c r="Y289" s="22">
        <v>531</v>
      </c>
      <c r="Z289" s="21" t="s">
        <v>5347</v>
      </c>
      <c r="AA289" s="22">
        <v>186</v>
      </c>
      <c r="AB289" s="21" t="s">
        <v>5348</v>
      </c>
      <c r="AC289" s="22">
        <v>357</v>
      </c>
      <c r="AD289" s="16" t="s">
        <v>5417</v>
      </c>
      <c r="AE289" s="39" t="s">
        <v>5446</v>
      </c>
    </row>
    <row r="290" spans="1:31" ht="28.5" customHeight="1" thickBot="1">
      <c r="A290" s="116" t="s">
        <v>6275</v>
      </c>
      <c r="C290" s="8" t="s">
        <v>5381</v>
      </c>
      <c r="D290" s="9" t="s">
        <v>5380</v>
      </c>
      <c r="E290" s="9" t="s">
        <v>5379</v>
      </c>
      <c r="F290" s="8" t="str">
        <f t="shared" si="12"/>
        <v>gift-codes.html?game=勇者前線Versus</v>
      </c>
      <c r="G290" s="9" t="s">
        <v>5404</v>
      </c>
      <c r="H290" s="9" t="str">
        <f t="shared" si="13"/>
        <v>https://www.ssbuy.tw/game-detail.html?game=勇者前線Versus</v>
      </c>
      <c r="I290" s="10" t="s">
        <v>5439</v>
      </c>
      <c r="J290" s="16" t="s">
        <v>5418</v>
      </c>
      <c r="K290" s="39" t="s">
        <v>5446</v>
      </c>
    </row>
    <row r="291" spans="1:31" ht="28.5" customHeight="1" thickBot="1">
      <c r="A291" s="116" t="s">
        <v>5434</v>
      </c>
      <c r="C291" s="8" t="s">
        <v>5382</v>
      </c>
      <c r="D291" s="9" t="s">
        <v>5383</v>
      </c>
      <c r="E291" s="9" t="s">
        <v>5384</v>
      </c>
      <c r="F291" s="8" t="str">
        <f t="shared" si="12"/>
        <v>gift-codes.html?game=幻域方舟</v>
      </c>
      <c r="G291" s="9" t="s">
        <v>5385</v>
      </c>
      <c r="H291" s="9" t="str">
        <f t="shared" si="13"/>
        <v>https://www.ssbuy.tw/game-detail.html?game=幻域方舟</v>
      </c>
      <c r="I291" s="10" t="s">
        <v>5440</v>
      </c>
      <c r="J291" s="16" t="s">
        <v>5418</v>
      </c>
      <c r="K291" s="39" t="s">
        <v>5446</v>
      </c>
      <c r="L291" s="21" t="s">
        <v>5684</v>
      </c>
      <c r="M291" s="22">
        <v>2585</v>
      </c>
      <c r="N291" s="21" t="s">
        <v>5685</v>
      </c>
      <c r="O291" s="22">
        <v>1295</v>
      </c>
      <c r="P291" s="21" t="s">
        <v>5686</v>
      </c>
      <c r="Q291" s="22">
        <v>800</v>
      </c>
      <c r="R291" s="21" t="s">
        <v>5687</v>
      </c>
      <c r="S291" s="22">
        <v>400</v>
      </c>
      <c r="T291" s="21" t="s">
        <v>5688</v>
      </c>
      <c r="U291" s="22">
        <v>139</v>
      </c>
      <c r="V291" s="21" t="s">
        <v>5689</v>
      </c>
      <c r="W291" s="22">
        <v>29</v>
      </c>
      <c r="X291" s="21" t="s">
        <v>5690</v>
      </c>
      <c r="Y291" s="22">
        <v>533</v>
      </c>
      <c r="Z291" s="21" t="s">
        <v>5691</v>
      </c>
      <c r="AA291" s="22">
        <v>139</v>
      </c>
    </row>
    <row r="292" spans="1:31" ht="28.5" customHeight="1" thickBot="1">
      <c r="A292" s="116" t="s">
        <v>5435</v>
      </c>
      <c r="C292" s="8" t="s">
        <v>5386</v>
      </c>
      <c r="D292" s="9" t="s">
        <v>5387</v>
      </c>
      <c r="E292" s="9" t="s">
        <v>5388</v>
      </c>
      <c r="F292" s="8" t="str">
        <f t="shared" si="12"/>
        <v>gift-codes.html?game=開天</v>
      </c>
      <c r="G292" s="9" t="s">
        <v>5389</v>
      </c>
      <c r="H292" s="9" t="str">
        <f t="shared" si="13"/>
        <v>https://www.ssbuy.tw/game-detail.html?game=開天</v>
      </c>
      <c r="I292" s="10" t="s">
        <v>5441</v>
      </c>
      <c r="J292" s="16" t="s">
        <v>5418</v>
      </c>
      <c r="K292" s="39" t="s">
        <v>5446</v>
      </c>
      <c r="L292" s="21" t="s">
        <v>1514</v>
      </c>
      <c r="M292" s="22">
        <v>2717</v>
      </c>
      <c r="N292" s="21" t="s">
        <v>5405</v>
      </c>
      <c r="O292" s="22">
        <v>2095</v>
      </c>
      <c r="P292" s="21" t="s">
        <v>1515</v>
      </c>
      <c r="Q292" s="22">
        <v>1388</v>
      </c>
      <c r="R292" s="21" t="s">
        <v>5406</v>
      </c>
      <c r="S292" s="22">
        <v>1194</v>
      </c>
      <c r="T292" s="21" t="s">
        <v>5407</v>
      </c>
      <c r="U292" s="22">
        <v>840</v>
      </c>
      <c r="V292" s="21" t="s">
        <v>5408</v>
      </c>
      <c r="W292" s="22">
        <v>815</v>
      </c>
      <c r="X292" s="21" t="s">
        <v>5409</v>
      </c>
      <c r="Y292" s="22">
        <v>756</v>
      </c>
      <c r="Z292" s="21" t="s">
        <v>1630</v>
      </c>
      <c r="AA292" s="22">
        <v>280</v>
      </c>
      <c r="AB292" s="21" t="s">
        <v>318</v>
      </c>
      <c r="AC292" s="22">
        <v>146</v>
      </c>
    </row>
    <row r="293" spans="1:31" ht="28.5" customHeight="1" thickBot="1">
      <c r="A293" s="116" t="s">
        <v>5436</v>
      </c>
      <c r="C293" s="8" t="s">
        <v>5390</v>
      </c>
      <c r="D293" s="9" t="s">
        <v>5393</v>
      </c>
      <c r="E293" s="9" t="s">
        <v>5392</v>
      </c>
      <c r="F293" s="8" t="str">
        <f t="shared" si="12"/>
        <v>gift-codes.html?game=人人有功練：腸仔江湖見</v>
      </c>
      <c r="G293" s="9" t="s">
        <v>5391</v>
      </c>
      <c r="H293" s="9" t="str">
        <f t="shared" si="13"/>
        <v>https://www.ssbuy.tw/game-detail.html?game=人人有功練：腸仔江湖見</v>
      </c>
      <c r="I293" s="10" t="s">
        <v>5442</v>
      </c>
      <c r="J293" s="16" t="s">
        <v>5418</v>
      </c>
      <c r="K293" s="39" t="s">
        <v>5446</v>
      </c>
      <c r="L293" s="21" t="s">
        <v>5410</v>
      </c>
      <c r="M293" s="22">
        <v>2717</v>
      </c>
      <c r="N293" s="21" t="s">
        <v>5411</v>
      </c>
      <c r="O293" s="22">
        <v>1422</v>
      </c>
      <c r="P293" s="21" t="s">
        <v>5412</v>
      </c>
      <c r="Q293" s="22">
        <v>840</v>
      </c>
      <c r="R293" s="21" t="s">
        <v>5413</v>
      </c>
      <c r="S293" s="22">
        <v>620</v>
      </c>
      <c r="T293" s="21" t="s">
        <v>5414</v>
      </c>
      <c r="U293" s="22">
        <v>318</v>
      </c>
      <c r="V293" s="21" t="s">
        <v>5415</v>
      </c>
      <c r="W293" s="22">
        <v>151</v>
      </c>
      <c r="X293" s="21" t="s">
        <v>5416</v>
      </c>
      <c r="Y293" s="22">
        <v>30</v>
      </c>
    </row>
    <row r="294" spans="1:31" ht="28.5" customHeight="1" thickBot="1">
      <c r="A294" s="116" t="s">
        <v>5437</v>
      </c>
      <c r="C294" s="9" t="s">
        <v>5396</v>
      </c>
      <c r="D294" s="9" t="s">
        <v>5396</v>
      </c>
      <c r="E294" s="9" t="s">
        <v>5394</v>
      </c>
      <c r="F294" s="8" t="str">
        <f t="shared" si="12"/>
        <v>gift-codes.html?game=楓之谷：放置冒險記</v>
      </c>
      <c r="G294" s="9" t="s">
        <v>5395</v>
      </c>
      <c r="H294" s="9" t="str">
        <f t="shared" si="13"/>
        <v>https://www.ssbuy.tw/game-detail.html?game=楓之谷：放置冒險記</v>
      </c>
      <c r="I294" s="10" t="s">
        <v>5443</v>
      </c>
      <c r="J294" s="16" t="s">
        <v>5418</v>
      </c>
      <c r="K294" s="39" t="s">
        <v>5446</v>
      </c>
      <c r="L294" s="21" t="s">
        <v>5419</v>
      </c>
      <c r="M294" s="22">
        <v>2469</v>
      </c>
      <c r="N294" s="21" t="s">
        <v>5420</v>
      </c>
      <c r="O294" s="22">
        <v>1253</v>
      </c>
      <c r="P294" s="21" t="s">
        <v>5421</v>
      </c>
      <c r="Q294" s="22">
        <v>1085</v>
      </c>
      <c r="R294" s="21" t="s">
        <v>5422</v>
      </c>
      <c r="S294" s="22">
        <v>840</v>
      </c>
      <c r="T294" s="21" t="s">
        <v>5423</v>
      </c>
      <c r="U294" s="22">
        <v>569</v>
      </c>
      <c r="V294" s="21" t="s">
        <v>5424</v>
      </c>
      <c r="W294" s="22">
        <v>272</v>
      </c>
      <c r="X294" s="21" t="s">
        <v>5425</v>
      </c>
      <c r="Y294" s="22">
        <v>195</v>
      </c>
      <c r="Z294" s="21" t="s">
        <v>5426</v>
      </c>
      <c r="AA294" s="22">
        <v>106</v>
      </c>
    </row>
    <row r="295" spans="1:31" ht="28.5" customHeight="1" thickBot="1">
      <c r="A295" s="116" t="s">
        <v>6276</v>
      </c>
      <c r="C295" s="8" t="s">
        <v>5403</v>
      </c>
      <c r="D295" s="9" t="s">
        <v>5402</v>
      </c>
      <c r="E295" s="9" t="s">
        <v>5398</v>
      </c>
      <c r="F295" s="8" t="str">
        <f t="shared" si="12"/>
        <v>gift-codes.html?game=Shiba Wars：Goddess Link TD</v>
      </c>
      <c r="G295" s="9" t="s">
        <v>5397</v>
      </c>
      <c r="H295" s="9" t="str">
        <f t="shared" si="13"/>
        <v>https://www.ssbuy.tw/game-detail.html?game=Shiba Wars：Goddess Link TD</v>
      </c>
      <c r="I295" s="10" t="s">
        <v>5444</v>
      </c>
      <c r="J295" s="16" t="s">
        <v>5418</v>
      </c>
      <c r="K295" s="39" t="s">
        <v>5446</v>
      </c>
      <c r="L295" s="21" t="s">
        <v>5427</v>
      </c>
      <c r="M295" s="22">
        <v>1926</v>
      </c>
      <c r="N295" s="21" t="s">
        <v>5428</v>
      </c>
      <c r="O295" s="22">
        <v>1253</v>
      </c>
      <c r="P295" s="21" t="s">
        <v>5429</v>
      </c>
      <c r="Q295" s="22">
        <v>586</v>
      </c>
      <c r="R295" s="21" t="s">
        <v>5430</v>
      </c>
      <c r="S295" s="22">
        <v>272</v>
      </c>
      <c r="T295" s="21" t="s">
        <v>5431</v>
      </c>
      <c r="U295" s="22">
        <v>195</v>
      </c>
      <c r="V295" s="21" t="s">
        <v>5432</v>
      </c>
      <c r="W295" s="22">
        <v>82</v>
      </c>
      <c r="X295" s="21" t="s">
        <v>5433</v>
      </c>
      <c r="Y295" s="22">
        <v>55</v>
      </c>
      <c r="Z295" s="21" t="s">
        <v>3727</v>
      </c>
      <c r="AA295" s="22">
        <v>331</v>
      </c>
    </row>
    <row r="296" spans="1:31" ht="28.5" customHeight="1" thickBot="1">
      <c r="A296" s="116" t="s">
        <v>5438</v>
      </c>
      <c r="C296" s="8" t="s">
        <v>5399</v>
      </c>
      <c r="D296" s="9" t="s">
        <v>5480</v>
      </c>
      <c r="E296" s="9" t="s">
        <v>5400</v>
      </c>
      <c r="F296" s="8" t="str">
        <f t="shared" si="12"/>
        <v>gift-codes.html?game=熱血江湖：福利加強版</v>
      </c>
      <c r="G296" s="9" t="s">
        <v>5401</v>
      </c>
      <c r="H296" s="9" t="str">
        <f t="shared" si="13"/>
        <v>https://www.ssbuy.tw/game-detail.html?game=熱血江湖：福利加強版</v>
      </c>
      <c r="I296" s="10" t="s">
        <v>5445</v>
      </c>
      <c r="J296" s="16" t="s">
        <v>5418</v>
      </c>
      <c r="K296" s="39" t="s">
        <v>5446</v>
      </c>
      <c r="L296" s="21" t="s">
        <v>4884</v>
      </c>
      <c r="M296" s="22">
        <v>2763</v>
      </c>
      <c r="N296" s="21" t="s">
        <v>204</v>
      </c>
      <c r="O296" s="22">
        <v>1446</v>
      </c>
      <c r="P296" s="21" t="s">
        <v>4885</v>
      </c>
      <c r="Q296" s="22">
        <v>855</v>
      </c>
      <c r="R296" s="21" t="s">
        <v>4444</v>
      </c>
      <c r="S296" s="22">
        <v>578</v>
      </c>
      <c r="T296" s="21" t="s">
        <v>4886</v>
      </c>
      <c r="U296" s="22">
        <v>423</v>
      </c>
      <c r="V296" s="21" t="s">
        <v>205</v>
      </c>
      <c r="W296" s="22">
        <v>285</v>
      </c>
      <c r="X296" s="21" t="s">
        <v>239</v>
      </c>
      <c r="Y296" s="22">
        <v>153</v>
      </c>
      <c r="Z296" s="21" t="s">
        <v>240</v>
      </c>
      <c r="AA296" s="22">
        <v>31</v>
      </c>
    </row>
    <row r="297" spans="1:31" ht="28.5" customHeight="1" thickBot="1">
      <c r="A297" s="114" t="s">
        <v>5497</v>
      </c>
      <c r="C297" s="8" t="s">
        <v>5481</v>
      </c>
      <c r="D297" s="8" t="s">
        <v>5481</v>
      </c>
      <c r="E297" s="9" t="s">
        <v>5482</v>
      </c>
      <c r="F297" s="8" t="str">
        <f t="shared" si="12"/>
        <v>gift-codes.html?game=熱血主公Go</v>
      </c>
      <c r="G297" s="16" t="s">
        <v>5485</v>
      </c>
      <c r="H297" s="9" t="str">
        <f t="shared" si="13"/>
        <v>https://www.ssbuy.tw/game-detail.html?game=熱血主公Go</v>
      </c>
      <c r="I297" s="10" t="s">
        <v>5486</v>
      </c>
      <c r="J297" s="16" t="s">
        <v>5418</v>
      </c>
      <c r="K297" s="39" t="s">
        <v>5446</v>
      </c>
      <c r="L297" s="21" t="s">
        <v>5487</v>
      </c>
      <c r="M297" s="22">
        <v>2511</v>
      </c>
      <c r="N297" s="21" t="s">
        <v>5488</v>
      </c>
      <c r="O297" s="22">
        <v>1275</v>
      </c>
      <c r="P297" s="21" t="s">
        <v>5489</v>
      </c>
      <c r="Q297" s="22">
        <v>855</v>
      </c>
      <c r="R297" s="21" t="s">
        <v>5490</v>
      </c>
      <c r="S297" s="22">
        <v>423</v>
      </c>
      <c r="T297" s="21" t="s">
        <v>5491</v>
      </c>
      <c r="U297" s="22">
        <v>153</v>
      </c>
      <c r="V297" s="21" t="s">
        <v>5492</v>
      </c>
      <c r="W297" s="22">
        <v>31</v>
      </c>
    </row>
    <row r="298" spans="1:31" ht="28.5" customHeight="1" thickBot="1">
      <c r="A298" s="116" t="s">
        <v>5533</v>
      </c>
      <c r="C298" s="8" t="s">
        <v>5519</v>
      </c>
      <c r="D298" s="9" t="s">
        <v>5521</v>
      </c>
      <c r="E298" s="9" t="s">
        <v>5520</v>
      </c>
      <c r="F298" s="8" t="str">
        <f t="shared" si="12"/>
        <v>gift-codes.html?game=歡迎來到夢樂園</v>
      </c>
      <c r="G298" s="16" t="s">
        <v>5537</v>
      </c>
      <c r="H298" s="9" t="str">
        <f t="shared" si="13"/>
        <v>https://www.ssbuy.tw/game-detail.html?game=歡迎來到夢樂園</v>
      </c>
      <c r="I298" s="10" t="s">
        <v>5538</v>
      </c>
      <c r="J298" s="16" t="s">
        <v>5418</v>
      </c>
      <c r="K298" s="39" t="s">
        <v>5446</v>
      </c>
      <c r="L298" s="21" t="s">
        <v>5542</v>
      </c>
      <c r="M298" s="22">
        <v>2763</v>
      </c>
      <c r="N298" s="21" t="s">
        <v>5543</v>
      </c>
      <c r="O298" s="22">
        <v>1446</v>
      </c>
      <c r="P298" s="21" t="s">
        <v>5544</v>
      </c>
      <c r="Q298" s="22">
        <v>751</v>
      </c>
      <c r="R298" s="21" t="s">
        <v>5545</v>
      </c>
      <c r="S298" s="22">
        <v>371</v>
      </c>
      <c r="T298" s="21" t="s">
        <v>5546</v>
      </c>
      <c r="U298" s="22">
        <v>319</v>
      </c>
      <c r="V298" s="21" t="s">
        <v>5547</v>
      </c>
      <c r="W298" s="22">
        <v>117</v>
      </c>
      <c r="X298" s="21" t="s">
        <v>5548</v>
      </c>
      <c r="Y298" s="22">
        <v>46</v>
      </c>
      <c r="Z298" s="21" t="s">
        <v>5549</v>
      </c>
      <c r="AA298" s="22">
        <v>117</v>
      </c>
      <c r="AB298" s="21" t="s">
        <v>5550</v>
      </c>
      <c r="AC298" s="22">
        <v>90</v>
      </c>
      <c r="AD298" s="21" t="s">
        <v>98</v>
      </c>
      <c r="AE298" s="22">
        <v>319</v>
      </c>
    </row>
    <row r="299" spans="1:31" ht="28.5" customHeight="1" thickBot="1">
      <c r="A299" s="116" t="s">
        <v>5534</v>
      </c>
      <c r="C299" s="8" t="s">
        <v>5524</v>
      </c>
      <c r="D299" s="9" t="s">
        <v>5523</v>
      </c>
      <c r="E299" s="9" t="s">
        <v>5525</v>
      </c>
      <c r="F299" s="8" t="str">
        <f t="shared" si="12"/>
        <v>gift-codes.html?game=Cryowar</v>
      </c>
      <c r="G299" s="9" t="s">
        <v>5522</v>
      </c>
      <c r="H299" s="9" t="str">
        <f t="shared" si="13"/>
        <v>https://www.ssbuy.tw/game-detail.html?game=Cryowar</v>
      </c>
      <c r="I299" s="10" t="s">
        <v>5539</v>
      </c>
      <c r="J299" s="16" t="s">
        <v>5418</v>
      </c>
      <c r="K299" s="39" t="s">
        <v>5446</v>
      </c>
    </row>
    <row r="300" spans="1:31" ht="28.5" customHeight="1" thickBot="1">
      <c r="A300" s="116" t="s">
        <v>5535</v>
      </c>
      <c r="C300" s="8" t="s">
        <v>5528</v>
      </c>
      <c r="D300" s="9" t="s">
        <v>5529</v>
      </c>
      <c r="E300" s="9" t="s">
        <v>5527</v>
      </c>
      <c r="F300" s="8" t="str">
        <f t="shared" si="12"/>
        <v>gift-codes.html?game=深岩銀河：倖存者</v>
      </c>
      <c r="G300" s="9" t="s">
        <v>5526</v>
      </c>
      <c r="H300" s="9" t="str">
        <f t="shared" si="13"/>
        <v>https://www.ssbuy.tw/game-detail.html?game=深岩銀河：倖存者</v>
      </c>
      <c r="I300" s="10" t="s">
        <v>5540</v>
      </c>
      <c r="J300" s="16" t="s">
        <v>5418</v>
      </c>
      <c r="K300" s="39" t="s">
        <v>5446</v>
      </c>
    </row>
    <row r="301" spans="1:31" ht="28.5" customHeight="1" thickBot="1">
      <c r="A301" s="38" t="s">
        <v>5536</v>
      </c>
      <c r="C301" s="34" t="s">
        <v>5532</v>
      </c>
      <c r="D301" s="9" t="s">
        <v>3685</v>
      </c>
      <c r="E301" s="9" t="s">
        <v>5530</v>
      </c>
      <c r="F301" s="8" t="str">
        <f t="shared" si="12"/>
        <v>gift-codes.html?game=熱血排球少女</v>
      </c>
      <c r="G301" s="9" t="s">
        <v>5531</v>
      </c>
      <c r="H301" s="9" t="str">
        <f t="shared" si="13"/>
        <v>https://www.ssbuy.tw/game-detail.html?game=熱血排球少女</v>
      </c>
      <c r="I301" s="10" t="s">
        <v>5541</v>
      </c>
      <c r="J301" s="16" t="s">
        <v>5418</v>
      </c>
      <c r="K301" s="39" t="s">
        <v>5446</v>
      </c>
      <c r="L301" s="21" t="s">
        <v>5551</v>
      </c>
      <c r="M301" s="22">
        <v>1959</v>
      </c>
      <c r="N301" s="21" t="s">
        <v>5552</v>
      </c>
      <c r="O301" s="22">
        <v>1104</v>
      </c>
      <c r="P301" s="21" t="s">
        <v>5553</v>
      </c>
      <c r="Q301" s="22">
        <v>682</v>
      </c>
      <c r="R301" s="21" t="s">
        <v>5554</v>
      </c>
      <c r="S301" s="22">
        <v>262</v>
      </c>
      <c r="T301" s="21" t="s">
        <v>5555</v>
      </c>
      <c r="U301" s="22">
        <v>108</v>
      </c>
      <c r="V301" s="21" t="s">
        <v>5556</v>
      </c>
      <c r="W301" s="22">
        <v>1104</v>
      </c>
      <c r="X301" s="21" t="s">
        <v>5557</v>
      </c>
      <c r="Y301" s="22">
        <v>276</v>
      </c>
      <c r="Z301" s="21" t="s">
        <v>5558</v>
      </c>
      <c r="AA301" s="22">
        <v>108</v>
      </c>
    </row>
    <row r="302" spans="1:31" ht="28.5" customHeight="1" thickBot="1">
      <c r="A302" s="116" t="s">
        <v>5610</v>
      </c>
      <c r="C302" s="8" t="s">
        <v>5564</v>
      </c>
      <c r="D302" s="9" t="s">
        <v>5563</v>
      </c>
      <c r="E302" s="9" t="s">
        <v>5561</v>
      </c>
      <c r="F302" s="8" t="str">
        <f t="shared" si="12"/>
        <v>gift-codes.html?game=Jetpack Joyride Racing</v>
      </c>
      <c r="G302" s="9" t="s">
        <v>5562</v>
      </c>
      <c r="H302" s="9" t="str">
        <f t="shared" si="13"/>
        <v>https://www.ssbuy.tw/game-detail.html?game=Jetpack Joyride Racing</v>
      </c>
      <c r="I302" s="10" t="s">
        <v>5614</v>
      </c>
      <c r="J302" s="16" t="s">
        <v>5418</v>
      </c>
      <c r="K302" s="39" t="s">
        <v>5446</v>
      </c>
      <c r="L302" s="21" t="s">
        <v>5594</v>
      </c>
      <c r="M302" s="22">
        <v>864</v>
      </c>
      <c r="N302" s="21" t="s">
        <v>107</v>
      </c>
      <c r="O302" s="22">
        <v>84</v>
      </c>
    </row>
    <row r="303" spans="1:31" ht="28.5" customHeight="1" thickBot="1">
      <c r="A303" s="116" t="s">
        <v>5611</v>
      </c>
      <c r="C303" s="8" t="s">
        <v>5568</v>
      </c>
      <c r="D303" s="9" t="s">
        <v>5567</v>
      </c>
      <c r="E303" s="9" t="s">
        <v>5565</v>
      </c>
      <c r="F303" s="8" t="str">
        <f t="shared" si="12"/>
        <v>gift-codes.html?game=三國格子爭奪戰</v>
      </c>
      <c r="G303" s="9" t="s">
        <v>5566</v>
      </c>
      <c r="H303" s="9" t="str">
        <f t="shared" si="13"/>
        <v>https://www.ssbuy.tw/game-detail.html?game=三國格子爭奪戰</v>
      </c>
      <c r="I303" s="10" t="s">
        <v>5615</v>
      </c>
      <c r="J303" s="16" t="s">
        <v>5418</v>
      </c>
      <c r="K303" s="39" t="s">
        <v>5446</v>
      </c>
      <c r="L303" s="21" t="s">
        <v>5003</v>
      </c>
      <c r="M303" s="22">
        <v>2793</v>
      </c>
      <c r="N303" s="21" t="s">
        <v>5004</v>
      </c>
      <c r="O303" s="22">
        <v>1462</v>
      </c>
      <c r="P303" s="21" t="s">
        <v>5005</v>
      </c>
      <c r="Q303" s="22">
        <v>585</v>
      </c>
      <c r="R303" s="21" t="s">
        <v>5006</v>
      </c>
      <c r="S303" s="22">
        <v>288</v>
      </c>
      <c r="T303" s="21" t="s">
        <v>5007</v>
      </c>
      <c r="U303" s="22">
        <v>155</v>
      </c>
      <c r="V303" s="21" t="s">
        <v>1377</v>
      </c>
      <c r="W303" s="22">
        <v>31</v>
      </c>
    </row>
    <row r="304" spans="1:31" ht="28.5" customHeight="1" thickBot="1">
      <c r="A304" s="116" t="s">
        <v>5612</v>
      </c>
      <c r="C304" s="8" t="s">
        <v>5571</v>
      </c>
      <c r="D304" s="9" t="s">
        <v>5570</v>
      </c>
      <c r="E304" s="9" t="s">
        <v>5572</v>
      </c>
      <c r="F304" s="8" t="str">
        <f t="shared" si="12"/>
        <v>gift-codes.html?game=貓茶小當家：掌櫃養成記</v>
      </c>
      <c r="G304" s="9" t="s">
        <v>5569</v>
      </c>
      <c r="H304" s="9" t="str">
        <f t="shared" si="13"/>
        <v>https://www.ssbuy.tw/game-detail.html?game=貓茶小當家：掌櫃養成記</v>
      </c>
      <c r="I304" s="10" t="s">
        <v>5616</v>
      </c>
      <c r="J304" s="16" t="s">
        <v>5418</v>
      </c>
      <c r="K304" s="39" t="s">
        <v>5446</v>
      </c>
      <c r="L304" s="21" t="s">
        <v>5664</v>
      </c>
      <c r="M304" s="22">
        <v>2539</v>
      </c>
      <c r="N304" s="21" t="s">
        <v>5665</v>
      </c>
      <c r="O304" s="22">
        <v>1289</v>
      </c>
      <c r="P304" s="21" t="s">
        <v>5666</v>
      </c>
      <c r="Q304" s="22">
        <v>864</v>
      </c>
      <c r="R304" s="21" t="s">
        <v>5667</v>
      </c>
      <c r="S304" s="22">
        <v>602</v>
      </c>
      <c r="T304" s="21" t="s">
        <v>5668</v>
      </c>
      <c r="U304" s="22">
        <v>279</v>
      </c>
      <c r="V304" s="21" t="s">
        <v>5669</v>
      </c>
      <c r="W304" s="22">
        <v>56</v>
      </c>
      <c r="X304" s="21"/>
      <c r="Y304" s="22"/>
      <c r="Z304" s="21"/>
      <c r="AA304" s="22"/>
      <c r="AB304" s="21"/>
      <c r="AC304" s="22"/>
    </row>
    <row r="305" spans="1:31" ht="28.5" customHeight="1" thickBot="1">
      <c r="A305" s="116" t="s">
        <v>5559</v>
      </c>
      <c r="C305" s="8" t="s">
        <v>5579</v>
      </c>
      <c r="D305" s="9" t="s">
        <v>5575</v>
      </c>
      <c r="E305" s="9" t="s">
        <v>5573</v>
      </c>
      <c r="F305" s="8" t="str">
        <f t="shared" si="12"/>
        <v>gift-codes.html?game=Viladia：精靈村的時光</v>
      </c>
      <c r="G305" s="9" t="s">
        <v>5574</v>
      </c>
      <c r="H305" s="9" t="str">
        <f t="shared" si="13"/>
        <v>https://www.ssbuy.tw/game-detail.html?game=Viladia：精靈村的時光</v>
      </c>
      <c r="I305" s="10" t="s">
        <v>5617</v>
      </c>
      <c r="J305" s="16" t="s">
        <v>5418</v>
      </c>
      <c r="K305" s="39" t="s">
        <v>5449</v>
      </c>
      <c r="L305" s="21" t="s">
        <v>1268</v>
      </c>
      <c r="M305" s="22">
        <v>2539</v>
      </c>
      <c r="N305" s="21" t="s">
        <v>5620</v>
      </c>
      <c r="O305" s="22">
        <v>1116</v>
      </c>
      <c r="P305" s="21" t="s">
        <v>65</v>
      </c>
      <c r="Q305" s="22">
        <v>602</v>
      </c>
      <c r="R305" s="21" t="s">
        <v>1327</v>
      </c>
      <c r="S305" s="22">
        <v>279</v>
      </c>
      <c r="T305" s="21" t="s">
        <v>5621</v>
      </c>
      <c r="U305" s="22">
        <v>137</v>
      </c>
      <c r="V305" s="21" t="s">
        <v>5622</v>
      </c>
      <c r="W305" s="22">
        <v>56</v>
      </c>
    </row>
    <row r="306" spans="1:31" ht="28.5" customHeight="1" thickBot="1">
      <c r="A306" s="116" t="s">
        <v>5560</v>
      </c>
      <c r="C306" s="8" t="s">
        <v>5578</v>
      </c>
      <c r="D306" s="9" t="s">
        <v>5576</v>
      </c>
      <c r="E306" s="9" t="s">
        <v>5577</v>
      </c>
      <c r="F306" s="8" t="str">
        <f t="shared" si="12"/>
        <v>gift-codes.html?game=G9：特功聯盟</v>
      </c>
      <c r="G306" s="16" t="s">
        <v>5613</v>
      </c>
      <c r="H306" s="9" t="str">
        <f t="shared" si="13"/>
        <v>https://www.ssbuy.tw/game-detail.html?game=G9：特功聯盟</v>
      </c>
      <c r="I306" s="10" t="s">
        <v>5618</v>
      </c>
      <c r="J306" s="16" t="s">
        <v>5418</v>
      </c>
      <c r="K306" s="39" t="s">
        <v>5446</v>
      </c>
      <c r="L306" s="21" t="s">
        <v>5670</v>
      </c>
      <c r="M306" s="22">
        <v>2793</v>
      </c>
      <c r="N306" s="21" t="s">
        <v>5671</v>
      </c>
      <c r="O306" s="22">
        <v>1462</v>
      </c>
      <c r="P306" s="21" t="s">
        <v>5672</v>
      </c>
      <c r="Q306" s="22">
        <v>585</v>
      </c>
      <c r="R306" s="21" t="s">
        <v>5673</v>
      </c>
      <c r="S306" s="22">
        <v>288</v>
      </c>
      <c r="T306" s="21" t="s">
        <v>5674</v>
      </c>
      <c r="U306" s="22">
        <v>155</v>
      </c>
      <c r="V306" s="21" t="s">
        <v>5675</v>
      </c>
      <c r="W306" s="22">
        <v>31</v>
      </c>
      <c r="X306" s="21" t="s">
        <v>5676</v>
      </c>
      <c r="Y306" s="22">
        <v>288</v>
      </c>
      <c r="Z306" s="21" t="s">
        <v>5677</v>
      </c>
      <c r="AA306" s="22">
        <v>93</v>
      </c>
    </row>
    <row r="307" spans="1:31" ht="28.5" customHeight="1" thickBot="1">
      <c r="A307" s="116" t="s">
        <v>5638</v>
      </c>
      <c r="C307" s="8" t="s">
        <v>5624</v>
      </c>
      <c r="D307" s="9" t="s">
        <v>5630</v>
      </c>
      <c r="E307" s="9" t="s">
        <v>5631</v>
      </c>
      <c r="F307" s="8" t="str">
        <f t="shared" si="12"/>
        <v>gift-codes.html?game=AION2</v>
      </c>
      <c r="G307" s="9" t="s">
        <v>5632</v>
      </c>
      <c r="H307" s="9" t="str">
        <f t="shared" si="13"/>
        <v>https://www.ssbuy.tw/game-detail.html?game=AION2</v>
      </c>
      <c r="I307" s="10" t="s">
        <v>5650</v>
      </c>
      <c r="J307" s="16" t="s">
        <v>5418</v>
      </c>
      <c r="K307" s="39" t="s">
        <v>5446</v>
      </c>
    </row>
    <row r="308" spans="1:31" ht="28.5" customHeight="1" thickBot="1">
      <c r="A308" s="116" t="s">
        <v>6277</v>
      </c>
      <c r="C308" s="8" t="s">
        <v>5625</v>
      </c>
      <c r="D308" s="9" t="s">
        <v>5633</v>
      </c>
      <c r="E308" s="9" t="s">
        <v>5635</v>
      </c>
      <c r="F308" s="8" t="str">
        <f t="shared" si="12"/>
        <v>gift-codes.html?game=信長之野望 真戰</v>
      </c>
      <c r="G308" s="9" t="s">
        <v>5634</v>
      </c>
      <c r="H308" s="9" t="str">
        <f t="shared" si="13"/>
        <v>https://www.ssbuy.tw/game-detail.html?game=信長之野望 真戰</v>
      </c>
      <c r="I308" s="10" t="s">
        <v>5651</v>
      </c>
      <c r="J308" s="16" t="s">
        <v>5418</v>
      </c>
      <c r="K308" s="39" t="s">
        <v>5446</v>
      </c>
      <c r="L308" s="21" t="s">
        <v>5641</v>
      </c>
      <c r="M308" s="22">
        <v>2793</v>
      </c>
      <c r="N308" s="21" t="s">
        <v>5642</v>
      </c>
      <c r="O308" s="22">
        <v>1462</v>
      </c>
      <c r="P308" s="21" t="s">
        <v>5643</v>
      </c>
      <c r="Q308" s="22">
        <v>864</v>
      </c>
      <c r="R308" s="21" t="s">
        <v>5644</v>
      </c>
      <c r="S308" s="22">
        <v>428</v>
      </c>
      <c r="T308" s="21" t="s">
        <v>5645</v>
      </c>
      <c r="U308" s="22">
        <v>155</v>
      </c>
      <c r="V308" s="21" t="s">
        <v>5646</v>
      </c>
      <c r="W308" s="22">
        <v>31</v>
      </c>
      <c r="X308" s="21" t="s">
        <v>5647</v>
      </c>
      <c r="Y308" s="22">
        <v>2793</v>
      </c>
      <c r="Z308" s="21" t="s">
        <v>5648</v>
      </c>
      <c r="AA308" s="22">
        <v>1462</v>
      </c>
      <c r="AB308" s="21" t="s">
        <v>5649</v>
      </c>
      <c r="AC308" s="22">
        <v>864</v>
      </c>
    </row>
    <row r="309" spans="1:31" ht="28.5" customHeight="1" thickBot="1">
      <c r="A309" s="116" t="s">
        <v>6278</v>
      </c>
      <c r="C309" s="8" t="s">
        <v>5626</v>
      </c>
      <c r="D309" s="9" t="s">
        <v>5636</v>
      </c>
      <c r="E309" s="9" t="s">
        <v>5637</v>
      </c>
      <c r="F309" s="8" t="str">
        <f t="shared" si="12"/>
        <v>gift-codes.html?game=BLEACH：刀鳴</v>
      </c>
      <c r="G309" s="9" t="s">
        <v>5629</v>
      </c>
      <c r="H309" s="9" t="str">
        <f t="shared" si="13"/>
        <v>https://www.ssbuy.tw/game-detail.html?game=BLEACH：刀鳴</v>
      </c>
      <c r="I309" s="10" t="s">
        <v>5652</v>
      </c>
      <c r="J309" s="16" t="s">
        <v>5418</v>
      </c>
      <c r="K309" s="39" t="s">
        <v>5446</v>
      </c>
      <c r="L309" s="21" t="s">
        <v>4650</v>
      </c>
      <c r="M309" s="22">
        <v>2867</v>
      </c>
      <c r="N309" s="21" t="s">
        <v>4651</v>
      </c>
      <c r="O309" s="22">
        <v>1500</v>
      </c>
      <c r="P309" s="21" t="s">
        <v>4652</v>
      </c>
      <c r="Q309" s="22">
        <v>887</v>
      </c>
      <c r="R309" s="21" t="s">
        <v>5787</v>
      </c>
      <c r="S309" s="22">
        <v>439</v>
      </c>
      <c r="T309" s="21" t="s">
        <v>4653</v>
      </c>
      <c r="U309" s="22">
        <v>159</v>
      </c>
      <c r="V309" s="21" t="s">
        <v>4654</v>
      </c>
      <c r="W309" s="22">
        <v>32</v>
      </c>
      <c r="X309" s="21" t="s">
        <v>5788</v>
      </c>
      <c r="Y309" s="22">
        <v>159</v>
      </c>
      <c r="Z309" s="21" t="s">
        <v>5789</v>
      </c>
      <c r="AA309" s="22">
        <v>296</v>
      </c>
      <c r="AB309" s="21" t="s">
        <v>5790</v>
      </c>
      <c r="AC309" s="22">
        <v>600</v>
      </c>
    </row>
    <row r="310" spans="1:31" ht="28.5" customHeight="1" thickBot="1">
      <c r="A310" s="116" t="s">
        <v>5639</v>
      </c>
      <c r="C310" s="8" t="s">
        <v>5627</v>
      </c>
      <c r="D310" s="9" t="s">
        <v>5623</v>
      </c>
      <c r="E310" s="9" t="s">
        <v>5628</v>
      </c>
      <c r="F310" s="8" t="str">
        <f t="shared" si="12"/>
        <v>gift-codes.html?game=不朽龍裔</v>
      </c>
      <c r="G310" s="16" t="s">
        <v>5640</v>
      </c>
      <c r="H310" s="9" t="str">
        <f t="shared" si="13"/>
        <v>https://www.ssbuy.tw/game-detail.html?game=不朽龍裔</v>
      </c>
      <c r="I310" s="10" t="s">
        <v>5653</v>
      </c>
      <c r="J310" s="16" t="s">
        <v>5418</v>
      </c>
      <c r="K310" s="39" t="s">
        <v>5446</v>
      </c>
      <c r="L310" s="21" t="s">
        <v>5901</v>
      </c>
      <c r="M310" s="22">
        <v>2867</v>
      </c>
      <c r="N310" s="21" t="s">
        <v>5902</v>
      </c>
      <c r="O310" s="22">
        <v>1500</v>
      </c>
      <c r="P310" s="21" t="s">
        <v>5903</v>
      </c>
      <c r="Q310" s="22">
        <v>887</v>
      </c>
      <c r="R310" s="21" t="s">
        <v>5904</v>
      </c>
      <c r="S310" s="22">
        <v>439</v>
      </c>
      <c r="T310" s="21" t="s">
        <v>5905</v>
      </c>
      <c r="U310" s="22">
        <v>159</v>
      </c>
      <c r="V310" s="21" t="s">
        <v>5906</v>
      </c>
      <c r="W310" s="22">
        <v>32</v>
      </c>
      <c r="X310" s="21"/>
      <c r="Y310" s="22"/>
      <c r="Z310" s="21"/>
      <c r="AA310" s="22"/>
      <c r="AB310" s="21"/>
      <c r="AC310" s="22"/>
      <c r="AD310" s="21"/>
      <c r="AE310" s="22"/>
    </row>
    <row r="311" spans="1:31" ht="28.5" customHeight="1" thickBot="1">
      <c r="A311" s="114" t="s">
        <v>5681</v>
      </c>
      <c r="C311" s="8" t="s">
        <v>5680</v>
      </c>
      <c r="D311" s="9" t="s">
        <v>5679</v>
      </c>
      <c r="E311" s="9" t="s">
        <v>5678</v>
      </c>
      <c r="F311" s="8" t="str">
        <f t="shared" si="12"/>
        <v>gift-codes.html?game=NBA籃球世界</v>
      </c>
      <c r="G311" s="16" t="s">
        <v>5682</v>
      </c>
      <c r="H311" s="9" t="str">
        <f t="shared" si="13"/>
        <v>https://www.ssbuy.tw/game-detail.html?game=NBA籃球世界</v>
      </c>
      <c r="I311" s="10" t="s">
        <v>5683</v>
      </c>
      <c r="J311" s="16" t="s">
        <v>5418</v>
      </c>
      <c r="K311" s="39" t="s">
        <v>5446</v>
      </c>
      <c r="L311" s="21" t="s">
        <v>5728</v>
      </c>
      <c r="M311" s="22">
        <v>2591</v>
      </c>
      <c r="N311" s="21" t="s">
        <v>5729</v>
      </c>
      <c r="O311" s="22">
        <v>1315</v>
      </c>
      <c r="P311" s="21" t="s">
        <v>5730</v>
      </c>
      <c r="Q311" s="22">
        <v>882</v>
      </c>
      <c r="R311" s="21" t="s">
        <v>5731</v>
      </c>
      <c r="S311" s="22">
        <v>437</v>
      </c>
      <c r="T311" s="21" t="s">
        <v>5732</v>
      </c>
      <c r="U311" s="22">
        <v>158</v>
      </c>
      <c r="V311" s="21" t="s">
        <v>5733</v>
      </c>
      <c r="W311" s="22">
        <v>32</v>
      </c>
      <c r="X311" s="21" t="s">
        <v>98</v>
      </c>
      <c r="Y311" s="22">
        <v>158</v>
      </c>
      <c r="Z311" s="21" t="s">
        <v>5734</v>
      </c>
      <c r="AA311" s="22">
        <v>93</v>
      </c>
      <c r="AB311" s="21"/>
      <c r="AC311" s="22"/>
      <c r="AD311" s="21"/>
      <c r="AE311" s="22"/>
    </row>
    <row r="312" spans="1:31" ht="28.5" customHeight="1" thickBot="1">
      <c r="A312" s="38" t="s">
        <v>5716</v>
      </c>
      <c r="C312" s="8" t="s">
        <v>5713</v>
      </c>
      <c r="D312" s="9" t="s">
        <v>5714</v>
      </c>
      <c r="E312" s="9" t="s">
        <v>5715</v>
      </c>
      <c r="F312" s="8" t="str">
        <f t="shared" ref="F312:F366" si="14">IF(A312="", "", "gift-codes.html?game=" &amp; A312)</f>
        <v>gift-codes.html?game=英雄來搞鬼</v>
      </c>
      <c r="G312" s="16" t="s">
        <v>5717</v>
      </c>
      <c r="H312" s="9" t="str">
        <f t="shared" ref="H312:H366" si="15">IF(A312="", "", "https://www.ssbuy.tw/game-detail.html?game="&amp;A312)</f>
        <v>https://www.ssbuy.tw/game-detail.html?game=英雄來搞鬼</v>
      </c>
      <c r="I312" s="10" t="s">
        <v>5718</v>
      </c>
      <c r="J312" s="16" t="s">
        <v>5418</v>
      </c>
      <c r="K312" s="39" t="s">
        <v>5446</v>
      </c>
      <c r="L312" s="21" t="s">
        <v>5719</v>
      </c>
      <c r="M312" s="22">
        <v>2851</v>
      </c>
      <c r="N312" s="21" t="s">
        <v>5720</v>
      </c>
      <c r="O312" s="22">
        <v>1492</v>
      </c>
      <c r="P312" s="21" t="s">
        <v>5721</v>
      </c>
      <c r="Q312" s="22">
        <v>882</v>
      </c>
      <c r="R312" s="21" t="s">
        <v>5722</v>
      </c>
      <c r="S312" s="22">
        <v>775</v>
      </c>
      <c r="T312" s="21" t="s">
        <v>5723</v>
      </c>
      <c r="U312" s="22">
        <v>597</v>
      </c>
      <c r="V312" s="21" t="s">
        <v>5724</v>
      </c>
      <c r="W312" s="22">
        <v>437</v>
      </c>
      <c r="X312" s="21" t="s">
        <v>5725</v>
      </c>
      <c r="Y312" s="22">
        <v>294</v>
      </c>
      <c r="Z312" s="21" t="s">
        <v>5726</v>
      </c>
      <c r="AA312" s="22">
        <v>224</v>
      </c>
      <c r="AB312" s="21" t="s">
        <v>5727</v>
      </c>
      <c r="AC312" s="22">
        <v>158</v>
      </c>
    </row>
    <row r="313" spans="1:31" ht="28.5" customHeight="1" thickBot="1">
      <c r="A313" s="116" t="s">
        <v>6279</v>
      </c>
      <c r="C313" s="8" t="s">
        <v>5749</v>
      </c>
      <c r="D313" s="9" t="s">
        <v>5755</v>
      </c>
      <c r="E313" s="9" t="s">
        <v>5756</v>
      </c>
      <c r="F313" s="8" t="str">
        <f t="shared" si="14"/>
        <v>gift-codes.html?game=RO新世代：攜手同行</v>
      </c>
      <c r="G313" s="16" t="s">
        <v>5774</v>
      </c>
      <c r="H313" s="9" t="str">
        <f t="shared" si="15"/>
        <v>https://www.ssbuy.tw/game-detail.html?game=RO新世代：攜手同行</v>
      </c>
      <c r="I313" s="10" t="s">
        <v>5791</v>
      </c>
      <c r="J313" s="16" t="s">
        <v>5418</v>
      </c>
      <c r="K313" s="39" t="s">
        <v>5446</v>
      </c>
    </row>
    <row r="314" spans="1:31" ht="28.5" customHeight="1" thickBot="1">
      <c r="A314" s="116" t="s">
        <v>5771</v>
      </c>
      <c r="C314" s="8" t="s">
        <v>5746</v>
      </c>
      <c r="D314" s="9" t="s">
        <v>5747</v>
      </c>
      <c r="E314" s="9" t="s">
        <v>5748</v>
      </c>
      <c r="F314" s="8" t="str">
        <f t="shared" si="14"/>
        <v>gift-codes.html?game=星落</v>
      </c>
      <c r="G314" s="16" t="s">
        <v>5775</v>
      </c>
      <c r="H314" s="9" t="str">
        <f t="shared" si="15"/>
        <v>https://www.ssbuy.tw/game-detail.html?game=星落</v>
      </c>
      <c r="I314" s="10" t="s">
        <v>5793</v>
      </c>
      <c r="J314" s="16" t="s">
        <v>5418</v>
      </c>
      <c r="K314" s="39" t="s">
        <v>5446</v>
      </c>
      <c r="L314" s="21" t="s">
        <v>5856</v>
      </c>
      <c r="M314" s="22">
        <v>3721</v>
      </c>
      <c r="N314" s="21" t="s">
        <v>5857</v>
      </c>
      <c r="O314" s="22">
        <v>2323</v>
      </c>
      <c r="P314" s="21" t="s">
        <v>5858</v>
      </c>
      <c r="Q314" s="22">
        <v>1545</v>
      </c>
      <c r="R314" s="21" t="s">
        <v>5859</v>
      </c>
      <c r="S314" s="22">
        <v>941</v>
      </c>
      <c r="T314" s="21" t="s">
        <v>5860</v>
      </c>
      <c r="U314" s="22">
        <v>427</v>
      </c>
      <c r="V314" s="21" t="s">
        <v>5861</v>
      </c>
      <c r="W314" s="22">
        <v>93</v>
      </c>
      <c r="X314" s="21" t="s">
        <v>5862</v>
      </c>
      <c r="Y314" s="22">
        <v>137</v>
      </c>
      <c r="Z314" s="21" t="s">
        <v>5863</v>
      </c>
      <c r="AA314" s="22">
        <v>636</v>
      </c>
      <c r="AB314" s="21" t="s">
        <v>5864</v>
      </c>
      <c r="AC314" s="22">
        <v>288</v>
      </c>
      <c r="AD314" s="21" t="s">
        <v>5865</v>
      </c>
      <c r="AE314" s="22">
        <v>427</v>
      </c>
    </row>
    <row r="315" spans="1:31" ht="28.5" customHeight="1" thickBot="1">
      <c r="A315" s="116" t="s">
        <v>5772</v>
      </c>
      <c r="C315" s="8" t="s">
        <v>5750</v>
      </c>
      <c r="D315" s="9" t="s">
        <v>5751</v>
      </c>
      <c r="E315" s="9" t="s">
        <v>5757</v>
      </c>
      <c r="F315" s="8" t="str">
        <f t="shared" si="14"/>
        <v>gift-codes.html?game=超自然行動組</v>
      </c>
      <c r="G315" s="16" t="s">
        <v>5776</v>
      </c>
      <c r="H315" s="9" t="str">
        <f t="shared" si="15"/>
        <v>https://www.ssbuy.tw/game-detail.html?game=超自然行動組</v>
      </c>
      <c r="I315" s="10" t="s">
        <v>5794</v>
      </c>
      <c r="J315" s="16" t="s">
        <v>5418</v>
      </c>
      <c r="K315" s="39" t="s">
        <v>5446</v>
      </c>
      <c r="L315" s="21" t="s">
        <v>5778</v>
      </c>
      <c r="M315" s="22">
        <v>2605</v>
      </c>
      <c r="N315" s="21" t="s">
        <v>5779</v>
      </c>
      <c r="O315" s="22">
        <v>1323</v>
      </c>
      <c r="P315" s="21" t="s">
        <v>5780</v>
      </c>
      <c r="Q315" s="22">
        <v>797</v>
      </c>
      <c r="R315" s="21" t="s">
        <v>5781</v>
      </c>
      <c r="S315" s="22">
        <v>600</v>
      </c>
      <c r="T315" s="21" t="s">
        <v>5782</v>
      </c>
      <c r="U315" s="22">
        <v>281</v>
      </c>
      <c r="V315" s="21" t="s">
        <v>5783</v>
      </c>
      <c r="W315" s="22">
        <v>140</v>
      </c>
      <c r="X315" s="21" t="s">
        <v>5784</v>
      </c>
      <c r="Y315" s="22">
        <v>86</v>
      </c>
      <c r="Z315" s="21" t="s">
        <v>5785</v>
      </c>
      <c r="AA315" s="22">
        <v>591</v>
      </c>
      <c r="AB315" s="21" t="s">
        <v>5786</v>
      </c>
      <c r="AC315" s="22">
        <v>314</v>
      </c>
    </row>
    <row r="316" spans="1:31" ht="28.5" customHeight="1" thickBot="1">
      <c r="A316" s="116" t="s">
        <v>5773</v>
      </c>
      <c r="C316" s="8" t="s">
        <v>5752</v>
      </c>
      <c r="D316" s="9" t="s">
        <v>5753</v>
      </c>
      <c r="E316" s="9" t="s">
        <v>5754</v>
      </c>
      <c r="F316" s="8" t="str">
        <f t="shared" si="14"/>
        <v>gift-codes.html?game=問劍長生</v>
      </c>
      <c r="G316" s="16" t="s">
        <v>5777</v>
      </c>
      <c r="H316" s="9" t="str">
        <f t="shared" si="15"/>
        <v>https://www.ssbuy.tw/game-detail.html?game=問劍長生</v>
      </c>
      <c r="I316" s="10" t="s">
        <v>5792</v>
      </c>
      <c r="J316" s="16" t="s">
        <v>5418</v>
      </c>
      <c r="K316" s="39" t="s">
        <v>5446</v>
      </c>
      <c r="L316" s="21" t="s">
        <v>5847</v>
      </c>
      <c r="M316" s="22">
        <v>2788</v>
      </c>
      <c r="N316" s="21" t="s">
        <v>5848</v>
      </c>
      <c r="O316" s="22">
        <v>1459</v>
      </c>
      <c r="P316" s="21" t="s">
        <v>5849</v>
      </c>
      <c r="Q316" s="22">
        <v>887</v>
      </c>
      <c r="R316" s="21" t="s">
        <v>5850</v>
      </c>
      <c r="S316" s="22">
        <v>439</v>
      </c>
      <c r="T316" s="21" t="s">
        <v>5851</v>
      </c>
      <c r="U316" s="22">
        <v>159</v>
      </c>
      <c r="V316" s="21" t="s">
        <v>5852</v>
      </c>
      <c r="W316" s="22">
        <v>32</v>
      </c>
      <c r="X316" s="21" t="s">
        <v>107</v>
      </c>
      <c r="Y316" s="22">
        <v>131</v>
      </c>
      <c r="Z316" s="21" t="s">
        <v>1436</v>
      </c>
      <c r="AA316" s="22">
        <v>600</v>
      </c>
      <c r="AB316" s="21" t="s">
        <v>5853</v>
      </c>
      <c r="AC316" s="22">
        <v>842</v>
      </c>
    </row>
    <row r="317" spans="1:31" ht="28.5" customHeight="1" thickBot="1">
      <c r="A317" s="116" t="s">
        <v>5809</v>
      </c>
      <c r="C317" s="8" t="s">
        <v>5802</v>
      </c>
      <c r="D317" s="9" t="s">
        <v>5803</v>
      </c>
      <c r="E317" s="9" t="s">
        <v>5804</v>
      </c>
      <c r="F317" s="8" t="str">
        <f t="shared" si="14"/>
        <v>gift-codes.html?game=道友你好劍：群英集結</v>
      </c>
      <c r="G317" s="9" t="s">
        <v>5805</v>
      </c>
      <c r="H317" s="9" t="str">
        <f t="shared" si="15"/>
        <v>https://www.ssbuy.tw/game-detail.html?game=道友你好劍：群英集結</v>
      </c>
      <c r="I317" s="10" t="s">
        <v>5812</v>
      </c>
      <c r="J317" s="16" t="s">
        <v>5418</v>
      </c>
      <c r="K317" s="39" t="s">
        <v>5446</v>
      </c>
      <c r="L317" s="21" t="s">
        <v>5821</v>
      </c>
      <c r="M317" s="22">
        <v>2867</v>
      </c>
      <c r="N317" s="21" t="s">
        <v>5822</v>
      </c>
      <c r="O317" s="22">
        <v>1500</v>
      </c>
      <c r="P317" s="21" t="s">
        <v>5823</v>
      </c>
      <c r="Q317" s="22">
        <v>887</v>
      </c>
      <c r="R317" s="21" t="s">
        <v>5824</v>
      </c>
      <c r="S317" s="22">
        <v>573</v>
      </c>
      <c r="T317" s="21" t="s">
        <v>5825</v>
      </c>
      <c r="U317" s="22">
        <v>296</v>
      </c>
      <c r="V317" s="21" t="s">
        <v>5826</v>
      </c>
      <c r="W317" s="22">
        <v>159</v>
      </c>
      <c r="X317" s="21" t="s">
        <v>5827</v>
      </c>
      <c r="Y317" s="22">
        <v>32</v>
      </c>
    </row>
    <row r="318" spans="1:31" ht="28.5" customHeight="1" thickBot="1">
      <c r="A318" s="116" t="s">
        <v>5810</v>
      </c>
      <c r="C318" s="8" t="s">
        <v>5806</v>
      </c>
      <c r="D318" s="9" t="s">
        <v>5807</v>
      </c>
      <c r="E318" s="9" t="s">
        <v>5808</v>
      </c>
      <c r="F318" s="8" t="str">
        <f t="shared" si="14"/>
        <v>gift-codes.html?game=荒島求生：重建家園</v>
      </c>
      <c r="G318" s="16" t="s">
        <v>5811</v>
      </c>
      <c r="H318" s="9" t="str">
        <f t="shared" si="15"/>
        <v>https://www.ssbuy.tw/game-detail.html?game=荒島求生：重建家園</v>
      </c>
      <c r="I318" s="10" t="s">
        <v>5813</v>
      </c>
      <c r="J318" s="16" t="s">
        <v>5418</v>
      </c>
      <c r="K318" s="39" t="s">
        <v>5446</v>
      </c>
      <c r="L318" s="21" t="s">
        <v>5814</v>
      </c>
      <c r="M318" s="22">
        <v>2605</v>
      </c>
      <c r="N318" s="21" t="s">
        <v>63</v>
      </c>
      <c r="O318" s="22">
        <v>1323</v>
      </c>
      <c r="P318" s="21" t="s">
        <v>1326</v>
      </c>
      <c r="Q318" s="22">
        <v>618</v>
      </c>
      <c r="R318" s="21" t="s">
        <v>5815</v>
      </c>
      <c r="S318" s="22">
        <v>287</v>
      </c>
      <c r="T318" s="21" t="s">
        <v>5816</v>
      </c>
      <c r="U318" s="22">
        <v>140</v>
      </c>
      <c r="V318" s="21" t="s">
        <v>7</v>
      </c>
      <c r="W318" s="22">
        <v>58</v>
      </c>
      <c r="X318" s="21" t="s">
        <v>3844</v>
      </c>
      <c r="Y318" s="22">
        <v>287</v>
      </c>
      <c r="Z318" s="21" t="s">
        <v>5817</v>
      </c>
      <c r="AA318" s="22">
        <v>140</v>
      </c>
    </row>
    <row r="319" spans="1:31" ht="28.5" customHeight="1" thickBot="1">
      <c r="A319" s="116" t="s">
        <v>5880</v>
      </c>
      <c r="C319" s="8" t="s">
        <v>5879</v>
      </c>
      <c r="D319" s="9" t="s">
        <v>5878</v>
      </c>
      <c r="E319" s="9" t="s">
        <v>5877</v>
      </c>
      <c r="F319" s="8" t="str">
        <f t="shared" si="14"/>
        <v>gift-codes.html?game=絕地鴨衛</v>
      </c>
      <c r="G319" s="16" t="s">
        <v>5882</v>
      </c>
      <c r="H319" s="9" t="str">
        <f t="shared" si="15"/>
        <v>https://www.ssbuy.tw/game-detail.html?game=絕地鴨衛</v>
      </c>
      <c r="I319" s="10" t="s">
        <v>5884</v>
      </c>
      <c r="J319" s="16" t="s">
        <v>5418</v>
      </c>
      <c r="K319" s="39" t="s">
        <v>5446</v>
      </c>
      <c r="L319" s="21" t="s">
        <v>5885</v>
      </c>
      <c r="M319" s="22">
        <v>529</v>
      </c>
      <c r="N319" s="21" t="s">
        <v>5886</v>
      </c>
      <c r="O319" s="22">
        <v>287</v>
      </c>
      <c r="P319" s="21" t="s">
        <v>5887</v>
      </c>
      <c r="Q319" s="22">
        <v>178</v>
      </c>
      <c r="R319" s="21" t="s">
        <v>5888</v>
      </c>
      <c r="S319" s="22">
        <v>86</v>
      </c>
      <c r="T319" s="21" t="s">
        <v>5889</v>
      </c>
      <c r="U319" s="22">
        <v>29</v>
      </c>
      <c r="V319" s="21" t="s">
        <v>5890</v>
      </c>
      <c r="W319" s="22">
        <v>140</v>
      </c>
      <c r="X319" s="21" t="s">
        <v>5891</v>
      </c>
      <c r="Y319" s="22">
        <v>287</v>
      </c>
    </row>
    <row r="320" spans="1:31" ht="28.5" customHeight="1" thickBot="1">
      <c r="A320" s="116" t="s">
        <v>5881</v>
      </c>
      <c r="C320" s="8" t="s">
        <v>5876</v>
      </c>
      <c r="D320" s="9" t="s">
        <v>5874</v>
      </c>
      <c r="E320" s="9" t="s">
        <v>5875</v>
      </c>
      <c r="F320" s="8" t="str">
        <f t="shared" si="14"/>
        <v>gift-codes.html?game=NBA 2K26 Myteam</v>
      </c>
      <c r="G320" s="16" t="s">
        <v>5883</v>
      </c>
      <c r="H320" s="9" t="str">
        <f t="shared" si="15"/>
        <v>https://www.ssbuy.tw/game-detail.html?game=NBA 2K26 Myteam</v>
      </c>
      <c r="I320" s="10" t="s">
        <v>5892</v>
      </c>
      <c r="J320" s="16" t="s">
        <v>5418</v>
      </c>
      <c r="K320" s="39" t="s">
        <v>5446</v>
      </c>
      <c r="L320" s="21" t="s">
        <v>5893</v>
      </c>
      <c r="M320" s="22">
        <v>4008</v>
      </c>
      <c r="N320" s="21" t="s">
        <v>5894</v>
      </c>
      <c r="O320" s="22">
        <v>2692</v>
      </c>
      <c r="P320" s="21" t="s">
        <v>5895</v>
      </c>
      <c r="Q320" s="22">
        <v>1323</v>
      </c>
      <c r="R320" s="21" t="s">
        <v>5896</v>
      </c>
      <c r="S320" s="22">
        <v>529</v>
      </c>
      <c r="T320" s="21" t="s">
        <v>5897</v>
      </c>
      <c r="U320" s="22">
        <v>281</v>
      </c>
      <c r="V320" s="21" t="s">
        <v>5898</v>
      </c>
      <c r="W320" s="22">
        <v>140</v>
      </c>
      <c r="X320" s="21" t="s">
        <v>5899</v>
      </c>
      <c r="Y320" s="22">
        <v>58</v>
      </c>
    </row>
    <row r="321" spans="1:31" ht="28.5" customHeight="1" thickBot="1">
      <c r="A321" s="116" t="s">
        <v>5933</v>
      </c>
      <c r="C321" s="8" t="s">
        <v>5908</v>
      </c>
      <c r="D321" s="8" t="s">
        <v>5908</v>
      </c>
      <c r="E321" s="9" t="s">
        <v>5909</v>
      </c>
      <c r="F321" s="8" t="str">
        <f t="shared" si="14"/>
        <v>gift-codes.html?game=放置法陣</v>
      </c>
      <c r="G321" s="16" t="s">
        <v>5913</v>
      </c>
      <c r="H321" s="9" t="str">
        <f t="shared" si="15"/>
        <v>https://www.ssbuy.tw/game-detail.html?game=放置法陣</v>
      </c>
      <c r="I321" s="10" t="s">
        <v>5932</v>
      </c>
      <c r="J321" s="16" t="s">
        <v>5418</v>
      </c>
      <c r="K321" s="39" t="s">
        <v>5446</v>
      </c>
      <c r="L321" s="21" t="s">
        <v>5936</v>
      </c>
      <c r="M321" s="22">
        <v>2987</v>
      </c>
      <c r="N321" s="21" t="s">
        <v>61</v>
      </c>
      <c r="O321" s="22">
        <v>1517</v>
      </c>
      <c r="P321" s="21" t="s">
        <v>5937</v>
      </c>
      <c r="Q321" s="22">
        <v>616</v>
      </c>
      <c r="R321" s="21" t="s">
        <v>3975</v>
      </c>
      <c r="S321" s="22">
        <v>308</v>
      </c>
      <c r="T321" s="21" t="s">
        <v>5938</v>
      </c>
      <c r="U321" s="22">
        <v>161</v>
      </c>
      <c r="V321" s="21" t="s">
        <v>4756</v>
      </c>
      <c r="W321" s="22">
        <v>65</v>
      </c>
      <c r="X321" s="21" t="s">
        <v>3727</v>
      </c>
      <c r="Y321" s="22">
        <v>308</v>
      </c>
      <c r="Z321" s="21" t="s">
        <v>5890</v>
      </c>
      <c r="AA321" s="22">
        <v>294</v>
      </c>
      <c r="AB321" s="21" t="s">
        <v>107</v>
      </c>
      <c r="AC321" s="22">
        <v>161</v>
      </c>
    </row>
    <row r="322" spans="1:31" ht="28.5" customHeight="1" thickBot="1">
      <c r="A322" s="116" t="s">
        <v>6280</v>
      </c>
      <c r="C322" s="8" t="s">
        <v>5912</v>
      </c>
      <c r="D322" s="9" t="s">
        <v>5911</v>
      </c>
      <c r="E322" s="9" t="s">
        <v>5910</v>
      </c>
      <c r="F322" s="8" t="str">
        <f t="shared" si="14"/>
        <v>gift-codes.html?game=魔導少年 魔導士編年史</v>
      </c>
      <c r="G322" s="16" t="s">
        <v>5914</v>
      </c>
      <c r="H322" s="9" t="str">
        <f t="shared" si="15"/>
        <v>https://www.ssbuy.tw/game-detail.html?game=魔導少年 魔導士編年史</v>
      </c>
      <c r="I322" s="10" t="s">
        <v>5915</v>
      </c>
      <c r="J322" s="16" t="s">
        <v>5418</v>
      </c>
      <c r="K322" s="39" t="s">
        <v>5446</v>
      </c>
      <c r="L322" s="21" t="s">
        <v>4164</v>
      </c>
      <c r="M322" s="22">
        <v>2635</v>
      </c>
      <c r="N322" s="21" t="s">
        <v>5965</v>
      </c>
      <c r="O322" s="22">
        <v>1337</v>
      </c>
      <c r="P322" s="21" t="s">
        <v>4706</v>
      </c>
      <c r="Q322" s="22">
        <v>625</v>
      </c>
      <c r="R322" s="21" t="s">
        <v>5966</v>
      </c>
      <c r="S322" s="22">
        <v>290</v>
      </c>
      <c r="T322" s="21" t="s">
        <v>27</v>
      </c>
      <c r="U322" s="22">
        <v>87</v>
      </c>
      <c r="V322" s="21" t="s">
        <v>5967</v>
      </c>
      <c r="W322" s="22">
        <v>29</v>
      </c>
      <c r="X322" s="21" t="s">
        <v>5968</v>
      </c>
      <c r="Y322" s="22">
        <v>290</v>
      </c>
      <c r="Z322" s="21" t="s">
        <v>5969</v>
      </c>
      <c r="AA322" s="22">
        <v>897</v>
      </c>
      <c r="AB322" s="21" t="s">
        <v>5970</v>
      </c>
      <c r="AC322" s="22">
        <v>290</v>
      </c>
    </row>
    <row r="323" spans="1:31" ht="28.5" customHeight="1" thickBot="1">
      <c r="A323" s="116" t="s">
        <v>5929</v>
      </c>
      <c r="C323" s="8" t="s">
        <v>5922</v>
      </c>
      <c r="D323" s="9" t="s">
        <v>5921</v>
      </c>
      <c r="E323" s="16" t="s">
        <v>5927</v>
      </c>
      <c r="F323" s="8" t="str">
        <f t="shared" si="14"/>
        <v>gift-codes.html?game=獵風傳說：石器大作戰</v>
      </c>
      <c r="G323" s="9" t="s">
        <v>5928</v>
      </c>
      <c r="H323" s="9" t="str">
        <f t="shared" si="15"/>
        <v>https://www.ssbuy.tw/game-detail.html?game=獵風傳說：石器大作戰</v>
      </c>
      <c r="I323" s="10" t="s">
        <v>5930</v>
      </c>
      <c r="J323" s="16" t="s">
        <v>5418</v>
      </c>
      <c r="K323" s="39" t="s">
        <v>5446</v>
      </c>
      <c r="L323" s="21" t="s">
        <v>6084</v>
      </c>
      <c r="M323" s="22">
        <v>2899</v>
      </c>
      <c r="N323" s="21" t="s">
        <v>6085</v>
      </c>
      <c r="O323" s="22">
        <v>1481</v>
      </c>
      <c r="P323" s="21" t="s">
        <v>6086</v>
      </c>
      <c r="Q323" s="22">
        <v>898</v>
      </c>
      <c r="R323" s="21" t="s">
        <v>6087</v>
      </c>
      <c r="S323" s="22">
        <v>625</v>
      </c>
      <c r="T323" s="21" t="s">
        <v>6088</v>
      </c>
      <c r="U323" s="22">
        <v>299</v>
      </c>
      <c r="V323" s="21" t="s">
        <v>6089</v>
      </c>
      <c r="W323" s="22">
        <v>156</v>
      </c>
      <c r="X323" s="21"/>
      <c r="Y323" s="22"/>
      <c r="Z323" s="21"/>
      <c r="AA323" s="22"/>
      <c r="AB323" s="21"/>
      <c r="AC323" s="22"/>
    </row>
    <row r="324" spans="1:31" ht="28.5" customHeight="1" thickBot="1">
      <c r="A324" s="116" t="s">
        <v>5934</v>
      </c>
      <c r="C324" s="8" t="s">
        <v>5924</v>
      </c>
      <c r="D324" s="9" t="s">
        <v>5923</v>
      </c>
      <c r="E324" s="9" t="s">
        <v>5925</v>
      </c>
      <c r="F324" s="8" t="str">
        <f t="shared" si="14"/>
        <v>gift-codes.html?game=依露希爾</v>
      </c>
      <c r="G324" s="9" t="s">
        <v>5926</v>
      </c>
      <c r="H324" s="9" t="str">
        <f t="shared" si="15"/>
        <v>https://www.ssbuy.tw/game-detail.html?game=依露希爾</v>
      </c>
      <c r="I324" s="10" t="s">
        <v>5931</v>
      </c>
      <c r="J324" s="16" t="s">
        <v>5418</v>
      </c>
      <c r="K324" s="39" t="s">
        <v>5446</v>
      </c>
      <c r="L324" s="21" t="s">
        <v>6090</v>
      </c>
      <c r="M324" s="22">
        <v>2899</v>
      </c>
      <c r="N324" s="21" t="s">
        <v>6091</v>
      </c>
      <c r="O324" s="22">
        <v>1517</v>
      </c>
      <c r="P324" s="21" t="s">
        <v>6092</v>
      </c>
      <c r="Q324" s="22">
        <v>897</v>
      </c>
      <c r="R324" s="21" t="s">
        <v>6093</v>
      </c>
      <c r="S324" s="22">
        <v>598</v>
      </c>
      <c r="T324" s="21" t="s">
        <v>6094</v>
      </c>
      <c r="U324" s="22">
        <v>317</v>
      </c>
      <c r="V324" s="21" t="s">
        <v>6095</v>
      </c>
      <c r="W324" s="22">
        <v>161</v>
      </c>
      <c r="X324" s="21" t="s">
        <v>6096</v>
      </c>
      <c r="Y324" s="22">
        <v>161</v>
      </c>
      <c r="Z324" s="21" t="s">
        <v>6097</v>
      </c>
      <c r="AA324" s="22">
        <v>444</v>
      </c>
      <c r="AB324" s="21"/>
      <c r="AC324" s="22"/>
    </row>
    <row r="325" spans="1:31" ht="28.5" customHeight="1" thickBot="1">
      <c r="A325" s="114" t="s">
        <v>5964</v>
      </c>
      <c r="C325" s="8" t="s">
        <v>5949</v>
      </c>
      <c r="D325" s="9" t="s">
        <v>5950</v>
      </c>
      <c r="E325" s="9" t="s">
        <v>5948</v>
      </c>
      <c r="F325" s="8" t="str">
        <f t="shared" si="14"/>
        <v>gift-codes.html?game=契約吧！精靈少女</v>
      </c>
      <c r="G325" s="16" t="s">
        <v>5955</v>
      </c>
      <c r="H325" s="9" t="str">
        <f t="shared" si="15"/>
        <v>https://www.ssbuy.tw/game-detail.html?game=契約吧！精靈少女</v>
      </c>
      <c r="I325" s="10" t="s">
        <v>5956</v>
      </c>
      <c r="J325" s="16" t="s">
        <v>5418</v>
      </c>
      <c r="K325" s="39" t="s">
        <v>5446</v>
      </c>
      <c r="L325" s="21" t="s">
        <v>12</v>
      </c>
      <c r="M325" s="22">
        <v>2635</v>
      </c>
      <c r="N325" s="21" t="s">
        <v>13</v>
      </c>
      <c r="O325" s="22">
        <v>1337</v>
      </c>
      <c r="P325" s="21" t="s">
        <v>24</v>
      </c>
      <c r="Q325" s="22">
        <v>897</v>
      </c>
      <c r="R325" s="21" t="s">
        <v>15</v>
      </c>
      <c r="S325" s="22">
        <v>444</v>
      </c>
      <c r="T325" s="21" t="s">
        <v>16</v>
      </c>
      <c r="U325" s="22">
        <v>142</v>
      </c>
      <c r="V325" s="21" t="s">
        <v>7</v>
      </c>
      <c r="W325" s="22">
        <v>32</v>
      </c>
    </row>
    <row r="326" spans="1:31" ht="28.5" customHeight="1" thickBot="1">
      <c r="A326" s="116" t="s">
        <v>6042</v>
      </c>
      <c r="C326" s="8" t="s">
        <v>6017</v>
      </c>
      <c r="D326" s="9" t="s">
        <v>6018</v>
      </c>
      <c r="E326" s="9" t="s">
        <v>6020</v>
      </c>
      <c r="F326" s="8" t="str">
        <f t="shared" si="14"/>
        <v>gift-codes.html?game=曹操不囉嗦</v>
      </c>
      <c r="G326" s="9" t="s">
        <v>6019</v>
      </c>
      <c r="H326" s="9" t="str">
        <f t="shared" si="15"/>
        <v>https://www.ssbuy.tw/game-detail.html?game=曹操不囉嗦</v>
      </c>
      <c r="I326" s="10" t="s">
        <v>6974</v>
      </c>
      <c r="J326" s="16" t="s">
        <v>5418</v>
      </c>
      <c r="K326" s="39" t="s">
        <v>5446</v>
      </c>
      <c r="L326" s="21" t="s">
        <v>7525</v>
      </c>
      <c r="M326" s="22">
        <v>2799</v>
      </c>
      <c r="N326" s="21" t="s">
        <v>7526</v>
      </c>
      <c r="O326" s="22">
        <v>1451</v>
      </c>
      <c r="P326" s="21" t="s">
        <v>7527</v>
      </c>
      <c r="Q326" s="22">
        <v>593</v>
      </c>
      <c r="R326" s="21" t="s">
        <v>7528</v>
      </c>
      <c r="S326" s="22">
        <v>283</v>
      </c>
      <c r="T326" s="21" t="s">
        <v>7529</v>
      </c>
      <c r="U326" s="22">
        <v>149</v>
      </c>
      <c r="V326" s="21" t="s">
        <v>7530</v>
      </c>
      <c r="W326" s="22">
        <v>29</v>
      </c>
      <c r="X326" s="21" t="s">
        <v>66</v>
      </c>
      <c r="Y326" s="22">
        <v>593</v>
      </c>
      <c r="Z326" s="21"/>
      <c r="AA326" s="22"/>
      <c r="AB326" s="21"/>
      <c r="AC326" s="22"/>
    </row>
    <row r="327" spans="1:31" ht="28.5" customHeight="1" thickBot="1">
      <c r="A327" s="116" t="s">
        <v>5996</v>
      </c>
      <c r="C327" s="8" t="s">
        <v>6021</v>
      </c>
      <c r="D327" s="9" t="s">
        <v>6022</v>
      </c>
      <c r="E327" s="9" t="s">
        <v>6023</v>
      </c>
      <c r="F327" s="8" t="str">
        <f t="shared" si="14"/>
        <v>gift-codes.html?game=江湖有詭</v>
      </c>
      <c r="G327" s="9" t="s">
        <v>6024</v>
      </c>
      <c r="H327" s="9" t="str">
        <f t="shared" si="15"/>
        <v>https://www.ssbuy.tw/game-detail.html?game=江湖有詭</v>
      </c>
      <c r="I327" s="10" t="s">
        <v>6043</v>
      </c>
      <c r="J327" s="16" t="s">
        <v>5418</v>
      </c>
      <c r="K327" s="39" t="s">
        <v>5446</v>
      </c>
      <c r="L327" s="21" t="s">
        <v>1514</v>
      </c>
      <c r="M327" s="22">
        <v>2899</v>
      </c>
      <c r="N327" s="21" t="s">
        <v>1515</v>
      </c>
      <c r="O327" s="22">
        <v>1517</v>
      </c>
      <c r="P327" s="21" t="s">
        <v>5407</v>
      </c>
      <c r="Q327" s="22">
        <v>897</v>
      </c>
      <c r="R327" s="21" t="s">
        <v>1516</v>
      </c>
      <c r="S327" s="22">
        <v>607</v>
      </c>
      <c r="T327" s="21" t="s">
        <v>1517</v>
      </c>
      <c r="U327" s="22">
        <v>444</v>
      </c>
      <c r="V327" s="21" t="s">
        <v>1630</v>
      </c>
      <c r="W327" s="22">
        <v>299</v>
      </c>
      <c r="X327" s="21" t="s">
        <v>318</v>
      </c>
      <c r="Y327" s="22">
        <v>161</v>
      </c>
      <c r="Z327" s="21" t="s">
        <v>1518</v>
      </c>
      <c r="AA327" s="22">
        <v>32</v>
      </c>
    </row>
    <row r="328" spans="1:31" ht="28.5" customHeight="1" thickBot="1">
      <c r="A328" s="116" t="s">
        <v>5997</v>
      </c>
      <c r="C328" s="8" t="s">
        <v>6025</v>
      </c>
      <c r="D328" s="9" t="s">
        <v>6026</v>
      </c>
      <c r="E328" s="9" t="s">
        <v>6027</v>
      </c>
      <c r="F328" s="8" t="str">
        <f t="shared" si="14"/>
        <v>gift-codes.html?game=將軍請息怒</v>
      </c>
      <c r="G328" s="9" t="s">
        <v>6028</v>
      </c>
      <c r="H328" s="9" t="str">
        <f t="shared" si="15"/>
        <v>https://www.ssbuy.tw/game-detail.html?game=將軍請息怒</v>
      </c>
      <c r="I328" s="10" t="s">
        <v>6044</v>
      </c>
      <c r="J328" s="16" t="s">
        <v>5418</v>
      </c>
      <c r="K328" s="39" t="s">
        <v>5446</v>
      </c>
      <c r="L328" s="21" t="s">
        <v>235</v>
      </c>
      <c r="M328" s="22">
        <v>2899</v>
      </c>
      <c r="N328" s="21" t="s">
        <v>236</v>
      </c>
      <c r="O328" s="22">
        <v>1517</v>
      </c>
      <c r="P328" s="21" t="s">
        <v>1292</v>
      </c>
      <c r="Q328" s="22">
        <v>897</v>
      </c>
      <c r="R328" s="21" t="s">
        <v>237</v>
      </c>
      <c r="S328" s="22">
        <v>607</v>
      </c>
      <c r="T328" s="21" t="s">
        <v>238</v>
      </c>
      <c r="U328" s="22">
        <v>299</v>
      </c>
      <c r="V328" s="21" t="s">
        <v>239</v>
      </c>
      <c r="W328" s="22">
        <v>161</v>
      </c>
      <c r="X328" s="21" t="s">
        <v>240</v>
      </c>
      <c r="Y328" s="22">
        <v>32</v>
      </c>
      <c r="Z328" s="21" t="s">
        <v>6118</v>
      </c>
      <c r="AA328" s="22">
        <v>299</v>
      </c>
      <c r="AB328" s="21" t="s">
        <v>6119</v>
      </c>
      <c r="AC328" s="22">
        <v>161</v>
      </c>
    </row>
    <row r="329" spans="1:31" ht="28.5" customHeight="1" thickBot="1">
      <c r="A329" s="116" t="s">
        <v>6281</v>
      </c>
      <c r="C329" s="8" t="s">
        <v>6029</v>
      </c>
      <c r="D329" s="9" t="s">
        <v>6031</v>
      </c>
      <c r="E329" s="9" t="s">
        <v>6030</v>
      </c>
      <c r="F329" s="8" t="str">
        <f t="shared" si="14"/>
        <v>gift-codes.html?game=RO：世界之旅</v>
      </c>
      <c r="G329" s="9" t="s">
        <v>6032</v>
      </c>
      <c r="H329" s="9" t="str">
        <f t="shared" si="15"/>
        <v>https://www.ssbuy.tw/game-detail.html?game=RO：世界之旅</v>
      </c>
      <c r="I329" s="10" t="s">
        <v>6045</v>
      </c>
      <c r="J329" s="16" t="s">
        <v>5418</v>
      </c>
      <c r="K329" s="39" t="s">
        <v>5446</v>
      </c>
      <c r="L329" s="21" t="s">
        <v>6067</v>
      </c>
      <c r="M329" s="22">
        <v>2638</v>
      </c>
      <c r="N329" s="21" t="s">
        <v>6068</v>
      </c>
      <c r="O329" s="22">
        <v>1339</v>
      </c>
      <c r="P329" s="21" t="s">
        <v>6069</v>
      </c>
      <c r="Q329" s="22">
        <v>898</v>
      </c>
      <c r="R329" s="21" t="s">
        <v>6070</v>
      </c>
      <c r="S329" s="22">
        <v>444</v>
      </c>
      <c r="T329" s="21" t="s">
        <v>6071</v>
      </c>
      <c r="U329" s="22">
        <v>142</v>
      </c>
      <c r="V329" s="21" t="s">
        <v>6072</v>
      </c>
      <c r="W329" s="22">
        <v>29</v>
      </c>
      <c r="X329" s="21" t="s">
        <v>141</v>
      </c>
      <c r="Y329" s="22">
        <v>290</v>
      </c>
      <c r="Z329" s="21" t="s">
        <v>107</v>
      </c>
      <c r="AA329" s="22">
        <v>142</v>
      </c>
    </row>
    <row r="330" spans="1:31" ht="28.5" customHeight="1" thickBot="1">
      <c r="A330" s="116" t="s">
        <v>5998</v>
      </c>
      <c r="C330" s="8" t="s">
        <v>6033</v>
      </c>
      <c r="D330" s="9" t="s">
        <v>6034</v>
      </c>
      <c r="E330" s="9" t="s">
        <v>6035</v>
      </c>
      <c r="F330" s="8" t="str">
        <f t="shared" si="14"/>
        <v>gift-codes.html?game=燕雲十六聲</v>
      </c>
      <c r="G330" s="9" t="s">
        <v>6036</v>
      </c>
      <c r="H330" s="9" t="str">
        <f t="shared" si="15"/>
        <v>https://www.ssbuy.tw/game-detail.html?game=燕雲十六聲</v>
      </c>
      <c r="I330" s="10" t="s">
        <v>6046</v>
      </c>
      <c r="J330" s="16" t="s">
        <v>5418</v>
      </c>
      <c r="K330" s="39" t="s">
        <v>5446</v>
      </c>
      <c r="L330" s="21" t="s">
        <v>6073</v>
      </c>
      <c r="M330" s="22">
        <v>2779</v>
      </c>
      <c r="N330" s="21" t="s">
        <v>6074</v>
      </c>
      <c r="O330" s="22">
        <v>1429</v>
      </c>
      <c r="P330" s="21" t="s">
        <v>6075</v>
      </c>
      <c r="Q330" s="22">
        <v>861</v>
      </c>
      <c r="R330" s="21" t="s">
        <v>6076</v>
      </c>
      <c r="S330" s="22">
        <v>431</v>
      </c>
      <c r="T330" s="21" t="s">
        <v>6077</v>
      </c>
      <c r="U330" s="22">
        <v>299</v>
      </c>
      <c r="V330" s="21" t="s">
        <v>6078</v>
      </c>
      <c r="W330" s="22">
        <v>152</v>
      </c>
      <c r="X330" s="21" t="s">
        <v>6079</v>
      </c>
      <c r="Y330" s="22">
        <v>32</v>
      </c>
      <c r="Z330" s="21" t="s">
        <v>6080</v>
      </c>
      <c r="AA330" s="22">
        <v>571</v>
      </c>
      <c r="AB330" s="21" t="s">
        <v>6081</v>
      </c>
      <c r="AC330" s="22">
        <v>299</v>
      </c>
      <c r="AD330" s="21" t="s">
        <v>107</v>
      </c>
      <c r="AE330" s="22">
        <v>152</v>
      </c>
    </row>
    <row r="331" spans="1:31" ht="28.5" customHeight="1" thickBot="1">
      <c r="A331" s="116" t="s">
        <v>5999</v>
      </c>
      <c r="C331" s="8" t="s">
        <v>6040</v>
      </c>
      <c r="D331" s="9" t="s">
        <v>6041</v>
      </c>
      <c r="E331" s="9" t="s">
        <v>6039</v>
      </c>
      <c r="F331" s="8" t="str">
        <f t="shared" si="14"/>
        <v>gift-codes.html?game=99強化木棒</v>
      </c>
      <c r="G331" s="9" t="s">
        <v>6038</v>
      </c>
      <c r="H331" s="9" t="str">
        <f t="shared" si="15"/>
        <v>https://www.ssbuy.tw/game-detail.html?game=99強化木棒</v>
      </c>
      <c r="I331" s="10" t="s">
        <v>6047</v>
      </c>
      <c r="J331" s="16" t="s">
        <v>5418</v>
      </c>
      <c r="K331" s="39" t="s">
        <v>5446</v>
      </c>
      <c r="L331" s="21" t="s">
        <v>5939</v>
      </c>
      <c r="M331" s="22">
        <v>2813</v>
      </c>
      <c r="N331" s="21" t="s">
        <v>5940</v>
      </c>
      <c r="O331" s="22">
        <v>1459</v>
      </c>
      <c r="P331" s="21" t="s">
        <v>5941</v>
      </c>
      <c r="Q331" s="22">
        <v>854</v>
      </c>
      <c r="R331" s="21" t="s">
        <v>5942</v>
      </c>
      <c r="S331" s="22">
        <v>725</v>
      </c>
      <c r="T331" s="21" t="s">
        <v>5943</v>
      </c>
      <c r="U331" s="22">
        <v>578</v>
      </c>
      <c r="V331" s="21" t="s">
        <v>5944</v>
      </c>
      <c r="W331" s="22">
        <v>423</v>
      </c>
      <c r="X331" s="21" t="s">
        <v>5945</v>
      </c>
      <c r="Y331" s="22">
        <v>285</v>
      </c>
      <c r="Z331" s="21" t="s">
        <v>5946</v>
      </c>
      <c r="AA331" s="22">
        <v>149</v>
      </c>
      <c r="AB331" s="21" t="s">
        <v>5947</v>
      </c>
      <c r="AC331" s="22">
        <v>29</v>
      </c>
      <c r="AD331" s="21" t="s">
        <v>6120</v>
      </c>
      <c r="AE331" s="22">
        <v>716</v>
      </c>
    </row>
    <row r="332" spans="1:31" ht="28.5" customHeight="1" thickBot="1">
      <c r="A332" s="38" t="s">
        <v>6155</v>
      </c>
      <c r="C332" s="8" t="s">
        <v>6115</v>
      </c>
      <c r="D332" s="9" t="s">
        <v>6114</v>
      </c>
      <c r="E332" s="9" t="s">
        <v>6113</v>
      </c>
      <c r="F332" s="8" t="str">
        <f t="shared" si="14"/>
        <v>gift-codes.html?game=天龍八部榮耀版</v>
      </c>
      <c r="G332" s="9" t="s">
        <v>6116</v>
      </c>
      <c r="H332" s="9" t="str">
        <f t="shared" si="15"/>
        <v>https://www.ssbuy.tw/game-detail.html?game=天龍八部榮耀版</v>
      </c>
      <c r="I332" s="10" t="s">
        <v>6117</v>
      </c>
      <c r="J332" s="16" t="s">
        <v>5418</v>
      </c>
      <c r="K332" s="39" t="s">
        <v>5446</v>
      </c>
      <c r="L332" s="21" t="s">
        <v>6156</v>
      </c>
      <c r="M332" s="22">
        <v>2899</v>
      </c>
      <c r="N332" s="21" t="s">
        <v>6157</v>
      </c>
      <c r="O332" s="22">
        <v>2235</v>
      </c>
      <c r="P332" s="21" t="s">
        <v>6158</v>
      </c>
      <c r="Q332" s="22">
        <v>1517</v>
      </c>
      <c r="R332" s="21" t="s">
        <v>6159</v>
      </c>
      <c r="S332" s="22">
        <v>897</v>
      </c>
      <c r="T332" s="21" t="s">
        <v>6160</v>
      </c>
      <c r="U332" s="22">
        <v>625</v>
      </c>
      <c r="V332" s="21" t="s">
        <v>6161</v>
      </c>
      <c r="W332" s="22">
        <v>290</v>
      </c>
      <c r="X332" s="21" t="s">
        <v>6162</v>
      </c>
      <c r="Y332" s="22">
        <v>142</v>
      </c>
      <c r="Z332" s="21" t="s">
        <v>6163</v>
      </c>
      <c r="AA332" s="22">
        <v>29</v>
      </c>
    </row>
    <row r="333" spans="1:31" ht="28.5" customHeight="1" thickBot="1">
      <c r="A333" s="38" t="s">
        <v>6282</v>
      </c>
      <c r="C333" s="8" t="s">
        <v>6121</v>
      </c>
      <c r="D333" s="9" t="s">
        <v>6122</v>
      </c>
      <c r="E333" s="9" t="s">
        <v>6123</v>
      </c>
      <c r="F333" s="8" t="str">
        <f t="shared" si="14"/>
        <v>gift-codes.html?game=SD鋼彈 G世代 永恆</v>
      </c>
      <c r="G333" s="16" t="s">
        <v>6124</v>
      </c>
      <c r="H333" s="9" t="str">
        <f t="shared" si="15"/>
        <v>https://www.ssbuy.tw/game-detail.html?game=SD鋼彈 G世代 永恆</v>
      </c>
      <c r="I333" s="10" t="s">
        <v>6150</v>
      </c>
      <c r="J333" s="16" t="s">
        <v>5418</v>
      </c>
      <c r="K333" s="39" t="s">
        <v>5446</v>
      </c>
      <c r="L333" s="21" t="s">
        <v>4</v>
      </c>
      <c r="M333" s="22">
        <v>1759</v>
      </c>
      <c r="N333" s="21" t="s">
        <v>5</v>
      </c>
      <c r="O333" s="22">
        <v>843</v>
      </c>
      <c r="P333" s="21" t="s">
        <v>62</v>
      </c>
      <c r="Q333" s="22">
        <v>506</v>
      </c>
      <c r="R333" s="21" t="s">
        <v>6151</v>
      </c>
      <c r="S333" s="22">
        <v>233</v>
      </c>
      <c r="T333" s="21" t="s">
        <v>6152</v>
      </c>
      <c r="U333" s="22">
        <v>153</v>
      </c>
      <c r="V333" s="21" t="s">
        <v>6153</v>
      </c>
      <c r="W333" s="22">
        <v>80</v>
      </c>
      <c r="X333" s="21" t="s">
        <v>6154</v>
      </c>
      <c r="Y333" s="22">
        <v>27</v>
      </c>
      <c r="Z333" s="21" t="s">
        <v>3954</v>
      </c>
      <c r="AA333" s="22">
        <v>153</v>
      </c>
    </row>
    <row r="334" spans="1:31" ht="28.5" customHeight="1" thickBot="1">
      <c r="A334" s="116" t="s">
        <v>6192</v>
      </c>
      <c r="C334" s="8" t="s">
        <v>6203</v>
      </c>
      <c r="D334" s="9" t="s">
        <v>6204</v>
      </c>
      <c r="E334" s="9" t="s">
        <v>6205</v>
      </c>
      <c r="F334" s="8" t="str">
        <f t="shared" si="14"/>
        <v>gift-codes.html?game=純被動大師：放置型養成</v>
      </c>
      <c r="G334" s="16" t="s">
        <v>6212</v>
      </c>
      <c r="H334" s="9" t="str">
        <f t="shared" si="15"/>
        <v>https://www.ssbuy.tw/game-detail.html?game=純被動大師：放置型養成</v>
      </c>
      <c r="I334" s="10" t="s">
        <v>6218</v>
      </c>
      <c r="J334" s="16" t="s">
        <v>5418</v>
      </c>
      <c r="K334" s="39" t="s">
        <v>5446</v>
      </c>
      <c r="L334" s="21" t="s">
        <v>6222</v>
      </c>
      <c r="M334" s="22">
        <v>2235</v>
      </c>
      <c r="N334" s="21" t="s">
        <v>6223</v>
      </c>
      <c r="O334" s="22">
        <v>1158</v>
      </c>
      <c r="P334" s="21" t="s">
        <v>6224</v>
      </c>
      <c r="Q334" s="22">
        <v>275</v>
      </c>
      <c r="R334" s="21" t="s">
        <v>3516</v>
      </c>
      <c r="S334" s="22">
        <v>1158</v>
      </c>
      <c r="T334" s="21" t="s">
        <v>6225</v>
      </c>
      <c r="U334" s="22">
        <v>716</v>
      </c>
      <c r="V334" s="21" t="s">
        <v>6226</v>
      </c>
      <c r="W334" s="22">
        <v>716</v>
      </c>
    </row>
    <row r="335" spans="1:31" ht="28.5" customHeight="1" thickBot="1">
      <c r="A335" s="116" t="s">
        <v>6193</v>
      </c>
      <c r="C335" s="8" t="s">
        <v>6206</v>
      </c>
      <c r="D335" s="9" t="s">
        <v>6207</v>
      </c>
      <c r="E335" s="9" t="s">
        <v>6208</v>
      </c>
      <c r="F335" s="8" t="str">
        <f t="shared" si="14"/>
        <v>gift-codes.html?game=超次元三國</v>
      </c>
      <c r="G335" s="16" t="s">
        <v>6214</v>
      </c>
      <c r="H335" s="9" t="str">
        <f t="shared" si="15"/>
        <v>https://www.ssbuy.tw/game-detail.html?game=超次元三國</v>
      </c>
      <c r="I335" s="10" t="s">
        <v>6219</v>
      </c>
      <c r="J335" s="16" t="s">
        <v>5418</v>
      </c>
      <c r="K335" s="39" t="s">
        <v>5446</v>
      </c>
      <c r="L335" s="21" t="s">
        <v>6227</v>
      </c>
      <c r="M335" s="22">
        <v>2864</v>
      </c>
      <c r="N335" s="21" t="s">
        <v>6228</v>
      </c>
      <c r="O335" s="22">
        <v>2154</v>
      </c>
      <c r="P335" s="21" t="s">
        <v>6229</v>
      </c>
      <c r="Q335" s="22">
        <v>1885</v>
      </c>
      <c r="R335" s="21" t="s">
        <v>6230</v>
      </c>
      <c r="S335" s="22">
        <v>1347</v>
      </c>
      <c r="T335" s="21" t="s">
        <v>6231</v>
      </c>
      <c r="U335" s="22">
        <v>815</v>
      </c>
      <c r="V335" s="21" t="s">
        <v>6232</v>
      </c>
      <c r="W335" s="22">
        <v>544</v>
      </c>
      <c r="X335" s="21" t="s">
        <v>6233</v>
      </c>
      <c r="Y335" s="22">
        <v>408</v>
      </c>
      <c r="Z335" s="21" t="s">
        <v>6234</v>
      </c>
      <c r="AA335" s="22">
        <v>284</v>
      </c>
      <c r="AB335" s="21" t="s">
        <v>6235</v>
      </c>
      <c r="AC335" s="22">
        <v>227</v>
      </c>
      <c r="AD335" s="21" t="s">
        <v>6236</v>
      </c>
      <c r="AE335" s="22">
        <v>58</v>
      </c>
    </row>
    <row r="336" spans="1:31" ht="28.5" customHeight="1" thickBot="1">
      <c r="A336" s="116" t="s">
        <v>6194</v>
      </c>
      <c r="C336" s="36" t="s">
        <v>3508</v>
      </c>
      <c r="D336" s="9" t="s">
        <v>6209</v>
      </c>
      <c r="E336" s="9" t="s">
        <v>6210</v>
      </c>
      <c r="F336" s="8" t="str">
        <f t="shared" si="14"/>
        <v>gift-codes.html?game=poker fate</v>
      </c>
      <c r="G336" s="16" t="s">
        <v>6213</v>
      </c>
      <c r="H336" s="9" t="str">
        <f t="shared" si="15"/>
        <v>https://www.ssbuy.tw/game-detail.html?game=poker fate</v>
      </c>
      <c r="I336" s="10" t="s">
        <v>6217</v>
      </c>
      <c r="J336" s="16" t="s">
        <v>5418</v>
      </c>
      <c r="K336" s="39" t="s">
        <v>5446</v>
      </c>
      <c r="L336" s="21" t="s">
        <v>6237</v>
      </c>
      <c r="M336" s="22">
        <v>2908</v>
      </c>
      <c r="N336" s="21" t="s">
        <v>6238</v>
      </c>
      <c r="O336" s="22">
        <v>1481</v>
      </c>
      <c r="P336" s="21" t="s">
        <v>6239</v>
      </c>
      <c r="Q336" s="22">
        <v>1185</v>
      </c>
      <c r="R336" s="21" t="s">
        <v>6240</v>
      </c>
      <c r="S336" s="22">
        <v>897</v>
      </c>
      <c r="T336" s="21" t="s">
        <v>6241</v>
      </c>
      <c r="U336" s="22">
        <v>598</v>
      </c>
      <c r="V336" s="21" t="s">
        <v>6242</v>
      </c>
      <c r="W336" s="22">
        <v>299</v>
      </c>
      <c r="X336" s="21" t="s">
        <v>6283</v>
      </c>
      <c r="Y336" s="22">
        <v>63</v>
      </c>
    </row>
    <row r="337" spans="1:31" ht="28.5" customHeight="1" thickBot="1">
      <c r="A337" s="116" t="s">
        <v>6195</v>
      </c>
      <c r="C337" s="8" t="s">
        <v>6196</v>
      </c>
      <c r="D337" s="9" t="s">
        <v>6198</v>
      </c>
      <c r="E337" s="9" t="s">
        <v>6197</v>
      </c>
      <c r="F337" s="8" t="str">
        <f t="shared" si="14"/>
        <v>gift-codes.html?game=時空心語</v>
      </c>
      <c r="G337" s="16" t="s">
        <v>6216</v>
      </c>
      <c r="H337" s="9" t="str">
        <f t="shared" si="15"/>
        <v>https://www.ssbuy.tw/game-detail.html?game=時空心語</v>
      </c>
      <c r="I337" s="10" t="s">
        <v>6221</v>
      </c>
      <c r="J337" s="16" t="s">
        <v>5418</v>
      </c>
      <c r="K337" s="39" t="s">
        <v>5446</v>
      </c>
      <c r="L337" s="21" t="s">
        <v>6260</v>
      </c>
      <c r="M337" s="22">
        <v>2908</v>
      </c>
      <c r="N337" s="21" t="s">
        <v>6261</v>
      </c>
      <c r="O337" s="22">
        <v>2379</v>
      </c>
      <c r="P337" s="21" t="s">
        <v>6262</v>
      </c>
      <c r="Q337" s="22">
        <v>1490</v>
      </c>
      <c r="R337" s="21" t="s">
        <v>6263</v>
      </c>
      <c r="S337" s="22">
        <v>598</v>
      </c>
      <c r="T337" s="21" t="s">
        <v>6264</v>
      </c>
      <c r="U337" s="22">
        <v>299</v>
      </c>
      <c r="V337" s="21" t="s">
        <v>6265</v>
      </c>
      <c r="W337" s="22">
        <v>156</v>
      </c>
      <c r="X337" s="21" t="s">
        <v>6266</v>
      </c>
      <c r="Y337" s="22">
        <v>299</v>
      </c>
      <c r="Z337" s="21" t="s">
        <v>176</v>
      </c>
      <c r="AA337" s="22">
        <v>299</v>
      </c>
      <c r="AB337" s="21"/>
      <c r="AC337" s="22"/>
    </row>
    <row r="338" spans="1:31" ht="28.5" customHeight="1" thickBot="1">
      <c r="A338" s="116" t="s">
        <v>6199</v>
      </c>
      <c r="C338" s="8" t="s">
        <v>6200</v>
      </c>
      <c r="D338" s="9" t="s">
        <v>6201</v>
      </c>
      <c r="E338" s="9" t="s">
        <v>6202</v>
      </c>
      <c r="F338" s="8" t="str">
        <f t="shared" si="14"/>
        <v>gift-codes.html?game=Archeland Re：阿契蘭</v>
      </c>
      <c r="G338" s="16" t="s">
        <v>6215</v>
      </c>
      <c r="H338" s="9" t="str">
        <f t="shared" si="15"/>
        <v>https://www.ssbuy.tw/game-detail.html?game=Archeland Re：阿契蘭</v>
      </c>
      <c r="I338" s="10" t="s">
        <v>6220</v>
      </c>
      <c r="J338" s="16" t="s">
        <v>5418</v>
      </c>
      <c r="K338" s="39" t="s">
        <v>5446</v>
      </c>
      <c r="L338" s="21" t="s">
        <v>5939</v>
      </c>
      <c r="M338" s="22">
        <v>2813</v>
      </c>
      <c r="N338" s="21" t="s">
        <v>5940</v>
      </c>
      <c r="O338" s="22">
        <v>1459</v>
      </c>
      <c r="P338" s="21" t="s">
        <v>5941</v>
      </c>
      <c r="Q338" s="22">
        <v>854</v>
      </c>
      <c r="R338" s="21" t="s">
        <v>5942</v>
      </c>
      <c r="S338" s="22">
        <v>725</v>
      </c>
      <c r="T338" s="21" t="s">
        <v>5943</v>
      </c>
      <c r="U338" s="22">
        <v>578</v>
      </c>
      <c r="V338" s="21" t="s">
        <v>5944</v>
      </c>
      <c r="W338" s="22">
        <v>423</v>
      </c>
      <c r="X338" s="21" t="s">
        <v>5945</v>
      </c>
      <c r="Y338" s="22">
        <v>285</v>
      </c>
      <c r="Z338" s="21" t="s">
        <v>5946</v>
      </c>
      <c r="AA338" s="22">
        <v>149</v>
      </c>
      <c r="AB338" s="21" t="s">
        <v>5947</v>
      </c>
      <c r="AC338" s="22">
        <v>29</v>
      </c>
    </row>
    <row r="339" spans="1:31" ht="28.5" customHeight="1" thickBot="1">
      <c r="A339" s="38" t="s">
        <v>6258</v>
      </c>
      <c r="C339" s="8" t="s">
        <v>6254</v>
      </c>
      <c r="D339" s="9" t="s">
        <v>6252</v>
      </c>
      <c r="E339" s="9" t="s">
        <v>6255</v>
      </c>
      <c r="F339" s="8" t="str">
        <f t="shared" si="14"/>
        <v>gift-codes.html?game=幻獸寶貝</v>
      </c>
      <c r="G339" s="9" t="s">
        <v>6253</v>
      </c>
      <c r="H339" s="9" t="str">
        <f t="shared" si="15"/>
        <v>https://www.ssbuy.tw/game-detail.html?game=幻獸寶貝</v>
      </c>
      <c r="I339" s="10" t="s">
        <v>6259</v>
      </c>
      <c r="J339" s="16" t="s">
        <v>5418</v>
      </c>
      <c r="K339" s="39" t="s">
        <v>5446</v>
      </c>
      <c r="L339" s="21" t="s">
        <v>7424</v>
      </c>
      <c r="M339" s="22">
        <v>1997</v>
      </c>
      <c r="N339" s="21" t="s">
        <v>7425</v>
      </c>
      <c r="O339" s="22">
        <v>1108</v>
      </c>
      <c r="P339" s="21" t="s">
        <v>7426</v>
      </c>
      <c r="Q339" s="22">
        <v>663</v>
      </c>
      <c r="R339" s="21" t="s">
        <v>7427</v>
      </c>
      <c r="S339" s="22">
        <v>204</v>
      </c>
      <c r="T339" s="21" t="s">
        <v>7428</v>
      </c>
      <c r="U339" s="22">
        <v>65</v>
      </c>
      <c r="V339" s="21" t="s">
        <v>7429</v>
      </c>
      <c r="W339" s="22">
        <v>23</v>
      </c>
      <c r="X339" s="21" t="s">
        <v>7430</v>
      </c>
      <c r="Y339" s="22">
        <v>204</v>
      </c>
      <c r="Z339" s="21" t="s">
        <v>7431</v>
      </c>
      <c r="AA339" s="22">
        <v>162</v>
      </c>
      <c r="AB339" s="21"/>
      <c r="AC339" s="22"/>
    </row>
    <row r="340" spans="1:31" ht="28.5" customHeight="1" thickBot="1">
      <c r="A340" s="116" t="s">
        <v>6308</v>
      </c>
      <c r="C340" s="36" t="s">
        <v>3508</v>
      </c>
      <c r="D340" s="9" t="s">
        <v>6293</v>
      </c>
      <c r="E340" s="9" t="s">
        <v>6037</v>
      </c>
      <c r="F340" s="8" t="str">
        <f t="shared" si="14"/>
        <v>gift-codes.html?game=齒輪束縛</v>
      </c>
      <c r="G340" s="9" t="s">
        <v>6292</v>
      </c>
      <c r="H340" s="9" t="str">
        <f t="shared" si="15"/>
        <v>https://www.ssbuy.tw/game-detail.html?game=齒輪束縛</v>
      </c>
      <c r="I340" s="10" t="s">
        <v>6311</v>
      </c>
      <c r="J340" s="16" t="s">
        <v>5418</v>
      </c>
      <c r="K340" s="39" t="s">
        <v>5446</v>
      </c>
      <c r="L340" s="21" t="s">
        <v>5939</v>
      </c>
      <c r="M340" s="22">
        <v>2813</v>
      </c>
      <c r="N340" s="21" t="s">
        <v>5940</v>
      </c>
      <c r="O340" s="22">
        <v>1459</v>
      </c>
      <c r="P340" s="21" t="s">
        <v>5941</v>
      </c>
      <c r="Q340" s="22">
        <v>854</v>
      </c>
      <c r="R340" s="21" t="s">
        <v>5942</v>
      </c>
      <c r="S340" s="22">
        <v>725</v>
      </c>
      <c r="T340" s="21" t="s">
        <v>5943</v>
      </c>
      <c r="U340" s="22">
        <v>578</v>
      </c>
      <c r="V340" s="21" t="s">
        <v>5944</v>
      </c>
      <c r="W340" s="22">
        <v>423</v>
      </c>
      <c r="X340" s="21" t="s">
        <v>5945</v>
      </c>
      <c r="Y340" s="22">
        <v>285</v>
      </c>
      <c r="Z340" s="21" t="s">
        <v>5946</v>
      </c>
      <c r="AA340" s="22">
        <v>149</v>
      </c>
      <c r="AB340" s="21" t="s">
        <v>5947</v>
      </c>
      <c r="AC340" s="22">
        <v>29</v>
      </c>
    </row>
    <row r="341" spans="1:31" ht="28.5" customHeight="1" thickBot="1">
      <c r="A341" s="116" t="s">
        <v>6309</v>
      </c>
      <c r="C341" s="8" t="s">
        <v>6304</v>
      </c>
      <c r="D341" s="9" t="s">
        <v>6294</v>
      </c>
      <c r="E341" s="9" t="s">
        <v>6296</v>
      </c>
      <c r="F341" s="8" t="str">
        <f t="shared" si="14"/>
        <v>gift-codes.html?game=仙境傳說：怪獸廚房</v>
      </c>
      <c r="G341" s="9" t="s">
        <v>6295</v>
      </c>
      <c r="H341" s="9" t="str">
        <f t="shared" si="15"/>
        <v>https://www.ssbuy.tw/game-detail.html?game=仙境傳說：怪獸廚房</v>
      </c>
      <c r="I341" s="10" t="s">
        <v>6312</v>
      </c>
      <c r="J341" s="16" t="s">
        <v>5418</v>
      </c>
      <c r="K341" s="39" t="s">
        <v>5446</v>
      </c>
      <c r="L341" s="21" t="s">
        <v>5939</v>
      </c>
      <c r="M341" s="22">
        <v>2813</v>
      </c>
      <c r="N341" s="21" t="s">
        <v>5940</v>
      </c>
      <c r="O341" s="22">
        <v>1459</v>
      </c>
      <c r="P341" s="21" t="s">
        <v>5941</v>
      </c>
      <c r="Q341" s="22">
        <v>854</v>
      </c>
      <c r="R341" s="21" t="s">
        <v>5942</v>
      </c>
      <c r="S341" s="22">
        <v>725</v>
      </c>
      <c r="T341" s="21" t="s">
        <v>5943</v>
      </c>
      <c r="U341" s="22">
        <v>578</v>
      </c>
      <c r="V341" s="21" t="s">
        <v>5944</v>
      </c>
      <c r="W341" s="22">
        <v>423</v>
      </c>
      <c r="X341" s="21" t="s">
        <v>5945</v>
      </c>
      <c r="Y341" s="22">
        <v>285</v>
      </c>
      <c r="Z341" s="21" t="s">
        <v>5946</v>
      </c>
      <c r="AA341" s="22">
        <v>149</v>
      </c>
      <c r="AB341" s="21" t="s">
        <v>5947</v>
      </c>
      <c r="AC341" s="22">
        <v>29</v>
      </c>
    </row>
    <row r="342" spans="1:31" ht="28.5" customHeight="1" thickBot="1">
      <c r="A342" s="116" t="s">
        <v>6310</v>
      </c>
      <c r="C342" s="8" t="s">
        <v>6299</v>
      </c>
      <c r="D342" s="9" t="s">
        <v>6298</v>
      </c>
      <c r="E342" s="9" t="s">
        <v>6297</v>
      </c>
      <c r="F342" s="8" t="str">
        <f t="shared" si="14"/>
        <v>gift-codes.html?game=掌心宮略</v>
      </c>
      <c r="G342" s="9" t="s">
        <v>6300</v>
      </c>
      <c r="H342" s="9" t="str">
        <f t="shared" si="15"/>
        <v>https://www.ssbuy.tw/game-detail.html?game=掌心宮略</v>
      </c>
      <c r="I342" s="10" t="s">
        <v>6313</v>
      </c>
      <c r="J342" s="16" t="s">
        <v>5418</v>
      </c>
      <c r="K342" s="39" t="s">
        <v>5446</v>
      </c>
      <c r="L342" s="21" t="s">
        <v>6349</v>
      </c>
      <c r="M342" s="22">
        <v>2626</v>
      </c>
      <c r="N342" s="21" t="s">
        <v>6350</v>
      </c>
      <c r="O342" s="22">
        <v>1338</v>
      </c>
      <c r="P342" s="21" t="s">
        <v>6351</v>
      </c>
      <c r="Q342" s="22">
        <v>806</v>
      </c>
      <c r="R342" s="21" t="s">
        <v>6352</v>
      </c>
      <c r="S342" s="22">
        <v>534</v>
      </c>
      <c r="T342" s="21" t="s">
        <v>6353</v>
      </c>
      <c r="U342" s="22">
        <v>299</v>
      </c>
      <c r="V342" s="21" t="s">
        <v>6354</v>
      </c>
      <c r="W342" s="22">
        <v>123</v>
      </c>
      <c r="X342" s="21" t="s">
        <v>6355</v>
      </c>
      <c r="Y342" s="22">
        <v>32</v>
      </c>
      <c r="Z342" s="21"/>
      <c r="AA342" s="22"/>
      <c r="AB342" s="21"/>
      <c r="AC342" s="22"/>
    </row>
    <row r="343" spans="1:31" ht="28.5" customHeight="1" thickBot="1">
      <c r="A343" s="116" t="s">
        <v>7386</v>
      </c>
      <c r="D343" s="9" t="s">
        <v>6301</v>
      </c>
      <c r="E343" s="9" t="s">
        <v>6302</v>
      </c>
      <c r="F343" s="8" t="str">
        <f t="shared" si="14"/>
        <v>gift-codes.html?game=God Breaker：弒神者</v>
      </c>
      <c r="G343" s="9" t="s">
        <v>6303</v>
      </c>
      <c r="H343" s="9" t="str">
        <f t="shared" si="15"/>
        <v>https://www.ssbuy.tw/game-detail.html?game=God Breaker：弒神者</v>
      </c>
      <c r="I343" s="10" t="s">
        <v>6314</v>
      </c>
      <c r="J343" s="16" t="s">
        <v>5418</v>
      </c>
      <c r="K343" s="39" t="s">
        <v>5446</v>
      </c>
      <c r="L343" s="21" t="s">
        <v>4429</v>
      </c>
      <c r="M343" s="22">
        <v>2635</v>
      </c>
      <c r="N343" s="21" t="s">
        <v>4430</v>
      </c>
      <c r="O343" s="22">
        <v>1786</v>
      </c>
      <c r="P343" s="21" t="s">
        <v>4166</v>
      </c>
      <c r="Q343" s="22">
        <v>625</v>
      </c>
      <c r="R343" s="21" t="s">
        <v>4431</v>
      </c>
      <c r="S343" s="22">
        <v>290</v>
      </c>
      <c r="T343" s="21" t="s">
        <v>27</v>
      </c>
      <c r="U343" s="22">
        <v>180</v>
      </c>
      <c r="V343" s="21" t="s">
        <v>6455</v>
      </c>
      <c r="W343" s="22">
        <v>29</v>
      </c>
      <c r="X343" s="21"/>
      <c r="Y343" s="22"/>
      <c r="Z343" s="21"/>
      <c r="AA343" s="22"/>
      <c r="AB343" s="21"/>
      <c r="AC343" s="22"/>
    </row>
    <row r="344" spans="1:31" ht="28.5" customHeight="1" thickBot="1">
      <c r="A344" s="114" t="s">
        <v>6338</v>
      </c>
      <c r="C344" s="8" t="s">
        <v>6337</v>
      </c>
      <c r="D344" s="9" t="s">
        <v>6341</v>
      </c>
      <c r="E344" s="9" t="s">
        <v>6339</v>
      </c>
      <c r="F344" s="8" t="str">
        <f t="shared" si="14"/>
        <v>gift-codes.html?game=美食手札</v>
      </c>
      <c r="G344" s="9" t="s">
        <v>6340</v>
      </c>
      <c r="H344" s="9" t="str">
        <f t="shared" si="15"/>
        <v>https://www.ssbuy.tw/game-detail.html?game=美食手札</v>
      </c>
      <c r="I344" s="10" t="s">
        <v>6344</v>
      </c>
      <c r="J344" s="16" t="s">
        <v>5418</v>
      </c>
      <c r="K344" s="39" t="s">
        <v>5446</v>
      </c>
      <c r="L344" s="21" t="s">
        <v>69</v>
      </c>
      <c r="M344" s="22">
        <v>2635</v>
      </c>
      <c r="N344" s="21" t="s">
        <v>71</v>
      </c>
      <c r="O344" s="22">
        <v>1338</v>
      </c>
      <c r="P344" s="21" t="s">
        <v>73</v>
      </c>
      <c r="Q344" s="22">
        <v>625</v>
      </c>
      <c r="R344" s="21" t="s">
        <v>6362</v>
      </c>
      <c r="S344" s="22">
        <v>290</v>
      </c>
      <c r="T344" s="21" t="s">
        <v>75</v>
      </c>
      <c r="U344" s="22">
        <v>142</v>
      </c>
      <c r="V344" s="21" t="s">
        <v>78</v>
      </c>
      <c r="W344" s="22">
        <v>29</v>
      </c>
    </row>
    <row r="345" spans="1:31" ht="28.5" customHeight="1" thickBot="1">
      <c r="A345" s="114" t="s">
        <v>6342</v>
      </c>
      <c r="C345" s="8" t="s">
        <v>6333</v>
      </c>
      <c r="D345" s="9" t="s">
        <v>6334</v>
      </c>
      <c r="E345" s="9" t="s">
        <v>6336</v>
      </c>
      <c r="F345" s="8" t="str">
        <f t="shared" si="14"/>
        <v>gift-codes.html?game=超次元驅動</v>
      </c>
      <c r="G345" s="9" t="s">
        <v>6335</v>
      </c>
      <c r="H345" s="9" t="str">
        <f t="shared" si="15"/>
        <v>https://www.ssbuy.tw/game-detail.html?game=超次元驅動</v>
      </c>
      <c r="I345" s="10" t="s">
        <v>6345</v>
      </c>
      <c r="J345" s="16" t="s">
        <v>5418</v>
      </c>
      <c r="K345" s="39" t="s">
        <v>5446</v>
      </c>
      <c r="L345" s="21" t="s">
        <v>4</v>
      </c>
      <c r="M345" s="22">
        <v>2635</v>
      </c>
      <c r="N345" s="21" t="s">
        <v>5</v>
      </c>
      <c r="O345" s="22">
        <v>1338</v>
      </c>
      <c r="P345" s="21" t="s">
        <v>1294</v>
      </c>
      <c r="Q345" s="22">
        <v>897</v>
      </c>
      <c r="R345" s="21" t="s">
        <v>1477</v>
      </c>
      <c r="S345" s="22">
        <v>87</v>
      </c>
      <c r="T345" s="21" t="s">
        <v>6347</v>
      </c>
      <c r="U345" s="22">
        <v>142</v>
      </c>
      <c r="V345" s="21" t="s">
        <v>6348</v>
      </c>
      <c r="W345" s="22">
        <v>290</v>
      </c>
    </row>
    <row r="346" spans="1:31" ht="28.5" customHeight="1" thickBot="1">
      <c r="A346" s="114" t="s">
        <v>6409</v>
      </c>
      <c r="C346" s="8" t="s">
        <v>6375</v>
      </c>
      <c r="D346" s="9" t="s">
        <v>6376</v>
      </c>
      <c r="E346" s="9" t="s">
        <v>6374</v>
      </c>
      <c r="F346" s="8" t="str">
        <f t="shared" si="14"/>
        <v>gift-codes.html?game=龍族幻想：勇者集結</v>
      </c>
      <c r="G346" s="9" t="s">
        <v>6373</v>
      </c>
      <c r="H346" s="9" t="str">
        <f t="shared" si="15"/>
        <v>https://www.ssbuy.tw/game-detail.html?game=龍族幻想：勇者集結</v>
      </c>
      <c r="I346" s="10" t="s">
        <v>6411</v>
      </c>
      <c r="J346" s="16" t="s">
        <v>5418</v>
      </c>
      <c r="K346" s="39" t="s">
        <v>5446</v>
      </c>
      <c r="L346" s="21" t="s">
        <v>12</v>
      </c>
      <c r="M346" s="22">
        <v>2899</v>
      </c>
      <c r="N346" s="21" t="s">
        <v>13</v>
      </c>
      <c r="O346" s="22">
        <v>1517</v>
      </c>
      <c r="P346" s="21" t="s">
        <v>24</v>
      </c>
      <c r="Q346" s="22">
        <v>897</v>
      </c>
      <c r="R346" s="21" t="s">
        <v>15</v>
      </c>
      <c r="S346" s="22">
        <v>444</v>
      </c>
      <c r="T346" s="21" t="s">
        <v>16</v>
      </c>
      <c r="U346" s="22">
        <v>161</v>
      </c>
      <c r="V346" s="21" t="s">
        <v>7</v>
      </c>
      <c r="W346" s="22">
        <v>32</v>
      </c>
      <c r="X346" s="21" t="s">
        <v>6377</v>
      </c>
      <c r="Y346" s="22">
        <v>390</v>
      </c>
      <c r="Z346" s="21" t="s">
        <v>107</v>
      </c>
      <c r="AA346" s="22">
        <v>161</v>
      </c>
      <c r="AB346" s="21" t="s">
        <v>176</v>
      </c>
      <c r="AC346" s="22">
        <v>83</v>
      </c>
      <c r="AD346" s="21" t="s">
        <v>223</v>
      </c>
      <c r="AE346" s="22">
        <v>83</v>
      </c>
    </row>
    <row r="347" spans="1:31" ht="28.5" customHeight="1" thickBot="1">
      <c r="A347" s="116" t="s">
        <v>7387</v>
      </c>
      <c r="C347" s="8" t="s">
        <v>6414</v>
      </c>
      <c r="D347" s="9" t="s">
        <v>6414</v>
      </c>
      <c r="E347" s="9" t="s">
        <v>6412</v>
      </c>
      <c r="F347" s="8" t="str">
        <f t="shared" si="14"/>
        <v>gift-codes.html?game=少女騎士團：放置RPG</v>
      </c>
      <c r="G347" s="9" t="s">
        <v>6413</v>
      </c>
      <c r="H347" s="9" t="str">
        <f t="shared" si="15"/>
        <v>https://www.ssbuy.tw/game-detail.html?game=少女騎士團：放置RPG</v>
      </c>
      <c r="I347" s="10" t="s">
        <v>6424</v>
      </c>
      <c r="J347" s="16" t="s">
        <v>5418</v>
      </c>
      <c r="K347" s="39" t="s">
        <v>5446</v>
      </c>
      <c r="L347" s="21" t="s">
        <v>6426</v>
      </c>
      <c r="M347" s="22">
        <v>2635</v>
      </c>
      <c r="N347" s="21" t="s">
        <v>6427</v>
      </c>
      <c r="O347" s="22">
        <v>1786</v>
      </c>
      <c r="P347" s="21" t="s">
        <v>6428</v>
      </c>
      <c r="Q347" s="22">
        <v>897</v>
      </c>
      <c r="R347" s="21" t="s">
        <v>6429</v>
      </c>
      <c r="S347" s="22">
        <v>290</v>
      </c>
      <c r="T347" s="21" t="s">
        <v>6430</v>
      </c>
      <c r="U347" s="22">
        <v>114</v>
      </c>
      <c r="V347" s="21" t="s">
        <v>6431</v>
      </c>
      <c r="W347" s="22">
        <v>29</v>
      </c>
      <c r="X347" s="21" t="s">
        <v>3516</v>
      </c>
      <c r="Y347" s="22">
        <v>290</v>
      </c>
    </row>
    <row r="348" spans="1:31" ht="28.5" customHeight="1" thickBot="1">
      <c r="A348" s="116" t="s">
        <v>6423</v>
      </c>
      <c r="C348" s="8" t="s">
        <v>6420</v>
      </c>
      <c r="D348" s="9" t="s">
        <v>6419</v>
      </c>
      <c r="E348" s="9" t="s">
        <v>6421</v>
      </c>
      <c r="F348" s="8" t="str">
        <f t="shared" si="14"/>
        <v>gift-codes.html?game=Obey Me! Till Death Do Us Part</v>
      </c>
      <c r="G348" s="16" t="s">
        <v>6422</v>
      </c>
      <c r="H348" s="9" t="str">
        <f t="shared" si="15"/>
        <v>https://www.ssbuy.tw/game-detail.html?game=Obey Me! Till Death Do Us Part</v>
      </c>
      <c r="I348" s="10" t="s">
        <v>6425</v>
      </c>
      <c r="J348" s="16" t="s">
        <v>5418</v>
      </c>
      <c r="K348" s="39" t="s">
        <v>5446</v>
      </c>
      <c r="L348" s="21" t="s">
        <v>6449</v>
      </c>
      <c r="M348" s="22">
        <v>2235</v>
      </c>
      <c r="N348" s="21" t="s">
        <v>6450</v>
      </c>
      <c r="O348" s="22">
        <v>1158</v>
      </c>
      <c r="P348" s="21" t="s">
        <v>6451</v>
      </c>
      <c r="Q348" s="22">
        <v>625</v>
      </c>
      <c r="R348" s="21" t="s">
        <v>6452</v>
      </c>
      <c r="S348" s="22">
        <v>290</v>
      </c>
      <c r="T348" s="21" t="s">
        <v>6453</v>
      </c>
      <c r="U348" s="22">
        <v>142</v>
      </c>
      <c r="V348" s="21" t="s">
        <v>6454</v>
      </c>
      <c r="W348" s="22">
        <v>29</v>
      </c>
    </row>
    <row r="349" spans="1:31" ht="28.5" customHeight="1" thickBot="1">
      <c r="A349" s="116" t="s">
        <v>6437</v>
      </c>
      <c r="C349" s="8" t="s">
        <v>6432</v>
      </c>
      <c r="D349" s="9" t="s">
        <v>6433</v>
      </c>
      <c r="E349" s="9" t="s">
        <v>6434</v>
      </c>
      <c r="F349" s="8" t="str">
        <f t="shared" si="14"/>
        <v>gift-codes.html?game=魔力寶貝：重返法蘭</v>
      </c>
      <c r="G349" s="16" t="s">
        <v>6439</v>
      </c>
      <c r="H349" s="9" t="str">
        <f t="shared" si="15"/>
        <v>https://www.ssbuy.tw/game-detail.html?game=魔力寶貝：重返法蘭</v>
      </c>
      <c r="I349" s="10" t="s">
        <v>6446</v>
      </c>
      <c r="J349" s="16" t="s">
        <v>5418</v>
      </c>
      <c r="K349" s="39" t="s">
        <v>5446</v>
      </c>
      <c r="L349" s="21" t="s">
        <v>7388</v>
      </c>
      <c r="M349" s="22">
        <v>2635</v>
      </c>
      <c r="N349" s="21" t="s">
        <v>1661</v>
      </c>
      <c r="O349" s="22">
        <v>1338</v>
      </c>
      <c r="P349" s="21" t="s">
        <v>1662</v>
      </c>
      <c r="Q349" s="22">
        <v>897</v>
      </c>
      <c r="R349" s="21" t="s">
        <v>1663</v>
      </c>
      <c r="S349" s="22">
        <v>625</v>
      </c>
      <c r="T349" s="21" t="s">
        <v>1664</v>
      </c>
      <c r="U349" s="22">
        <v>444</v>
      </c>
      <c r="V349" s="21" t="s">
        <v>6456</v>
      </c>
      <c r="W349" s="22">
        <v>353</v>
      </c>
      <c r="X349" s="21" t="s">
        <v>1666</v>
      </c>
      <c r="Y349" s="22">
        <v>290</v>
      </c>
      <c r="Z349" s="21" t="s">
        <v>6457</v>
      </c>
      <c r="AA349" s="22">
        <v>275</v>
      </c>
      <c r="AB349" s="21" t="s">
        <v>1667</v>
      </c>
      <c r="AC349" s="22">
        <v>142</v>
      </c>
    </row>
    <row r="350" spans="1:31" ht="28.5" customHeight="1" thickBot="1">
      <c r="A350" s="116" t="s">
        <v>6438</v>
      </c>
      <c r="E350" s="9" t="s">
        <v>6435</v>
      </c>
      <c r="F350" s="8" t="str">
        <f t="shared" si="14"/>
        <v>gift-codes.html?game=像素大暴走</v>
      </c>
      <c r="G350" s="16" t="s">
        <v>6440</v>
      </c>
      <c r="H350" s="9" t="str">
        <f t="shared" si="15"/>
        <v>https://www.ssbuy.tw/game-detail.html?game=像素大暴走</v>
      </c>
      <c r="I350" s="10" t="s">
        <v>6447</v>
      </c>
      <c r="J350" s="16" t="s">
        <v>5418</v>
      </c>
      <c r="K350" s="39" t="s">
        <v>5446</v>
      </c>
      <c r="L350" s="21" t="s">
        <v>295</v>
      </c>
      <c r="M350" s="22">
        <v>1987</v>
      </c>
      <c r="N350" s="21" t="s">
        <v>6475</v>
      </c>
      <c r="O350" s="22">
        <v>1352</v>
      </c>
      <c r="P350" s="21" t="s">
        <v>6476</v>
      </c>
      <c r="Q350" s="22">
        <v>669</v>
      </c>
      <c r="R350" s="21" t="s">
        <v>6477</v>
      </c>
      <c r="S350" s="22">
        <v>220</v>
      </c>
      <c r="T350" s="21" t="s">
        <v>6478</v>
      </c>
      <c r="U350" s="22">
        <v>124</v>
      </c>
      <c r="V350" s="21" t="s">
        <v>1546</v>
      </c>
      <c r="W350" s="22">
        <v>69</v>
      </c>
      <c r="X350" s="21" t="s">
        <v>6479</v>
      </c>
      <c r="Y350" s="22">
        <v>669</v>
      </c>
      <c r="Z350" s="21" t="s">
        <v>6480</v>
      </c>
      <c r="AA350" s="22">
        <v>430</v>
      </c>
      <c r="AB350" s="21" t="s">
        <v>6481</v>
      </c>
      <c r="AC350" s="22">
        <v>259</v>
      </c>
      <c r="AD350" s="21" t="s">
        <v>6482</v>
      </c>
      <c r="AE350" s="22">
        <v>669</v>
      </c>
    </row>
    <row r="351" spans="1:31" ht="28.5" customHeight="1" thickBot="1">
      <c r="A351" s="116" t="s">
        <v>7389</v>
      </c>
      <c r="D351" s="9" t="s">
        <v>6436</v>
      </c>
      <c r="F351" s="8" t="str">
        <f t="shared" si="14"/>
        <v>gift-codes.html?game=Warventure：火柴人對決</v>
      </c>
      <c r="G351" s="16" t="s">
        <v>6441</v>
      </c>
      <c r="H351" s="9" t="str">
        <f t="shared" si="15"/>
        <v>https://www.ssbuy.tw/game-detail.html?game=Warventure：火柴人對決</v>
      </c>
      <c r="I351" s="10" t="s">
        <v>6448</v>
      </c>
      <c r="J351" s="16" t="s">
        <v>5418</v>
      </c>
      <c r="K351" s="39" t="s">
        <v>5446</v>
      </c>
      <c r="L351" s="21" t="s">
        <v>6495</v>
      </c>
      <c r="M351" s="22">
        <v>2664</v>
      </c>
      <c r="N351" s="21" t="s">
        <v>6496</v>
      </c>
      <c r="O351" s="22">
        <v>1352</v>
      </c>
      <c r="P351" s="21" t="s">
        <v>6497</v>
      </c>
      <c r="Q351" s="22">
        <v>632</v>
      </c>
      <c r="R351" s="21" t="s">
        <v>6498</v>
      </c>
      <c r="S351" s="22">
        <v>293</v>
      </c>
      <c r="T351" s="21" t="s">
        <v>4716</v>
      </c>
      <c r="U351" s="22">
        <v>144</v>
      </c>
      <c r="V351" s="21" t="s">
        <v>6499</v>
      </c>
      <c r="W351" s="22">
        <v>59</v>
      </c>
    </row>
    <row r="352" spans="1:31" ht="28.5" customHeight="1" thickBot="1">
      <c r="A352" s="114" t="s">
        <v>6464</v>
      </c>
      <c r="C352" s="8" t="s">
        <v>6467</v>
      </c>
      <c r="D352" s="8" t="s">
        <v>6467</v>
      </c>
      <c r="E352" s="9" t="s">
        <v>6465</v>
      </c>
      <c r="F352" s="8" t="str">
        <f t="shared" si="14"/>
        <v>gift-codes.html?game=仙發制人</v>
      </c>
      <c r="G352" s="9" t="s">
        <v>6466</v>
      </c>
      <c r="H352" s="9" t="str">
        <f t="shared" si="15"/>
        <v>https://www.ssbuy.tw/game-detail.html?game=仙發制人</v>
      </c>
      <c r="I352" s="10" t="s">
        <v>6471</v>
      </c>
      <c r="J352" s="16" t="s">
        <v>5418</v>
      </c>
      <c r="K352" s="39" t="s">
        <v>5446</v>
      </c>
      <c r="L352" s="21" t="s">
        <v>69</v>
      </c>
      <c r="M352" s="22">
        <v>3020</v>
      </c>
      <c r="N352" s="21" t="s">
        <v>71</v>
      </c>
      <c r="O352" s="22">
        <v>1552</v>
      </c>
      <c r="P352" s="21" t="s">
        <v>72</v>
      </c>
      <c r="Q352" s="22">
        <v>926</v>
      </c>
      <c r="R352" s="21" t="s">
        <v>73</v>
      </c>
      <c r="S352" s="22">
        <v>632</v>
      </c>
      <c r="T352" s="21" t="s">
        <v>74</v>
      </c>
      <c r="U352" s="22">
        <v>467</v>
      </c>
      <c r="V352" s="21" t="s">
        <v>6362</v>
      </c>
      <c r="W352" s="22">
        <v>302</v>
      </c>
      <c r="X352" s="21" t="s">
        <v>6474</v>
      </c>
      <c r="Y352" s="22">
        <v>191</v>
      </c>
      <c r="Z352" s="21" t="s">
        <v>78</v>
      </c>
      <c r="AA352" s="22">
        <v>39</v>
      </c>
    </row>
    <row r="353" spans="1:35" ht="28.5" customHeight="1" thickBot="1">
      <c r="A353" s="22" t="s">
        <v>6500</v>
      </c>
      <c r="C353" s="8" t="s">
        <v>6514</v>
      </c>
      <c r="D353" s="9" t="s">
        <v>6517</v>
      </c>
      <c r="E353" s="9" t="s">
        <v>6515</v>
      </c>
      <c r="F353" s="8" t="str">
        <f t="shared" si="14"/>
        <v>gift-codes.html?game=我的異世界</v>
      </c>
      <c r="G353" s="9" t="s">
        <v>6516</v>
      </c>
      <c r="H353" s="9" t="str">
        <f t="shared" si="15"/>
        <v>https://www.ssbuy.tw/game-detail.html?game=我的異世界</v>
      </c>
      <c r="I353" s="10" t="s">
        <v>6535</v>
      </c>
      <c r="J353" s="16" t="s">
        <v>5418</v>
      </c>
      <c r="K353" s="39" t="s">
        <v>5446</v>
      </c>
      <c r="L353" s="21" t="s">
        <v>6509</v>
      </c>
      <c r="M353" s="22">
        <v>2931</v>
      </c>
      <c r="N353" s="21" t="s">
        <v>6510</v>
      </c>
      <c r="O353" s="22">
        <v>1534</v>
      </c>
      <c r="P353" s="21" t="s">
        <v>6511</v>
      </c>
      <c r="Q353" s="22">
        <v>614</v>
      </c>
      <c r="R353" s="21" t="s">
        <v>4731</v>
      </c>
      <c r="S353" s="22">
        <v>302</v>
      </c>
      <c r="T353" s="21" t="s">
        <v>6512</v>
      </c>
      <c r="U353" s="22">
        <v>163</v>
      </c>
      <c r="V353" s="21" t="s">
        <v>65</v>
      </c>
      <c r="W353" s="22">
        <v>32</v>
      </c>
      <c r="X353" s="21" t="s">
        <v>6513</v>
      </c>
      <c r="Y353" s="22">
        <v>302</v>
      </c>
      <c r="Z353" s="21" t="s">
        <v>1313</v>
      </c>
      <c r="AA353" s="22">
        <v>614</v>
      </c>
      <c r="AB353" s="21" t="s">
        <v>4032</v>
      </c>
      <c r="AC353" s="22">
        <v>163</v>
      </c>
    </row>
    <row r="354" spans="1:35" ht="28.5" customHeight="1" thickBot="1">
      <c r="A354" s="22" t="s">
        <v>6534</v>
      </c>
      <c r="C354" s="8" t="s">
        <v>6518</v>
      </c>
      <c r="D354" s="9" t="s">
        <v>6519</v>
      </c>
      <c r="E354" s="9" t="s">
        <v>6520</v>
      </c>
      <c r="F354" s="8" t="str">
        <f t="shared" si="14"/>
        <v>gift-codes.html?game=這個三國超扯的</v>
      </c>
      <c r="G354" s="9" t="s">
        <v>6521</v>
      </c>
      <c r="H354" s="9" t="str">
        <f t="shared" si="15"/>
        <v>https://www.ssbuy.tw/game-detail.html?game=這個三國超扯的</v>
      </c>
      <c r="I354" s="10" t="s">
        <v>6539</v>
      </c>
      <c r="J354" s="16" t="s">
        <v>5418</v>
      </c>
      <c r="K354" s="39" t="s">
        <v>5446</v>
      </c>
      <c r="L354" s="21" t="s">
        <v>6540</v>
      </c>
      <c r="M354" s="22">
        <v>2931</v>
      </c>
      <c r="N354" s="21" t="s">
        <v>6541</v>
      </c>
      <c r="O354" s="22">
        <v>1534</v>
      </c>
      <c r="P354" s="21" t="s">
        <v>6542</v>
      </c>
      <c r="Q354" s="22">
        <v>935</v>
      </c>
      <c r="R354" s="21" t="s">
        <v>6543</v>
      </c>
      <c r="S354" s="22">
        <v>586</v>
      </c>
      <c r="T354" s="21" t="s">
        <v>6544</v>
      </c>
      <c r="U354" s="22">
        <v>449</v>
      </c>
      <c r="V354" s="21" t="s">
        <v>6545</v>
      </c>
      <c r="W354" s="22">
        <v>293</v>
      </c>
      <c r="X354" s="21" t="s">
        <v>6546</v>
      </c>
      <c r="Y354" s="22">
        <v>150</v>
      </c>
      <c r="Z354" s="21" t="s">
        <v>6547</v>
      </c>
      <c r="AA354" s="22">
        <v>115</v>
      </c>
      <c r="AB354" s="21" t="s">
        <v>6548</v>
      </c>
      <c r="AC354" s="22">
        <v>32</v>
      </c>
    </row>
    <row r="355" spans="1:35" ht="28.5" customHeight="1" thickBot="1">
      <c r="A355" s="22" t="s">
        <v>6501</v>
      </c>
      <c r="C355" s="8" t="s">
        <v>6525</v>
      </c>
      <c r="D355" s="9" t="s">
        <v>6522</v>
      </c>
      <c r="E355" s="9" t="s">
        <v>6524</v>
      </c>
      <c r="F355" s="8" t="str">
        <f t="shared" si="14"/>
        <v>gift-codes.html?game=基地：星界無間</v>
      </c>
      <c r="G355" s="9" t="s">
        <v>6523</v>
      </c>
      <c r="H355" s="9" t="str">
        <f t="shared" si="15"/>
        <v>https://www.ssbuy.tw/game-detail.html?game=基地：星界無間</v>
      </c>
      <c r="I355" s="10" t="s">
        <v>6538</v>
      </c>
      <c r="J355" s="16" t="s">
        <v>5418</v>
      </c>
      <c r="K355" s="39" t="s">
        <v>5446</v>
      </c>
      <c r="L355" s="21" t="s">
        <v>46</v>
      </c>
      <c r="M355" s="22">
        <v>2664</v>
      </c>
      <c r="N355" s="21" t="s">
        <v>5168</v>
      </c>
      <c r="O355" s="22">
        <v>1497</v>
      </c>
      <c r="P355" s="21" t="s">
        <v>1677</v>
      </c>
      <c r="Q355" s="22">
        <v>1352</v>
      </c>
      <c r="R355" s="21" t="s">
        <v>151</v>
      </c>
      <c r="S355" s="22">
        <v>907</v>
      </c>
      <c r="T355" s="21" t="s">
        <v>152</v>
      </c>
      <c r="U355" s="22">
        <v>632</v>
      </c>
      <c r="V355" s="21" t="s">
        <v>6549</v>
      </c>
      <c r="W355" s="22">
        <v>293</v>
      </c>
      <c r="X355" s="21" t="s">
        <v>6550</v>
      </c>
      <c r="Y355" s="22">
        <v>144</v>
      </c>
      <c r="Z355" s="21" t="s">
        <v>6551</v>
      </c>
      <c r="AA355" s="22">
        <v>88</v>
      </c>
      <c r="AB355" s="21" t="s">
        <v>6552</v>
      </c>
      <c r="AC355" s="22">
        <v>59</v>
      </c>
      <c r="AD355" s="21" t="s">
        <v>6553</v>
      </c>
      <c r="AE355" s="22">
        <v>29</v>
      </c>
    </row>
    <row r="356" spans="1:35" ht="28.5" customHeight="1" thickBot="1">
      <c r="A356" s="22" t="s">
        <v>6502</v>
      </c>
      <c r="C356" s="8" t="s">
        <v>6526</v>
      </c>
      <c r="D356" s="9" t="s">
        <v>6527</v>
      </c>
      <c r="E356" s="9" t="s">
        <v>6529</v>
      </c>
      <c r="F356" s="8" t="str">
        <f t="shared" si="14"/>
        <v>gift-codes.html?game=夢幻茶樓</v>
      </c>
      <c r="G356" s="9" t="s">
        <v>6528</v>
      </c>
      <c r="H356" s="9" t="str">
        <f t="shared" si="15"/>
        <v>https://www.ssbuy.tw/game-detail.html?game=夢幻茶樓</v>
      </c>
      <c r="I356" s="10" t="s">
        <v>6537</v>
      </c>
      <c r="J356" s="16" t="s">
        <v>5418</v>
      </c>
      <c r="K356" s="39" t="s">
        <v>5446</v>
      </c>
      <c r="L356" s="21" t="s">
        <v>7390</v>
      </c>
      <c r="M356" s="22">
        <v>2579</v>
      </c>
      <c r="N356" s="21" t="s">
        <v>6741</v>
      </c>
      <c r="O356" s="22">
        <v>1133</v>
      </c>
      <c r="P356" s="21" t="s">
        <v>6742</v>
      </c>
      <c r="Q356" s="22">
        <v>612</v>
      </c>
      <c r="R356" s="21" t="s">
        <v>6743</v>
      </c>
      <c r="S356" s="22">
        <v>284</v>
      </c>
      <c r="T356" s="21" t="s">
        <v>6744</v>
      </c>
      <c r="U356" s="22">
        <v>139</v>
      </c>
      <c r="V356" s="21" t="s">
        <v>6745</v>
      </c>
      <c r="W356" s="22">
        <v>57</v>
      </c>
      <c r="Y356" s="22"/>
      <c r="Z356" s="21"/>
      <c r="AA356" s="22"/>
      <c r="AB356" s="21"/>
      <c r="AC356" s="22"/>
      <c r="AD356" s="21"/>
      <c r="AE356" s="22"/>
    </row>
    <row r="357" spans="1:35" ht="28.5" customHeight="1" thickBot="1">
      <c r="A357" s="22" t="s">
        <v>7391</v>
      </c>
      <c r="C357" s="8" t="s">
        <v>6530</v>
      </c>
      <c r="D357" s="9" t="s">
        <v>6533</v>
      </c>
      <c r="E357" s="9" t="s">
        <v>6532</v>
      </c>
      <c r="F357" s="8" t="str">
        <f t="shared" si="14"/>
        <v>gift-codes.html?game=MU：熱血開戰</v>
      </c>
      <c r="G357" s="9" t="s">
        <v>6531</v>
      </c>
      <c r="H357" s="9" t="str">
        <f t="shared" si="15"/>
        <v>https://www.ssbuy.tw/game-detail.html?game=MU：熱血開戰</v>
      </c>
      <c r="I357" s="10" t="s">
        <v>6536</v>
      </c>
      <c r="J357" s="16" t="s">
        <v>5418</v>
      </c>
      <c r="K357" s="39" t="s">
        <v>5446</v>
      </c>
      <c r="L357" s="21" t="s">
        <v>6890</v>
      </c>
      <c r="M357" s="22">
        <v>4245</v>
      </c>
      <c r="N357" s="21" t="s">
        <v>6891</v>
      </c>
      <c r="O357" s="22">
        <v>2830</v>
      </c>
      <c r="P357" s="21" t="s">
        <v>6892</v>
      </c>
      <c r="Q357" s="22">
        <v>1442</v>
      </c>
      <c r="R357" s="21" t="s">
        <v>6893</v>
      </c>
      <c r="S357" s="22">
        <v>865</v>
      </c>
      <c r="T357" s="21" t="s">
        <v>6894</v>
      </c>
      <c r="U357" s="22">
        <v>437</v>
      </c>
      <c r="V357" s="21" t="s">
        <v>6895</v>
      </c>
      <c r="W357" s="22">
        <v>288</v>
      </c>
      <c r="X357" s="21" t="s">
        <v>6896</v>
      </c>
      <c r="Y357" s="22">
        <v>150</v>
      </c>
      <c r="Z357" s="21" t="s">
        <v>6897</v>
      </c>
      <c r="AA357" s="22">
        <v>30</v>
      </c>
      <c r="AB357" s="21"/>
      <c r="AC357" s="22"/>
    </row>
    <row r="358" spans="1:35" ht="28.5" customHeight="1" thickBot="1">
      <c r="A358" s="22" t="s">
        <v>6584</v>
      </c>
      <c r="C358" s="8" t="s">
        <v>6563</v>
      </c>
      <c r="D358" s="9" t="s">
        <v>6563</v>
      </c>
      <c r="E358" s="9" t="s">
        <v>6562</v>
      </c>
      <c r="F358" s="8" t="str">
        <f t="shared" si="14"/>
        <v>gift-codes.html?game=堡壘傳說：蒸汽龐克</v>
      </c>
      <c r="G358" s="9" t="s">
        <v>6561</v>
      </c>
      <c r="H358" s="9" t="str">
        <f t="shared" si="15"/>
        <v>https://www.ssbuy.tw/game-detail.html?game=堡壘傳說：蒸汽龐克</v>
      </c>
      <c r="I358" s="10" t="s">
        <v>6590</v>
      </c>
      <c r="J358" s="16" t="s">
        <v>5418</v>
      </c>
      <c r="K358" s="39" t="s">
        <v>5446</v>
      </c>
      <c r="L358" s="21" t="s">
        <v>12</v>
      </c>
      <c r="M358" s="22">
        <v>3083</v>
      </c>
      <c r="N358" s="21" t="s">
        <v>13</v>
      </c>
      <c r="O358" s="22">
        <v>1613</v>
      </c>
      <c r="P358" s="21" t="s">
        <v>24</v>
      </c>
      <c r="Q358" s="22">
        <v>975</v>
      </c>
      <c r="R358" s="21" t="s">
        <v>14</v>
      </c>
      <c r="S358" s="22">
        <v>634</v>
      </c>
      <c r="T358" s="21" t="s">
        <v>120</v>
      </c>
      <c r="U358" s="22">
        <v>341</v>
      </c>
      <c r="V358" s="21" t="s">
        <v>16</v>
      </c>
      <c r="W358" s="22">
        <v>158</v>
      </c>
      <c r="X358" s="21" t="s">
        <v>7</v>
      </c>
      <c r="Y358" s="22">
        <v>33</v>
      </c>
      <c r="Z358" s="21" t="s">
        <v>1311</v>
      </c>
      <c r="AA358" s="22">
        <v>483</v>
      </c>
      <c r="AB358" s="21" t="s">
        <v>107</v>
      </c>
      <c r="AC358" s="22">
        <v>158</v>
      </c>
      <c r="AD358" s="21" t="s">
        <v>6634</v>
      </c>
      <c r="AE358" s="22">
        <v>483</v>
      </c>
      <c r="AF358" s="21" t="s">
        <v>6635</v>
      </c>
      <c r="AG358" s="22">
        <v>483</v>
      </c>
    </row>
    <row r="359" spans="1:35" ht="28.5" customHeight="1" thickBot="1">
      <c r="A359" s="22" t="s">
        <v>6585</v>
      </c>
      <c r="C359" s="8" t="s">
        <v>6564</v>
      </c>
      <c r="D359" s="9" t="s">
        <v>6570</v>
      </c>
      <c r="E359" s="9" t="s">
        <v>6571</v>
      </c>
      <c r="F359" s="8" t="str">
        <f t="shared" si="14"/>
        <v>gift-codes.html?game=指尖棋兵</v>
      </c>
      <c r="G359" s="9" t="s">
        <v>6569</v>
      </c>
      <c r="H359" s="9" t="str">
        <f t="shared" si="15"/>
        <v>https://www.ssbuy.tw/game-detail.html?game=指尖棋兵</v>
      </c>
      <c r="I359" s="10" t="s">
        <v>6591</v>
      </c>
      <c r="J359" s="16" t="s">
        <v>5418</v>
      </c>
      <c r="K359" s="39" t="s">
        <v>5446</v>
      </c>
      <c r="L359" s="21" t="s">
        <v>12</v>
      </c>
      <c r="M359" s="22">
        <v>2996</v>
      </c>
      <c r="N359" s="21" t="s">
        <v>13</v>
      </c>
      <c r="O359" s="22">
        <v>1531</v>
      </c>
      <c r="P359" s="21" t="s">
        <v>24</v>
      </c>
      <c r="Q359" s="22">
        <v>927</v>
      </c>
      <c r="R359" s="21" t="s">
        <v>14</v>
      </c>
      <c r="S359" s="22">
        <v>627</v>
      </c>
      <c r="T359" s="21" t="s">
        <v>15</v>
      </c>
      <c r="U359" s="22">
        <v>459</v>
      </c>
      <c r="V359" s="21" t="s">
        <v>120</v>
      </c>
      <c r="W359" s="22">
        <v>309</v>
      </c>
      <c r="X359" s="21" t="s">
        <v>16</v>
      </c>
      <c r="Y359" s="22">
        <v>166</v>
      </c>
      <c r="Z359" s="21" t="s">
        <v>285</v>
      </c>
      <c r="AA359" s="22">
        <v>75</v>
      </c>
      <c r="AB359" s="21" t="s">
        <v>7</v>
      </c>
      <c r="AC359" s="22">
        <v>33</v>
      </c>
      <c r="AD359" s="9" t="s">
        <v>6668</v>
      </c>
      <c r="AE359" s="9">
        <v>459</v>
      </c>
      <c r="AF359" s="9" t="s">
        <v>6669</v>
      </c>
      <c r="AG359" s="9">
        <v>166</v>
      </c>
      <c r="AH359" s="9" t="s">
        <v>6670</v>
      </c>
      <c r="AI359" s="9">
        <v>309</v>
      </c>
    </row>
    <row r="360" spans="1:35" ht="28.5" customHeight="1" thickBot="1">
      <c r="A360" s="22" t="s">
        <v>6586</v>
      </c>
      <c r="C360" s="8" t="s">
        <v>6565</v>
      </c>
      <c r="D360" s="9" t="s">
        <v>6573</v>
      </c>
      <c r="E360" s="9" t="s">
        <v>6574</v>
      </c>
      <c r="F360" s="8" t="str">
        <f t="shared" si="14"/>
        <v>gift-codes.html?game=錫葛尼斯：紅月再臨</v>
      </c>
      <c r="G360" s="9" t="s">
        <v>6572</v>
      </c>
      <c r="H360" s="9" t="str">
        <f t="shared" si="15"/>
        <v>https://www.ssbuy.tw/game-detail.html?game=錫葛尼斯：紅月再臨</v>
      </c>
      <c r="I360" s="10" t="s">
        <v>6592</v>
      </c>
      <c r="J360" s="16" t="s">
        <v>5418</v>
      </c>
      <c r="K360" s="39" t="s">
        <v>5446</v>
      </c>
      <c r="L360" s="21" t="s">
        <v>4030</v>
      </c>
      <c r="M360" s="22">
        <v>2996</v>
      </c>
      <c r="N360" s="21" t="s">
        <v>6671</v>
      </c>
      <c r="O360" s="22">
        <v>1568</v>
      </c>
      <c r="P360" s="21" t="s">
        <v>6672</v>
      </c>
      <c r="Q360" s="22">
        <v>1447</v>
      </c>
      <c r="R360" s="21" t="s">
        <v>24</v>
      </c>
      <c r="S360" s="22">
        <v>927</v>
      </c>
      <c r="T360" s="21" t="s">
        <v>6673</v>
      </c>
      <c r="U360" s="22">
        <v>627</v>
      </c>
      <c r="V360" s="21" t="s">
        <v>15</v>
      </c>
      <c r="W360" s="22">
        <v>459</v>
      </c>
      <c r="X360" s="21" t="s">
        <v>1326</v>
      </c>
      <c r="Y360" s="22">
        <v>309</v>
      </c>
      <c r="Z360" s="21" t="s">
        <v>6674</v>
      </c>
      <c r="AA360" s="22">
        <v>166</v>
      </c>
      <c r="AB360" s="21" t="s">
        <v>4756</v>
      </c>
      <c r="AC360" s="22">
        <v>98</v>
      </c>
      <c r="AD360" s="21" t="s">
        <v>6675</v>
      </c>
      <c r="AE360" s="22">
        <v>33</v>
      </c>
      <c r="AF360" s="9" t="s">
        <v>6676</v>
      </c>
      <c r="AG360" s="9">
        <v>309</v>
      </c>
    </row>
    <row r="361" spans="1:35" ht="28.5" customHeight="1" thickBot="1">
      <c r="A361" s="22" t="s">
        <v>6587</v>
      </c>
      <c r="C361" s="8" t="s">
        <v>6566</v>
      </c>
      <c r="D361" s="9" t="s">
        <v>6575</v>
      </c>
      <c r="E361" s="9" t="s">
        <v>6577</v>
      </c>
      <c r="F361" s="8" t="str">
        <f t="shared" si="14"/>
        <v>gift-codes.html?game=魔女與龍：光暗篇章</v>
      </c>
      <c r="G361" s="9" t="s">
        <v>6576</v>
      </c>
      <c r="H361" s="9" t="str">
        <f t="shared" si="15"/>
        <v>https://www.ssbuy.tw/game-detail.html?game=魔女與龍：光暗篇章</v>
      </c>
      <c r="I361" s="10" t="s">
        <v>6593</v>
      </c>
      <c r="J361" s="16" t="s">
        <v>5418</v>
      </c>
      <c r="K361" s="39" t="s">
        <v>5446</v>
      </c>
      <c r="L361" s="21" t="s">
        <v>6637</v>
      </c>
      <c r="M361" s="22">
        <v>3028</v>
      </c>
      <c r="N361" s="21" t="s">
        <v>6638</v>
      </c>
      <c r="O361" s="22">
        <v>1585</v>
      </c>
      <c r="P361" s="21" t="s">
        <v>6639</v>
      </c>
      <c r="Q361" s="22">
        <v>947</v>
      </c>
      <c r="R361" s="21" t="s">
        <v>6640</v>
      </c>
      <c r="S361" s="22">
        <v>634</v>
      </c>
      <c r="T361" s="21" t="s">
        <v>6641</v>
      </c>
      <c r="U361" s="22">
        <v>464</v>
      </c>
      <c r="V361" s="21" t="s">
        <v>6642</v>
      </c>
      <c r="W361" s="22">
        <v>312</v>
      </c>
      <c r="X361" s="21" t="s">
        <v>6643</v>
      </c>
      <c r="Y361" s="22">
        <v>188</v>
      </c>
      <c r="Z361" s="21" t="s">
        <v>6644</v>
      </c>
      <c r="AA361" s="22">
        <v>168</v>
      </c>
      <c r="AB361" s="21" t="s">
        <v>6645</v>
      </c>
      <c r="AC361" s="22">
        <v>33</v>
      </c>
    </row>
    <row r="362" spans="1:35" ht="28.5" customHeight="1" thickBot="1">
      <c r="A362" s="22" t="s">
        <v>6588</v>
      </c>
      <c r="C362" s="8" t="s">
        <v>6567</v>
      </c>
      <c r="D362" s="9" t="s">
        <v>6578</v>
      </c>
      <c r="E362" s="9" t="s">
        <v>6580</v>
      </c>
      <c r="F362" s="8" t="str">
        <f t="shared" si="14"/>
        <v>gift-codes.html?game=熾熱戰姬</v>
      </c>
      <c r="G362" s="9" t="s">
        <v>6579</v>
      </c>
      <c r="H362" s="9" t="str">
        <f t="shared" si="15"/>
        <v>https://www.ssbuy.tw/game-detail.html?game=熾熱戰姬</v>
      </c>
      <c r="I362" s="10" t="s">
        <v>6594</v>
      </c>
      <c r="J362" s="16" t="s">
        <v>5418</v>
      </c>
      <c r="K362" s="39" t="s">
        <v>5446</v>
      </c>
      <c r="L362" s="21" t="s">
        <v>12</v>
      </c>
      <c r="M362" s="22">
        <v>2838</v>
      </c>
      <c r="N362" s="21" t="s">
        <v>13</v>
      </c>
      <c r="O362" s="22">
        <v>1485</v>
      </c>
      <c r="P362" s="21" t="s">
        <v>14</v>
      </c>
      <c r="Q362" s="22">
        <v>594</v>
      </c>
      <c r="R362" s="21" t="s">
        <v>65</v>
      </c>
      <c r="S362" s="22">
        <v>260</v>
      </c>
      <c r="T362" s="21" t="s">
        <v>16</v>
      </c>
      <c r="U362" s="22">
        <v>158</v>
      </c>
      <c r="V362" s="21" t="s">
        <v>7</v>
      </c>
      <c r="W362" s="22">
        <v>31</v>
      </c>
      <c r="X362" s="21" t="s">
        <v>223</v>
      </c>
      <c r="Y362" s="22">
        <v>93</v>
      </c>
      <c r="Z362" s="21"/>
      <c r="AA362" s="22"/>
      <c r="AB362" s="21"/>
      <c r="AC362" s="22"/>
      <c r="AD362" s="21"/>
      <c r="AE362" s="22"/>
    </row>
    <row r="363" spans="1:35" ht="28.5" customHeight="1" thickBot="1">
      <c r="A363" s="22" t="s">
        <v>6589</v>
      </c>
      <c r="C363" s="8" t="s">
        <v>6568</v>
      </c>
      <c r="D363" s="9" t="s">
        <v>6583</v>
      </c>
      <c r="E363" s="9" t="s">
        <v>6582</v>
      </c>
      <c r="F363" s="8" t="str">
        <f t="shared" si="14"/>
        <v>gift-codes.html?game=心動小鎮</v>
      </c>
      <c r="G363" s="9" t="s">
        <v>6581</v>
      </c>
      <c r="H363" s="9" t="str">
        <f t="shared" si="15"/>
        <v>https://www.ssbuy.tw/game-detail.html?game=心動小鎮</v>
      </c>
      <c r="I363" s="10" t="s">
        <v>6595</v>
      </c>
      <c r="J363" s="16" t="s">
        <v>5418</v>
      </c>
      <c r="K363" s="39" t="s">
        <v>5446</v>
      </c>
      <c r="L363" s="21" t="s">
        <v>6646</v>
      </c>
      <c r="M363" s="22">
        <v>3028</v>
      </c>
      <c r="N363" s="21" t="s">
        <v>6647</v>
      </c>
      <c r="O363" s="22">
        <v>1538</v>
      </c>
      <c r="P363" s="21" t="s">
        <v>6648</v>
      </c>
      <c r="Q363" s="22">
        <v>937</v>
      </c>
      <c r="R363" s="21" t="s">
        <v>6649</v>
      </c>
      <c r="S363" s="22">
        <v>606</v>
      </c>
      <c r="T363" s="21" t="s">
        <v>6650</v>
      </c>
      <c r="U363" s="22">
        <v>322</v>
      </c>
      <c r="V363" s="21" t="s">
        <v>6651</v>
      </c>
      <c r="W363" s="22">
        <v>168</v>
      </c>
      <c r="X363" s="21" t="s">
        <v>6652</v>
      </c>
      <c r="Y363" s="22">
        <v>33</v>
      </c>
    </row>
    <row r="364" spans="1:35" ht="28.5" customHeight="1" thickBot="1">
      <c r="A364" s="22" t="s">
        <v>6695</v>
      </c>
      <c r="C364" s="8" t="s">
        <v>6689</v>
      </c>
      <c r="D364" s="9" t="s">
        <v>6689</v>
      </c>
      <c r="E364" s="16" t="s">
        <v>6698</v>
      </c>
      <c r="F364" s="8" t="str">
        <f t="shared" si="14"/>
        <v>gift-codes.html?game=彈彈英雄</v>
      </c>
      <c r="G364" s="16" t="s">
        <v>6699</v>
      </c>
      <c r="H364" s="9" t="str">
        <f t="shared" si="15"/>
        <v>https://www.ssbuy.tw/game-detail.html?game=彈彈英雄</v>
      </c>
      <c r="I364" s="10" t="s">
        <v>6702</v>
      </c>
      <c r="J364" s="16" t="s">
        <v>5418</v>
      </c>
      <c r="K364" s="39" t="s">
        <v>5446</v>
      </c>
      <c r="L364" s="21" t="s">
        <v>61</v>
      </c>
      <c r="M364" s="22">
        <v>2838</v>
      </c>
      <c r="N364" s="21" t="s">
        <v>62</v>
      </c>
      <c r="O364" s="22">
        <v>1485</v>
      </c>
      <c r="P364" s="21" t="s">
        <v>64</v>
      </c>
      <c r="Q364" s="22">
        <v>594</v>
      </c>
      <c r="R364" s="21" t="s">
        <v>65</v>
      </c>
      <c r="S364" s="22">
        <v>293</v>
      </c>
      <c r="T364" s="21" t="s">
        <v>16</v>
      </c>
      <c r="U364" s="22">
        <v>158</v>
      </c>
      <c r="V364" s="21" t="s">
        <v>7</v>
      </c>
      <c r="W364" s="22">
        <v>31</v>
      </c>
      <c r="X364" s="21"/>
      <c r="Y364" s="22"/>
      <c r="Z364" s="21"/>
      <c r="AA364" s="22"/>
      <c r="AB364" s="21"/>
      <c r="AC364" s="22"/>
      <c r="AD364" s="21"/>
      <c r="AE364" s="22"/>
    </row>
    <row r="365" spans="1:35" ht="28.5" customHeight="1" thickBot="1">
      <c r="A365" s="22" t="s">
        <v>6696</v>
      </c>
      <c r="D365" s="9" t="s">
        <v>6694</v>
      </c>
      <c r="E365" s="9" t="s">
        <v>6693</v>
      </c>
      <c r="F365" s="8" t="str">
        <f t="shared" si="14"/>
        <v>gift-codes.html?game=動物幫派</v>
      </c>
      <c r="G365" s="16" t="s">
        <v>6700</v>
      </c>
      <c r="H365" s="9" t="str">
        <f t="shared" si="15"/>
        <v>https://www.ssbuy.tw/game-detail.html?game=動物幫派</v>
      </c>
      <c r="I365" s="10" t="s">
        <v>6703</v>
      </c>
      <c r="J365" s="16" t="s">
        <v>5418</v>
      </c>
      <c r="K365" s="39" t="s">
        <v>5446</v>
      </c>
      <c r="L365" s="21" t="s">
        <v>6732</v>
      </c>
      <c r="M365" s="22">
        <v>2153</v>
      </c>
      <c r="N365" s="21" t="s">
        <v>6733</v>
      </c>
      <c r="O365" s="22">
        <v>966</v>
      </c>
      <c r="P365" s="21" t="s">
        <v>6734</v>
      </c>
      <c r="Q365" s="22">
        <v>470</v>
      </c>
      <c r="R365" s="21" t="s">
        <v>6735</v>
      </c>
      <c r="S365" s="22">
        <v>246</v>
      </c>
      <c r="T365" s="21" t="s">
        <v>6736</v>
      </c>
      <c r="U365" s="22">
        <v>102</v>
      </c>
      <c r="V365" s="21" t="s">
        <v>6737</v>
      </c>
      <c r="W365" s="22">
        <v>33</v>
      </c>
      <c r="X365" s="21" t="s">
        <v>6738</v>
      </c>
      <c r="Y365" s="22">
        <v>310</v>
      </c>
      <c r="Z365" s="21" t="s">
        <v>6739</v>
      </c>
      <c r="AA365" s="22">
        <v>709</v>
      </c>
      <c r="AB365" s="21" t="s">
        <v>6740</v>
      </c>
      <c r="AC365" s="22">
        <v>246</v>
      </c>
      <c r="AD365" s="21"/>
      <c r="AE365" s="22"/>
    </row>
    <row r="366" spans="1:35" ht="28.5" customHeight="1" thickBot="1">
      <c r="A366" s="22" t="s">
        <v>6697</v>
      </c>
      <c r="C366" s="8" t="s">
        <v>6687</v>
      </c>
      <c r="D366" s="9" t="s">
        <v>6688</v>
      </c>
      <c r="E366" s="9" t="s">
        <v>6690</v>
      </c>
      <c r="F366" s="8" t="str">
        <f t="shared" si="14"/>
        <v>gift-codes.html?game=Academy of Heroes</v>
      </c>
      <c r="G366" s="16" t="s">
        <v>6701</v>
      </c>
      <c r="H366" s="9" t="str">
        <f t="shared" si="15"/>
        <v>https://www.ssbuy.tw/game-detail.html?game=Academy of Heroes</v>
      </c>
      <c r="I366" s="10" t="s">
        <v>6704</v>
      </c>
      <c r="J366" s="16" t="s">
        <v>5418</v>
      </c>
      <c r="K366" s="39" t="s">
        <v>5446</v>
      </c>
      <c r="L366" s="21" t="s">
        <v>6882</v>
      </c>
      <c r="M366" s="22">
        <v>2564</v>
      </c>
      <c r="N366" s="21" t="s">
        <v>6883</v>
      </c>
      <c r="O366" s="22">
        <v>1739</v>
      </c>
      <c r="P366" s="21" t="s">
        <v>6884</v>
      </c>
      <c r="Q366" s="22">
        <v>1127</v>
      </c>
      <c r="R366" s="21" t="s">
        <v>6885</v>
      </c>
      <c r="S366" s="22">
        <v>603</v>
      </c>
      <c r="T366" s="21" t="s">
        <v>6886</v>
      </c>
      <c r="U366" s="22">
        <v>280</v>
      </c>
      <c r="V366" s="21" t="s">
        <v>6887</v>
      </c>
      <c r="W366" s="22">
        <v>136</v>
      </c>
      <c r="X366" s="21" t="s">
        <v>6888</v>
      </c>
      <c r="Y366" s="22">
        <v>54</v>
      </c>
      <c r="Z366" s="21" t="s">
        <v>6889</v>
      </c>
      <c r="AA366" s="22">
        <v>27</v>
      </c>
      <c r="AB366" s="21"/>
      <c r="AC366" s="22"/>
      <c r="AD366" s="21"/>
      <c r="AE366" s="22"/>
    </row>
    <row r="367" spans="1:35" ht="28.5" customHeight="1" thickBot="1">
      <c r="A367" s="22" t="s">
        <v>6761</v>
      </c>
      <c r="C367" s="8" t="s">
        <v>6780</v>
      </c>
      <c r="D367" s="9" t="s">
        <v>6779</v>
      </c>
      <c r="E367" s="9" t="s">
        <v>6778</v>
      </c>
      <c r="F367" s="8" t="str">
        <f t="shared" ref="F367:F427" si="16">IF(A367="", "", "gift-codes.html?game=" &amp; A367)</f>
        <v>gift-codes.html?game=魔女的傳說</v>
      </c>
      <c r="G367" s="9" t="s">
        <v>6777</v>
      </c>
      <c r="H367" s="9" t="str">
        <f t="shared" ref="H367:H427" si="17">IF(A367="", "", "https://www.ssbuy.tw/game-detail.html?game="&amp;A367)</f>
        <v>https://www.ssbuy.tw/game-detail.html?game=魔女的傳說</v>
      </c>
      <c r="I367" s="10" t="s">
        <v>6781</v>
      </c>
      <c r="J367" s="16" t="s">
        <v>5418</v>
      </c>
      <c r="K367" s="39" t="s">
        <v>5446</v>
      </c>
      <c r="L367" s="21" t="s">
        <v>6828</v>
      </c>
      <c r="M367" s="22">
        <v>2226</v>
      </c>
      <c r="N367" s="21" t="s">
        <v>6829</v>
      </c>
      <c r="O367" s="22">
        <v>1332</v>
      </c>
      <c r="P367" s="21" t="s">
        <v>6830</v>
      </c>
      <c r="Q367" s="22">
        <v>706</v>
      </c>
      <c r="R367" s="21" t="s">
        <v>6831</v>
      </c>
      <c r="S367" s="22">
        <v>269</v>
      </c>
      <c r="T367" s="21" t="s">
        <v>6832</v>
      </c>
      <c r="U367" s="22">
        <v>111</v>
      </c>
      <c r="V367" s="21" t="s">
        <v>6833</v>
      </c>
      <c r="W367" s="22">
        <v>56</v>
      </c>
      <c r="X367" s="21"/>
      <c r="Y367" s="22"/>
      <c r="Z367" s="21"/>
      <c r="AA367" s="22"/>
      <c r="AB367" s="21"/>
      <c r="AC367" s="22"/>
      <c r="AD367" s="21"/>
      <c r="AE367" s="22"/>
    </row>
    <row r="368" spans="1:35" ht="28.5" customHeight="1" thickBot="1">
      <c r="A368" s="22" t="s">
        <v>6762</v>
      </c>
      <c r="C368" s="8" t="s">
        <v>6765</v>
      </c>
      <c r="D368" s="9" t="s">
        <v>6768</v>
      </c>
      <c r="E368" s="9" t="s">
        <v>6767</v>
      </c>
      <c r="F368" s="8" t="str">
        <f t="shared" si="16"/>
        <v>gift-codes.html?game=華夏繪世錄</v>
      </c>
      <c r="G368" s="9" t="s">
        <v>6766</v>
      </c>
      <c r="H368" s="9" t="str">
        <f t="shared" si="17"/>
        <v>https://www.ssbuy.tw/game-detail.html?game=華夏繪世錄</v>
      </c>
      <c r="I368" s="10" t="s">
        <v>6782</v>
      </c>
      <c r="J368" s="16" t="s">
        <v>5418</v>
      </c>
      <c r="K368" s="39" t="s">
        <v>5446</v>
      </c>
      <c r="L368" s="21" t="s">
        <v>1660</v>
      </c>
      <c r="M368" s="22">
        <v>2887</v>
      </c>
      <c r="N368" s="21" t="s">
        <v>1661</v>
      </c>
      <c r="O368" s="22">
        <v>1511</v>
      </c>
      <c r="P368" s="21" t="s">
        <v>4132</v>
      </c>
      <c r="Q368" s="22">
        <v>1188</v>
      </c>
      <c r="R368" s="21" t="s">
        <v>1662</v>
      </c>
      <c r="S368" s="22">
        <v>903</v>
      </c>
      <c r="T368" s="21" t="s">
        <v>1663</v>
      </c>
      <c r="U368" s="22">
        <v>599</v>
      </c>
      <c r="V368" s="21" t="s">
        <v>1664</v>
      </c>
      <c r="W368" s="22">
        <v>438</v>
      </c>
      <c r="X368" s="21" t="s">
        <v>1666</v>
      </c>
      <c r="Y368" s="22">
        <v>295</v>
      </c>
      <c r="Z368" s="21" t="s">
        <v>1667</v>
      </c>
      <c r="AA368" s="22">
        <v>158</v>
      </c>
      <c r="AB368" s="21" t="s">
        <v>6636</v>
      </c>
      <c r="AC368" s="22">
        <v>94</v>
      </c>
      <c r="AD368" s="21" t="s">
        <v>1668</v>
      </c>
      <c r="AE368" s="22">
        <v>31</v>
      </c>
    </row>
    <row r="369" spans="1:38" ht="28.5" customHeight="1" thickBot="1">
      <c r="A369" s="22" t="s">
        <v>6763</v>
      </c>
      <c r="C369" s="8" t="s">
        <v>6776</v>
      </c>
      <c r="D369" s="9" t="s">
        <v>6769</v>
      </c>
      <c r="E369" s="9" t="s">
        <v>6775</v>
      </c>
      <c r="F369" s="8" t="str">
        <f t="shared" si="16"/>
        <v>gift-codes.html?game=三國：謀定天下</v>
      </c>
      <c r="G369" s="9" t="s">
        <v>6770</v>
      </c>
      <c r="H369" s="9" t="str">
        <f t="shared" si="17"/>
        <v>https://www.ssbuy.tw/game-detail.html?game=三國：謀定天下</v>
      </c>
      <c r="I369" s="10" t="s">
        <v>6783</v>
      </c>
      <c r="J369" s="16" t="s">
        <v>5418</v>
      </c>
      <c r="K369" s="39" t="s">
        <v>5446</v>
      </c>
      <c r="L369" s="21" t="s">
        <v>6834</v>
      </c>
      <c r="M369" s="22">
        <v>2887</v>
      </c>
      <c r="N369" s="21" t="s">
        <v>6835</v>
      </c>
      <c r="O369" s="22">
        <v>1511</v>
      </c>
      <c r="P369" s="21" t="s">
        <v>6836</v>
      </c>
      <c r="Q369" s="22">
        <v>885</v>
      </c>
      <c r="R369" s="21" t="s">
        <v>6837</v>
      </c>
      <c r="S369" s="22">
        <v>438</v>
      </c>
      <c r="T369" s="21" t="s">
        <v>6838</v>
      </c>
      <c r="U369" s="22">
        <v>158</v>
      </c>
      <c r="V369" s="21" t="s">
        <v>6839</v>
      </c>
      <c r="W369" s="22">
        <v>885</v>
      </c>
      <c r="X369" s="21" t="s">
        <v>6840</v>
      </c>
      <c r="Y369" s="22">
        <v>158</v>
      </c>
      <c r="Z369" s="21" t="s">
        <v>6841</v>
      </c>
      <c r="AA369" s="22">
        <v>93</v>
      </c>
      <c r="AB369" s="21" t="s">
        <v>6842</v>
      </c>
      <c r="AC369" s="22">
        <v>93</v>
      </c>
      <c r="AD369" s="21"/>
      <c r="AE369" s="22"/>
    </row>
    <row r="370" spans="1:38" ht="28.5" customHeight="1" thickBot="1">
      <c r="A370" s="22" t="s">
        <v>6764</v>
      </c>
      <c r="C370" s="8" t="s">
        <v>6772</v>
      </c>
      <c r="D370" s="9" t="s">
        <v>6771</v>
      </c>
      <c r="E370" s="9" t="s">
        <v>6773</v>
      </c>
      <c r="F370" s="8" t="str">
        <f t="shared" si="16"/>
        <v>gift-codes.html?game=明日方舟：終末地</v>
      </c>
      <c r="G370" s="9" t="s">
        <v>6774</v>
      </c>
      <c r="H370" s="9" t="str">
        <f t="shared" si="17"/>
        <v>https://www.ssbuy.tw/game-detail.html?game=明日方舟：終末地</v>
      </c>
      <c r="I370" s="10" t="s">
        <v>6784</v>
      </c>
      <c r="J370" s="16" t="s">
        <v>5418</v>
      </c>
      <c r="K370" s="39" t="s">
        <v>5446</v>
      </c>
      <c r="L370" s="21" t="s">
        <v>6843</v>
      </c>
      <c r="M370" s="22">
        <v>1788</v>
      </c>
      <c r="N370" s="21" t="s">
        <v>6844</v>
      </c>
      <c r="O370" s="22">
        <v>885</v>
      </c>
      <c r="P370" s="21" t="s">
        <v>6845</v>
      </c>
      <c r="Q370" s="22">
        <v>554</v>
      </c>
      <c r="R370" s="21" t="s">
        <v>6846</v>
      </c>
      <c r="S370" s="22">
        <v>349</v>
      </c>
      <c r="T370" s="21" t="s">
        <v>6847</v>
      </c>
      <c r="U370" s="22">
        <v>241</v>
      </c>
      <c r="V370" s="21" t="s">
        <v>6848</v>
      </c>
      <c r="W370" s="22">
        <v>56</v>
      </c>
      <c r="X370" s="21" t="s">
        <v>6849</v>
      </c>
      <c r="Y370" s="22">
        <v>375</v>
      </c>
      <c r="Z370" s="21" t="s">
        <v>6850</v>
      </c>
      <c r="AA370" s="22">
        <v>295</v>
      </c>
      <c r="AB370" s="21" t="s">
        <v>6851</v>
      </c>
      <c r="AC370" s="22">
        <v>527</v>
      </c>
      <c r="AD370" s="21" t="s">
        <v>6852</v>
      </c>
      <c r="AE370" s="22">
        <v>527</v>
      </c>
    </row>
    <row r="371" spans="1:38" ht="28.5" customHeight="1" thickBot="1">
      <c r="A371" s="114" t="s">
        <v>6795</v>
      </c>
      <c r="C371" s="8" t="s">
        <v>6796</v>
      </c>
      <c r="D371" s="9" t="s">
        <v>6797</v>
      </c>
      <c r="E371" s="9" t="s">
        <v>6798</v>
      </c>
      <c r="F371" s="8" t="str">
        <f t="shared" si="16"/>
        <v>gift-codes.html?game=半獸人傳說</v>
      </c>
      <c r="G371" s="9" t="s">
        <v>6799</v>
      </c>
      <c r="H371" s="9" t="str">
        <f t="shared" si="17"/>
        <v>https://www.ssbuy.tw/game-detail.html?game=半獸人傳說</v>
      </c>
      <c r="I371" s="10" t="s">
        <v>6819</v>
      </c>
      <c r="J371" s="16" t="s">
        <v>5418</v>
      </c>
      <c r="K371" s="39" t="s">
        <v>5446</v>
      </c>
      <c r="L371" s="21" t="s">
        <v>6820</v>
      </c>
      <c r="M371" s="22">
        <v>2887</v>
      </c>
      <c r="N371" s="21" t="s">
        <v>6821</v>
      </c>
      <c r="O371" s="22">
        <v>1511</v>
      </c>
      <c r="P371" s="21" t="s">
        <v>6822</v>
      </c>
      <c r="Q371" s="22">
        <v>885</v>
      </c>
      <c r="R371" s="21" t="s">
        <v>6823</v>
      </c>
      <c r="S371" s="22">
        <v>599</v>
      </c>
      <c r="T371" s="21" t="s">
        <v>6824</v>
      </c>
      <c r="U371" s="22">
        <v>438</v>
      </c>
      <c r="V371" s="21" t="s">
        <v>6825</v>
      </c>
      <c r="W371" s="22">
        <v>295</v>
      </c>
      <c r="X371" s="21" t="s">
        <v>6826</v>
      </c>
      <c r="Y371" s="22">
        <v>158</v>
      </c>
      <c r="Z371" s="21" t="s">
        <v>6827</v>
      </c>
      <c r="AA371" s="22">
        <v>31</v>
      </c>
    </row>
    <row r="372" spans="1:38" ht="28.5" customHeight="1" thickBot="1">
      <c r="A372" s="114" t="s">
        <v>6861</v>
      </c>
      <c r="C372" s="8" t="s">
        <v>6864</v>
      </c>
      <c r="D372" s="9" t="s">
        <v>6865</v>
      </c>
      <c r="E372" s="9" t="s">
        <v>6866</v>
      </c>
      <c r="F372" s="8" t="str">
        <f t="shared" si="16"/>
        <v>gift-codes.html?game=暗月十二</v>
      </c>
      <c r="G372" s="9" t="s">
        <v>6867</v>
      </c>
      <c r="H372" s="9" t="str">
        <f t="shared" si="17"/>
        <v>https://www.ssbuy.tw/game-detail.html?game=暗月十二</v>
      </c>
      <c r="I372" s="10" t="s">
        <v>6873</v>
      </c>
      <c r="J372" s="16" t="s">
        <v>5418</v>
      </c>
      <c r="K372" s="39" t="s">
        <v>5446</v>
      </c>
      <c r="L372" s="21" t="s">
        <v>6876</v>
      </c>
      <c r="M372" s="22">
        <v>2438</v>
      </c>
      <c r="N372" s="21" t="s">
        <v>6877</v>
      </c>
      <c r="O372" s="22">
        <v>1215</v>
      </c>
      <c r="P372" s="21" t="s">
        <v>6878</v>
      </c>
      <c r="Q372" s="22">
        <v>778</v>
      </c>
      <c r="R372" s="21" t="s">
        <v>6879</v>
      </c>
      <c r="S372" s="22">
        <v>288</v>
      </c>
      <c r="T372" s="21" t="s">
        <v>6880</v>
      </c>
      <c r="U372" s="22">
        <v>145</v>
      </c>
      <c r="V372" s="21" t="s">
        <v>6881</v>
      </c>
      <c r="W372" s="22">
        <v>30</v>
      </c>
      <c r="AK372" s="8"/>
      <c r="AL372" s="8"/>
    </row>
    <row r="373" spans="1:38" ht="28.5" customHeight="1" thickBot="1">
      <c r="A373" s="114" t="s">
        <v>6862</v>
      </c>
      <c r="E373" s="9" t="s">
        <v>6868</v>
      </c>
      <c r="F373" s="8" t="str">
        <f t="shared" si="16"/>
        <v>gift-codes.html?game=像素騎士：放置角色扮演遊戲</v>
      </c>
      <c r="G373" s="9" t="s">
        <v>6869</v>
      </c>
      <c r="H373" s="9" t="str">
        <f t="shared" si="17"/>
        <v>https://www.ssbuy.tw/game-detail.html?game=像素騎士：放置角色扮演遊戲</v>
      </c>
      <c r="I373" s="10" t="s">
        <v>6874</v>
      </c>
      <c r="J373" s="16" t="s">
        <v>5418</v>
      </c>
      <c r="K373" s="39" t="s">
        <v>5446</v>
      </c>
      <c r="L373" s="21" t="s">
        <v>12</v>
      </c>
      <c r="M373" s="22">
        <v>2822</v>
      </c>
      <c r="N373" s="21" t="s">
        <v>13</v>
      </c>
      <c r="O373" s="22">
        <v>1442</v>
      </c>
      <c r="P373" s="21" t="s">
        <v>24</v>
      </c>
      <c r="Q373" s="22">
        <v>865</v>
      </c>
      <c r="R373" s="21" t="s">
        <v>14</v>
      </c>
      <c r="S373" s="22">
        <v>585</v>
      </c>
      <c r="T373" s="21" t="s">
        <v>15</v>
      </c>
      <c r="U373" s="22">
        <v>428</v>
      </c>
      <c r="V373" s="21" t="s">
        <v>120</v>
      </c>
      <c r="W373" s="22">
        <v>288</v>
      </c>
      <c r="X373" s="21" t="s">
        <v>16</v>
      </c>
      <c r="Y373" s="22">
        <v>154</v>
      </c>
      <c r="Z373" s="21" t="s">
        <v>285</v>
      </c>
      <c r="AA373" s="22">
        <v>68</v>
      </c>
      <c r="AB373" s="21" t="s">
        <v>7</v>
      </c>
      <c r="AC373" s="22">
        <v>30</v>
      </c>
    </row>
    <row r="374" spans="1:38" ht="28.5" customHeight="1" thickBot="1">
      <c r="A374" s="114" t="s">
        <v>6863</v>
      </c>
      <c r="C374" s="8" t="s">
        <v>6870</v>
      </c>
      <c r="E374" s="9" t="s">
        <v>6871</v>
      </c>
      <c r="F374" s="8" t="str">
        <f t="shared" si="16"/>
        <v>gift-codes.html?game=小骷髏超能斬</v>
      </c>
      <c r="G374" s="9" t="s">
        <v>6872</v>
      </c>
      <c r="H374" s="9" t="str">
        <f t="shared" si="17"/>
        <v>https://www.ssbuy.tw/game-detail.html?game=小骷髏超能斬</v>
      </c>
      <c r="I374" s="10" t="s">
        <v>6875</v>
      </c>
      <c r="J374" s="16" t="s">
        <v>5418</v>
      </c>
      <c r="K374" s="39" t="s">
        <v>5446</v>
      </c>
      <c r="L374" s="21" t="s">
        <v>1660</v>
      </c>
      <c r="M374" s="22">
        <v>2822</v>
      </c>
      <c r="N374" s="21" t="s">
        <v>1661</v>
      </c>
      <c r="O374" s="22">
        <v>1477</v>
      </c>
      <c r="P374" s="21" t="s">
        <v>4132</v>
      </c>
      <c r="Q374" s="22">
        <v>1188</v>
      </c>
      <c r="R374" s="21" t="s">
        <v>1662</v>
      </c>
      <c r="S374" s="22">
        <v>865</v>
      </c>
      <c r="T374" s="21" t="s">
        <v>1663</v>
      </c>
      <c r="U374" s="22">
        <v>585</v>
      </c>
      <c r="V374" s="21" t="s">
        <v>1664</v>
      </c>
      <c r="W374" s="22">
        <v>428</v>
      </c>
      <c r="X374" s="21" t="s">
        <v>1666</v>
      </c>
      <c r="Y374" s="22">
        <v>288</v>
      </c>
      <c r="Z374" s="21" t="s">
        <v>1667</v>
      </c>
      <c r="AA374" s="22">
        <v>154</v>
      </c>
      <c r="AB374" s="21" t="s">
        <v>6636</v>
      </c>
      <c r="AC374" s="22">
        <v>94</v>
      </c>
      <c r="AD374" s="21" t="s">
        <v>1668</v>
      </c>
      <c r="AE374" s="22">
        <v>31</v>
      </c>
    </row>
    <row r="375" spans="1:38" ht="28.5" customHeight="1" thickBot="1">
      <c r="A375" s="22" t="s">
        <v>6923</v>
      </c>
      <c r="C375" s="8" t="s">
        <v>6917</v>
      </c>
      <c r="D375" s="9" t="s">
        <v>6916</v>
      </c>
      <c r="E375" s="9" t="s">
        <v>6919</v>
      </c>
      <c r="F375" s="8" t="str">
        <f t="shared" si="16"/>
        <v>gift-codes.html?game=靈寵工坊</v>
      </c>
      <c r="G375" s="9" t="s">
        <v>6918</v>
      </c>
      <c r="H375" s="9" t="str">
        <f t="shared" si="17"/>
        <v>https://www.ssbuy.tw/game-detail.html?game=靈寵工坊</v>
      </c>
      <c r="I375" s="10" t="s">
        <v>6925</v>
      </c>
      <c r="J375" s="16" t="s">
        <v>5418</v>
      </c>
      <c r="K375" s="39" t="s">
        <v>5446</v>
      </c>
      <c r="L375" s="21" t="s">
        <v>6495</v>
      </c>
      <c r="M375" s="22">
        <v>3014</v>
      </c>
      <c r="N375" s="21" t="s">
        <v>6496</v>
      </c>
      <c r="O375" s="22">
        <v>1558</v>
      </c>
      <c r="P375" s="21" t="s">
        <v>6497</v>
      </c>
      <c r="Q375" s="22">
        <v>935</v>
      </c>
      <c r="R375" s="21" t="s">
        <v>6498</v>
      </c>
      <c r="S375" s="22">
        <v>463</v>
      </c>
      <c r="T375" s="21" t="s">
        <v>4716</v>
      </c>
      <c r="U375" s="22">
        <v>157</v>
      </c>
      <c r="V375" s="21" t="s">
        <v>6499</v>
      </c>
      <c r="W375" s="22">
        <v>30</v>
      </c>
      <c r="X375" s="21" t="s">
        <v>7001</v>
      </c>
      <c r="Y375" s="22">
        <v>157</v>
      </c>
      <c r="Z375" s="21" t="s">
        <v>7002</v>
      </c>
      <c r="AA375" s="22">
        <v>935</v>
      </c>
      <c r="AB375" s="21" t="s">
        <v>7003</v>
      </c>
      <c r="AC375" s="22">
        <v>3014</v>
      </c>
      <c r="AD375" s="21"/>
      <c r="AE375" s="22"/>
    </row>
    <row r="376" spans="1:38" ht="28.5" customHeight="1" thickBot="1">
      <c r="A376" s="22" t="s">
        <v>6989</v>
      </c>
      <c r="C376" s="8" t="s">
        <v>6913</v>
      </c>
      <c r="D376" s="9" t="s">
        <v>6914</v>
      </c>
      <c r="E376" s="16" t="s">
        <v>6922</v>
      </c>
      <c r="F376" s="8" t="str">
        <f t="shared" si="16"/>
        <v>gift-codes.html?game=天命傳說</v>
      </c>
      <c r="G376" s="9" t="s">
        <v>6915</v>
      </c>
      <c r="H376" s="9" t="str">
        <f t="shared" si="17"/>
        <v>https://www.ssbuy.tw/game-detail.html?game=天命傳說</v>
      </c>
      <c r="I376" s="10" t="s">
        <v>6926</v>
      </c>
      <c r="J376" s="16" t="s">
        <v>5418</v>
      </c>
      <c r="K376" s="39" t="s">
        <v>5446</v>
      </c>
      <c r="L376" s="21" t="s">
        <v>1514</v>
      </c>
      <c r="M376" s="22">
        <v>2874</v>
      </c>
      <c r="N376" s="21" t="s">
        <v>1515</v>
      </c>
      <c r="O376" s="22">
        <v>1504</v>
      </c>
      <c r="P376" s="21" t="s">
        <v>5407</v>
      </c>
      <c r="Q376" s="22">
        <v>881</v>
      </c>
      <c r="R376" s="21" t="s">
        <v>1516</v>
      </c>
      <c r="S376" s="22">
        <v>596</v>
      </c>
      <c r="T376" s="21" t="s">
        <v>1630</v>
      </c>
      <c r="U376" s="22">
        <v>294</v>
      </c>
      <c r="V376" s="21" t="s">
        <v>318</v>
      </c>
      <c r="W376" s="22">
        <v>157</v>
      </c>
      <c r="X376" s="21" t="s">
        <v>1518</v>
      </c>
      <c r="Y376" s="22">
        <v>30</v>
      </c>
      <c r="Z376" s="21"/>
      <c r="AA376" s="22"/>
      <c r="AB376" s="21"/>
      <c r="AC376" s="22"/>
      <c r="AD376" s="21"/>
      <c r="AE376" s="22"/>
    </row>
    <row r="377" spans="1:38" ht="28.5" customHeight="1" thickBot="1">
      <c r="A377" s="22" t="s">
        <v>6924</v>
      </c>
      <c r="C377" s="8" t="s">
        <v>6909</v>
      </c>
      <c r="D377" s="9" t="s">
        <v>6912</v>
      </c>
      <c r="E377" s="9" t="s">
        <v>6911</v>
      </c>
      <c r="F377" s="8" t="str">
        <f t="shared" si="16"/>
        <v>gift-codes.html?game=最遊幻想</v>
      </c>
      <c r="G377" s="9" t="s">
        <v>6910</v>
      </c>
      <c r="H377" s="9" t="str">
        <f t="shared" si="17"/>
        <v>https://www.ssbuy.tw/game-detail.html?game=最遊幻想</v>
      </c>
      <c r="I377" s="10" t="s">
        <v>6927</v>
      </c>
      <c r="J377" s="16" t="s">
        <v>5418</v>
      </c>
      <c r="K377" s="39" t="s">
        <v>5446</v>
      </c>
      <c r="L377" s="21" t="s">
        <v>1514</v>
      </c>
      <c r="M377" s="22">
        <v>2874</v>
      </c>
      <c r="N377" s="21" t="s">
        <v>1515</v>
      </c>
      <c r="O377" s="22">
        <v>1504</v>
      </c>
      <c r="P377" s="21" t="s">
        <v>5407</v>
      </c>
      <c r="Q377" s="22">
        <v>872</v>
      </c>
      <c r="R377" s="21" t="s">
        <v>1517</v>
      </c>
      <c r="S377" s="22">
        <v>436</v>
      </c>
      <c r="T377" s="21" t="s">
        <v>318</v>
      </c>
      <c r="U377" s="22">
        <v>157</v>
      </c>
      <c r="V377" s="21" t="s">
        <v>1518</v>
      </c>
      <c r="W377" s="22">
        <v>30</v>
      </c>
      <c r="X377" s="21" t="s">
        <v>6998</v>
      </c>
      <c r="Y377" s="22">
        <v>157</v>
      </c>
      <c r="Z377" s="21" t="s">
        <v>6999</v>
      </c>
      <c r="AA377" s="22">
        <v>312</v>
      </c>
      <c r="AB377" s="21" t="s">
        <v>7000</v>
      </c>
      <c r="AC377" s="22">
        <v>436</v>
      </c>
      <c r="AD377" s="21"/>
      <c r="AE377" s="22"/>
    </row>
    <row r="378" spans="1:38" ht="28.5" customHeight="1" thickBot="1">
      <c r="A378" s="34" t="s">
        <v>7392</v>
      </c>
      <c r="C378" s="8" t="s">
        <v>6930</v>
      </c>
      <c r="D378" s="9" t="s">
        <v>6933</v>
      </c>
      <c r="E378" s="9" t="s">
        <v>6932</v>
      </c>
      <c r="F378" s="8" t="str">
        <f t="shared" si="16"/>
        <v>gift-codes.html?game=強棒出擊：ALL IN</v>
      </c>
      <c r="G378" s="9" t="s">
        <v>6931</v>
      </c>
      <c r="H378" s="9" t="str">
        <f t="shared" si="17"/>
        <v>https://www.ssbuy.tw/game-detail.html?game=強棒出擊：ALL IN</v>
      </c>
      <c r="I378" s="10" t="s">
        <v>6937</v>
      </c>
      <c r="J378" s="16" t="s">
        <v>5418</v>
      </c>
      <c r="K378" s="39" t="s">
        <v>5446</v>
      </c>
      <c r="L378" s="21" t="s">
        <v>1660</v>
      </c>
      <c r="M378" s="22">
        <v>2822</v>
      </c>
      <c r="N378" s="21" t="s">
        <v>1661</v>
      </c>
      <c r="O378" s="22">
        <v>1477</v>
      </c>
      <c r="P378" s="21" t="s">
        <v>4132</v>
      </c>
      <c r="Q378" s="22">
        <v>1188</v>
      </c>
      <c r="R378" s="21" t="s">
        <v>1662</v>
      </c>
      <c r="S378" s="22">
        <v>865</v>
      </c>
      <c r="T378" s="21" t="s">
        <v>1663</v>
      </c>
      <c r="U378" s="22">
        <v>585</v>
      </c>
      <c r="V378" s="21" t="s">
        <v>1664</v>
      </c>
      <c r="W378" s="22">
        <v>428</v>
      </c>
      <c r="X378" s="21" t="s">
        <v>1666</v>
      </c>
      <c r="Y378" s="22">
        <v>288</v>
      </c>
      <c r="Z378" s="21" t="s">
        <v>1667</v>
      </c>
      <c r="AA378" s="22">
        <v>154</v>
      </c>
      <c r="AB378" s="21" t="s">
        <v>6636</v>
      </c>
      <c r="AC378" s="22">
        <v>94</v>
      </c>
      <c r="AD378" s="21" t="s">
        <v>1668</v>
      </c>
      <c r="AE378" s="22">
        <v>31</v>
      </c>
    </row>
    <row r="379" spans="1:38" ht="28.5" customHeight="1" thickBot="1">
      <c r="A379" s="22" t="s">
        <v>6955</v>
      </c>
      <c r="C379" s="8" t="s">
        <v>6957</v>
      </c>
      <c r="D379" s="9" t="s">
        <v>6967</v>
      </c>
      <c r="E379" s="9" t="s">
        <v>6958</v>
      </c>
      <c r="F379" s="8" t="str">
        <f t="shared" si="16"/>
        <v>gift-codes.html?game=獸寶特攻隊</v>
      </c>
      <c r="G379" s="9" t="s">
        <v>6959</v>
      </c>
      <c r="H379" s="9" t="str">
        <f t="shared" si="17"/>
        <v>https://www.ssbuy.tw/game-detail.html?game=獸寶特攻隊</v>
      </c>
      <c r="I379" s="10" t="s">
        <v>6970</v>
      </c>
      <c r="J379" s="16" t="s">
        <v>5418</v>
      </c>
      <c r="K379" s="39" t="s">
        <v>5446</v>
      </c>
      <c r="L379" s="21" t="s">
        <v>5939</v>
      </c>
      <c r="M379" s="22">
        <v>2751</v>
      </c>
      <c r="N379" s="21" t="s">
        <v>5940</v>
      </c>
      <c r="O379" s="22">
        <v>1427</v>
      </c>
      <c r="P379" s="21" t="s">
        <v>5941</v>
      </c>
      <c r="Q379" s="22">
        <v>836</v>
      </c>
      <c r="R379" s="21" t="s">
        <v>5942</v>
      </c>
      <c r="S379" s="22">
        <v>734</v>
      </c>
      <c r="T379" s="21" t="s">
        <v>5943</v>
      </c>
      <c r="U379" s="22">
        <v>566</v>
      </c>
      <c r="V379" s="21" t="s">
        <v>5944</v>
      </c>
      <c r="W379" s="22">
        <v>414</v>
      </c>
      <c r="X379" s="21" t="s">
        <v>5945</v>
      </c>
      <c r="Y379" s="22">
        <v>279</v>
      </c>
      <c r="Z379" s="21" t="s">
        <v>5946</v>
      </c>
      <c r="AA379" s="22">
        <v>146</v>
      </c>
      <c r="AB379" s="21" t="s">
        <v>5947</v>
      </c>
      <c r="AC379" s="22">
        <v>28</v>
      </c>
    </row>
    <row r="380" spans="1:38" ht="28.5" customHeight="1" thickBot="1">
      <c r="A380" s="22" t="s">
        <v>6975</v>
      </c>
      <c r="D380" s="9" t="s">
        <v>6968</v>
      </c>
      <c r="E380" s="9" t="s">
        <v>6961</v>
      </c>
      <c r="F380" s="8" t="str">
        <f t="shared" si="16"/>
        <v>gift-codes.html?game=傭兵砰砰團：防衛戰</v>
      </c>
      <c r="G380" s="9" t="s">
        <v>6960</v>
      </c>
      <c r="H380" s="9" t="str">
        <f t="shared" si="17"/>
        <v>https://www.ssbuy.tw/game-detail.html?game=傭兵砰砰團：防衛戰</v>
      </c>
      <c r="I380" s="10" t="s">
        <v>6971</v>
      </c>
      <c r="J380" s="16" t="s">
        <v>5418</v>
      </c>
      <c r="K380" s="39" t="s">
        <v>5446</v>
      </c>
      <c r="L380" s="21" t="s">
        <v>1278</v>
      </c>
      <c r="M380" s="22">
        <v>436</v>
      </c>
      <c r="N380" s="21" t="s">
        <v>7015</v>
      </c>
      <c r="O380" s="22">
        <v>268</v>
      </c>
      <c r="P380" s="21" t="s">
        <v>7016</v>
      </c>
      <c r="Q380" s="22">
        <v>55</v>
      </c>
      <c r="R380" s="21" t="s">
        <v>3727</v>
      </c>
      <c r="S380" s="22">
        <v>175</v>
      </c>
      <c r="T380" s="21" t="s">
        <v>7017</v>
      </c>
      <c r="U380" s="22">
        <v>347</v>
      </c>
      <c r="V380" s="21" t="s">
        <v>1330</v>
      </c>
      <c r="W380" s="22">
        <v>111</v>
      </c>
      <c r="X380" s="21" t="s">
        <v>7018</v>
      </c>
      <c r="Y380" s="22">
        <v>347</v>
      </c>
      <c r="Z380" s="21" t="s">
        <v>7019</v>
      </c>
      <c r="AA380" s="22">
        <v>2038</v>
      </c>
      <c r="AB380" s="21" t="s">
        <v>7020</v>
      </c>
      <c r="AC380" s="22">
        <v>614</v>
      </c>
      <c r="AD380" s="21" t="s">
        <v>1321</v>
      </c>
      <c r="AE380" s="22">
        <v>203</v>
      </c>
    </row>
    <row r="381" spans="1:38" ht="28.5" customHeight="1" thickBot="1">
      <c r="A381" s="22" t="s">
        <v>6956</v>
      </c>
      <c r="D381" s="9" t="s">
        <v>6962</v>
      </c>
      <c r="E381" s="9" t="s">
        <v>6963</v>
      </c>
      <c r="F381" s="8" t="str">
        <f t="shared" si="16"/>
        <v>gift-codes.html?game=矮人小酒館</v>
      </c>
      <c r="G381" s="9" t="s">
        <v>6964</v>
      </c>
      <c r="H381" s="9" t="str">
        <f t="shared" si="17"/>
        <v>https://www.ssbuy.tw/game-detail.html?game=矮人小酒館</v>
      </c>
      <c r="I381" s="10" t="s">
        <v>6973</v>
      </c>
      <c r="J381" s="16" t="s">
        <v>5418</v>
      </c>
      <c r="K381" s="39" t="s">
        <v>5446</v>
      </c>
      <c r="L381" s="21" t="s">
        <v>6977</v>
      </c>
      <c r="M381" s="22">
        <v>2535</v>
      </c>
      <c r="N381" s="21" t="s">
        <v>6978</v>
      </c>
      <c r="O381" s="22">
        <v>1287</v>
      </c>
      <c r="P381" s="21" t="s">
        <v>6979</v>
      </c>
      <c r="Q381" s="22">
        <v>769</v>
      </c>
      <c r="R381" s="21" t="s">
        <v>6980</v>
      </c>
      <c r="S381" s="22">
        <v>423</v>
      </c>
      <c r="T381" s="21" t="s">
        <v>6981</v>
      </c>
      <c r="U381" s="22">
        <v>152</v>
      </c>
      <c r="V381" s="21" t="s">
        <v>6982</v>
      </c>
      <c r="W381" s="22">
        <v>30</v>
      </c>
      <c r="X381" s="21" t="s">
        <v>6983</v>
      </c>
      <c r="Y381" s="22">
        <v>260</v>
      </c>
      <c r="Z381" s="21" t="s">
        <v>6984</v>
      </c>
      <c r="AA381" s="22">
        <v>90</v>
      </c>
    </row>
    <row r="382" spans="1:38" ht="28.5" customHeight="1" thickBot="1">
      <c r="A382" s="22" t="s">
        <v>6976</v>
      </c>
      <c r="D382" s="9" t="s">
        <v>6969</v>
      </c>
      <c r="E382" s="9" t="s">
        <v>6965</v>
      </c>
      <c r="F382" s="8" t="str">
        <f t="shared" si="16"/>
        <v>gift-codes.html?game=星際守護者</v>
      </c>
      <c r="G382" s="9" t="s">
        <v>6966</v>
      </c>
      <c r="H382" s="9" t="str">
        <f t="shared" si="17"/>
        <v>https://www.ssbuy.tw/game-detail.html?game=星際守護者</v>
      </c>
      <c r="I382" s="10" t="s">
        <v>6972</v>
      </c>
      <c r="J382" s="16" t="s">
        <v>5418</v>
      </c>
      <c r="K382" s="39" t="s">
        <v>5446</v>
      </c>
      <c r="L382" s="21" t="s">
        <v>7082</v>
      </c>
      <c r="M382" s="22">
        <v>2597</v>
      </c>
      <c r="N382" s="21" t="s">
        <v>7083</v>
      </c>
      <c r="O382" s="22">
        <v>1319</v>
      </c>
      <c r="P382" s="21" t="s">
        <v>7084</v>
      </c>
      <c r="Q382" s="22">
        <v>876</v>
      </c>
      <c r="R382" s="21" t="s">
        <v>7085</v>
      </c>
      <c r="S382" s="22">
        <v>283</v>
      </c>
      <c r="T382" s="21" t="s">
        <v>7086</v>
      </c>
      <c r="U382" s="22">
        <v>138</v>
      </c>
      <c r="V382" s="21" t="s">
        <v>7087</v>
      </c>
      <c r="W382" s="22">
        <v>28</v>
      </c>
      <c r="X382" s="21"/>
      <c r="Y382" s="22"/>
      <c r="Z382" s="21"/>
      <c r="AA382" s="22"/>
      <c r="AB382" s="21"/>
      <c r="AC382" s="22"/>
    </row>
    <row r="383" spans="1:38" ht="28.5" customHeight="1" thickBot="1">
      <c r="A383" s="22" t="s">
        <v>7004</v>
      </c>
      <c r="C383" s="8" t="s">
        <v>7021</v>
      </c>
      <c r="D383" s="9" t="s">
        <v>7023</v>
      </c>
      <c r="E383" s="9" t="s">
        <v>7022</v>
      </c>
      <c r="F383" s="8" t="str">
        <f t="shared" si="16"/>
        <v>gift-codes.html?game=霹靂蘑菇</v>
      </c>
      <c r="G383" s="9" t="s">
        <v>7024</v>
      </c>
      <c r="H383" s="9" t="str">
        <f t="shared" si="17"/>
        <v>https://www.ssbuy.tw/game-detail.html?game=霹靂蘑菇</v>
      </c>
      <c r="I383" s="10" t="s">
        <v>7048</v>
      </c>
      <c r="J383" s="16" t="s">
        <v>5418</v>
      </c>
      <c r="K383" s="39" t="s">
        <v>5446</v>
      </c>
      <c r="L383" s="21" t="s">
        <v>7088</v>
      </c>
      <c r="M383" s="22">
        <v>2954</v>
      </c>
      <c r="N383" s="21" t="s">
        <v>7089</v>
      </c>
      <c r="O383" s="22">
        <v>1505</v>
      </c>
      <c r="P383" s="21" t="s">
        <v>7090</v>
      </c>
      <c r="Q383" s="22">
        <v>602</v>
      </c>
      <c r="R383" s="21" t="s">
        <v>7091</v>
      </c>
      <c r="S383" s="22">
        <v>301</v>
      </c>
      <c r="T383" s="21" t="s">
        <v>7092</v>
      </c>
      <c r="U383" s="22">
        <v>147</v>
      </c>
      <c r="V383" s="21" t="s">
        <v>7093</v>
      </c>
      <c r="W383" s="22">
        <v>30</v>
      </c>
      <c r="X383" s="21"/>
      <c r="Y383" s="22"/>
      <c r="Z383" s="21"/>
      <c r="AA383" s="22"/>
      <c r="AB383" s="21"/>
      <c r="AC383" s="22"/>
    </row>
    <row r="384" spans="1:38" ht="28.5" customHeight="1" thickBot="1">
      <c r="A384" s="22" t="s">
        <v>7005</v>
      </c>
      <c r="C384" s="8" t="s">
        <v>7025</v>
      </c>
      <c r="D384" s="9" t="s">
        <v>7028</v>
      </c>
      <c r="E384" s="9" t="s">
        <v>7027</v>
      </c>
      <c r="F384" s="8" t="str">
        <f t="shared" si="16"/>
        <v>gift-codes.html?game=小將超兇</v>
      </c>
      <c r="G384" s="9" t="s">
        <v>7026</v>
      </c>
      <c r="H384" s="9" t="str">
        <f t="shared" si="17"/>
        <v>https://www.ssbuy.tw/game-detail.html?game=小將超兇</v>
      </c>
      <c r="I384" s="10" t="s">
        <v>7049</v>
      </c>
      <c r="J384" s="16" t="s">
        <v>5418</v>
      </c>
      <c r="K384" s="39" t="s">
        <v>5446</v>
      </c>
      <c r="L384" s="21" t="s">
        <v>7155</v>
      </c>
      <c r="M384" s="22">
        <v>2858</v>
      </c>
      <c r="N384" s="21" t="s">
        <v>7156</v>
      </c>
      <c r="O384" s="22">
        <v>1496</v>
      </c>
      <c r="P384" s="21" t="s">
        <v>7157</v>
      </c>
      <c r="Q384" s="22">
        <v>876</v>
      </c>
      <c r="R384" s="21" t="s">
        <v>7158</v>
      </c>
      <c r="S384" s="22">
        <v>593</v>
      </c>
      <c r="T384" s="21" t="s">
        <v>7159</v>
      </c>
      <c r="U384" s="22">
        <v>292</v>
      </c>
      <c r="V384" s="21" t="s">
        <v>7160</v>
      </c>
      <c r="W384" s="22">
        <v>156</v>
      </c>
      <c r="X384" s="21" t="s">
        <v>7161</v>
      </c>
      <c r="Y384" s="22">
        <v>30</v>
      </c>
      <c r="Z384" s="21" t="s">
        <v>7152</v>
      </c>
      <c r="AA384" s="22">
        <v>156</v>
      </c>
      <c r="AB384" s="21" t="s">
        <v>7153</v>
      </c>
      <c r="AC384" s="22">
        <v>292</v>
      </c>
      <c r="AD384" s="21" t="s">
        <v>7154</v>
      </c>
      <c r="AE384" s="22">
        <v>174</v>
      </c>
      <c r="AF384" s="21" t="s">
        <v>66</v>
      </c>
      <c r="AG384" s="22">
        <v>434</v>
      </c>
    </row>
    <row r="385" spans="1:37" ht="28.5" customHeight="1" thickBot="1">
      <c r="A385" s="22" t="s">
        <v>7006</v>
      </c>
      <c r="C385" s="8" t="s">
        <v>7033</v>
      </c>
      <c r="D385" s="9" t="s">
        <v>7035</v>
      </c>
      <c r="E385" s="9" t="s">
        <v>7036</v>
      </c>
      <c r="F385" s="8" t="str">
        <f t="shared" si="16"/>
        <v>gift-codes.html?game=勇者逗逗龍</v>
      </c>
      <c r="G385" s="9" t="s">
        <v>7034</v>
      </c>
      <c r="H385" s="9" t="str">
        <f t="shared" si="17"/>
        <v>https://www.ssbuy.tw/game-detail.html?game=勇者逗逗龍</v>
      </c>
      <c r="I385" s="10" t="s">
        <v>7050</v>
      </c>
      <c r="J385" s="16" t="s">
        <v>5418</v>
      </c>
      <c r="K385" s="39" t="s">
        <v>5446</v>
      </c>
      <c r="L385" s="21" t="s">
        <v>168</v>
      </c>
      <c r="M385" s="22">
        <v>2858</v>
      </c>
      <c r="N385" s="21" t="s">
        <v>169</v>
      </c>
      <c r="O385" s="22">
        <v>1460</v>
      </c>
      <c r="P385" s="21" t="s">
        <v>170</v>
      </c>
      <c r="Q385" s="22">
        <v>876</v>
      </c>
      <c r="R385" s="21" t="s">
        <v>172</v>
      </c>
      <c r="S385" s="22">
        <v>434</v>
      </c>
      <c r="T385" s="21" t="s">
        <v>174</v>
      </c>
      <c r="U385" s="22">
        <v>156</v>
      </c>
      <c r="V385" s="21" t="s">
        <v>175</v>
      </c>
      <c r="W385" s="22">
        <v>30</v>
      </c>
      <c r="X385" s="21"/>
      <c r="Y385" s="22"/>
      <c r="Z385" s="21"/>
      <c r="AA385" s="22"/>
      <c r="AB385" s="21"/>
      <c r="AC385" s="22"/>
    </row>
    <row r="386" spans="1:37" ht="28.5" customHeight="1" thickBot="1">
      <c r="A386" s="22" t="s">
        <v>7007</v>
      </c>
      <c r="C386" s="8" t="s">
        <v>7037</v>
      </c>
      <c r="D386" s="9" t="s">
        <v>7040</v>
      </c>
      <c r="E386" s="9" t="s">
        <v>7039</v>
      </c>
      <c r="F386" s="8" t="str">
        <f t="shared" si="16"/>
        <v>gift-codes.html?game=姬不可失：據點不設防</v>
      </c>
      <c r="G386" s="9" t="s">
        <v>7038</v>
      </c>
      <c r="H386" s="9" t="str">
        <f t="shared" si="17"/>
        <v>https://www.ssbuy.tw/game-detail.html?game=姬不可失：據點不設防</v>
      </c>
      <c r="I386" s="10" t="s">
        <v>7051</v>
      </c>
      <c r="J386" s="16" t="s">
        <v>5418</v>
      </c>
      <c r="K386" s="39" t="s">
        <v>5446</v>
      </c>
      <c r="L386" s="21" t="s">
        <v>7167</v>
      </c>
      <c r="M386" s="22">
        <v>2858</v>
      </c>
      <c r="N386" s="21" t="s">
        <v>7168</v>
      </c>
      <c r="O386" s="22">
        <v>1496</v>
      </c>
      <c r="P386" s="21" t="s">
        <v>7169</v>
      </c>
      <c r="Q386" s="22">
        <v>876</v>
      </c>
      <c r="R386" s="21" t="s">
        <v>7170</v>
      </c>
      <c r="S386" s="22">
        <v>593</v>
      </c>
      <c r="T386" s="21" t="s">
        <v>7171</v>
      </c>
      <c r="U386" s="22">
        <v>434</v>
      </c>
      <c r="V386" s="21" t="s">
        <v>7172</v>
      </c>
      <c r="W386" s="22">
        <v>292</v>
      </c>
      <c r="X386" s="21" t="s">
        <v>7173</v>
      </c>
      <c r="Y386" s="22">
        <v>156</v>
      </c>
      <c r="Z386" s="21" t="s">
        <v>7174</v>
      </c>
      <c r="AA386" s="22">
        <v>64</v>
      </c>
      <c r="AB386" s="21"/>
      <c r="AC386" s="22"/>
    </row>
    <row r="387" spans="1:37" ht="28.5" customHeight="1" thickBot="1">
      <c r="A387" s="22" t="s">
        <v>7008</v>
      </c>
      <c r="C387" s="8" t="s">
        <v>7042</v>
      </c>
      <c r="D387" s="9" t="s">
        <v>7042</v>
      </c>
      <c r="E387" s="9" t="s">
        <v>7043</v>
      </c>
      <c r="F387" s="8" t="str">
        <f t="shared" si="16"/>
        <v>gift-codes.html?game=集結啦！帕萌獸</v>
      </c>
      <c r="G387" s="9" t="s">
        <v>7041</v>
      </c>
      <c r="H387" s="9" t="str">
        <f t="shared" si="17"/>
        <v>https://www.ssbuy.tw/game-detail.html?game=集結啦！帕萌獸</v>
      </c>
      <c r="I387" s="10" t="s">
        <v>7052</v>
      </c>
      <c r="J387" s="16" t="s">
        <v>5418</v>
      </c>
      <c r="K387" s="39" t="s">
        <v>5446</v>
      </c>
      <c r="L387" s="21" t="s">
        <v>6495</v>
      </c>
      <c r="M387" s="22">
        <v>2858</v>
      </c>
      <c r="N387" s="21" t="s">
        <v>7162</v>
      </c>
      <c r="O387" s="22">
        <v>1496</v>
      </c>
      <c r="P387" s="21" t="s">
        <v>7163</v>
      </c>
      <c r="Q387" s="22">
        <v>593</v>
      </c>
      <c r="R387" s="21" t="s">
        <v>7164</v>
      </c>
      <c r="S387" s="22">
        <v>292</v>
      </c>
      <c r="T387" s="21" t="s">
        <v>7165</v>
      </c>
      <c r="U387" s="22">
        <v>156</v>
      </c>
      <c r="V387" s="21" t="s">
        <v>4496</v>
      </c>
      <c r="W387" s="22">
        <v>30</v>
      </c>
      <c r="X387" s="21" t="s">
        <v>7166</v>
      </c>
      <c r="Y387" s="22">
        <v>156</v>
      </c>
      <c r="Z387" s="21"/>
      <c r="AA387" s="22"/>
      <c r="AB387" s="21"/>
      <c r="AC387" s="22"/>
    </row>
    <row r="388" spans="1:37" ht="28.5" customHeight="1" thickBot="1">
      <c r="A388" s="22" t="s">
        <v>7009</v>
      </c>
      <c r="C388" s="8" t="s">
        <v>7044</v>
      </c>
      <c r="D388" s="9" t="s">
        <v>7047</v>
      </c>
      <c r="E388" s="9" t="s">
        <v>7046</v>
      </c>
      <c r="F388" s="8" t="str">
        <f t="shared" si="16"/>
        <v>gift-codes.html?game=超限進化：界域崩解</v>
      </c>
      <c r="G388" s="9" t="s">
        <v>7045</v>
      </c>
      <c r="H388" s="9" t="str">
        <f t="shared" si="17"/>
        <v>https://www.ssbuy.tw/game-detail.html?game=超限進化：界域崩解</v>
      </c>
      <c r="I388" s="10" t="s">
        <v>7053</v>
      </c>
      <c r="J388" s="16" t="s">
        <v>5418</v>
      </c>
      <c r="K388" s="39" t="s">
        <v>5446</v>
      </c>
      <c r="L388" s="21" t="s">
        <v>5939</v>
      </c>
      <c r="M388" s="22">
        <v>2751</v>
      </c>
      <c r="N388" s="21" t="s">
        <v>5940</v>
      </c>
      <c r="O388" s="22">
        <v>1427</v>
      </c>
      <c r="P388" s="21" t="s">
        <v>5941</v>
      </c>
      <c r="Q388" s="22">
        <v>836</v>
      </c>
      <c r="R388" s="21" t="s">
        <v>5942</v>
      </c>
      <c r="S388" s="22">
        <v>734</v>
      </c>
      <c r="T388" s="21" t="s">
        <v>5943</v>
      </c>
      <c r="U388" s="22">
        <v>566</v>
      </c>
      <c r="V388" s="21" t="s">
        <v>5944</v>
      </c>
      <c r="W388" s="22">
        <v>414</v>
      </c>
      <c r="X388" s="21" t="s">
        <v>5945</v>
      </c>
      <c r="Y388" s="22">
        <v>279</v>
      </c>
      <c r="Z388" s="21" t="s">
        <v>5946</v>
      </c>
      <c r="AA388" s="22">
        <v>146</v>
      </c>
      <c r="AB388" s="21" t="s">
        <v>5947</v>
      </c>
      <c r="AC388" s="22">
        <v>28</v>
      </c>
    </row>
    <row r="389" spans="1:37" ht="28.5" customHeight="1" thickBot="1">
      <c r="A389" s="22" t="s">
        <v>7393</v>
      </c>
      <c r="C389" s="8" t="s">
        <v>7126</v>
      </c>
      <c r="D389" s="9" t="s">
        <v>7125</v>
      </c>
      <c r="E389" s="9" t="s">
        <v>7128</v>
      </c>
      <c r="F389" s="8" t="str">
        <f>IF(A389="", "", "gift-codes.html?game=" &amp; A389)</f>
        <v>gift-codes.html?game=魔法少女小圓 Magia Exedra</v>
      </c>
      <c r="G389" s="9" t="s">
        <v>7127</v>
      </c>
      <c r="H389" s="9" t="str">
        <f t="shared" si="17"/>
        <v>https://www.ssbuy.tw/game-detail.html?game=魔法少女小圓 Magia Exedra</v>
      </c>
      <c r="I389" s="10" t="s">
        <v>7133</v>
      </c>
      <c r="J389" s="16" t="s">
        <v>5418</v>
      </c>
      <c r="K389" s="39" t="s">
        <v>5446</v>
      </c>
      <c r="L389" s="21" t="s">
        <v>7139</v>
      </c>
      <c r="M389" s="22">
        <v>1800</v>
      </c>
      <c r="N389" s="21" t="s">
        <v>7140</v>
      </c>
      <c r="O389" s="22">
        <v>900</v>
      </c>
      <c r="P389" s="21" t="s">
        <v>7212</v>
      </c>
      <c r="Q389" s="22">
        <v>522</v>
      </c>
      <c r="R389" s="21" t="s">
        <v>7213</v>
      </c>
      <c r="S389" s="22">
        <v>280</v>
      </c>
      <c r="T389" s="21" t="s">
        <v>7214</v>
      </c>
      <c r="U389" s="22">
        <v>187</v>
      </c>
      <c r="V389" s="21" t="s">
        <v>7215</v>
      </c>
      <c r="W389" s="22">
        <v>93</v>
      </c>
      <c r="X389" s="21" t="s">
        <v>7216</v>
      </c>
      <c r="Y389" s="22">
        <v>28</v>
      </c>
      <c r="Z389" s="21" t="s">
        <v>7217</v>
      </c>
      <c r="AA389" s="22">
        <v>522</v>
      </c>
      <c r="AB389" s="21" t="s">
        <v>7218</v>
      </c>
      <c r="AC389" s="22">
        <v>112</v>
      </c>
      <c r="AD389" s="21" t="s">
        <v>7142</v>
      </c>
      <c r="AE389" s="22">
        <v>84</v>
      </c>
      <c r="AF389" s="21" t="s">
        <v>7143</v>
      </c>
      <c r="AG389" s="22">
        <v>522</v>
      </c>
      <c r="AH389" s="21" t="s">
        <v>7141</v>
      </c>
      <c r="AI389" s="22">
        <v>900</v>
      </c>
      <c r="AJ389" s="21" t="s">
        <v>7219</v>
      </c>
      <c r="AK389" s="22">
        <v>187</v>
      </c>
    </row>
    <row r="390" spans="1:37" ht="28.5" customHeight="1" thickBot="1">
      <c r="A390" s="22" t="s">
        <v>7132</v>
      </c>
      <c r="C390" s="8" t="s">
        <v>7121</v>
      </c>
      <c r="D390" s="9" t="s">
        <v>7123</v>
      </c>
      <c r="E390" s="9" t="s">
        <v>7124</v>
      </c>
      <c r="F390" s="8" t="str">
        <f t="shared" si="16"/>
        <v>gift-codes.html?game=無職轉生江湖為了回家只好拿出真本事了</v>
      </c>
      <c r="G390" s="9" t="s">
        <v>7122</v>
      </c>
      <c r="H390" s="9" t="str">
        <f t="shared" si="17"/>
        <v>https://www.ssbuy.tw/game-detail.html?game=無職轉生江湖為了回家只好拿出真本事了</v>
      </c>
      <c r="I390" s="10" t="s">
        <v>7137</v>
      </c>
      <c r="J390" s="16" t="s">
        <v>5418</v>
      </c>
      <c r="K390" s="39" t="s">
        <v>5446</v>
      </c>
      <c r="L390" s="21" t="s">
        <v>7220</v>
      </c>
      <c r="M390" s="22">
        <v>2641</v>
      </c>
      <c r="N390" s="21" t="s">
        <v>7221</v>
      </c>
      <c r="O390" s="22">
        <v>1341</v>
      </c>
      <c r="P390" s="21" t="s">
        <v>7222</v>
      </c>
      <c r="Q390" s="22">
        <v>603</v>
      </c>
      <c r="R390" s="21" t="s">
        <v>7223</v>
      </c>
      <c r="S390" s="22">
        <v>297</v>
      </c>
      <c r="T390" s="21" t="s">
        <v>7224</v>
      </c>
      <c r="U390" s="22">
        <v>159</v>
      </c>
      <c r="V390" s="21" t="s">
        <v>7225</v>
      </c>
      <c r="W390" s="22">
        <v>31</v>
      </c>
      <c r="X390" s="21" t="s">
        <v>107</v>
      </c>
      <c r="Y390" s="22">
        <v>159</v>
      </c>
      <c r="Z390" s="21" t="s">
        <v>7226</v>
      </c>
      <c r="AA390" s="22">
        <v>441</v>
      </c>
    </row>
    <row r="391" spans="1:37" ht="28.5" customHeight="1" thickBot="1">
      <c r="A391" s="22" t="s">
        <v>7117</v>
      </c>
      <c r="C391" s="8" t="s">
        <v>7120</v>
      </c>
      <c r="E391" s="9" t="s">
        <v>7119</v>
      </c>
      <c r="F391" s="8" t="str">
        <f t="shared" si="16"/>
        <v>gift-codes.html?game=永夜降臨：雙面魅影</v>
      </c>
      <c r="G391" s="9" t="s">
        <v>7131</v>
      </c>
      <c r="H391" s="9" t="str">
        <f t="shared" si="17"/>
        <v>https://www.ssbuy.tw/game-detail.html?game=永夜降臨：雙面魅影</v>
      </c>
      <c r="I391" s="10" t="s">
        <v>7138</v>
      </c>
      <c r="J391" s="16" t="s">
        <v>5418</v>
      </c>
      <c r="K391" s="39" t="s">
        <v>5446</v>
      </c>
      <c r="L391" s="21" t="s">
        <v>3835</v>
      </c>
      <c r="M391" s="22">
        <v>2858</v>
      </c>
      <c r="N391" s="21" t="s">
        <v>7175</v>
      </c>
      <c r="O391" s="22">
        <v>1496</v>
      </c>
      <c r="P391" s="21" t="s">
        <v>17</v>
      </c>
      <c r="Q391" s="22">
        <v>876</v>
      </c>
      <c r="R391" s="21" t="s">
        <v>15</v>
      </c>
      <c r="S391" s="22">
        <v>434</v>
      </c>
      <c r="T391" s="21" t="s">
        <v>16</v>
      </c>
      <c r="U391" s="22">
        <v>156</v>
      </c>
      <c r="V391" s="21" t="s">
        <v>7</v>
      </c>
      <c r="W391" s="22">
        <v>30</v>
      </c>
      <c r="X391" s="21" t="s">
        <v>1295</v>
      </c>
      <c r="Y391" s="22">
        <v>156</v>
      </c>
      <c r="Z391" s="21" t="s">
        <v>142</v>
      </c>
      <c r="AA391" s="22">
        <v>292</v>
      </c>
      <c r="AB391" s="21" t="s">
        <v>7176</v>
      </c>
      <c r="AC391" s="22">
        <v>434</v>
      </c>
    </row>
    <row r="392" spans="1:37" ht="28.5" customHeight="1" thickBot="1">
      <c r="A392" s="34" t="s">
        <v>7181</v>
      </c>
      <c r="C392" s="8" t="s">
        <v>7177</v>
      </c>
      <c r="D392" s="9" t="s">
        <v>7178</v>
      </c>
      <c r="E392" s="16" t="s">
        <v>7180</v>
      </c>
      <c r="F392" s="8" t="str">
        <f t="shared" si="16"/>
        <v>gift-codes.html?game=裝甲前線：戰區</v>
      </c>
      <c r="G392" s="9" t="s">
        <v>7179</v>
      </c>
      <c r="H392" s="9" t="str">
        <f t="shared" si="17"/>
        <v>https://www.ssbuy.tw/game-detail.html?game=裝甲前線：戰區</v>
      </c>
      <c r="I392" s="10" t="s">
        <v>7182</v>
      </c>
      <c r="J392" s="16" t="s">
        <v>5418</v>
      </c>
      <c r="K392" s="39" t="s">
        <v>5446</v>
      </c>
      <c r="L392" s="21" t="s">
        <v>5939</v>
      </c>
      <c r="M392" s="22">
        <v>2751</v>
      </c>
      <c r="N392" s="21" t="s">
        <v>5940</v>
      </c>
      <c r="O392" s="22">
        <v>1427</v>
      </c>
      <c r="P392" s="21" t="s">
        <v>5941</v>
      </c>
      <c r="Q392" s="22">
        <v>836</v>
      </c>
      <c r="R392" s="21" t="s">
        <v>5942</v>
      </c>
      <c r="S392" s="22">
        <v>734</v>
      </c>
      <c r="T392" s="21" t="s">
        <v>5943</v>
      </c>
      <c r="U392" s="22">
        <v>566</v>
      </c>
      <c r="V392" s="21" t="s">
        <v>5944</v>
      </c>
      <c r="W392" s="22">
        <v>414</v>
      </c>
      <c r="X392" s="21" t="s">
        <v>5945</v>
      </c>
      <c r="Y392" s="22">
        <v>279</v>
      </c>
      <c r="Z392" s="21" t="s">
        <v>5946</v>
      </c>
      <c r="AA392" s="22">
        <v>146</v>
      </c>
      <c r="AB392" s="21" t="s">
        <v>5947</v>
      </c>
      <c r="AC392" s="22">
        <v>28</v>
      </c>
    </row>
    <row r="393" spans="1:37" ht="28.5" customHeight="1" thickBot="1">
      <c r="A393" s="114" t="s">
        <v>7208</v>
      </c>
      <c r="C393" s="36" t="s">
        <v>7187</v>
      </c>
      <c r="D393" s="16" t="s">
        <v>7188</v>
      </c>
      <c r="E393" s="9" t="s">
        <v>7189</v>
      </c>
      <c r="F393" s="8" t="str">
        <f t="shared" si="16"/>
        <v>gift-codes.html?game=星神世界</v>
      </c>
      <c r="G393" s="16" t="s">
        <v>7194</v>
      </c>
      <c r="H393" s="9" t="str">
        <f t="shared" si="17"/>
        <v>https://www.ssbuy.tw/game-detail.html?game=星神世界</v>
      </c>
      <c r="I393" s="10" t="s">
        <v>7196</v>
      </c>
      <c r="J393" s="16" t="s">
        <v>5418</v>
      </c>
      <c r="K393" s="39" t="s">
        <v>5446</v>
      </c>
      <c r="L393" s="21" t="s">
        <v>7373</v>
      </c>
      <c r="M393" s="22">
        <v>2983</v>
      </c>
      <c r="N393" s="21" t="s">
        <v>7374</v>
      </c>
      <c r="O393" s="22">
        <v>1534</v>
      </c>
      <c r="P393" s="21" t="s">
        <v>7375</v>
      </c>
      <c r="Q393" s="22">
        <v>458</v>
      </c>
      <c r="R393" s="21" t="s">
        <v>7376</v>
      </c>
      <c r="S393" s="22">
        <v>411</v>
      </c>
      <c r="T393" s="21" t="s">
        <v>7377</v>
      </c>
      <c r="U393" s="22">
        <v>145</v>
      </c>
      <c r="V393" s="21" t="s">
        <v>7378</v>
      </c>
      <c r="W393" s="22">
        <v>87</v>
      </c>
      <c r="X393" s="21" t="s">
        <v>7379</v>
      </c>
      <c r="Y393" s="22">
        <v>48</v>
      </c>
      <c r="Z393" s="21"/>
      <c r="AA393" s="22"/>
      <c r="AB393" s="21"/>
      <c r="AC393" s="22"/>
    </row>
    <row r="394" spans="1:37" ht="28.5" customHeight="1" thickBot="1">
      <c r="A394" s="114" t="s">
        <v>7193</v>
      </c>
      <c r="C394" s="8" t="s">
        <v>7191</v>
      </c>
      <c r="D394" s="9" t="s">
        <v>7190</v>
      </c>
      <c r="E394" s="9" t="s">
        <v>7192</v>
      </c>
      <c r="F394" s="8" t="str">
        <f t="shared" si="16"/>
        <v>gift-codes.html?game=大神駕到： 來囉！來囉！</v>
      </c>
      <c r="G394" s="16" t="s">
        <v>7195</v>
      </c>
      <c r="H394" s="9" t="str">
        <f t="shared" si="17"/>
        <v>https://www.ssbuy.tw/game-detail.html?game=大神駕到： 來囉！來囉！</v>
      </c>
      <c r="I394" s="10" t="s">
        <v>7197</v>
      </c>
      <c r="J394" s="16" t="s">
        <v>5418</v>
      </c>
      <c r="K394" s="39" t="s">
        <v>5446</v>
      </c>
      <c r="L394" s="21" t="s">
        <v>12</v>
      </c>
      <c r="M394" s="22">
        <v>2641</v>
      </c>
      <c r="N394" s="21" t="s">
        <v>13</v>
      </c>
      <c r="O394" s="22">
        <v>1341</v>
      </c>
      <c r="P394" s="21" t="s">
        <v>24</v>
      </c>
      <c r="Q394" s="22">
        <v>891</v>
      </c>
      <c r="R394" s="21" t="s">
        <v>14</v>
      </c>
      <c r="S394" s="22">
        <v>603</v>
      </c>
      <c r="T394" s="21" t="s">
        <v>120</v>
      </c>
      <c r="U394" s="22">
        <v>297</v>
      </c>
      <c r="V394" s="21" t="s">
        <v>16</v>
      </c>
      <c r="W394" s="22">
        <v>159</v>
      </c>
      <c r="X394" s="21" t="s">
        <v>7</v>
      </c>
      <c r="Y394" s="22">
        <v>31</v>
      </c>
      <c r="Z394" s="21" t="s">
        <v>7094</v>
      </c>
      <c r="AA394" s="22">
        <v>297</v>
      </c>
      <c r="AB394" s="21" t="s">
        <v>7095</v>
      </c>
      <c r="AC394" s="22">
        <v>159</v>
      </c>
    </row>
    <row r="395" spans="1:37" ht="28.5" customHeight="1" thickBot="1">
      <c r="A395" s="22" t="s">
        <v>7247</v>
      </c>
      <c r="C395" s="8" t="s">
        <v>7237</v>
      </c>
      <c r="E395" s="9" t="s">
        <v>7239</v>
      </c>
      <c r="F395" s="8" t="str">
        <f t="shared" si="16"/>
        <v>gift-codes.html?game=百鬼異聞錄</v>
      </c>
      <c r="G395" s="9" t="s">
        <v>7238</v>
      </c>
      <c r="H395" s="9" t="str">
        <f t="shared" si="17"/>
        <v>https://www.ssbuy.tw/game-detail.html?game=百鬼異聞錄</v>
      </c>
      <c r="I395" s="10" t="s">
        <v>7249</v>
      </c>
      <c r="J395" s="16" t="s">
        <v>5418</v>
      </c>
      <c r="K395" s="39" t="s">
        <v>5446</v>
      </c>
      <c r="L395" s="21" t="s">
        <v>5939</v>
      </c>
      <c r="M395" s="22">
        <v>2813</v>
      </c>
      <c r="N395" s="21" t="s">
        <v>5940</v>
      </c>
      <c r="O395" s="22">
        <v>1459</v>
      </c>
      <c r="P395" s="21" t="s">
        <v>5941</v>
      </c>
      <c r="Q395" s="22">
        <v>854</v>
      </c>
      <c r="R395" s="21" t="s">
        <v>5942</v>
      </c>
      <c r="S395" s="22">
        <v>725</v>
      </c>
      <c r="T395" s="21" t="s">
        <v>5943</v>
      </c>
      <c r="U395" s="22">
        <v>578</v>
      </c>
      <c r="V395" s="21" t="s">
        <v>5944</v>
      </c>
      <c r="W395" s="22">
        <v>423</v>
      </c>
      <c r="X395" s="21" t="s">
        <v>5945</v>
      </c>
      <c r="Y395" s="22">
        <v>285</v>
      </c>
      <c r="Z395" s="21" t="s">
        <v>5946</v>
      </c>
      <c r="AA395" s="22">
        <v>149</v>
      </c>
      <c r="AB395" s="21" t="s">
        <v>5947</v>
      </c>
      <c r="AC395" s="22">
        <v>29</v>
      </c>
    </row>
    <row r="396" spans="1:37" ht="28.5" customHeight="1" thickBot="1">
      <c r="A396" s="22" t="s">
        <v>7394</v>
      </c>
      <c r="C396" s="8" t="s">
        <v>7243</v>
      </c>
      <c r="D396" s="9" t="s">
        <v>7242</v>
      </c>
      <c r="E396" s="9" t="s">
        <v>7240</v>
      </c>
      <c r="F396" s="8" t="str">
        <f t="shared" si="16"/>
        <v>gift-codes.html?game=巡夢少女~異世界宮廷綺譚~</v>
      </c>
      <c r="G396" s="9" t="s">
        <v>7241</v>
      </c>
      <c r="H396" s="9" t="str">
        <f t="shared" si="17"/>
        <v>https://www.ssbuy.tw/game-detail.html?game=巡夢少女~異世界宮廷綺譚~</v>
      </c>
      <c r="I396" s="10" t="s">
        <v>7250</v>
      </c>
      <c r="J396" s="16" t="s">
        <v>5418</v>
      </c>
      <c r="K396" s="39" t="s">
        <v>5446</v>
      </c>
      <c r="L396" s="21" t="s">
        <v>7271</v>
      </c>
      <c r="M396" s="22">
        <v>2827</v>
      </c>
      <c r="N396" s="21" t="s">
        <v>7272</v>
      </c>
      <c r="O396" s="22">
        <v>1521</v>
      </c>
      <c r="P396" s="21" t="s">
        <v>7273</v>
      </c>
      <c r="Q396" s="22">
        <v>891</v>
      </c>
      <c r="R396" s="21" t="s">
        <v>7274</v>
      </c>
      <c r="S396" s="22">
        <v>441</v>
      </c>
      <c r="T396" s="21" t="s">
        <v>7275</v>
      </c>
      <c r="U396" s="22">
        <v>159</v>
      </c>
      <c r="V396" s="21" t="s">
        <v>7276</v>
      </c>
      <c r="W396" s="22">
        <v>31</v>
      </c>
      <c r="X396" s="21" t="s">
        <v>1519</v>
      </c>
      <c r="Y396" s="22">
        <v>891</v>
      </c>
      <c r="Z396" s="21" t="s">
        <v>5324</v>
      </c>
      <c r="AA396" s="22">
        <v>121</v>
      </c>
    </row>
    <row r="397" spans="1:37" ht="28.5" customHeight="1" thickBot="1">
      <c r="A397" s="22" t="s">
        <v>7248</v>
      </c>
      <c r="C397" s="8" t="s">
        <v>7244</v>
      </c>
      <c r="E397" s="9" t="s">
        <v>7245</v>
      </c>
      <c r="F397" s="8" t="str">
        <f t="shared" si="16"/>
        <v>gift-codes.html?game=軟泥星球</v>
      </c>
      <c r="G397" s="9" t="s">
        <v>7246</v>
      </c>
      <c r="H397" s="9" t="str">
        <f t="shared" si="17"/>
        <v>https://www.ssbuy.tw/game-detail.html?game=軟泥星球</v>
      </c>
      <c r="I397" s="10" t="s">
        <v>7253</v>
      </c>
      <c r="J397" s="16" t="s">
        <v>5418</v>
      </c>
      <c r="K397" s="39" t="s">
        <v>5446</v>
      </c>
      <c r="L397" s="21" t="s">
        <v>7262</v>
      </c>
      <c r="M397" s="22">
        <v>2641</v>
      </c>
      <c r="N397" s="21" t="s">
        <v>7263</v>
      </c>
      <c r="O397" s="22">
        <v>1341</v>
      </c>
      <c r="P397" s="21" t="s">
        <v>7264</v>
      </c>
      <c r="Q397" s="22">
        <v>891</v>
      </c>
      <c r="R397" s="21" t="s">
        <v>7265</v>
      </c>
      <c r="S397" s="22">
        <v>603</v>
      </c>
      <c r="T397" s="21" t="s">
        <v>7266</v>
      </c>
      <c r="U397" s="22">
        <v>441</v>
      </c>
      <c r="V397" s="21" t="s">
        <v>7267</v>
      </c>
      <c r="W397" s="22">
        <v>297</v>
      </c>
      <c r="X397" s="21" t="s">
        <v>7268</v>
      </c>
      <c r="Y397" s="22">
        <v>159</v>
      </c>
      <c r="Z397" s="21" t="s">
        <v>7269</v>
      </c>
      <c r="AA397" s="22">
        <v>65</v>
      </c>
      <c r="AB397" s="21" t="s">
        <v>7270</v>
      </c>
      <c r="AC397" s="22">
        <v>31</v>
      </c>
    </row>
    <row r="398" spans="1:37" ht="28.5" customHeight="1" thickBot="1">
      <c r="A398" s="22" t="s">
        <v>7318</v>
      </c>
      <c r="E398" s="9" t="s">
        <v>7307</v>
      </c>
      <c r="F398" s="8" t="str">
        <f t="shared" si="16"/>
        <v>gift-codes.html?game=K-Demon Hunter</v>
      </c>
      <c r="G398" s="16" t="s">
        <v>7319</v>
      </c>
      <c r="H398" s="9" t="str">
        <f t="shared" si="17"/>
        <v>https://www.ssbuy.tw/game-detail.html?game=K-Demon Hunter</v>
      </c>
      <c r="I398" s="10" t="s">
        <v>7338</v>
      </c>
      <c r="J398" s="16" t="s">
        <v>5418</v>
      </c>
      <c r="K398" s="39" t="s">
        <v>5446</v>
      </c>
      <c r="L398" s="21" t="s">
        <v>7332</v>
      </c>
      <c r="M398" s="22">
        <v>2241</v>
      </c>
      <c r="N398" s="21" t="s">
        <v>7333</v>
      </c>
      <c r="O398" s="22">
        <v>1071</v>
      </c>
      <c r="P398" s="21" t="s">
        <v>7334</v>
      </c>
      <c r="Q398" s="22">
        <v>531</v>
      </c>
      <c r="R398" s="21" t="s">
        <v>7335</v>
      </c>
      <c r="S398" s="22">
        <v>205</v>
      </c>
      <c r="T398" s="21" t="s">
        <v>7336</v>
      </c>
      <c r="U398" s="22">
        <v>112</v>
      </c>
      <c r="V398" s="21" t="s">
        <v>7337</v>
      </c>
      <c r="W398" s="22">
        <v>28</v>
      </c>
    </row>
    <row r="399" spans="1:37" ht="28.5" customHeight="1" thickBot="1">
      <c r="A399" s="22" t="s">
        <v>7320</v>
      </c>
      <c r="C399" s="8" t="s">
        <v>7283</v>
      </c>
      <c r="E399" s="9" t="s">
        <v>7308</v>
      </c>
      <c r="F399" s="8" t="str">
        <f t="shared" si="16"/>
        <v>gift-codes.html?game=傾世仙姬</v>
      </c>
      <c r="G399" s="16" t="s">
        <v>7321</v>
      </c>
      <c r="H399" s="9" t="str">
        <f t="shared" si="17"/>
        <v>https://www.ssbuy.tw/game-detail.html?game=傾世仙姬</v>
      </c>
      <c r="I399" s="10" t="s">
        <v>7339</v>
      </c>
      <c r="J399" s="16" t="s">
        <v>5418</v>
      </c>
      <c r="K399" s="39" t="s">
        <v>5446</v>
      </c>
      <c r="L399" s="21" t="s">
        <v>235</v>
      </c>
      <c r="M399" s="22">
        <v>3019</v>
      </c>
      <c r="N399" s="21" t="s">
        <v>236</v>
      </c>
      <c r="O399" s="22">
        <v>1580</v>
      </c>
      <c r="P399" s="21" t="s">
        <v>1292</v>
      </c>
      <c r="Q399" s="22">
        <v>926</v>
      </c>
      <c r="R399" s="21" t="s">
        <v>237</v>
      </c>
      <c r="S399" s="22">
        <v>627</v>
      </c>
      <c r="T399" s="21" t="s">
        <v>238</v>
      </c>
      <c r="U399" s="22">
        <v>309</v>
      </c>
      <c r="V399" s="21" t="s">
        <v>239</v>
      </c>
      <c r="W399" s="22">
        <v>165</v>
      </c>
      <c r="X399" s="21" t="s">
        <v>240</v>
      </c>
      <c r="Y399" s="22">
        <v>32</v>
      </c>
      <c r="Z399" s="21" t="s">
        <v>176</v>
      </c>
      <c r="AA399" s="22">
        <v>97</v>
      </c>
      <c r="AB399" s="21" t="s">
        <v>107</v>
      </c>
      <c r="AC399" s="22">
        <v>165</v>
      </c>
      <c r="AD399" s="21" t="s">
        <v>4077</v>
      </c>
      <c r="AE399" s="22">
        <v>3019</v>
      </c>
      <c r="AF399" s="21" t="s">
        <v>4078</v>
      </c>
      <c r="AG399" s="22">
        <v>1580</v>
      </c>
      <c r="AH399" s="21" t="s">
        <v>4079</v>
      </c>
      <c r="AI399" s="22">
        <v>926</v>
      </c>
    </row>
    <row r="400" spans="1:37" ht="28.5" customHeight="1" thickBot="1">
      <c r="A400" s="114" t="s">
        <v>7322</v>
      </c>
      <c r="C400" s="8" t="s">
        <v>7309</v>
      </c>
      <c r="D400" s="9" t="s">
        <v>7310</v>
      </c>
      <c r="E400" s="9" t="s">
        <v>7281</v>
      </c>
      <c r="F400" s="8" t="str">
        <f t="shared" si="16"/>
        <v>gift-codes.html?game=生化危機 生存兵種</v>
      </c>
      <c r="G400" s="16" t="s">
        <v>7323</v>
      </c>
      <c r="H400" s="9" t="str">
        <f t="shared" si="17"/>
        <v>https://www.ssbuy.tw/game-detail.html?game=生化危機 生存兵種</v>
      </c>
      <c r="I400" s="10" t="s">
        <v>7340</v>
      </c>
      <c r="J400" s="16" t="s">
        <v>5418</v>
      </c>
      <c r="K400" s="39" t="s">
        <v>5446</v>
      </c>
      <c r="L400" s="21" t="s">
        <v>5939</v>
      </c>
      <c r="M400" s="22">
        <v>2751</v>
      </c>
      <c r="N400" s="21" t="s">
        <v>5940</v>
      </c>
      <c r="O400" s="22">
        <v>1427</v>
      </c>
      <c r="P400" s="21" t="s">
        <v>5941</v>
      </c>
      <c r="Q400" s="22">
        <v>836</v>
      </c>
      <c r="R400" s="21" t="s">
        <v>5942</v>
      </c>
      <c r="S400" s="22">
        <v>734</v>
      </c>
      <c r="T400" s="21" t="s">
        <v>5943</v>
      </c>
      <c r="U400" s="22">
        <v>566</v>
      </c>
      <c r="V400" s="21" t="s">
        <v>5944</v>
      </c>
      <c r="W400" s="22">
        <v>414</v>
      </c>
      <c r="X400" s="21" t="s">
        <v>5945</v>
      </c>
      <c r="Y400" s="22">
        <v>279</v>
      </c>
      <c r="Z400" s="21" t="s">
        <v>5946</v>
      </c>
      <c r="AA400" s="22">
        <v>146</v>
      </c>
      <c r="AB400" s="21" t="s">
        <v>5947</v>
      </c>
      <c r="AC400" s="22">
        <v>28</v>
      </c>
    </row>
    <row r="401" spans="1:31" ht="28.5" customHeight="1" thickBot="1">
      <c r="A401" s="114" t="s">
        <v>7324</v>
      </c>
      <c r="C401" s="8" t="s">
        <v>7312</v>
      </c>
      <c r="D401" s="9" t="s">
        <v>7311</v>
      </c>
      <c r="E401" s="9" t="s">
        <v>7282</v>
      </c>
      <c r="F401" s="8" t="str">
        <f t="shared" si="16"/>
        <v>gift-codes.html?game=魔法門：命運</v>
      </c>
      <c r="G401" s="16" t="s">
        <v>7325</v>
      </c>
      <c r="H401" s="9" t="str">
        <f t="shared" si="17"/>
        <v>https://www.ssbuy.tw/game-detail.html?game=魔法門：命運</v>
      </c>
      <c r="I401" s="10" t="s">
        <v>7341</v>
      </c>
      <c r="J401" s="16" t="s">
        <v>5418</v>
      </c>
      <c r="K401" s="39" t="s">
        <v>5446</v>
      </c>
      <c r="L401" s="21" t="s">
        <v>7437</v>
      </c>
      <c r="M401" s="22">
        <v>2689</v>
      </c>
      <c r="N401" s="21" t="s">
        <v>7438</v>
      </c>
      <c r="O401" s="22">
        <v>1353</v>
      </c>
      <c r="P401" s="21" t="s">
        <v>7439</v>
      </c>
      <c r="Q401" s="22">
        <v>717</v>
      </c>
      <c r="R401" s="21" t="s">
        <v>7440</v>
      </c>
      <c r="S401" s="22">
        <v>445</v>
      </c>
      <c r="T401" s="21" t="s">
        <v>7441</v>
      </c>
      <c r="U401" s="22">
        <v>291</v>
      </c>
      <c r="V401" s="21" t="s">
        <v>6</v>
      </c>
      <c r="W401" s="22">
        <v>139</v>
      </c>
      <c r="Y401" s="22"/>
      <c r="Z401" s="21"/>
      <c r="AA401" s="22"/>
      <c r="AB401" s="21"/>
      <c r="AC401" s="22"/>
    </row>
    <row r="402" spans="1:31" ht="28.5" customHeight="1" thickBot="1">
      <c r="A402" s="114" t="s">
        <v>7326</v>
      </c>
      <c r="C402" s="8" t="s">
        <v>7314</v>
      </c>
      <c r="D402" s="9" t="s">
        <v>7313</v>
      </c>
      <c r="E402" s="9" t="s">
        <v>7280</v>
      </c>
      <c r="F402" s="8" t="str">
        <f t="shared" si="16"/>
        <v>gift-codes.html?game=HUNTER×HUNTER NEN×SURVIVOR</v>
      </c>
      <c r="G402" s="16" t="s">
        <v>7327</v>
      </c>
      <c r="H402" s="9" t="str">
        <f t="shared" si="17"/>
        <v>https://www.ssbuy.tw/game-detail.html?game=HUNTER×HUNTER NEN×SURVIVOR</v>
      </c>
      <c r="I402" s="10" t="s">
        <v>7342</v>
      </c>
      <c r="J402" s="16" t="s">
        <v>5418</v>
      </c>
      <c r="K402" s="39" t="s">
        <v>5446</v>
      </c>
      <c r="L402" s="21" t="s">
        <v>5939</v>
      </c>
      <c r="M402" s="22">
        <v>2751</v>
      </c>
      <c r="N402" s="21" t="s">
        <v>5940</v>
      </c>
      <c r="O402" s="22">
        <v>1427</v>
      </c>
      <c r="P402" s="21" t="s">
        <v>5941</v>
      </c>
      <c r="Q402" s="22">
        <v>836</v>
      </c>
      <c r="R402" s="21" t="s">
        <v>5942</v>
      </c>
      <c r="S402" s="22">
        <v>734</v>
      </c>
      <c r="T402" s="21" t="s">
        <v>5943</v>
      </c>
      <c r="U402" s="22">
        <v>566</v>
      </c>
      <c r="V402" s="21" t="s">
        <v>5944</v>
      </c>
      <c r="W402" s="22">
        <v>414</v>
      </c>
      <c r="X402" s="21" t="s">
        <v>5945</v>
      </c>
      <c r="Y402" s="22">
        <v>279</v>
      </c>
      <c r="Z402" s="21" t="s">
        <v>5946</v>
      </c>
      <c r="AA402" s="22">
        <v>146</v>
      </c>
      <c r="AB402" s="21" t="s">
        <v>5947</v>
      </c>
      <c r="AC402" s="22">
        <v>28</v>
      </c>
    </row>
    <row r="403" spans="1:31" ht="28.5" customHeight="1" thickBot="1">
      <c r="A403" s="114" t="s">
        <v>7328</v>
      </c>
      <c r="C403" s="8" t="s">
        <v>7284</v>
      </c>
      <c r="D403" s="9" t="s">
        <v>7289</v>
      </c>
      <c r="E403" s="9" t="s">
        <v>7288</v>
      </c>
      <c r="F403" s="8" t="str">
        <f t="shared" si="16"/>
        <v>gift-codes.html?game=喵喵特工隊</v>
      </c>
      <c r="G403" s="16" t="s">
        <v>7329</v>
      </c>
      <c r="H403" s="9" t="str">
        <f t="shared" si="17"/>
        <v>https://www.ssbuy.tw/game-detail.html?game=喵喵特工隊</v>
      </c>
      <c r="I403" s="10" t="s">
        <v>7343</v>
      </c>
      <c r="J403" s="16" t="s">
        <v>5418</v>
      </c>
      <c r="K403" s="39" t="s">
        <v>5446</v>
      </c>
      <c r="L403" s="21" t="s">
        <v>4</v>
      </c>
      <c r="M403" s="22">
        <v>3019</v>
      </c>
      <c r="N403" s="21" t="s">
        <v>5</v>
      </c>
      <c r="O403" s="22">
        <v>1580</v>
      </c>
      <c r="P403" s="21" t="s">
        <v>17</v>
      </c>
      <c r="Q403" s="22">
        <v>645</v>
      </c>
      <c r="R403" s="21" t="s">
        <v>163</v>
      </c>
      <c r="S403" s="22">
        <v>309</v>
      </c>
      <c r="T403" s="21" t="s">
        <v>6</v>
      </c>
      <c r="U403" s="22">
        <v>165</v>
      </c>
      <c r="V403" s="21" t="s">
        <v>164</v>
      </c>
      <c r="W403" s="22">
        <v>32</v>
      </c>
      <c r="X403" s="21" t="s">
        <v>7395</v>
      </c>
      <c r="Y403" s="22">
        <v>926</v>
      </c>
      <c r="Z403" s="21" t="s">
        <v>1311</v>
      </c>
      <c r="AA403" s="22">
        <v>165</v>
      </c>
      <c r="AB403" s="21" t="s">
        <v>5325</v>
      </c>
      <c r="AC403" s="22">
        <v>97</v>
      </c>
      <c r="AD403" s="21" t="s">
        <v>6356</v>
      </c>
      <c r="AE403" s="22">
        <v>165</v>
      </c>
    </row>
    <row r="404" spans="1:31" ht="28.5" customHeight="1" thickBot="1">
      <c r="A404" s="114" t="s">
        <v>7330</v>
      </c>
      <c r="C404" s="8" t="s">
        <v>7316</v>
      </c>
      <c r="D404" s="9" t="s">
        <v>7317</v>
      </c>
      <c r="E404" s="9" t="s">
        <v>7315</v>
      </c>
      <c r="F404" s="8" t="str">
        <f t="shared" si="16"/>
        <v>gift-codes.html?game=千年3D：經典重生</v>
      </c>
      <c r="G404" s="16" t="s">
        <v>7331</v>
      </c>
      <c r="H404" s="9" t="str">
        <f t="shared" si="17"/>
        <v>https://www.ssbuy.tw/game-detail.html?game=千年3D：經典重生</v>
      </c>
      <c r="I404" s="10" t="s">
        <v>7344</v>
      </c>
      <c r="J404" s="16" t="s">
        <v>5418</v>
      </c>
      <c r="K404" s="39" t="s">
        <v>5446</v>
      </c>
      <c r="L404" s="21" t="s">
        <v>235</v>
      </c>
      <c r="M404" s="22">
        <v>2689</v>
      </c>
      <c r="N404" s="21" t="s">
        <v>236</v>
      </c>
      <c r="O404" s="22">
        <v>1353</v>
      </c>
      <c r="P404" s="21" t="s">
        <v>1292</v>
      </c>
      <c r="Q404" s="22">
        <v>899</v>
      </c>
      <c r="R404" s="21" t="s">
        <v>237</v>
      </c>
      <c r="S404" s="22">
        <v>608</v>
      </c>
      <c r="T404" s="21" t="s">
        <v>1638</v>
      </c>
      <c r="U404" s="22">
        <v>445</v>
      </c>
      <c r="V404" s="21" t="s">
        <v>238</v>
      </c>
      <c r="W404" s="22">
        <v>300</v>
      </c>
      <c r="X404" s="21" t="s">
        <v>239</v>
      </c>
      <c r="Y404" s="22">
        <v>157</v>
      </c>
      <c r="Z404" s="21" t="s">
        <v>107</v>
      </c>
      <c r="AA404" s="22">
        <v>31</v>
      </c>
      <c r="AB404" s="21" t="s">
        <v>7423</v>
      </c>
      <c r="AC404" s="22">
        <v>899</v>
      </c>
    </row>
    <row r="405" spans="1:31" ht="28.5" customHeight="1" thickBot="1">
      <c r="A405" s="22" t="s">
        <v>7380</v>
      </c>
      <c r="C405" s="8" t="s">
        <v>7381</v>
      </c>
      <c r="D405" s="9" t="s">
        <v>7382</v>
      </c>
      <c r="E405" s="9" t="s">
        <v>7384</v>
      </c>
      <c r="F405" s="8" t="str">
        <f t="shared" si="16"/>
        <v>gift-codes.html?game=虹彩六號M</v>
      </c>
      <c r="G405" s="9" t="s">
        <v>7383</v>
      </c>
      <c r="H405" s="9" t="str">
        <f t="shared" si="17"/>
        <v>https://www.ssbuy.tw/game-detail.html?game=虹彩六號M</v>
      </c>
      <c r="I405" s="10" t="s">
        <v>7385</v>
      </c>
      <c r="J405" s="16" t="s">
        <v>5418</v>
      </c>
      <c r="K405" s="39" t="s">
        <v>5446</v>
      </c>
      <c r="L405" s="21" t="s">
        <v>5939</v>
      </c>
      <c r="M405" s="22">
        <v>2751</v>
      </c>
      <c r="N405" s="21" t="s">
        <v>5940</v>
      </c>
      <c r="O405" s="22">
        <v>1427</v>
      </c>
      <c r="P405" s="21" t="s">
        <v>5941</v>
      </c>
      <c r="Q405" s="22">
        <v>836</v>
      </c>
      <c r="R405" s="21" t="s">
        <v>5942</v>
      </c>
      <c r="S405" s="22">
        <v>734</v>
      </c>
      <c r="T405" s="21" t="s">
        <v>5943</v>
      </c>
      <c r="U405" s="22">
        <v>566</v>
      </c>
      <c r="V405" s="21" t="s">
        <v>5944</v>
      </c>
      <c r="W405" s="22">
        <v>414</v>
      </c>
      <c r="X405" s="21" t="s">
        <v>5945</v>
      </c>
      <c r="Y405" s="22">
        <v>279</v>
      </c>
      <c r="Z405" s="21" t="s">
        <v>5946</v>
      </c>
      <c r="AA405" s="22">
        <v>146</v>
      </c>
      <c r="AB405" s="21" t="s">
        <v>5947</v>
      </c>
      <c r="AC405" s="22">
        <v>28</v>
      </c>
    </row>
    <row r="406" spans="1:31" ht="28.5" customHeight="1" thickBot="1">
      <c r="A406" s="22" t="s">
        <v>7402</v>
      </c>
      <c r="C406" s="8" t="s">
        <v>7408</v>
      </c>
      <c r="D406" s="9" t="s">
        <v>7409</v>
      </c>
      <c r="E406" s="9" t="s">
        <v>7407</v>
      </c>
      <c r="F406" s="8" t="str">
        <f t="shared" si="16"/>
        <v>gift-codes.html?game=勇者來開團</v>
      </c>
      <c r="G406" s="9" t="s">
        <v>7413</v>
      </c>
      <c r="H406" s="9" t="str">
        <f t="shared" si="17"/>
        <v>https://www.ssbuy.tw/game-detail.html?game=勇者來開團</v>
      </c>
      <c r="I406" s="10" t="s">
        <v>7415</v>
      </c>
      <c r="J406" s="16" t="s">
        <v>5418</v>
      </c>
      <c r="K406" s="39" t="s">
        <v>5446</v>
      </c>
      <c r="L406" s="21" t="s">
        <v>7417</v>
      </c>
      <c r="M406" s="22">
        <v>2959</v>
      </c>
      <c r="N406" s="21" t="s">
        <v>7418</v>
      </c>
      <c r="O406" s="22">
        <v>1534</v>
      </c>
      <c r="P406" s="21" t="s">
        <v>7419</v>
      </c>
      <c r="Q406" s="22">
        <v>608</v>
      </c>
      <c r="R406" s="21" t="s">
        <v>7420</v>
      </c>
      <c r="S406" s="22">
        <v>300</v>
      </c>
      <c r="T406" s="21" t="s">
        <v>7421</v>
      </c>
      <c r="U406" s="22">
        <v>157</v>
      </c>
      <c r="V406" s="21" t="s">
        <v>7422</v>
      </c>
      <c r="W406" s="22">
        <v>31</v>
      </c>
    </row>
    <row r="407" spans="1:31" ht="28.5" customHeight="1" thickBot="1">
      <c r="A407" s="114" t="s">
        <v>7414</v>
      </c>
      <c r="C407" s="36" t="s">
        <v>7403</v>
      </c>
      <c r="D407" s="9" t="s">
        <v>7406</v>
      </c>
      <c r="E407" s="16" t="s">
        <v>7405</v>
      </c>
      <c r="F407" s="8" t="str">
        <f t="shared" si="16"/>
        <v>gift-codes.html?game=Medabots Survivors</v>
      </c>
      <c r="G407" s="16" t="s">
        <v>7404</v>
      </c>
      <c r="H407" s="9" t="str">
        <f t="shared" si="17"/>
        <v>https://www.ssbuy.tw/game-detail.html?game=Medabots Survivors</v>
      </c>
      <c r="I407" s="10" t="s">
        <v>7416</v>
      </c>
      <c r="J407" s="16" t="s">
        <v>5418</v>
      </c>
      <c r="K407" s="39" t="s">
        <v>5446</v>
      </c>
      <c r="L407" s="21" t="s">
        <v>3834</v>
      </c>
      <c r="M407" s="22">
        <v>2261</v>
      </c>
      <c r="N407" s="21" t="s">
        <v>7432</v>
      </c>
      <c r="O407" s="22">
        <v>1807</v>
      </c>
      <c r="P407" s="21" t="s">
        <v>7433</v>
      </c>
      <c r="Q407" s="22">
        <v>717</v>
      </c>
      <c r="R407" s="21" t="s">
        <v>7434</v>
      </c>
      <c r="S407" s="22">
        <v>536</v>
      </c>
      <c r="T407" s="21" t="s">
        <v>284</v>
      </c>
      <c r="U407" s="22">
        <v>176</v>
      </c>
      <c r="V407" s="21" t="s">
        <v>5248</v>
      </c>
      <c r="W407" s="22">
        <v>28</v>
      </c>
      <c r="X407" s="21" t="s">
        <v>7435</v>
      </c>
      <c r="Y407" s="22">
        <v>139</v>
      </c>
      <c r="Z407" s="21" t="s">
        <v>7436</v>
      </c>
      <c r="AA407" s="22">
        <v>291</v>
      </c>
    </row>
    <row r="408" spans="1:31" ht="28.5" customHeight="1" thickBot="1">
      <c r="A408" s="22" t="s">
        <v>7442</v>
      </c>
      <c r="C408" s="8" t="s">
        <v>7447</v>
      </c>
      <c r="D408" s="9" t="s">
        <v>7446</v>
      </c>
      <c r="E408" s="9" t="s">
        <v>7444</v>
      </c>
      <c r="F408" s="8" t="str">
        <f t="shared" si="16"/>
        <v>gift-codes.html?game=新三國志曹操傳</v>
      </c>
      <c r="G408" s="9" t="s">
        <v>7445</v>
      </c>
      <c r="H408" s="9" t="str">
        <f t="shared" si="17"/>
        <v>https://www.ssbuy.tw/game-detail.html?game=新三國志曹操傳</v>
      </c>
      <c r="I408" s="10" t="s">
        <v>7452</v>
      </c>
      <c r="J408" s="16" t="s">
        <v>5418</v>
      </c>
      <c r="K408" s="39" t="s">
        <v>5446</v>
      </c>
      <c r="L408" s="21" t="s">
        <v>5487</v>
      </c>
      <c r="M408" s="22">
        <v>2735</v>
      </c>
      <c r="N408" s="21" t="s">
        <v>5488</v>
      </c>
      <c r="O408" s="22">
        <v>1418</v>
      </c>
      <c r="P408" s="21" t="s">
        <v>5489</v>
      </c>
      <c r="Q408" s="22">
        <v>831</v>
      </c>
      <c r="R408" s="21" t="s">
        <v>7773</v>
      </c>
      <c r="S408" s="22">
        <v>411</v>
      </c>
      <c r="T408" s="21" t="s">
        <v>7774</v>
      </c>
      <c r="U408" s="22">
        <v>145</v>
      </c>
      <c r="V408" s="21" t="s">
        <v>7775</v>
      </c>
      <c r="W408" s="22">
        <v>28</v>
      </c>
      <c r="X408" s="34" t="s">
        <v>7776</v>
      </c>
      <c r="Y408" s="22">
        <v>5480</v>
      </c>
      <c r="Z408" s="21"/>
      <c r="AA408" s="22"/>
      <c r="AB408" s="21"/>
      <c r="AC408" s="22"/>
      <c r="AD408" s="21"/>
      <c r="AE408" s="22"/>
    </row>
    <row r="409" spans="1:31" ht="28.5" customHeight="1" thickBot="1">
      <c r="A409" s="22" t="s">
        <v>7443</v>
      </c>
      <c r="C409" s="8" t="s">
        <v>7448</v>
      </c>
      <c r="D409" s="9" t="s">
        <v>7449</v>
      </c>
      <c r="E409" s="9" t="s">
        <v>7451</v>
      </c>
      <c r="F409" s="8" t="str">
        <f t="shared" si="16"/>
        <v>gift-codes.html?game=物華彌新</v>
      </c>
      <c r="G409" s="9" t="s">
        <v>7450</v>
      </c>
      <c r="H409" s="9" t="str">
        <f t="shared" si="17"/>
        <v>https://www.ssbuy.tw/game-detail.html?game=物華彌新</v>
      </c>
      <c r="I409" s="10" t="s">
        <v>7453</v>
      </c>
      <c r="J409" s="16" t="s">
        <v>5418</v>
      </c>
      <c r="K409" s="39" t="s">
        <v>5446</v>
      </c>
      <c r="L409" s="21" t="s">
        <v>7533</v>
      </c>
      <c r="M409" s="22">
        <v>2799</v>
      </c>
      <c r="N409" s="21" t="s">
        <v>7534</v>
      </c>
      <c r="O409" s="22">
        <v>1709</v>
      </c>
      <c r="P409" s="21" t="s">
        <v>7535</v>
      </c>
      <c r="Q409" s="22">
        <v>936</v>
      </c>
      <c r="R409" s="21" t="s">
        <v>7536</v>
      </c>
      <c r="S409" s="22">
        <v>593</v>
      </c>
      <c r="T409" s="21" t="s">
        <v>7537</v>
      </c>
      <c r="U409" s="22">
        <v>283</v>
      </c>
      <c r="V409" s="21" t="s">
        <v>7538</v>
      </c>
      <c r="W409" s="22">
        <v>131</v>
      </c>
      <c r="X409" s="21" t="s">
        <v>7539</v>
      </c>
      <c r="Y409" s="22">
        <v>131</v>
      </c>
      <c r="Z409" s="21" t="s">
        <v>7540</v>
      </c>
      <c r="AA409" s="22">
        <v>263</v>
      </c>
      <c r="AB409" s="21" t="s">
        <v>7541</v>
      </c>
      <c r="AC409" s="22">
        <v>283</v>
      </c>
      <c r="AD409" s="21" t="s">
        <v>7542</v>
      </c>
      <c r="AE409" s="22">
        <v>593</v>
      </c>
    </row>
    <row r="410" spans="1:31" ht="28.5" customHeight="1" thickBot="1">
      <c r="A410" s="22" t="s">
        <v>7457</v>
      </c>
      <c r="C410" s="8" t="s">
        <v>7460</v>
      </c>
      <c r="D410" s="9" t="s">
        <v>7462</v>
      </c>
      <c r="E410" s="9" t="s">
        <v>7461</v>
      </c>
      <c r="F410" s="8" t="str">
        <f t="shared" si="16"/>
        <v>gift-codes.html?game=進擊的喵喵</v>
      </c>
      <c r="G410" s="9" t="s">
        <v>7459</v>
      </c>
      <c r="H410" s="9" t="str">
        <f t="shared" si="17"/>
        <v>https://www.ssbuy.tw/game-detail.html?game=進擊的喵喵</v>
      </c>
      <c r="I410" s="10" t="s">
        <v>7477</v>
      </c>
      <c r="J410" s="16" t="s">
        <v>5418</v>
      </c>
      <c r="K410" s="39" t="s">
        <v>5446</v>
      </c>
      <c r="L410" s="21" t="s">
        <v>7552</v>
      </c>
      <c r="M410" s="22">
        <v>2310</v>
      </c>
      <c r="N410" s="21" t="s">
        <v>7553</v>
      </c>
      <c r="O410" s="22">
        <v>1632</v>
      </c>
      <c r="P410" s="21" t="s">
        <v>7554</v>
      </c>
      <c r="Q410" s="22">
        <v>1117</v>
      </c>
      <c r="R410" s="21" t="s">
        <v>111</v>
      </c>
      <c r="S410" s="22">
        <v>601</v>
      </c>
      <c r="T410" s="21" t="s">
        <v>6499</v>
      </c>
      <c r="U410" s="22">
        <v>263</v>
      </c>
      <c r="V410" s="21" t="s">
        <v>31</v>
      </c>
      <c r="W410" s="22">
        <v>114</v>
      </c>
      <c r="X410" s="21" t="s">
        <v>7555</v>
      </c>
      <c r="Y410" s="22">
        <v>575</v>
      </c>
      <c r="Z410" s="21" t="s">
        <v>7556</v>
      </c>
      <c r="AA410" s="22">
        <v>236</v>
      </c>
      <c r="AB410" s="21" t="s">
        <v>7557</v>
      </c>
      <c r="AC410" s="22">
        <v>283</v>
      </c>
    </row>
    <row r="411" spans="1:31" ht="28.5" customHeight="1" thickBot="1">
      <c r="A411" s="22" t="s">
        <v>7458</v>
      </c>
      <c r="C411" s="8" t="s">
        <v>7463</v>
      </c>
      <c r="E411" s="9" t="s">
        <v>7465</v>
      </c>
      <c r="F411" s="8" t="str">
        <f t="shared" si="16"/>
        <v>gift-codes.html?game=迷你英雄：重返部落</v>
      </c>
      <c r="G411" s="9" t="s">
        <v>7464</v>
      </c>
      <c r="H411" s="9" t="str">
        <f t="shared" si="17"/>
        <v>https://www.ssbuy.tw/game-detail.html?game=迷你英雄：重返部落</v>
      </c>
      <c r="I411" s="10" t="s">
        <v>7476</v>
      </c>
      <c r="J411" s="16" t="s">
        <v>5418</v>
      </c>
      <c r="K411" s="39" t="s">
        <v>5446</v>
      </c>
      <c r="L411" s="21" t="s">
        <v>179</v>
      </c>
      <c r="M411" s="22">
        <v>2799</v>
      </c>
      <c r="N411" s="21" t="s">
        <v>180</v>
      </c>
      <c r="O411" s="22">
        <v>1451</v>
      </c>
      <c r="P411" s="21" t="s">
        <v>181</v>
      </c>
      <c r="Q411" s="22">
        <v>850</v>
      </c>
      <c r="R411" s="21" t="s">
        <v>7531</v>
      </c>
      <c r="S411" s="22">
        <v>369</v>
      </c>
      <c r="T411" s="21" t="s">
        <v>65</v>
      </c>
      <c r="U411" s="22">
        <v>149</v>
      </c>
      <c r="V411" s="21" t="s">
        <v>194</v>
      </c>
      <c r="W411" s="22">
        <v>60</v>
      </c>
      <c r="X411" s="21" t="s">
        <v>7532</v>
      </c>
      <c r="Y411" s="22">
        <v>114</v>
      </c>
      <c r="Z411" s="21" t="s">
        <v>1295</v>
      </c>
      <c r="AA411" s="22">
        <v>149</v>
      </c>
      <c r="AB411" s="21" t="s">
        <v>1519</v>
      </c>
      <c r="AC411" s="22">
        <v>850</v>
      </c>
    </row>
    <row r="412" spans="1:31" ht="28.5" customHeight="1" thickBot="1">
      <c r="A412" s="114" t="s">
        <v>7488</v>
      </c>
      <c r="C412" s="36" t="s">
        <v>7481</v>
      </c>
      <c r="D412" s="9" t="s">
        <v>7478</v>
      </c>
      <c r="E412" s="9" t="s">
        <v>7480</v>
      </c>
      <c r="F412" s="8" t="str">
        <f t="shared" si="16"/>
        <v>gift-codes.html?game=石器時代：放置冒險</v>
      </c>
      <c r="G412" s="9" t="s">
        <v>7479</v>
      </c>
      <c r="H412" s="9" t="str">
        <f t="shared" si="17"/>
        <v>https://www.ssbuy.tw/game-detail.html?game=石器時代：放置冒險</v>
      </c>
      <c r="I412" s="10" t="s">
        <v>7489</v>
      </c>
      <c r="J412" s="16" t="s">
        <v>5418</v>
      </c>
      <c r="K412" s="39" t="s">
        <v>5446</v>
      </c>
      <c r="L412" s="21" t="s">
        <v>7543</v>
      </c>
      <c r="M412" s="22">
        <v>1881</v>
      </c>
      <c r="N412" s="21" t="s">
        <v>7544</v>
      </c>
      <c r="O412" s="22">
        <v>902</v>
      </c>
      <c r="P412" s="21" t="s">
        <v>7545</v>
      </c>
      <c r="Q412" s="22">
        <v>455</v>
      </c>
      <c r="R412" s="21" t="s">
        <v>7546</v>
      </c>
      <c r="S412" s="22">
        <v>201</v>
      </c>
      <c r="T412" s="21" t="s">
        <v>7547</v>
      </c>
      <c r="U412" s="22">
        <v>88</v>
      </c>
      <c r="V412" s="21" t="s">
        <v>7548</v>
      </c>
      <c r="W412" s="22">
        <v>29</v>
      </c>
      <c r="X412" s="21" t="s">
        <v>7549</v>
      </c>
      <c r="Y412" s="22">
        <v>575</v>
      </c>
      <c r="Z412" s="21" t="s">
        <v>7550</v>
      </c>
      <c r="AA412" s="22">
        <v>149</v>
      </c>
      <c r="AB412" s="21" t="s">
        <v>7551</v>
      </c>
      <c r="AC412" s="22">
        <v>201</v>
      </c>
    </row>
    <row r="413" spans="1:31" ht="28.5" customHeight="1" thickBot="1">
      <c r="A413" s="22" t="s">
        <v>7819</v>
      </c>
      <c r="E413" s="9" t="s">
        <v>7519</v>
      </c>
      <c r="F413" s="8" t="str">
        <f t="shared" si="16"/>
        <v>gift-codes.html?game=靈龍谷 - 孵化與養成</v>
      </c>
      <c r="G413" s="9" t="s">
        <v>7518</v>
      </c>
      <c r="H413" s="9" t="str">
        <f t="shared" si="17"/>
        <v>https://www.ssbuy.tw/game-detail.html?game=靈龍谷 - 孵化與養成</v>
      </c>
      <c r="I413" s="10" t="s">
        <v>7522</v>
      </c>
      <c r="J413" s="16" t="s">
        <v>5418</v>
      </c>
      <c r="K413" s="39" t="s">
        <v>5446</v>
      </c>
      <c r="L413" s="21" t="s">
        <v>7558</v>
      </c>
      <c r="M413" s="22">
        <v>2544</v>
      </c>
      <c r="N413" s="21" t="s">
        <v>1321</v>
      </c>
      <c r="O413" s="22">
        <v>1280</v>
      </c>
      <c r="P413" s="21" t="s">
        <v>3624</v>
      </c>
      <c r="Q413" s="22">
        <v>679</v>
      </c>
      <c r="R413" s="21" t="s">
        <v>3514</v>
      </c>
      <c r="S413" s="22">
        <v>275</v>
      </c>
      <c r="T413" s="21" t="s">
        <v>7559</v>
      </c>
      <c r="U413" s="22">
        <v>131</v>
      </c>
      <c r="V413" s="21" t="s">
        <v>31</v>
      </c>
      <c r="W413" s="22">
        <v>53</v>
      </c>
      <c r="X413" s="21" t="s">
        <v>7560</v>
      </c>
      <c r="Y413" s="22">
        <v>275</v>
      </c>
      <c r="Z413" s="21" t="s">
        <v>7561</v>
      </c>
      <c r="AA413" s="22">
        <v>131</v>
      </c>
      <c r="AB413" s="21"/>
      <c r="AC413" s="22"/>
    </row>
    <row r="414" spans="1:31" ht="28.5" customHeight="1" thickBot="1">
      <c r="A414" s="22" t="s">
        <v>7520</v>
      </c>
      <c r="C414" s="8" t="s">
        <v>7517</v>
      </c>
      <c r="D414" s="9" t="s">
        <v>7515</v>
      </c>
      <c r="E414" s="9" t="s">
        <v>7514</v>
      </c>
      <c r="F414" s="8" t="str">
        <f t="shared" si="16"/>
        <v>gift-codes.html?game=對魔忍特遣隊</v>
      </c>
      <c r="G414" s="9" t="s">
        <v>7516</v>
      </c>
      <c r="H414" s="9" t="str">
        <f t="shared" si="17"/>
        <v>https://www.ssbuy.tw/game-detail.html?game=對魔忍特遣隊</v>
      </c>
      <c r="I414" s="10" t="s">
        <v>7523</v>
      </c>
      <c r="J414" s="16" t="s">
        <v>5418</v>
      </c>
      <c r="K414" s="39" t="s">
        <v>5446</v>
      </c>
      <c r="L414" s="21" t="s">
        <v>7591</v>
      </c>
      <c r="M414" s="22">
        <v>2544</v>
      </c>
      <c r="N414" s="21" t="s">
        <v>7586</v>
      </c>
      <c r="O414" s="22">
        <v>1280</v>
      </c>
      <c r="P414" s="21" t="s">
        <v>7587</v>
      </c>
      <c r="Q414" s="22">
        <v>679</v>
      </c>
      <c r="R414" s="21" t="s">
        <v>7588</v>
      </c>
      <c r="S414" s="22">
        <v>275</v>
      </c>
      <c r="T414" s="21" t="s">
        <v>7589</v>
      </c>
      <c r="U414" s="22">
        <v>166</v>
      </c>
      <c r="V414" s="21" t="s">
        <v>7590</v>
      </c>
      <c r="W414" s="22">
        <v>26</v>
      </c>
      <c r="X414" s="21"/>
      <c r="Y414" s="22"/>
      <c r="Z414" s="21"/>
      <c r="AA414" s="22"/>
      <c r="AB414" s="21"/>
      <c r="AC414" s="22"/>
    </row>
    <row r="415" spans="1:31" ht="28.5" customHeight="1" thickBot="1">
      <c r="A415" s="22" t="s">
        <v>7521</v>
      </c>
      <c r="C415" s="8" t="s">
        <v>7510</v>
      </c>
      <c r="D415" s="9" t="s">
        <v>7513</v>
      </c>
      <c r="E415" s="9" t="s">
        <v>7512</v>
      </c>
      <c r="F415" s="8" t="str">
        <f t="shared" si="16"/>
        <v>gift-codes.html?game=刀劍朝鮮</v>
      </c>
      <c r="G415" s="9" t="s">
        <v>7511</v>
      </c>
      <c r="H415" s="9" t="str">
        <f t="shared" si="17"/>
        <v>https://www.ssbuy.tw/game-detail.html?game=刀劍朝鮮</v>
      </c>
      <c r="I415" s="10" t="s">
        <v>7524</v>
      </c>
      <c r="J415" s="16" t="s">
        <v>5418</v>
      </c>
      <c r="K415" s="39" t="s">
        <v>5446</v>
      </c>
      <c r="L415" s="21" t="s">
        <v>5939</v>
      </c>
      <c r="M415" s="22">
        <v>2751</v>
      </c>
      <c r="N415" s="21" t="s">
        <v>5940</v>
      </c>
      <c r="O415" s="22">
        <v>1427</v>
      </c>
      <c r="P415" s="21" t="s">
        <v>5941</v>
      </c>
      <c r="Q415" s="22">
        <v>836</v>
      </c>
      <c r="R415" s="21" t="s">
        <v>5942</v>
      </c>
      <c r="S415" s="22">
        <v>734</v>
      </c>
      <c r="T415" s="21" t="s">
        <v>5943</v>
      </c>
      <c r="U415" s="22">
        <v>566</v>
      </c>
      <c r="V415" s="21" t="s">
        <v>5944</v>
      </c>
      <c r="W415" s="22">
        <v>414</v>
      </c>
      <c r="X415" s="21" t="s">
        <v>5945</v>
      </c>
      <c r="Y415" s="22">
        <v>279</v>
      </c>
      <c r="Z415" s="21" t="s">
        <v>5946</v>
      </c>
      <c r="AA415" s="22">
        <v>146</v>
      </c>
      <c r="AB415" s="21" t="s">
        <v>5947</v>
      </c>
      <c r="AC415" s="22">
        <v>28</v>
      </c>
    </row>
    <row r="416" spans="1:31" ht="28.5" customHeight="1" thickBot="1">
      <c r="A416" s="22" t="s">
        <v>7571</v>
      </c>
      <c r="C416" s="8" t="s">
        <v>7566</v>
      </c>
      <c r="D416" s="9" t="s">
        <v>7565</v>
      </c>
      <c r="E416" s="9" t="s">
        <v>7563</v>
      </c>
      <c r="F416" s="8" t="str">
        <f t="shared" si="16"/>
        <v>gift-codes.html?game=咻咻史萊姆</v>
      </c>
      <c r="G416" s="9" t="s">
        <v>7564</v>
      </c>
      <c r="H416" s="9" t="str">
        <f t="shared" si="17"/>
        <v>https://www.ssbuy.tw/game-detail.html?game=咻咻史萊姆</v>
      </c>
      <c r="I416" s="10" t="s">
        <v>7572</v>
      </c>
      <c r="J416" s="16" t="s">
        <v>5418</v>
      </c>
      <c r="K416" s="39" t="s">
        <v>5446</v>
      </c>
      <c r="L416" s="21" t="s">
        <v>7724</v>
      </c>
      <c r="M416" s="22">
        <v>8230</v>
      </c>
      <c r="N416" s="21" t="s">
        <v>7725</v>
      </c>
      <c r="O416" s="22">
        <v>2743</v>
      </c>
      <c r="P416" s="21" t="s">
        <v>7726</v>
      </c>
      <c r="Q416" s="22">
        <v>1385</v>
      </c>
      <c r="R416" s="21" t="s">
        <v>7727</v>
      </c>
      <c r="S416" s="22">
        <v>554</v>
      </c>
      <c r="T416" s="21" t="s">
        <v>7728</v>
      </c>
      <c r="U416" s="22">
        <v>277</v>
      </c>
      <c r="V416" s="21" t="s">
        <v>7729</v>
      </c>
      <c r="W416" s="22">
        <v>141</v>
      </c>
      <c r="X416" s="21" t="s">
        <v>5689</v>
      </c>
      <c r="Y416" s="22">
        <v>28</v>
      </c>
      <c r="Z416" s="21"/>
      <c r="AA416" s="22"/>
      <c r="AB416" s="21"/>
      <c r="AC416" s="22"/>
    </row>
    <row r="417" spans="1:29" ht="28.5" customHeight="1" thickBot="1">
      <c r="A417" s="22" t="s">
        <v>7562</v>
      </c>
      <c r="C417" s="8" t="s">
        <v>7570</v>
      </c>
      <c r="D417" s="9" t="s">
        <v>7568</v>
      </c>
      <c r="E417" s="9" t="s">
        <v>7569</v>
      </c>
      <c r="F417" s="8" t="str">
        <f t="shared" si="16"/>
        <v>gift-codes.html?game=VAMPIR：血之繼承者</v>
      </c>
      <c r="G417" s="9" t="s">
        <v>7567</v>
      </c>
      <c r="H417" s="9" t="str">
        <f t="shared" si="17"/>
        <v>https://www.ssbuy.tw/game-detail.html?game=VAMPIR：血之繼承者</v>
      </c>
      <c r="I417" s="10" t="s">
        <v>7573</v>
      </c>
      <c r="J417" s="16" t="s">
        <v>5418</v>
      </c>
      <c r="K417" s="39" t="s">
        <v>5446</v>
      </c>
      <c r="L417" s="21" t="s">
        <v>5939</v>
      </c>
      <c r="M417" s="22">
        <v>2751</v>
      </c>
      <c r="N417" s="21" t="s">
        <v>5940</v>
      </c>
      <c r="O417" s="22">
        <v>1427</v>
      </c>
      <c r="P417" s="21" t="s">
        <v>5941</v>
      </c>
      <c r="Q417" s="22">
        <v>836</v>
      </c>
      <c r="R417" s="21" t="s">
        <v>5942</v>
      </c>
      <c r="S417" s="22">
        <v>734</v>
      </c>
      <c r="T417" s="21" t="s">
        <v>5943</v>
      </c>
      <c r="U417" s="22">
        <v>566</v>
      </c>
      <c r="V417" s="21" t="s">
        <v>5944</v>
      </c>
      <c r="W417" s="22">
        <v>414</v>
      </c>
      <c r="X417" s="21" t="s">
        <v>5945</v>
      </c>
      <c r="Y417" s="22">
        <v>279</v>
      </c>
      <c r="Z417" s="21" t="s">
        <v>5946</v>
      </c>
      <c r="AA417" s="22">
        <v>146</v>
      </c>
      <c r="AB417" s="21" t="s">
        <v>5947</v>
      </c>
      <c r="AC417" s="22">
        <v>28</v>
      </c>
    </row>
    <row r="418" spans="1:29" ht="28.5" customHeight="1" thickBot="1">
      <c r="A418" s="22" t="s">
        <v>7592</v>
      </c>
      <c r="C418" s="8" t="s">
        <v>7639</v>
      </c>
      <c r="E418" s="9" t="s">
        <v>7595</v>
      </c>
      <c r="F418" s="8" t="str">
        <f t="shared" si="16"/>
        <v>gift-codes.html?game=決勝之心</v>
      </c>
      <c r="G418" s="9" t="s">
        <v>7594</v>
      </c>
      <c r="H418" s="9" t="str">
        <f t="shared" si="17"/>
        <v>https://www.ssbuy.tw/game-detail.html?game=決勝之心</v>
      </c>
      <c r="I418" s="10" t="s">
        <v>7600</v>
      </c>
      <c r="J418" s="16" t="s">
        <v>5418</v>
      </c>
      <c r="K418" s="39" t="s">
        <v>5446</v>
      </c>
      <c r="L418" s="21" t="s">
        <v>7759</v>
      </c>
      <c r="M418" s="22">
        <v>2486</v>
      </c>
      <c r="N418" s="21" t="s">
        <v>7760</v>
      </c>
      <c r="O418" s="22">
        <v>1250</v>
      </c>
      <c r="P418" s="21" t="s">
        <v>7761</v>
      </c>
      <c r="Q418" s="22">
        <v>831</v>
      </c>
      <c r="R418" s="21" t="s">
        <v>7762</v>
      </c>
      <c r="S418" s="22">
        <v>411</v>
      </c>
      <c r="T418" s="21" t="s">
        <v>7763</v>
      </c>
      <c r="U418" s="22">
        <v>145</v>
      </c>
      <c r="V418" s="21" t="s">
        <v>7764</v>
      </c>
      <c r="W418" s="22">
        <v>28</v>
      </c>
      <c r="X418" s="21" t="s">
        <v>5734</v>
      </c>
      <c r="Y418" s="22">
        <v>145</v>
      </c>
      <c r="Z418" s="21" t="s">
        <v>142</v>
      </c>
      <c r="AA418" s="22">
        <v>277</v>
      </c>
      <c r="AB418" s="21" t="s">
        <v>7765</v>
      </c>
      <c r="AC418" s="22">
        <v>562</v>
      </c>
    </row>
    <row r="419" spans="1:29" ht="28.5" customHeight="1" thickBot="1">
      <c r="A419" s="22" t="s">
        <v>7593</v>
      </c>
      <c r="C419" s="8" t="s">
        <v>7596</v>
      </c>
      <c r="D419" s="9" t="s">
        <v>7599</v>
      </c>
      <c r="E419" s="9" t="s">
        <v>7598</v>
      </c>
      <c r="F419" s="8" t="str">
        <f t="shared" si="16"/>
        <v>gift-codes.html?game=我推的浴姬</v>
      </c>
      <c r="G419" s="9" t="s">
        <v>7597</v>
      </c>
      <c r="H419" s="9" t="str">
        <f t="shared" si="17"/>
        <v>https://www.ssbuy.tw/game-detail.html?game=我推的浴姬</v>
      </c>
      <c r="I419" s="10" t="s">
        <v>7601</v>
      </c>
      <c r="J419" s="16" t="s">
        <v>5418</v>
      </c>
      <c r="K419" s="39" t="s">
        <v>5446</v>
      </c>
      <c r="L419" s="21" t="s">
        <v>12</v>
      </c>
      <c r="M419" s="22">
        <v>2735</v>
      </c>
      <c r="N419" s="21" t="s">
        <v>7758</v>
      </c>
      <c r="O419" s="22">
        <v>1670</v>
      </c>
      <c r="P419" s="21" t="s">
        <v>24</v>
      </c>
      <c r="Q419" s="22">
        <v>831</v>
      </c>
      <c r="R419" s="21" t="s">
        <v>14</v>
      </c>
      <c r="S419" s="22">
        <v>562</v>
      </c>
      <c r="T419" s="21" t="s">
        <v>120</v>
      </c>
      <c r="U419" s="22">
        <v>277</v>
      </c>
      <c r="V419" s="21" t="s">
        <v>16</v>
      </c>
      <c r="W419" s="22">
        <v>145</v>
      </c>
      <c r="X419" s="21" t="s">
        <v>7</v>
      </c>
      <c r="Y419" s="22">
        <v>28</v>
      </c>
      <c r="Z419" s="21" t="s">
        <v>66</v>
      </c>
      <c r="AA419" s="22">
        <v>411</v>
      </c>
    </row>
    <row r="420" spans="1:29" ht="28.5" customHeight="1" thickBot="1">
      <c r="A420" s="114" t="s">
        <v>7823</v>
      </c>
      <c r="C420" s="36" t="s">
        <v>7607</v>
      </c>
      <c r="D420" s="9" t="s">
        <v>7608</v>
      </c>
      <c r="E420" s="9" t="s">
        <v>7610</v>
      </c>
      <c r="F420" s="8" t="str">
        <f t="shared" si="16"/>
        <v>gift-codes.html?game=約定之日</v>
      </c>
      <c r="G420" s="9" t="s">
        <v>7609</v>
      </c>
      <c r="H420" s="9" t="str">
        <f t="shared" si="17"/>
        <v>https://www.ssbuy.tw/game-detail.html?game=約定之日</v>
      </c>
      <c r="I420" s="10" t="s">
        <v>7618</v>
      </c>
      <c r="J420" s="16" t="s">
        <v>5418</v>
      </c>
      <c r="K420" s="39" t="s">
        <v>5446</v>
      </c>
      <c r="L420" s="21" t="s">
        <v>7625</v>
      </c>
      <c r="M420" s="22">
        <v>2500</v>
      </c>
      <c r="N420" s="21" t="s">
        <v>7626</v>
      </c>
      <c r="O420" s="22">
        <v>1680</v>
      </c>
      <c r="P420" s="21" t="s">
        <v>7627</v>
      </c>
      <c r="Q420" s="22">
        <v>1005</v>
      </c>
      <c r="R420" s="21" t="s">
        <v>7628</v>
      </c>
      <c r="S420" s="22">
        <v>414</v>
      </c>
      <c r="T420" s="21" t="s">
        <v>7629</v>
      </c>
      <c r="U420" s="22">
        <v>249</v>
      </c>
      <c r="V420" s="21" t="s">
        <v>7630</v>
      </c>
      <c r="W420" s="22">
        <v>189</v>
      </c>
      <c r="X420" s="21" t="s">
        <v>7631</v>
      </c>
      <c r="Y420" s="22">
        <v>103</v>
      </c>
      <c r="Z420" s="21" t="s">
        <v>7632</v>
      </c>
      <c r="AA420" s="22">
        <v>498</v>
      </c>
    </row>
    <row r="421" spans="1:29" ht="28.5" customHeight="1" thickBot="1">
      <c r="A421" s="114" t="s">
        <v>7617</v>
      </c>
      <c r="D421" s="9" t="s">
        <v>7613</v>
      </c>
      <c r="E421" s="9" t="s">
        <v>7612</v>
      </c>
      <c r="F421" s="8" t="str">
        <f t="shared" si="16"/>
        <v>gift-codes.html?game=同盟塔防戰</v>
      </c>
      <c r="G421" s="9" t="s">
        <v>7611</v>
      </c>
      <c r="H421" s="9" t="str">
        <f t="shared" si="17"/>
        <v>https://www.ssbuy.tw/game-detail.html?game=同盟塔防戰</v>
      </c>
      <c r="I421" s="10" t="s">
        <v>7619</v>
      </c>
      <c r="J421" s="16" t="s">
        <v>5418</v>
      </c>
      <c r="K421" s="39" t="s">
        <v>5446</v>
      </c>
      <c r="L421" s="21" t="s">
        <v>7625</v>
      </c>
      <c r="M421" s="22">
        <v>2486</v>
      </c>
      <c r="N421" s="21" t="s">
        <v>7626</v>
      </c>
      <c r="O421" s="22">
        <v>1670</v>
      </c>
      <c r="P421" s="21" t="s">
        <v>7627</v>
      </c>
      <c r="Q421" s="22">
        <v>999</v>
      </c>
      <c r="R421" s="21" t="s">
        <v>7628</v>
      </c>
      <c r="S421" s="22">
        <v>411</v>
      </c>
      <c r="T421" s="21" t="s">
        <v>7629</v>
      </c>
      <c r="U421" s="22">
        <v>248</v>
      </c>
      <c r="V421" s="21" t="s">
        <v>7630</v>
      </c>
      <c r="W421" s="22">
        <v>188</v>
      </c>
      <c r="X421" s="21" t="s">
        <v>7631</v>
      </c>
      <c r="Y421" s="22">
        <v>103</v>
      </c>
      <c r="Z421" s="21" t="s">
        <v>7632</v>
      </c>
      <c r="AA421" s="22">
        <v>495</v>
      </c>
      <c r="AB421" s="21"/>
      <c r="AC421" s="22"/>
    </row>
    <row r="422" spans="1:29" ht="28.5" customHeight="1" thickBot="1">
      <c r="A422" s="114" t="s">
        <v>7642</v>
      </c>
      <c r="C422" s="8" t="s">
        <v>7643</v>
      </c>
      <c r="E422" s="9" t="s">
        <v>7646</v>
      </c>
      <c r="F422" s="8" t="str">
        <f t="shared" si="16"/>
        <v>gift-codes.html?game=不正經魔王軍</v>
      </c>
      <c r="G422" s="9" t="s">
        <v>7647</v>
      </c>
      <c r="H422" s="9" t="str">
        <f t="shared" si="17"/>
        <v>https://www.ssbuy.tw/game-detail.html?game=不正經魔王軍</v>
      </c>
      <c r="I422" s="10" t="s">
        <v>7648</v>
      </c>
      <c r="J422" s="16" t="s">
        <v>5418</v>
      </c>
      <c r="K422" s="39" t="s">
        <v>5446</v>
      </c>
      <c r="L422" s="21" t="s">
        <v>7731</v>
      </c>
      <c r="M422" s="22">
        <v>2735</v>
      </c>
      <c r="N422" s="21" t="s">
        <v>7732</v>
      </c>
      <c r="O422" s="22">
        <v>1418</v>
      </c>
      <c r="P422" s="21" t="s">
        <v>7733</v>
      </c>
      <c r="Q422" s="22">
        <v>831</v>
      </c>
      <c r="R422" s="21" t="s">
        <v>7734</v>
      </c>
      <c r="S422" s="22">
        <v>554</v>
      </c>
      <c r="T422" s="21" t="s">
        <v>7735</v>
      </c>
      <c r="U422" s="22">
        <v>285</v>
      </c>
      <c r="V422" s="21" t="s">
        <v>7736</v>
      </c>
      <c r="W422" s="22">
        <v>141</v>
      </c>
      <c r="X422" s="21" t="s">
        <v>7737</v>
      </c>
      <c r="Y422" s="22">
        <v>28</v>
      </c>
      <c r="Z422" s="21" t="s">
        <v>7738</v>
      </c>
      <c r="AA422" s="22">
        <v>285</v>
      </c>
      <c r="AB422" s="21" t="s">
        <v>7739</v>
      </c>
      <c r="AC422" s="22">
        <v>141</v>
      </c>
    </row>
    <row r="423" spans="1:29" ht="28.5" customHeight="1" thickBot="1">
      <c r="A423" s="22" t="s">
        <v>7701</v>
      </c>
      <c r="C423" s="8" t="s">
        <v>7681</v>
      </c>
      <c r="D423" s="9" t="s">
        <v>7678</v>
      </c>
      <c r="E423" s="9" t="s">
        <v>7680</v>
      </c>
      <c r="F423" s="8" t="str">
        <f t="shared" si="16"/>
        <v>gift-codes.html?game=星之救援者</v>
      </c>
      <c r="G423" s="9" t="s">
        <v>7679</v>
      </c>
      <c r="H423" s="9" t="str">
        <f t="shared" si="17"/>
        <v>https://www.ssbuy.tw/game-detail.html?game=星之救援者</v>
      </c>
      <c r="I423" s="10" t="s">
        <v>7682</v>
      </c>
      <c r="J423" s="16" t="s">
        <v>5418</v>
      </c>
      <c r="K423" s="39" t="s">
        <v>5446</v>
      </c>
      <c r="L423" s="21" t="s">
        <v>5939</v>
      </c>
      <c r="M423" s="22">
        <v>2751</v>
      </c>
      <c r="N423" s="21" t="s">
        <v>5940</v>
      </c>
      <c r="O423" s="22">
        <v>1427</v>
      </c>
      <c r="P423" s="21" t="s">
        <v>5941</v>
      </c>
      <c r="Q423" s="22">
        <v>836</v>
      </c>
      <c r="R423" s="21" t="s">
        <v>5942</v>
      </c>
      <c r="S423" s="22">
        <v>734</v>
      </c>
      <c r="T423" s="21" t="s">
        <v>5943</v>
      </c>
      <c r="U423" s="22">
        <v>566</v>
      </c>
      <c r="V423" s="21" t="s">
        <v>5944</v>
      </c>
      <c r="W423" s="22">
        <v>414</v>
      </c>
      <c r="X423" s="21" t="s">
        <v>5945</v>
      </c>
      <c r="Y423" s="22">
        <v>279</v>
      </c>
      <c r="Z423" s="21" t="s">
        <v>5946</v>
      </c>
      <c r="AA423" s="22">
        <v>146</v>
      </c>
      <c r="AB423" s="21" t="s">
        <v>5947</v>
      </c>
      <c r="AC423" s="22">
        <v>28</v>
      </c>
    </row>
    <row r="424" spans="1:29" ht="28.5" customHeight="1" thickBot="1">
      <c r="A424" s="22" t="s">
        <v>7820</v>
      </c>
      <c r="C424" s="36" t="s">
        <v>7666</v>
      </c>
      <c r="D424" s="9" t="s">
        <v>7667</v>
      </c>
      <c r="E424" s="9" t="s">
        <v>7669</v>
      </c>
      <c r="F424" s="8" t="str">
        <f t="shared" si="16"/>
        <v>gift-codes.html?game=希望M ON CROSS</v>
      </c>
      <c r="G424" s="9" t="s">
        <v>7668</v>
      </c>
      <c r="H424" s="9" t="str">
        <f t="shared" si="17"/>
        <v>https://www.ssbuy.tw/game-detail.html?game=希望M ON CROSS</v>
      </c>
      <c r="I424" s="10" t="s">
        <v>7683</v>
      </c>
      <c r="J424" s="16" t="s">
        <v>5418</v>
      </c>
      <c r="K424" s="39" t="s">
        <v>5446</v>
      </c>
      <c r="L424" s="21" t="s">
        <v>7766</v>
      </c>
      <c r="M424" s="22">
        <v>1989</v>
      </c>
      <c r="N424" s="21" t="s">
        <v>7767</v>
      </c>
      <c r="O424" s="22">
        <v>1006</v>
      </c>
      <c r="P424" s="21" t="s">
        <v>7768</v>
      </c>
      <c r="Q424" s="22">
        <v>616</v>
      </c>
      <c r="R424" s="21" t="s">
        <v>7769</v>
      </c>
      <c r="S424" s="22">
        <v>428</v>
      </c>
      <c r="T424" s="21" t="s">
        <v>7770</v>
      </c>
      <c r="U424" s="22">
        <v>200</v>
      </c>
      <c r="V424" s="21" t="s">
        <v>7771</v>
      </c>
      <c r="W424" s="22">
        <v>88</v>
      </c>
      <c r="X424" s="21" t="s">
        <v>7772</v>
      </c>
      <c r="Y424" s="22">
        <v>310</v>
      </c>
      <c r="Z424" s="21"/>
      <c r="AA424" s="22"/>
      <c r="AB424" s="21"/>
      <c r="AC424" s="22"/>
    </row>
    <row r="425" spans="1:29" ht="28.5" customHeight="1" thickBot="1">
      <c r="A425" s="114" t="s">
        <v>7664</v>
      </c>
      <c r="C425" s="8" t="s">
        <v>7674</v>
      </c>
      <c r="D425" s="9" t="s">
        <v>7675</v>
      </c>
      <c r="E425" s="9" t="s">
        <v>7676</v>
      </c>
      <c r="F425" s="8" t="str">
        <f t="shared" si="16"/>
        <v>gift-codes.html?game=RO仙境傳說：愛如初見Classic</v>
      </c>
      <c r="G425" s="9" t="s">
        <v>7677</v>
      </c>
      <c r="H425" s="9" t="str">
        <f t="shared" si="17"/>
        <v>https://www.ssbuy.tw/game-detail.html?game=RO仙境傳說：愛如初見Classic</v>
      </c>
      <c r="I425" s="10" t="s">
        <v>7684</v>
      </c>
      <c r="J425" s="16" t="s">
        <v>5418</v>
      </c>
      <c r="K425" s="39" t="s">
        <v>5446</v>
      </c>
      <c r="L425" s="21" t="s">
        <v>7969</v>
      </c>
      <c r="M425" s="22">
        <v>2587</v>
      </c>
      <c r="N425" s="21" t="s">
        <v>7970</v>
      </c>
      <c r="O425" s="22">
        <v>1302</v>
      </c>
      <c r="P425" s="21" t="s">
        <v>7971</v>
      </c>
      <c r="Q425" s="22">
        <v>585</v>
      </c>
      <c r="R425" s="21" t="s">
        <v>7972</v>
      </c>
      <c r="S425" s="22">
        <v>280</v>
      </c>
      <c r="T425" s="21" t="s">
        <v>7973</v>
      </c>
      <c r="U425" s="22">
        <v>134</v>
      </c>
      <c r="V425" s="21" t="s">
        <v>7974</v>
      </c>
      <c r="W425" s="22">
        <v>29</v>
      </c>
      <c r="X425" s="21" t="s">
        <v>7975</v>
      </c>
      <c r="Y425" s="22">
        <v>134</v>
      </c>
      <c r="Z425" s="21" t="s">
        <v>7976</v>
      </c>
      <c r="AA425" s="22">
        <v>428</v>
      </c>
      <c r="AB425" s="21"/>
      <c r="AC425" s="22"/>
    </row>
    <row r="426" spans="1:29" ht="28.5" customHeight="1" thickBot="1">
      <c r="A426" s="114" t="s">
        <v>7665</v>
      </c>
      <c r="C426" s="8" t="s">
        <v>7673</v>
      </c>
      <c r="D426" s="9" t="s">
        <v>7672</v>
      </c>
      <c r="E426" s="9" t="s">
        <v>7670</v>
      </c>
      <c r="F426" s="8" t="str">
        <f t="shared" si="16"/>
        <v>gift-codes.html?game=鐳明閃擊</v>
      </c>
      <c r="G426" s="9" t="s">
        <v>7671</v>
      </c>
      <c r="H426" s="9" t="str">
        <f t="shared" si="17"/>
        <v>https://www.ssbuy.tw/game-detail.html?game=鐳明閃擊</v>
      </c>
      <c r="I426" s="10" t="s">
        <v>7685</v>
      </c>
      <c r="J426" s="16" t="s">
        <v>5418</v>
      </c>
      <c r="K426" s="39" t="s">
        <v>5446</v>
      </c>
      <c r="L426" s="21" t="s">
        <v>7960</v>
      </c>
      <c r="M426" s="22">
        <v>2847</v>
      </c>
      <c r="N426" s="21" t="s">
        <v>7961</v>
      </c>
      <c r="O426" s="22">
        <v>1476</v>
      </c>
      <c r="P426" s="21" t="s">
        <v>7962</v>
      </c>
      <c r="Q426" s="22">
        <v>865</v>
      </c>
      <c r="R426" s="21" t="s">
        <v>7963</v>
      </c>
      <c r="S426" s="22">
        <v>428</v>
      </c>
      <c r="T426" s="21" t="s">
        <v>7964</v>
      </c>
      <c r="U426" s="22">
        <v>151</v>
      </c>
      <c r="V426" s="21" t="s">
        <v>7965</v>
      </c>
      <c r="W426" s="22">
        <v>29</v>
      </c>
      <c r="X426" s="21" t="s">
        <v>7966</v>
      </c>
      <c r="Y426" s="22">
        <v>151</v>
      </c>
      <c r="Z426" s="21" t="s">
        <v>7967</v>
      </c>
      <c r="AA426" s="22">
        <v>690</v>
      </c>
      <c r="AB426" s="21" t="s">
        <v>7968</v>
      </c>
      <c r="AC426" s="22">
        <v>428</v>
      </c>
    </row>
    <row r="427" spans="1:29" ht="28.5" customHeight="1" thickBot="1">
      <c r="A427" s="114" t="s">
        <v>7693</v>
      </c>
      <c r="C427" s="8" t="s">
        <v>7688</v>
      </c>
      <c r="E427" s="9" t="s">
        <v>7689</v>
      </c>
      <c r="F427" s="8" t="str">
        <f t="shared" si="16"/>
        <v>gift-codes.html?game=最後的迴響</v>
      </c>
      <c r="G427" s="16" t="s">
        <v>7695</v>
      </c>
      <c r="H427" s="9" t="str">
        <f t="shared" si="17"/>
        <v>https://www.ssbuy.tw/game-detail.html?game=最後的迴響</v>
      </c>
      <c r="I427" s="10" t="s">
        <v>7696</v>
      </c>
      <c r="J427" s="16" t="s">
        <v>5418</v>
      </c>
      <c r="K427" s="39" t="s">
        <v>5446</v>
      </c>
      <c r="L427" s="21" t="s">
        <v>7730</v>
      </c>
      <c r="M427" s="22">
        <v>562</v>
      </c>
      <c r="N427" s="21" t="s">
        <v>4</v>
      </c>
      <c r="O427" s="22">
        <v>2735</v>
      </c>
      <c r="P427" s="21" t="s">
        <v>5</v>
      </c>
      <c r="Q427" s="22">
        <v>1418</v>
      </c>
      <c r="R427" s="21" t="s">
        <v>4756</v>
      </c>
      <c r="S427" s="22">
        <v>562</v>
      </c>
      <c r="T427" s="21" t="s">
        <v>163</v>
      </c>
      <c r="U427" s="22">
        <v>277</v>
      </c>
      <c r="V427" s="21" t="s">
        <v>6</v>
      </c>
      <c r="W427" s="22">
        <v>145</v>
      </c>
      <c r="X427" s="21" t="s">
        <v>164</v>
      </c>
      <c r="Y427" s="22">
        <v>28</v>
      </c>
      <c r="Z427" s="21"/>
      <c r="AA427" s="22"/>
      <c r="AB427" s="21"/>
      <c r="AC427" s="22"/>
    </row>
    <row r="428" spans="1:29" ht="28.5" customHeight="1" thickBot="1">
      <c r="A428" s="114" t="s">
        <v>7694</v>
      </c>
      <c r="C428" s="8" t="s">
        <v>7686</v>
      </c>
      <c r="D428" s="9" t="s">
        <v>7690</v>
      </c>
      <c r="E428" s="9" t="s">
        <v>7691</v>
      </c>
      <c r="F428" s="8" t="str">
        <f t="shared" ref="F428:F490" si="18">IF(A428="", "", "gift-codes.html?game=" &amp; A428)</f>
        <v>gift-codes.html?game=極樂仙途</v>
      </c>
      <c r="G428" s="9" t="s">
        <v>7687</v>
      </c>
      <c r="H428" s="9" t="str">
        <f t="shared" ref="H428:H490" si="19">IF(A428="", "", "https://www.ssbuy.tw/game-detail.html?game="&amp;A428)</f>
        <v>https://www.ssbuy.tw/game-detail.html?game=極樂仙途</v>
      </c>
      <c r="I428" s="10" t="s">
        <v>7697</v>
      </c>
      <c r="J428" s="16" t="s">
        <v>5418</v>
      </c>
      <c r="K428" s="39" t="s">
        <v>5446</v>
      </c>
      <c r="L428" s="21" t="s">
        <v>1514</v>
      </c>
      <c r="M428" s="22">
        <v>2735</v>
      </c>
      <c r="N428" s="21" t="s">
        <v>1515</v>
      </c>
      <c r="O428" s="22">
        <v>1418</v>
      </c>
      <c r="P428" s="21" t="s">
        <v>5407</v>
      </c>
      <c r="Q428" s="22">
        <v>831</v>
      </c>
      <c r="R428" s="21" t="s">
        <v>1516</v>
      </c>
      <c r="S428" s="22">
        <v>562</v>
      </c>
      <c r="T428" s="21" t="s">
        <v>1517</v>
      </c>
      <c r="U428" s="22">
        <v>411</v>
      </c>
      <c r="V428" s="21" t="s">
        <v>1630</v>
      </c>
      <c r="W428" s="22">
        <v>277</v>
      </c>
      <c r="X428" s="21" t="s">
        <v>318</v>
      </c>
      <c r="Y428" s="22">
        <v>145</v>
      </c>
      <c r="Z428" s="21" t="s">
        <v>1518</v>
      </c>
      <c r="AA428" s="22">
        <v>28</v>
      </c>
      <c r="AB428" s="21"/>
      <c r="AC428" s="22"/>
    </row>
    <row r="429" spans="1:29" ht="28.5" customHeight="1" thickBot="1">
      <c r="A429" s="114" t="s">
        <v>7821</v>
      </c>
      <c r="C429" s="8" t="s">
        <v>7705</v>
      </c>
      <c r="D429" s="9" t="s">
        <v>7703</v>
      </c>
      <c r="E429" s="9" t="s">
        <v>7702</v>
      </c>
      <c r="F429" s="8" t="str">
        <f t="shared" si="18"/>
        <v>gift-codes.html?game=七大罪：origin</v>
      </c>
      <c r="G429" s="9" t="s">
        <v>7704</v>
      </c>
      <c r="H429" s="9" t="str">
        <f t="shared" si="19"/>
        <v>https://www.ssbuy.tw/game-detail.html?game=七大罪：origin</v>
      </c>
      <c r="I429" s="10" t="s">
        <v>7714</v>
      </c>
      <c r="J429" s="16" t="s">
        <v>5418</v>
      </c>
      <c r="K429" s="39" t="s">
        <v>5446</v>
      </c>
      <c r="L429" s="21" t="s">
        <v>7715</v>
      </c>
      <c r="M429" s="22">
        <v>2490</v>
      </c>
      <c r="N429" s="21" t="s">
        <v>7716</v>
      </c>
      <c r="O429" s="22">
        <v>1350</v>
      </c>
      <c r="P429" s="21" t="s">
        <v>7717</v>
      </c>
      <c r="Q429" s="22">
        <v>790</v>
      </c>
      <c r="R429" s="21" t="s">
        <v>7718</v>
      </c>
      <c r="S429" s="22">
        <v>392</v>
      </c>
      <c r="T429" s="21" t="s">
        <v>7719</v>
      </c>
      <c r="U429" s="22">
        <v>140</v>
      </c>
      <c r="V429" s="21" t="s">
        <v>7720</v>
      </c>
      <c r="W429" s="22">
        <v>30</v>
      </c>
      <c r="X429" s="21" t="s">
        <v>7721</v>
      </c>
      <c r="Y429" s="22">
        <v>660</v>
      </c>
      <c r="Z429" s="21" t="s">
        <v>7722</v>
      </c>
      <c r="AA429" s="22">
        <v>390</v>
      </c>
      <c r="AB429" s="21" t="s">
        <v>7723</v>
      </c>
      <c r="AC429" s="22">
        <v>145</v>
      </c>
    </row>
    <row r="430" spans="1:29" ht="28.5" customHeight="1" thickBot="1">
      <c r="A430" s="22" t="s">
        <v>7778</v>
      </c>
      <c r="C430" s="8" t="s">
        <v>7788</v>
      </c>
      <c r="D430" s="9" t="s">
        <v>7787</v>
      </c>
      <c r="E430" s="9" t="s">
        <v>7785</v>
      </c>
      <c r="F430" s="8" t="str">
        <f t="shared" si="18"/>
        <v>gift-codes.html?game=DISSIDIA FF</v>
      </c>
      <c r="G430" s="9" t="s">
        <v>7786</v>
      </c>
      <c r="H430" s="9" t="str">
        <f t="shared" si="19"/>
        <v>https://www.ssbuy.tw/game-detail.html?game=DISSIDIA FF</v>
      </c>
      <c r="I430" s="10" t="s">
        <v>7804</v>
      </c>
      <c r="J430" s="16" t="s">
        <v>5418</v>
      </c>
      <c r="K430" s="39" t="s">
        <v>5446</v>
      </c>
      <c r="L430" s="21" t="s">
        <v>5939</v>
      </c>
      <c r="M430" s="22">
        <v>2799</v>
      </c>
      <c r="N430" s="21" t="s">
        <v>5940</v>
      </c>
      <c r="O430" s="22">
        <v>1451</v>
      </c>
      <c r="P430" s="21" t="s">
        <v>5941</v>
      </c>
      <c r="Q430" s="22">
        <v>850</v>
      </c>
      <c r="R430" s="21" t="s">
        <v>5942</v>
      </c>
      <c r="S430" s="22">
        <v>747</v>
      </c>
      <c r="T430" s="21" t="s">
        <v>5943</v>
      </c>
      <c r="U430" s="22">
        <v>575</v>
      </c>
      <c r="V430" s="21" t="s">
        <v>5944</v>
      </c>
      <c r="W430" s="22">
        <v>421</v>
      </c>
      <c r="X430" s="21" t="s">
        <v>5945</v>
      </c>
      <c r="Y430" s="22">
        <v>283</v>
      </c>
      <c r="Z430" s="21" t="s">
        <v>5946</v>
      </c>
      <c r="AA430" s="22">
        <v>149</v>
      </c>
      <c r="AB430" s="21" t="s">
        <v>5947</v>
      </c>
      <c r="AC430" s="22">
        <v>29</v>
      </c>
    </row>
    <row r="431" spans="1:29" ht="28.5" customHeight="1" thickBot="1">
      <c r="A431" s="22" t="s">
        <v>7803</v>
      </c>
      <c r="C431" s="8" t="s">
        <v>7792</v>
      </c>
      <c r="D431" s="9" t="s">
        <v>7791</v>
      </c>
      <c r="E431" s="9" t="s">
        <v>7789</v>
      </c>
      <c r="F431" s="8" t="str">
        <f t="shared" si="18"/>
        <v>gift-codes.html?game=全境封鎖：曙光</v>
      </c>
      <c r="G431" s="9" t="s">
        <v>7790</v>
      </c>
      <c r="H431" s="9" t="str">
        <f t="shared" si="19"/>
        <v>https://www.ssbuy.tw/game-detail.html?game=全境封鎖：曙光</v>
      </c>
      <c r="I431" s="10" t="s">
        <v>7805</v>
      </c>
      <c r="J431" s="16" t="s">
        <v>5418</v>
      </c>
      <c r="K431" s="39" t="s">
        <v>5446</v>
      </c>
      <c r="L431" s="21" t="s">
        <v>5939</v>
      </c>
      <c r="M431" s="22">
        <v>2799</v>
      </c>
      <c r="N431" s="21" t="s">
        <v>5940</v>
      </c>
      <c r="O431" s="22">
        <v>1451</v>
      </c>
      <c r="P431" s="21" t="s">
        <v>5941</v>
      </c>
      <c r="Q431" s="22">
        <v>850</v>
      </c>
      <c r="R431" s="21" t="s">
        <v>5942</v>
      </c>
      <c r="S431" s="22">
        <v>747</v>
      </c>
      <c r="T431" s="21" t="s">
        <v>5943</v>
      </c>
      <c r="U431" s="22">
        <v>575</v>
      </c>
      <c r="V431" s="21" t="s">
        <v>5944</v>
      </c>
      <c r="W431" s="22">
        <v>421</v>
      </c>
      <c r="X431" s="21" t="s">
        <v>5945</v>
      </c>
      <c r="Y431" s="22">
        <v>283</v>
      </c>
      <c r="Z431" s="21" t="s">
        <v>5946</v>
      </c>
      <c r="AA431" s="22">
        <v>149</v>
      </c>
      <c r="AB431" s="21" t="s">
        <v>5947</v>
      </c>
      <c r="AC431" s="22">
        <v>29</v>
      </c>
    </row>
    <row r="432" spans="1:29" ht="28.5" customHeight="1" thickBot="1">
      <c r="A432" s="22" t="s">
        <v>7777</v>
      </c>
      <c r="C432" s="8" t="s">
        <v>7796</v>
      </c>
      <c r="D432" s="9" t="s">
        <v>7793</v>
      </c>
      <c r="E432" s="9" t="s">
        <v>7795</v>
      </c>
      <c r="F432" s="8" t="str">
        <f t="shared" si="18"/>
        <v>gift-codes.html?game=天龍八部2：血戰江湖</v>
      </c>
      <c r="G432" s="9" t="s">
        <v>7794</v>
      </c>
      <c r="H432" s="9" t="str">
        <f t="shared" si="19"/>
        <v>https://www.ssbuy.tw/game-detail.html?game=天龍八部2：血戰江湖</v>
      </c>
      <c r="I432" s="10" t="s">
        <v>7806</v>
      </c>
      <c r="J432" s="16" t="s">
        <v>5418</v>
      </c>
      <c r="K432" s="39" t="s">
        <v>5446</v>
      </c>
      <c r="L432" s="21" t="s">
        <v>235</v>
      </c>
      <c r="M432" s="22">
        <v>2847</v>
      </c>
      <c r="N432" s="21" t="s">
        <v>236</v>
      </c>
      <c r="O432" s="22">
        <v>1476</v>
      </c>
      <c r="P432" s="21" t="s">
        <v>1292</v>
      </c>
      <c r="Q432" s="22">
        <v>865</v>
      </c>
      <c r="R432" s="21" t="s">
        <v>1638</v>
      </c>
      <c r="S432" s="22">
        <v>428</v>
      </c>
      <c r="T432" s="21" t="s">
        <v>3713</v>
      </c>
      <c r="U432" s="22">
        <v>223</v>
      </c>
      <c r="V432" s="21" t="s">
        <v>239</v>
      </c>
      <c r="W432" s="22">
        <v>151</v>
      </c>
      <c r="X432" s="21" t="s">
        <v>240</v>
      </c>
      <c r="Y432" s="22">
        <v>29</v>
      </c>
      <c r="Z432" s="21"/>
      <c r="AA432" s="22"/>
      <c r="AB432" s="21"/>
      <c r="AC432" s="22"/>
    </row>
    <row r="433" spans="1:35" ht="28.5" customHeight="1" thickBot="1">
      <c r="A433" s="22" t="s">
        <v>7822</v>
      </c>
      <c r="D433" s="9" t="s">
        <v>7802</v>
      </c>
      <c r="E433" s="9" t="s">
        <v>7797</v>
      </c>
      <c r="F433" s="8" t="str">
        <f t="shared" si="18"/>
        <v>gift-codes.html?game=永恆迴圈：戰術放置RPG</v>
      </c>
      <c r="G433" s="9" t="s">
        <v>7798</v>
      </c>
      <c r="H433" s="9" t="str">
        <f t="shared" si="19"/>
        <v>https://www.ssbuy.tw/game-detail.html?game=永恆迴圈：戰術放置RPG</v>
      </c>
      <c r="I433" s="10" t="s">
        <v>7807</v>
      </c>
      <c r="J433" s="16" t="s">
        <v>5418</v>
      </c>
      <c r="K433" s="39" t="s">
        <v>5446</v>
      </c>
      <c r="L433" s="21" t="s">
        <v>5939</v>
      </c>
      <c r="M433" s="22">
        <v>2799</v>
      </c>
      <c r="N433" s="21" t="s">
        <v>5940</v>
      </c>
      <c r="O433" s="22">
        <v>1451</v>
      </c>
      <c r="P433" s="21" t="s">
        <v>5941</v>
      </c>
      <c r="Q433" s="22">
        <v>850</v>
      </c>
      <c r="R433" s="21" t="s">
        <v>5942</v>
      </c>
      <c r="S433" s="22">
        <v>747</v>
      </c>
      <c r="T433" s="21" t="s">
        <v>5943</v>
      </c>
      <c r="U433" s="22">
        <v>575</v>
      </c>
      <c r="V433" s="21" t="s">
        <v>5944</v>
      </c>
      <c r="W433" s="22">
        <v>421</v>
      </c>
      <c r="X433" s="21" t="s">
        <v>5945</v>
      </c>
      <c r="Y433" s="22">
        <v>283</v>
      </c>
      <c r="Z433" s="21" t="s">
        <v>5946</v>
      </c>
      <c r="AA433" s="22">
        <v>149</v>
      </c>
      <c r="AB433" s="21" t="s">
        <v>5947</v>
      </c>
      <c r="AC433" s="22">
        <v>29</v>
      </c>
    </row>
    <row r="434" spans="1:35" ht="28.5" customHeight="1" thickBot="1">
      <c r="A434" s="22" t="s">
        <v>7779</v>
      </c>
      <c r="C434" s="8" t="s">
        <v>7801</v>
      </c>
      <c r="D434" s="9" t="s">
        <v>7799</v>
      </c>
      <c r="E434" s="35" t="s">
        <v>7931</v>
      </c>
      <c r="F434" s="8" t="str">
        <f t="shared" si="18"/>
        <v>gift-codes.html?game=王於興師</v>
      </c>
      <c r="G434" s="9" t="s">
        <v>7800</v>
      </c>
      <c r="H434" s="9" t="str">
        <f t="shared" si="19"/>
        <v>https://www.ssbuy.tw/game-detail.html?game=王於興師</v>
      </c>
      <c r="I434" s="10" t="s">
        <v>7808</v>
      </c>
      <c r="J434" s="16" t="s">
        <v>5418</v>
      </c>
      <c r="K434" s="39" t="s">
        <v>5446</v>
      </c>
      <c r="L434" s="21" t="s">
        <v>7813</v>
      </c>
      <c r="M434" s="22">
        <v>2799</v>
      </c>
      <c r="N434" s="21" t="s">
        <v>7814</v>
      </c>
      <c r="O434" s="22">
        <v>1451</v>
      </c>
      <c r="P434" s="21" t="s">
        <v>7815</v>
      </c>
      <c r="Q434" s="22">
        <v>1022</v>
      </c>
      <c r="R434" s="21" t="s">
        <v>7816</v>
      </c>
      <c r="S434" s="22">
        <v>575</v>
      </c>
      <c r="T434" s="21" t="s">
        <v>7817</v>
      </c>
      <c r="U434" s="22">
        <v>283</v>
      </c>
      <c r="V434" s="21" t="s">
        <v>7818</v>
      </c>
      <c r="W434" s="22">
        <v>149</v>
      </c>
      <c r="X434" s="21"/>
      <c r="Y434" s="22"/>
      <c r="Z434" s="21"/>
      <c r="AA434" s="22"/>
      <c r="AB434" s="21"/>
      <c r="AC434" s="22"/>
    </row>
    <row r="435" spans="1:35" ht="28.5" customHeight="1" thickBot="1">
      <c r="A435" s="114" t="s">
        <v>7841</v>
      </c>
      <c r="C435" s="8" t="s">
        <v>7824</v>
      </c>
      <c r="D435" s="9" t="s">
        <v>7838</v>
      </c>
      <c r="E435" s="9" t="s">
        <v>7839</v>
      </c>
      <c r="F435" s="8" t="str">
        <f t="shared" si="18"/>
        <v>gift-codes.html?game=幻海神域</v>
      </c>
      <c r="G435" s="9" t="s">
        <v>7840</v>
      </c>
      <c r="H435" s="9" t="str">
        <f t="shared" si="19"/>
        <v>https://www.ssbuy.tw/game-detail.html?game=幻海神域</v>
      </c>
      <c r="I435" s="10" t="s">
        <v>7842</v>
      </c>
      <c r="J435" s="16" t="s">
        <v>5418</v>
      </c>
      <c r="K435" s="39" t="s">
        <v>5446</v>
      </c>
      <c r="L435" s="21" t="s">
        <v>7843</v>
      </c>
      <c r="M435" s="22">
        <v>2808</v>
      </c>
      <c r="N435" s="21" t="s">
        <v>7844</v>
      </c>
      <c r="O435" s="22">
        <v>1417</v>
      </c>
      <c r="P435" s="21" t="s">
        <v>4483</v>
      </c>
      <c r="Q435" s="22">
        <v>850</v>
      </c>
      <c r="R435" s="21" t="s">
        <v>7845</v>
      </c>
      <c r="S435" s="22">
        <v>575</v>
      </c>
      <c r="T435" s="21" t="s">
        <v>4484</v>
      </c>
      <c r="U435" s="22">
        <v>421</v>
      </c>
      <c r="V435" s="21" t="s">
        <v>7846</v>
      </c>
      <c r="W435" s="22">
        <v>283</v>
      </c>
      <c r="X435" s="21" t="s">
        <v>7847</v>
      </c>
      <c r="Y435" s="22">
        <v>149</v>
      </c>
      <c r="Z435" s="21" t="s">
        <v>7848</v>
      </c>
      <c r="AA435" s="22">
        <v>29</v>
      </c>
    </row>
    <row r="436" spans="1:35" ht="28.5" customHeight="1" thickBot="1">
      <c r="A436" s="22" t="s">
        <v>7889</v>
      </c>
      <c r="C436" s="8" t="s">
        <v>7883</v>
      </c>
      <c r="E436" s="9" t="s">
        <v>7882</v>
      </c>
      <c r="F436" s="8" t="str">
        <f t="shared" si="18"/>
        <v>gift-codes.html?game=小小騎士團：開箱放置</v>
      </c>
      <c r="G436" s="9" t="s">
        <v>7885</v>
      </c>
      <c r="H436" s="9" t="str">
        <f t="shared" si="19"/>
        <v>https://www.ssbuy.tw/game-detail.html?game=小小騎士團：開箱放置</v>
      </c>
      <c r="I436" s="10" t="s">
        <v>7893</v>
      </c>
      <c r="J436" s="16" t="s">
        <v>5418</v>
      </c>
      <c r="K436" s="39" t="s">
        <v>5446</v>
      </c>
      <c r="L436" s="21" t="s">
        <v>8045</v>
      </c>
      <c r="M436" s="22">
        <v>2529</v>
      </c>
      <c r="N436" s="21" t="s">
        <v>8046</v>
      </c>
      <c r="O436" s="22">
        <v>1272</v>
      </c>
      <c r="P436" s="21" t="s">
        <v>8047</v>
      </c>
      <c r="Q436" s="22">
        <v>589</v>
      </c>
      <c r="R436" s="21" t="s">
        <v>8048</v>
      </c>
      <c r="S436" s="22">
        <v>273</v>
      </c>
      <c r="T436" s="21" t="s">
        <v>8049</v>
      </c>
      <c r="U436" s="22">
        <v>131</v>
      </c>
      <c r="V436" s="21" t="s">
        <v>8050</v>
      </c>
      <c r="W436" s="22">
        <v>26</v>
      </c>
      <c r="X436" s="21" t="s">
        <v>223</v>
      </c>
      <c r="Y436" s="22">
        <v>131</v>
      </c>
      <c r="Z436" s="21"/>
      <c r="AA436" s="22"/>
      <c r="AB436" s="21"/>
      <c r="AC436" s="22"/>
    </row>
    <row r="437" spans="1:35" ht="28.5" customHeight="1" thickBot="1">
      <c r="A437" s="22" t="s">
        <v>7878</v>
      </c>
      <c r="C437" s="8" t="s">
        <v>7888</v>
      </c>
      <c r="E437" s="9" t="s">
        <v>7886</v>
      </c>
      <c r="F437" s="8" t="str">
        <f t="shared" si="18"/>
        <v>gift-codes.html?game=好萊塢合成：星夢逆襲</v>
      </c>
      <c r="G437" s="9" t="s">
        <v>7887</v>
      </c>
      <c r="H437" s="9" t="str">
        <f t="shared" si="19"/>
        <v>https://www.ssbuy.tw/game-detail.html?game=好萊塢合成：星夢逆襲</v>
      </c>
      <c r="I437" s="10" t="s">
        <v>7892</v>
      </c>
      <c r="J437" s="16" t="s">
        <v>5418</v>
      </c>
      <c r="K437" s="39" t="s">
        <v>5446</v>
      </c>
      <c r="L437" s="21" t="s">
        <v>5939</v>
      </c>
      <c r="M437" s="22">
        <v>2799</v>
      </c>
      <c r="N437" s="21" t="s">
        <v>5940</v>
      </c>
      <c r="O437" s="22">
        <v>1451</v>
      </c>
      <c r="P437" s="21" t="s">
        <v>5941</v>
      </c>
      <c r="Q437" s="22">
        <v>850</v>
      </c>
      <c r="R437" s="21" t="s">
        <v>5942</v>
      </c>
      <c r="S437" s="22">
        <v>747</v>
      </c>
      <c r="T437" s="21" t="s">
        <v>5943</v>
      </c>
      <c r="U437" s="22">
        <v>575</v>
      </c>
      <c r="V437" s="21" t="s">
        <v>5944</v>
      </c>
      <c r="W437" s="22">
        <v>421</v>
      </c>
      <c r="X437" s="21" t="s">
        <v>5945</v>
      </c>
      <c r="Y437" s="22">
        <v>283</v>
      </c>
      <c r="Z437" s="21" t="s">
        <v>5946</v>
      </c>
      <c r="AA437" s="22">
        <v>149</v>
      </c>
      <c r="AB437" s="21" t="s">
        <v>5947</v>
      </c>
      <c r="AC437" s="22">
        <v>29</v>
      </c>
    </row>
    <row r="438" spans="1:35" ht="28.5" customHeight="1" thickBot="1">
      <c r="A438" s="22" t="s">
        <v>7890</v>
      </c>
      <c r="C438" s="8" t="s">
        <v>7880</v>
      </c>
      <c r="D438" s="9" t="s">
        <v>7881</v>
      </c>
      <c r="E438" s="9" t="s">
        <v>7879</v>
      </c>
      <c r="F438" s="8" t="str">
        <f t="shared" si="18"/>
        <v>gift-codes.html?game=少女喚靈</v>
      </c>
      <c r="G438" s="16" t="s">
        <v>7891</v>
      </c>
      <c r="H438" s="9" t="str">
        <f t="shared" si="19"/>
        <v>https://www.ssbuy.tw/game-detail.html?game=少女喚靈</v>
      </c>
      <c r="I438" s="10" t="s">
        <v>7894</v>
      </c>
      <c r="J438" s="16" t="s">
        <v>5418</v>
      </c>
      <c r="K438" s="39" t="s">
        <v>5446</v>
      </c>
      <c r="L438" s="21" t="s">
        <v>1429</v>
      </c>
      <c r="M438" s="22">
        <v>2486</v>
      </c>
      <c r="N438" s="21" t="s">
        <v>1431</v>
      </c>
      <c r="O438" s="22">
        <v>1250</v>
      </c>
      <c r="P438" s="21" t="s">
        <v>8203</v>
      </c>
      <c r="Q438" s="22">
        <v>579</v>
      </c>
      <c r="R438" s="21" t="s">
        <v>8204</v>
      </c>
      <c r="S438" s="22">
        <v>269</v>
      </c>
      <c r="T438" s="21" t="s">
        <v>1434</v>
      </c>
      <c r="U438" s="22">
        <v>145</v>
      </c>
      <c r="V438" s="21" t="s">
        <v>1435</v>
      </c>
      <c r="W438" s="22">
        <v>28</v>
      </c>
      <c r="X438" s="21" t="s">
        <v>223</v>
      </c>
      <c r="Y438" s="22">
        <v>86</v>
      </c>
      <c r="Z438" s="21" t="s">
        <v>1295</v>
      </c>
      <c r="AA438" s="22">
        <v>128</v>
      </c>
      <c r="AB438" s="21" t="s">
        <v>142</v>
      </c>
      <c r="AC438" s="22">
        <v>269</v>
      </c>
      <c r="AD438" s="21" t="s">
        <v>66</v>
      </c>
      <c r="AE438" s="22">
        <v>579</v>
      </c>
    </row>
    <row r="439" spans="1:35" ht="28.5" customHeight="1" thickBot="1">
      <c r="A439" s="22" t="s">
        <v>7899</v>
      </c>
      <c r="D439" s="9" t="s">
        <v>3685</v>
      </c>
      <c r="E439" s="9" t="s">
        <v>7905</v>
      </c>
      <c r="F439" s="8" t="str">
        <f t="shared" si="18"/>
        <v>gift-codes.html?game=逆命女武神</v>
      </c>
      <c r="G439" s="9" t="s">
        <v>7906</v>
      </c>
      <c r="H439" s="9" t="str">
        <f t="shared" si="19"/>
        <v>https://www.ssbuy.tw/game-detail.html?game=逆命女武神</v>
      </c>
      <c r="I439" s="10" t="s">
        <v>7912</v>
      </c>
      <c r="J439" s="16" t="s">
        <v>5418</v>
      </c>
      <c r="K439" s="39" t="s">
        <v>5446</v>
      </c>
      <c r="L439" s="21" t="s">
        <v>8205</v>
      </c>
      <c r="M439" s="22">
        <v>1922</v>
      </c>
      <c r="N439" s="21" t="s">
        <v>8206</v>
      </c>
      <c r="O439" s="22">
        <v>1922</v>
      </c>
      <c r="P439" s="21" t="s">
        <v>8207</v>
      </c>
      <c r="Q439" s="22">
        <v>1083</v>
      </c>
      <c r="R439" s="21" t="s">
        <v>8208</v>
      </c>
      <c r="S439" s="22">
        <v>1083</v>
      </c>
      <c r="T439" s="21" t="s">
        <v>8209</v>
      </c>
      <c r="U439" s="22">
        <v>663</v>
      </c>
      <c r="V439" s="21" t="s">
        <v>8210</v>
      </c>
      <c r="W439" s="22">
        <v>663</v>
      </c>
      <c r="X439" s="21" t="s">
        <v>8211</v>
      </c>
      <c r="Y439" s="22">
        <v>248</v>
      </c>
      <c r="Z439" s="21" t="s">
        <v>8212</v>
      </c>
      <c r="AA439" s="22">
        <v>248</v>
      </c>
      <c r="AB439" s="21" t="s">
        <v>8213</v>
      </c>
      <c r="AC439" s="22">
        <v>103</v>
      </c>
      <c r="AD439" s="21" t="s">
        <v>8214</v>
      </c>
      <c r="AE439" s="22">
        <v>103</v>
      </c>
      <c r="AF439" s="21" t="s">
        <v>8215</v>
      </c>
      <c r="AG439" s="22">
        <v>26</v>
      </c>
      <c r="AH439" s="21" t="s">
        <v>8216</v>
      </c>
      <c r="AI439" s="22">
        <v>26</v>
      </c>
    </row>
    <row r="440" spans="1:35" ht="28.5" customHeight="1" thickBot="1">
      <c r="A440" s="22" t="s">
        <v>7900</v>
      </c>
      <c r="C440" s="8" t="s">
        <v>5879</v>
      </c>
      <c r="D440" s="9" t="s">
        <v>7909</v>
      </c>
      <c r="E440" s="9" t="s">
        <v>7907</v>
      </c>
      <c r="F440" s="8" t="str">
        <f t="shared" si="18"/>
        <v>gift-codes.html?game=幻想少女公會</v>
      </c>
      <c r="G440" s="9" t="s">
        <v>7908</v>
      </c>
      <c r="H440" s="9" t="str">
        <f t="shared" si="19"/>
        <v>https://www.ssbuy.tw/game-detail.html?game=幻想少女公會</v>
      </c>
      <c r="I440" s="10" t="s">
        <v>7913</v>
      </c>
      <c r="J440" s="16" t="s">
        <v>5418</v>
      </c>
      <c r="K440" s="39" t="s">
        <v>5446</v>
      </c>
      <c r="L440" s="21" t="s">
        <v>8053</v>
      </c>
      <c r="M440" s="22">
        <v>2529</v>
      </c>
      <c r="N440" s="21" t="s">
        <v>8054</v>
      </c>
      <c r="O440" s="22">
        <v>1272</v>
      </c>
      <c r="P440" s="21" t="s">
        <v>8055</v>
      </c>
      <c r="Q440" s="22">
        <v>504</v>
      </c>
      <c r="R440" s="21" t="s">
        <v>8056</v>
      </c>
      <c r="S440" s="22">
        <v>273</v>
      </c>
      <c r="T440" s="21" t="s">
        <v>8057</v>
      </c>
      <c r="U440" s="22">
        <v>131</v>
      </c>
      <c r="V440" s="21" t="s">
        <v>8058</v>
      </c>
      <c r="W440" s="22">
        <v>26</v>
      </c>
      <c r="X440" s="21" t="s">
        <v>66</v>
      </c>
      <c r="Y440" s="22">
        <v>418</v>
      </c>
      <c r="Z440" s="21" t="s">
        <v>8059</v>
      </c>
      <c r="AA440" s="22">
        <v>273</v>
      </c>
      <c r="AB440" s="21" t="s">
        <v>8060</v>
      </c>
      <c r="AC440" s="22">
        <v>131</v>
      </c>
      <c r="AD440" s="21" t="s">
        <v>8061</v>
      </c>
      <c r="AE440" s="22">
        <v>52</v>
      </c>
    </row>
    <row r="441" spans="1:35" ht="28.5" customHeight="1" thickBot="1">
      <c r="A441" s="22" t="s">
        <v>7901</v>
      </c>
      <c r="C441" s="8" t="s">
        <v>7910</v>
      </c>
      <c r="D441" s="9" t="s">
        <v>7904</v>
      </c>
      <c r="E441" s="9" t="s">
        <v>7902</v>
      </c>
      <c r="F441" s="8" t="str">
        <f t="shared" si="18"/>
        <v>gift-codes.html?game=童話出走中</v>
      </c>
      <c r="G441" s="9" t="s">
        <v>7903</v>
      </c>
      <c r="H441" s="9" t="str">
        <f t="shared" si="19"/>
        <v>https://www.ssbuy.tw/game-detail.html?game=童話出走中</v>
      </c>
      <c r="I441" s="10" t="s">
        <v>7911</v>
      </c>
      <c r="J441" s="16" t="s">
        <v>5418</v>
      </c>
      <c r="K441" s="39" t="s">
        <v>5446</v>
      </c>
      <c r="L441" s="21" t="s">
        <v>7953</v>
      </c>
      <c r="M441" s="22">
        <v>2587</v>
      </c>
      <c r="N441" s="21" t="s">
        <v>6496</v>
      </c>
      <c r="O441" s="22">
        <v>1127</v>
      </c>
      <c r="P441" s="21" t="s">
        <v>7954</v>
      </c>
      <c r="Q441" s="22">
        <v>603</v>
      </c>
      <c r="R441" s="21" t="s">
        <v>1321</v>
      </c>
      <c r="S441" s="22">
        <v>280</v>
      </c>
      <c r="T441" s="21" t="s">
        <v>7955</v>
      </c>
      <c r="U441" s="22">
        <v>134</v>
      </c>
      <c r="V441" s="21" t="s">
        <v>29</v>
      </c>
      <c r="W441" s="22">
        <v>27</v>
      </c>
      <c r="X441" s="21" t="s">
        <v>7956</v>
      </c>
      <c r="Y441" s="22">
        <v>280</v>
      </c>
      <c r="Z441" s="21" t="s">
        <v>7957</v>
      </c>
      <c r="AA441" s="22">
        <v>134</v>
      </c>
      <c r="AB441" s="21" t="s">
        <v>7958</v>
      </c>
      <c r="AC441" s="22">
        <v>1127</v>
      </c>
      <c r="AD441" s="21" t="s">
        <v>7959</v>
      </c>
      <c r="AE441" s="22">
        <v>2175</v>
      </c>
    </row>
    <row r="442" spans="1:35" ht="28.5" customHeight="1" thickBot="1">
      <c r="A442" s="114" t="s">
        <v>7928</v>
      </c>
      <c r="C442" s="8" t="s">
        <v>7927</v>
      </c>
      <c r="D442" s="9" t="s">
        <v>7925</v>
      </c>
      <c r="E442" s="9" t="s">
        <v>7926</v>
      </c>
      <c r="F442" s="8" t="str">
        <f t="shared" si="18"/>
        <v>gift-codes.html?game=織夢花園：森系輕經營</v>
      </c>
      <c r="G442" s="16" t="s">
        <v>7929</v>
      </c>
      <c r="H442" s="9" t="str">
        <f t="shared" si="19"/>
        <v>https://www.ssbuy.tw/game-detail.html?game=織夢花園：森系輕經營</v>
      </c>
      <c r="I442" s="10" t="s">
        <v>7930</v>
      </c>
      <c r="J442" s="16" t="s">
        <v>5418</v>
      </c>
      <c r="K442" s="39" t="s">
        <v>5446</v>
      </c>
      <c r="L442" s="21" t="s">
        <v>8062</v>
      </c>
      <c r="M442" s="22">
        <v>2783</v>
      </c>
      <c r="N442" s="21" t="s">
        <v>8063</v>
      </c>
      <c r="O442" s="22">
        <v>1443</v>
      </c>
      <c r="P442" s="21" t="s">
        <v>8064</v>
      </c>
      <c r="Q442" s="22">
        <v>845</v>
      </c>
      <c r="R442" s="21" t="s">
        <v>8065</v>
      </c>
      <c r="S442" s="22">
        <v>572</v>
      </c>
      <c r="T442" s="21" t="s">
        <v>8066</v>
      </c>
      <c r="U442" s="22">
        <v>418</v>
      </c>
      <c r="V442" s="21" t="s">
        <v>8067</v>
      </c>
      <c r="W442" s="22">
        <v>282</v>
      </c>
      <c r="X442" s="21" t="s">
        <v>8068</v>
      </c>
      <c r="Y442" s="22">
        <v>148</v>
      </c>
      <c r="Z442" s="21" t="s">
        <v>8069</v>
      </c>
      <c r="AA442" s="22">
        <v>29</v>
      </c>
      <c r="AB442" s="21" t="s">
        <v>8070</v>
      </c>
      <c r="AC442" s="22">
        <v>148</v>
      </c>
    </row>
    <row r="443" spans="1:35" ht="28.5" customHeight="1" thickBot="1">
      <c r="A443" s="114" t="s">
        <v>7978</v>
      </c>
      <c r="C443" s="8" t="s">
        <v>7979</v>
      </c>
      <c r="D443" s="9" t="s">
        <v>7982</v>
      </c>
      <c r="E443" s="9" t="s">
        <v>7981</v>
      </c>
      <c r="F443" s="8" t="str">
        <f t="shared" si="18"/>
        <v>gift-codes.html?game=魔御：Star Dive</v>
      </c>
      <c r="G443" s="9" t="s">
        <v>7980</v>
      </c>
      <c r="H443" s="9" t="str">
        <f t="shared" si="19"/>
        <v>https://www.ssbuy.tw/game-detail.html?game=魔御：Star Dive</v>
      </c>
      <c r="I443" s="10" t="s">
        <v>7983</v>
      </c>
      <c r="J443" s="16" t="s">
        <v>5418</v>
      </c>
      <c r="K443" s="39" t="s">
        <v>5446</v>
      </c>
      <c r="L443" s="21" t="s">
        <v>5939</v>
      </c>
      <c r="M443" s="22">
        <v>2783</v>
      </c>
      <c r="N443" s="21" t="s">
        <v>5940</v>
      </c>
      <c r="O443" s="22">
        <v>1443</v>
      </c>
      <c r="P443" s="21" t="s">
        <v>5941</v>
      </c>
      <c r="Q443" s="22">
        <v>845</v>
      </c>
      <c r="R443" s="21" t="s">
        <v>5942</v>
      </c>
      <c r="S443" s="22">
        <v>743</v>
      </c>
      <c r="T443" s="21" t="s">
        <v>5943</v>
      </c>
      <c r="U443" s="22">
        <v>572</v>
      </c>
      <c r="V443" s="21" t="s">
        <v>5944</v>
      </c>
      <c r="W443" s="22">
        <v>418</v>
      </c>
      <c r="X443" s="21" t="s">
        <v>5945</v>
      </c>
      <c r="Y443" s="22">
        <v>282</v>
      </c>
      <c r="Z443" s="21" t="s">
        <v>5946</v>
      </c>
      <c r="AA443" s="22">
        <v>148</v>
      </c>
      <c r="AB443" s="21" t="s">
        <v>5947</v>
      </c>
      <c r="AC443" s="22">
        <v>29</v>
      </c>
    </row>
    <row r="444" spans="1:35" ht="28.5" customHeight="1" thickBot="1">
      <c r="A444" s="114" t="s">
        <v>7986</v>
      </c>
      <c r="C444" s="8" t="s">
        <v>7990</v>
      </c>
      <c r="D444" s="9" t="s">
        <v>7989</v>
      </c>
      <c r="E444" s="9" t="s">
        <v>7988</v>
      </c>
      <c r="F444" s="8" t="str">
        <f t="shared" si="18"/>
        <v>gift-codes.html?game=馬賽克騎士團：放置冒險 RPG</v>
      </c>
      <c r="G444" s="9" t="s">
        <v>7987</v>
      </c>
      <c r="H444" s="9" t="str">
        <f t="shared" si="19"/>
        <v>https://www.ssbuy.tw/game-detail.html?game=馬賽克騎士團：放置冒險 RPG</v>
      </c>
      <c r="I444" s="34" t="s">
        <v>7991</v>
      </c>
      <c r="J444" s="16" t="s">
        <v>5418</v>
      </c>
      <c r="K444" s="39" t="s">
        <v>5446</v>
      </c>
      <c r="L444" s="21"/>
      <c r="M444" s="22"/>
      <c r="N444" s="21"/>
      <c r="O444" s="22"/>
      <c r="P444" s="21"/>
      <c r="Q444" s="22"/>
      <c r="R444" s="21"/>
      <c r="S444" s="22"/>
      <c r="T444" s="21"/>
      <c r="U444" s="22"/>
      <c r="V444" s="21"/>
      <c r="W444" s="22"/>
      <c r="X444" s="21"/>
      <c r="Y444" s="22"/>
      <c r="Z444" s="21"/>
      <c r="AA444" s="22"/>
      <c r="AB444" s="21"/>
      <c r="AC444" s="22"/>
      <c r="AD444" s="21"/>
      <c r="AE444" s="22"/>
      <c r="AF444" s="21"/>
      <c r="AG444" s="22"/>
    </row>
    <row r="445" spans="1:35" ht="28.5" customHeight="1" thickBot="1">
      <c r="A445" s="114" t="s">
        <v>7992</v>
      </c>
      <c r="C445" s="8" t="s">
        <v>7993</v>
      </c>
      <c r="D445" s="9" t="s">
        <v>7995</v>
      </c>
      <c r="E445" s="9" t="s">
        <v>7996</v>
      </c>
      <c r="F445" s="8" t="str">
        <f t="shared" si="18"/>
        <v>gift-codes.html?game=侏羅紀：重啟</v>
      </c>
      <c r="G445" s="9" t="s">
        <v>7994</v>
      </c>
      <c r="H445" s="9" t="str">
        <f t="shared" si="19"/>
        <v>https://www.ssbuy.tw/game-detail.html?game=侏羅紀：重啟</v>
      </c>
      <c r="I445" s="10" t="s">
        <v>7997</v>
      </c>
      <c r="J445" s="16" t="s">
        <v>5418</v>
      </c>
      <c r="K445" s="39" t="s">
        <v>5446</v>
      </c>
      <c r="L445" s="21" t="s">
        <v>4</v>
      </c>
      <c r="M445" s="22">
        <v>2783</v>
      </c>
      <c r="N445" s="21" t="s">
        <v>5</v>
      </c>
      <c r="O445" s="22">
        <v>1443</v>
      </c>
      <c r="P445" s="21" t="s">
        <v>62</v>
      </c>
      <c r="Q445" s="22">
        <v>845</v>
      </c>
      <c r="R445" s="21" t="s">
        <v>8071</v>
      </c>
      <c r="S445" s="22">
        <v>418</v>
      </c>
      <c r="T445" s="21" t="s">
        <v>6</v>
      </c>
      <c r="U445" s="22">
        <v>148</v>
      </c>
      <c r="V445" s="21" t="s">
        <v>164</v>
      </c>
      <c r="W445" s="22">
        <v>29</v>
      </c>
      <c r="X445" s="21" t="s">
        <v>8072</v>
      </c>
      <c r="Y445" s="22">
        <v>148</v>
      </c>
      <c r="Z445" s="21" t="s">
        <v>8073</v>
      </c>
      <c r="AA445" s="22">
        <v>87</v>
      </c>
      <c r="AB445" s="21" t="s">
        <v>8074</v>
      </c>
      <c r="AC445" s="22">
        <v>261</v>
      </c>
      <c r="AD445" s="21" t="s">
        <v>8075</v>
      </c>
      <c r="AE445" s="22">
        <v>282</v>
      </c>
      <c r="AF445" s="21" t="s">
        <v>1519</v>
      </c>
      <c r="AG445" s="22">
        <v>845</v>
      </c>
    </row>
    <row r="446" spans="1:35" ht="28.5" customHeight="1" thickBot="1">
      <c r="A446" s="114" t="s">
        <v>8007</v>
      </c>
      <c r="C446" s="8" t="s">
        <v>8036</v>
      </c>
      <c r="E446" s="9" t="s">
        <v>8033</v>
      </c>
      <c r="F446" s="8" t="str">
        <f t="shared" si="18"/>
        <v>gift-codes.html?game=寄生噪</v>
      </c>
      <c r="G446" s="9" t="s">
        <v>8034</v>
      </c>
      <c r="H446" s="9" t="str">
        <f t="shared" si="19"/>
        <v>https://www.ssbuy.tw/game-detail.html?game=寄生噪</v>
      </c>
      <c r="I446" s="10" t="s">
        <v>8039</v>
      </c>
      <c r="J446" s="16" t="s">
        <v>5418</v>
      </c>
      <c r="K446" s="39" t="s">
        <v>5446</v>
      </c>
      <c r="L446" s="21" t="s">
        <v>5</v>
      </c>
      <c r="M446" s="22">
        <v>2529</v>
      </c>
      <c r="N446" s="21" t="s">
        <v>1476</v>
      </c>
      <c r="O446" s="22">
        <v>1102</v>
      </c>
      <c r="P446" s="21" t="s">
        <v>3975</v>
      </c>
      <c r="Q446" s="22">
        <v>589</v>
      </c>
      <c r="R446" s="21" t="s">
        <v>6</v>
      </c>
      <c r="S446" s="22">
        <v>273</v>
      </c>
      <c r="T446" s="21" t="s">
        <v>8076</v>
      </c>
      <c r="U446" s="22">
        <v>191</v>
      </c>
      <c r="V446" s="21" t="s">
        <v>5248</v>
      </c>
      <c r="W446" s="22">
        <v>44</v>
      </c>
      <c r="X446" s="21" t="s">
        <v>8077</v>
      </c>
      <c r="Y446" s="22">
        <v>273</v>
      </c>
      <c r="Z446" s="21" t="s">
        <v>8078</v>
      </c>
      <c r="AA446" s="22">
        <v>333</v>
      </c>
      <c r="AB446" s="21" t="s">
        <v>8079</v>
      </c>
      <c r="AC446" s="22">
        <v>273</v>
      </c>
      <c r="AD446" s="21" t="s">
        <v>8080</v>
      </c>
      <c r="AE446" s="22">
        <v>273</v>
      </c>
    </row>
    <row r="447" spans="1:35" ht="28.5" customHeight="1" thickBot="1">
      <c r="A447" s="114" t="s">
        <v>8041</v>
      </c>
      <c r="C447" s="8" t="s">
        <v>8035</v>
      </c>
      <c r="E447" s="9" t="s">
        <v>8038</v>
      </c>
      <c r="F447" s="8" t="str">
        <f t="shared" si="18"/>
        <v>gift-codes.html?game=心動防線</v>
      </c>
      <c r="G447" s="9" t="s">
        <v>8037</v>
      </c>
      <c r="H447" s="9" t="str">
        <f t="shared" si="19"/>
        <v>https://www.ssbuy.tw/game-detail.html?game=心動防線</v>
      </c>
      <c r="I447" s="10" t="s">
        <v>8040</v>
      </c>
      <c r="J447" s="16" t="s">
        <v>5418</v>
      </c>
      <c r="K447" s="39" t="s">
        <v>5446</v>
      </c>
      <c r="L447" s="21" t="s">
        <v>5939</v>
      </c>
      <c r="M447" s="22">
        <v>2783</v>
      </c>
      <c r="N447" s="21" t="s">
        <v>5940</v>
      </c>
      <c r="O447" s="22">
        <v>1443</v>
      </c>
      <c r="P447" s="21" t="s">
        <v>5941</v>
      </c>
      <c r="Q447" s="22">
        <v>845</v>
      </c>
      <c r="R447" s="21" t="s">
        <v>5942</v>
      </c>
      <c r="S447" s="22">
        <v>743</v>
      </c>
      <c r="T447" s="21" t="s">
        <v>5943</v>
      </c>
      <c r="U447" s="22">
        <v>572</v>
      </c>
      <c r="V447" s="21" t="s">
        <v>5944</v>
      </c>
      <c r="W447" s="22">
        <v>418</v>
      </c>
      <c r="X447" s="21" t="s">
        <v>5945</v>
      </c>
      <c r="Y447" s="22">
        <v>282</v>
      </c>
      <c r="Z447" s="21" t="s">
        <v>5946</v>
      </c>
      <c r="AA447" s="22">
        <v>148</v>
      </c>
      <c r="AB447" s="21" t="s">
        <v>5947</v>
      </c>
      <c r="AC447" s="22">
        <v>29</v>
      </c>
    </row>
    <row r="448" spans="1:35" ht="28.5" customHeight="1" thickBot="1">
      <c r="A448" s="114" t="s">
        <v>8081</v>
      </c>
      <c r="C448" s="8" t="s">
        <v>8082</v>
      </c>
      <c r="D448" s="9" t="s">
        <v>8083</v>
      </c>
      <c r="E448" s="9" t="s">
        <v>8084</v>
      </c>
      <c r="F448" s="8" t="str">
        <f t="shared" si="18"/>
        <v>gift-codes.html?game=新熱血江湖：世界</v>
      </c>
      <c r="G448" s="9" t="s">
        <v>8085</v>
      </c>
      <c r="H448" s="9" t="str">
        <f t="shared" si="19"/>
        <v>https://www.ssbuy.tw/game-detail.html?game=新熱血江湖：世界</v>
      </c>
      <c r="I448" s="10" t="s">
        <v>8094</v>
      </c>
      <c r="J448" s="16" t="s">
        <v>5418</v>
      </c>
      <c r="K448" s="39" t="s">
        <v>5446</v>
      </c>
      <c r="L448" s="21" t="s">
        <v>8086</v>
      </c>
      <c r="M448" s="22">
        <v>2793</v>
      </c>
      <c r="N448" s="21" t="s">
        <v>8087</v>
      </c>
      <c r="O448" s="22">
        <v>1448</v>
      </c>
      <c r="P448" s="21" t="s">
        <v>8088</v>
      </c>
      <c r="Q448" s="22">
        <v>856</v>
      </c>
      <c r="R448" s="21" t="s">
        <v>8089</v>
      </c>
      <c r="S448" s="22">
        <v>580</v>
      </c>
      <c r="T448" s="21" t="s">
        <v>8090</v>
      </c>
      <c r="U448" s="22">
        <v>424</v>
      </c>
      <c r="V448" s="21" t="s">
        <v>8091</v>
      </c>
      <c r="W448" s="22">
        <v>285</v>
      </c>
      <c r="X448" s="21" t="s">
        <v>8092</v>
      </c>
      <c r="Y448" s="22">
        <v>147</v>
      </c>
      <c r="Z448" s="21" t="s">
        <v>8093</v>
      </c>
      <c r="AA448" s="22">
        <v>29</v>
      </c>
    </row>
    <row r="449" spans="1:33" ht="28.5" customHeight="1" thickBot="1">
      <c r="A449" s="22" t="s">
        <v>8129</v>
      </c>
      <c r="C449" s="8" t="s">
        <v>8131</v>
      </c>
      <c r="E449" s="9" t="s">
        <v>8132</v>
      </c>
      <c r="F449" s="8" t="str">
        <f t="shared" si="18"/>
        <v>gift-codes.html?game=點點英雄：骰子傳說</v>
      </c>
      <c r="G449" s="9" t="s">
        <v>8133</v>
      </c>
      <c r="H449" s="9" t="str">
        <f t="shared" si="19"/>
        <v>https://www.ssbuy.tw/game-detail.html?game=點點英雄：骰子傳說</v>
      </c>
      <c r="I449" s="10" t="s">
        <v>8142</v>
      </c>
      <c r="J449" s="16" t="s">
        <v>5418</v>
      </c>
      <c r="K449" s="39" t="s">
        <v>5446</v>
      </c>
      <c r="L449" s="21" t="s">
        <v>8384</v>
      </c>
      <c r="M449" s="22">
        <v>2496</v>
      </c>
      <c r="N449" s="21" t="s">
        <v>8385</v>
      </c>
      <c r="O449" s="22">
        <v>1256</v>
      </c>
      <c r="P449" s="21" t="s">
        <v>8386</v>
      </c>
      <c r="Q449" s="22">
        <v>582</v>
      </c>
      <c r="R449" s="21" t="s">
        <v>3624</v>
      </c>
      <c r="S449" s="22">
        <v>270</v>
      </c>
      <c r="T449" s="21" t="s">
        <v>111</v>
      </c>
      <c r="U449" s="22">
        <v>129</v>
      </c>
      <c r="V449" s="21" t="s">
        <v>4709</v>
      </c>
      <c r="W449" s="22">
        <v>26</v>
      </c>
      <c r="X449" s="21"/>
      <c r="Y449" s="22"/>
      <c r="Z449" s="21"/>
      <c r="AA449" s="22"/>
      <c r="AB449" s="21"/>
      <c r="AC449" s="22"/>
    </row>
    <row r="450" spans="1:33" ht="28.5" customHeight="1" thickBot="1">
      <c r="A450" s="22" t="s">
        <v>8130</v>
      </c>
      <c r="C450" s="8" t="s">
        <v>8134</v>
      </c>
      <c r="D450" s="9" t="s">
        <v>8137</v>
      </c>
      <c r="E450" s="9" t="s">
        <v>8136</v>
      </c>
      <c r="F450" s="8" t="str">
        <f t="shared" si="18"/>
        <v>gift-codes.html?game=夢幻旅團</v>
      </c>
      <c r="G450" s="9" t="s">
        <v>8135</v>
      </c>
      <c r="H450" s="9" t="str">
        <f t="shared" si="19"/>
        <v>https://www.ssbuy.tw/game-detail.html?game=夢幻旅團</v>
      </c>
      <c r="I450" s="10" t="s">
        <v>8141</v>
      </c>
      <c r="J450" s="16" t="s">
        <v>5418</v>
      </c>
      <c r="K450" s="39" t="s">
        <v>5446</v>
      </c>
      <c r="L450" s="21" t="s">
        <v>12</v>
      </c>
      <c r="M450" s="22">
        <v>2747</v>
      </c>
      <c r="N450" s="21" t="s">
        <v>13</v>
      </c>
      <c r="O450" s="22">
        <v>1424</v>
      </c>
      <c r="P450" s="21" t="s">
        <v>14</v>
      </c>
      <c r="Q450" s="22">
        <v>565</v>
      </c>
      <c r="R450" s="21" t="s">
        <v>15</v>
      </c>
      <c r="S450" s="22">
        <v>413</v>
      </c>
      <c r="T450" s="21" t="s">
        <v>16</v>
      </c>
      <c r="U450" s="22">
        <v>146</v>
      </c>
      <c r="V450" s="21" t="s">
        <v>7</v>
      </c>
      <c r="W450" s="22">
        <v>28</v>
      </c>
      <c r="X450" s="21" t="s">
        <v>8453</v>
      </c>
      <c r="Y450" s="22">
        <v>278</v>
      </c>
      <c r="Z450" s="21" t="s">
        <v>8454</v>
      </c>
      <c r="AA450" s="22">
        <v>112</v>
      </c>
      <c r="AB450" s="21"/>
      <c r="AC450" s="22"/>
    </row>
    <row r="451" spans="1:33" ht="28.5" customHeight="1" thickBot="1">
      <c r="A451" s="114" t="s">
        <v>8154</v>
      </c>
      <c r="C451" s="8" t="s">
        <v>8146</v>
      </c>
      <c r="D451" s="9" t="s">
        <v>8151</v>
      </c>
      <c r="E451" s="9" t="s">
        <v>8145</v>
      </c>
      <c r="F451" s="8" t="str">
        <f t="shared" si="18"/>
        <v>gift-codes.html?game=無盡輪迴：鬼域摸金</v>
      </c>
      <c r="G451" s="16" t="s">
        <v>8155</v>
      </c>
      <c r="H451" s="9" t="str">
        <f t="shared" si="19"/>
        <v>https://www.ssbuy.tw/game-detail.html?game=無盡輪迴：鬼域摸金</v>
      </c>
      <c r="I451" s="10" t="s">
        <v>8163</v>
      </c>
      <c r="J451" s="16" t="s">
        <v>5418</v>
      </c>
      <c r="K451" s="39" t="s">
        <v>5446</v>
      </c>
      <c r="L451" s="21" t="s">
        <v>8337</v>
      </c>
      <c r="M451" s="22">
        <v>2735</v>
      </c>
      <c r="N451" s="21" t="s">
        <v>8338</v>
      </c>
      <c r="O451" s="22">
        <v>1418</v>
      </c>
      <c r="P451" s="21" t="s">
        <v>8339</v>
      </c>
      <c r="Q451" s="22">
        <v>831</v>
      </c>
      <c r="R451" s="21" t="s">
        <v>3975</v>
      </c>
      <c r="S451" s="22">
        <v>411</v>
      </c>
      <c r="T451" s="21" t="s">
        <v>8340</v>
      </c>
      <c r="U451" s="22">
        <v>145</v>
      </c>
      <c r="V451" s="21" t="s">
        <v>7</v>
      </c>
      <c r="W451" s="22">
        <v>28</v>
      </c>
      <c r="X451" s="21"/>
      <c r="Y451" s="22"/>
      <c r="Z451" s="21"/>
      <c r="AA451" s="22"/>
      <c r="AB451" s="21"/>
      <c r="AC451" s="22"/>
    </row>
    <row r="452" spans="1:33" ht="28.5" customHeight="1" thickBot="1">
      <c r="A452" s="114" t="s">
        <v>8152</v>
      </c>
      <c r="C452" s="8" t="s">
        <v>8144</v>
      </c>
      <c r="E452" s="9" t="s">
        <v>8143</v>
      </c>
      <c r="F452" s="8" t="str">
        <f t="shared" si="18"/>
        <v>gift-codes.html?game=詛咒裝備與地下城</v>
      </c>
      <c r="G452" s="16" t="s">
        <v>8153</v>
      </c>
      <c r="H452" s="9" t="str">
        <f t="shared" si="19"/>
        <v>https://www.ssbuy.tw/game-detail.html?game=詛咒裝備與地下城</v>
      </c>
      <c r="I452" s="10" t="s">
        <v>8162</v>
      </c>
      <c r="J452" s="16" t="s">
        <v>5418</v>
      </c>
      <c r="K452" s="39" t="s">
        <v>5446</v>
      </c>
      <c r="L452" s="21" t="s">
        <v>8156</v>
      </c>
      <c r="M452" s="22">
        <v>2562</v>
      </c>
      <c r="N452" s="21" t="s">
        <v>8157</v>
      </c>
      <c r="O452" s="22">
        <v>1335</v>
      </c>
      <c r="P452" s="21" t="s">
        <v>8158</v>
      </c>
      <c r="Q452" s="22">
        <v>284</v>
      </c>
      <c r="R452" s="21" t="s">
        <v>8159</v>
      </c>
      <c r="S452" s="22">
        <v>157</v>
      </c>
      <c r="T452" s="21" t="s">
        <v>7553</v>
      </c>
      <c r="U452" s="22">
        <v>33</v>
      </c>
      <c r="V452" s="21" t="s">
        <v>8160</v>
      </c>
      <c r="W452" s="22">
        <v>213</v>
      </c>
      <c r="X452" s="21" t="s">
        <v>8161</v>
      </c>
      <c r="Y452" s="22">
        <v>140</v>
      </c>
    </row>
    <row r="453" spans="1:33" ht="28.5" customHeight="1" thickBot="1">
      <c r="A453" s="22" t="s">
        <v>8167</v>
      </c>
      <c r="C453" s="8" t="s">
        <v>8199</v>
      </c>
      <c r="E453" s="16" t="s">
        <v>8194</v>
      </c>
      <c r="F453" s="8" t="str">
        <f t="shared" si="18"/>
        <v>gift-codes.html?game=寶石勇者團：破曉</v>
      </c>
      <c r="G453" s="9" t="s">
        <v>8198</v>
      </c>
      <c r="H453" s="9" t="str">
        <f t="shared" si="19"/>
        <v>https://www.ssbuy.tw/game-detail.html?game=寶石勇者團：破曉</v>
      </c>
      <c r="I453" s="10" t="s">
        <v>8201</v>
      </c>
      <c r="J453" s="16" t="s">
        <v>5418</v>
      </c>
      <c r="K453" s="39" t="s">
        <v>5446</v>
      </c>
      <c r="L453" s="21" t="s">
        <v>5939</v>
      </c>
      <c r="M453" s="22">
        <v>2783</v>
      </c>
      <c r="N453" s="21" t="s">
        <v>5940</v>
      </c>
      <c r="O453" s="22">
        <v>1443</v>
      </c>
      <c r="P453" s="21" t="s">
        <v>5941</v>
      </c>
      <c r="Q453" s="22">
        <v>845</v>
      </c>
      <c r="R453" s="21" t="s">
        <v>5942</v>
      </c>
      <c r="S453" s="22">
        <v>743</v>
      </c>
      <c r="T453" s="21" t="s">
        <v>5943</v>
      </c>
      <c r="U453" s="22">
        <v>572</v>
      </c>
      <c r="V453" s="21" t="s">
        <v>5944</v>
      </c>
      <c r="W453" s="22">
        <v>418</v>
      </c>
      <c r="X453" s="21" t="s">
        <v>5945</v>
      </c>
      <c r="Y453" s="22">
        <v>282</v>
      </c>
      <c r="Z453" s="21" t="s">
        <v>5946</v>
      </c>
      <c r="AA453" s="22">
        <v>148</v>
      </c>
      <c r="AB453" s="21" t="s">
        <v>5947</v>
      </c>
      <c r="AC453" s="22">
        <v>29</v>
      </c>
    </row>
    <row r="454" spans="1:33" ht="28.5" customHeight="1" thickBot="1">
      <c r="A454" s="22" t="s">
        <v>8168</v>
      </c>
      <c r="C454" s="8" t="s">
        <v>8197</v>
      </c>
      <c r="E454" s="9" t="s">
        <v>8196</v>
      </c>
      <c r="F454" s="8" t="str">
        <f t="shared" si="18"/>
        <v>gift-codes.html?game=武俠自走棋</v>
      </c>
      <c r="G454" s="9" t="s">
        <v>8195</v>
      </c>
      <c r="H454" s="9" t="str">
        <f t="shared" si="19"/>
        <v>https://www.ssbuy.tw/game-detail.html?game=武俠自走棋</v>
      </c>
      <c r="I454" s="10" t="s">
        <v>8200</v>
      </c>
      <c r="J454" s="16" t="s">
        <v>5418</v>
      </c>
      <c r="K454" s="39" t="s">
        <v>5446</v>
      </c>
      <c r="L454" s="21" t="s">
        <v>8455</v>
      </c>
      <c r="M454" s="22">
        <v>2496</v>
      </c>
      <c r="N454" s="21" t="s">
        <v>8456</v>
      </c>
      <c r="O454" s="22">
        <v>1256</v>
      </c>
      <c r="P454" s="21" t="s">
        <v>8457</v>
      </c>
      <c r="Q454" s="22">
        <v>834</v>
      </c>
      <c r="R454" s="21" t="s">
        <v>8458</v>
      </c>
      <c r="S454" s="22">
        <v>666</v>
      </c>
      <c r="T454" s="21" t="s">
        <v>8459</v>
      </c>
      <c r="U454" s="22">
        <v>582</v>
      </c>
      <c r="V454" s="21" t="s">
        <v>8460</v>
      </c>
      <c r="W454" s="22">
        <v>413</v>
      </c>
      <c r="X454" s="21" t="s">
        <v>8461</v>
      </c>
      <c r="Y454" s="22">
        <v>270</v>
      </c>
      <c r="Z454" s="21" t="s">
        <v>8462</v>
      </c>
      <c r="AA454" s="22">
        <v>129</v>
      </c>
      <c r="AB454" s="21" t="s">
        <v>8463</v>
      </c>
      <c r="AC454" s="22">
        <v>77</v>
      </c>
      <c r="AD454" s="21" t="s">
        <v>8464</v>
      </c>
      <c r="AE454" s="22">
        <v>52</v>
      </c>
      <c r="AF454" s="21" t="s">
        <v>8465</v>
      </c>
      <c r="AG454" s="22">
        <v>26</v>
      </c>
    </row>
    <row r="455" spans="1:33" ht="28.5" customHeight="1" thickBot="1">
      <c r="A455" s="114" t="s">
        <v>8255</v>
      </c>
      <c r="D455" s="9" t="s">
        <v>8252</v>
      </c>
      <c r="E455" s="9" t="s">
        <v>8246</v>
      </c>
      <c r="F455" s="8" t="str">
        <f t="shared" si="18"/>
        <v>gift-codes.html?game=忍者大戰：世界</v>
      </c>
      <c r="G455" s="9" t="s">
        <v>8245</v>
      </c>
      <c r="H455" s="9" t="str">
        <f t="shared" si="19"/>
        <v>https://www.ssbuy.tw/game-detail.html?game=忍者大戰：世界</v>
      </c>
      <c r="I455" s="10" t="s">
        <v>8257</v>
      </c>
      <c r="J455" s="16" t="s">
        <v>5418</v>
      </c>
      <c r="K455" s="39" t="s">
        <v>5446</v>
      </c>
      <c r="L455" s="21" t="s">
        <v>8332</v>
      </c>
      <c r="M455" s="22">
        <v>1922</v>
      </c>
      <c r="N455" s="21" t="s">
        <v>8158</v>
      </c>
      <c r="O455" s="22">
        <v>579</v>
      </c>
      <c r="P455" s="21" t="s">
        <v>108</v>
      </c>
      <c r="Q455" s="22">
        <v>188</v>
      </c>
      <c r="R455" s="21" t="s">
        <v>8333</v>
      </c>
      <c r="S455" s="22">
        <v>831</v>
      </c>
      <c r="T455" s="21" t="s">
        <v>8334</v>
      </c>
      <c r="U455" s="22">
        <v>579</v>
      </c>
      <c r="V455" s="21" t="s">
        <v>8335</v>
      </c>
      <c r="W455" s="22">
        <v>579</v>
      </c>
      <c r="X455" s="21" t="s">
        <v>8336</v>
      </c>
      <c r="Y455" s="22">
        <v>128</v>
      </c>
      <c r="Z455" s="21"/>
      <c r="AA455" s="22"/>
      <c r="AB455" s="21"/>
      <c r="AC455" s="22"/>
    </row>
    <row r="456" spans="1:33" ht="28.5" customHeight="1" thickBot="1">
      <c r="A456" s="114" t="s">
        <v>8256</v>
      </c>
      <c r="C456" s="8" t="s">
        <v>8247</v>
      </c>
      <c r="D456" s="9" t="s">
        <v>8253</v>
      </c>
      <c r="E456" s="9" t="s">
        <v>8249</v>
      </c>
      <c r="F456" s="8" t="str">
        <f t="shared" si="18"/>
        <v>gift-codes.html?game=瘋狂競技場</v>
      </c>
      <c r="G456" s="9" t="s">
        <v>8248</v>
      </c>
      <c r="H456" s="9" t="str">
        <f t="shared" si="19"/>
        <v>https://www.ssbuy.tw/game-detail.html?game=瘋狂競技場</v>
      </c>
      <c r="I456" s="10" t="s">
        <v>8260</v>
      </c>
      <c r="J456" s="16" t="s">
        <v>5418</v>
      </c>
      <c r="K456" s="39" t="s">
        <v>5446</v>
      </c>
      <c r="L456" s="21" t="s">
        <v>8324</v>
      </c>
      <c r="M456" s="22">
        <v>2644</v>
      </c>
      <c r="N456" s="21" t="s">
        <v>8325</v>
      </c>
      <c r="O456" s="22">
        <v>1477</v>
      </c>
      <c r="P456" s="21" t="s">
        <v>8326</v>
      </c>
      <c r="Q456" s="22">
        <v>537</v>
      </c>
      <c r="R456" s="21" t="s">
        <v>8327</v>
      </c>
      <c r="S456" s="22">
        <v>294</v>
      </c>
      <c r="T456" s="21" t="s">
        <v>8328</v>
      </c>
      <c r="U456" s="22">
        <v>145</v>
      </c>
      <c r="V456" s="21" t="s">
        <v>1329</v>
      </c>
      <c r="W456" s="22">
        <v>137</v>
      </c>
      <c r="X456" s="21" t="s">
        <v>8329</v>
      </c>
      <c r="Y456" s="22">
        <v>269</v>
      </c>
      <c r="Z456" s="21" t="s">
        <v>8330</v>
      </c>
      <c r="AA456" s="22">
        <v>188</v>
      </c>
      <c r="AB456" s="21" t="s">
        <v>8331</v>
      </c>
      <c r="AC456" s="22">
        <v>269</v>
      </c>
    </row>
    <row r="457" spans="1:33" ht="28.5" customHeight="1" thickBot="1">
      <c r="A457" s="114" t="s">
        <v>8259</v>
      </c>
      <c r="D457" s="9" t="s">
        <v>8254</v>
      </c>
      <c r="E457" s="9" t="s">
        <v>8251</v>
      </c>
      <c r="F457" s="8" t="str">
        <f t="shared" si="18"/>
        <v>gift-codes.html?game=全勤守護者：放置型RPG</v>
      </c>
      <c r="G457" s="9" t="s">
        <v>8250</v>
      </c>
      <c r="H457" s="9" t="str">
        <f t="shared" si="19"/>
        <v>https://www.ssbuy.tw/game-detail.html?game=全勤守護者：放置型RPG</v>
      </c>
      <c r="I457" s="10" t="s">
        <v>8258</v>
      </c>
      <c r="J457" s="16" t="s">
        <v>5418</v>
      </c>
      <c r="K457" s="39" t="s">
        <v>5446</v>
      </c>
      <c r="L457" s="21" t="s">
        <v>8315</v>
      </c>
      <c r="M457" s="22">
        <v>1922</v>
      </c>
      <c r="N457" s="21" t="s">
        <v>8316</v>
      </c>
      <c r="O457" s="22">
        <v>999</v>
      </c>
      <c r="P457" s="21" t="s">
        <v>8317</v>
      </c>
      <c r="Q457" s="22">
        <v>411</v>
      </c>
      <c r="R457" s="21" t="s">
        <v>8318</v>
      </c>
      <c r="S457" s="22">
        <v>188</v>
      </c>
      <c r="T457" s="21" t="s">
        <v>8319</v>
      </c>
      <c r="U457" s="22">
        <v>103</v>
      </c>
      <c r="V457" s="21" t="s">
        <v>8320</v>
      </c>
      <c r="W457" s="22">
        <v>51</v>
      </c>
      <c r="X457" s="21" t="s">
        <v>6513</v>
      </c>
      <c r="Y457" s="22">
        <v>188</v>
      </c>
      <c r="Z457" s="21" t="s">
        <v>8321</v>
      </c>
      <c r="AA457" s="22">
        <v>188</v>
      </c>
      <c r="AB457" s="21" t="s">
        <v>8322</v>
      </c>
      <c r="AC457" s="22">
        <v>999</v>
      </c>
      <c r="AD457" s="21" t="s">
        <v>8323</v>
      </c>
      <c r="AE457" s="22">
        <v>411</v>
      </c>
    </row>
    <row r="458" spans="1:33" ht="28.5" customHeight="1" thickBot="1">
      <c r="A458" s="22" t="s">
        <v>8261</v>
      </c>
      <c r="C458" s="8" t="s">
        <v>8292</v>
      </c>
      <c r="E458" s="9" t="s">
        <v>8296</v>
      </c>
      <c r="F458" s="8" t="str">
        <f t="shared" si="18"/>
        <v>gift-codes.html?game=龍魂契約</v>
      </c>
      <c r="G458" s="9" t="s">
        <v>8295</v>
      </c>
      <c r="H458" s="9" t="str">
        <f t="shared" si="19"/>
        <v>https://www.ssbuy.tw/game-detail.html?game=龍魂契約</v>
      </c>
      <c r="I458" s="10" t="s">
        <v>8303</v>
      </c>
      <c r="J458" s="16" t="s">
        <v>5418</v>
      </c>
      <c r="K458" s="39" t="s">
        <v>5446</v>
      </c>
      <c r="L458" s="21" t="s">
        <v>12</v>
      </c>
      <c r="M458" s="22">
        <v>2496</v>
      </c>
      <c r="N458" s="21" t="s">
        <v>13</v>
      </c>
      <c r="O458" s="22">
        <v>1256</v>
      </c>
      <c r="P458" s="21" t="s">
        <v>24</v>
      </c>
      <c r="Q458" s="22">
        <v>834</v>
      </c>
      <c r="R458" s="21" t="s">
        <v>15</v>
      </c>
      <c r="S458" s="22">
        <v>413</v>
      </c>
      <c r="T458" s="21" t="s">
        <v>65</v>
      </c>
      <c r="U458" s="22">
        <v>249</v>
      </c>
      <c r="V458" s="21" t="s">
        <v>16</v>
      </c>
      <c r="W458" s="22">
        <v>129</v>
      </c>
      <c r="X458" s="21" t="s">
        <v>7</v>
      </c>
      <c r="Y458" s="22">
        <v>26</v>
      </c>
      <c r="Z458" s="21" t="s">
        <v>8451</v>
      </c>
      <c r="AA458" s="22">
        <v>413</v>
      </c>
      <c r="AB458" s="21" t="s">
        <v>6118</v>
      </c>
      <c r="AC458" s="22">
        <v>129</v>
      </c>
      <c r="AD458" s="21" t="s">
        <v>8452</v>
      </c>
      <c r="AE458" s="22">
        <v>270</v>
      </c>
      <c r="AF458" s="21" t="s">
        <v>66</v>
      </c>
      <c r="AG458" s="22">
        <v>413</v>
      </c>
    </row>
    <row r="459" spans="1:33" ht="28.5" customHeight="1" thickBot="1">
      <c r="A459" s="22" t="s">
        <v>8262</v>
      </c>
      <c r="C459" s="8" t="s">
        <v>8293</v>
      </c>
      <c r="D459" s="9" t="s">
        <v>8297</v>
      </c>
      <c r="E459" s="9" t="s">
        <v>8302</v>
      </c>
      <c r="F459" s="8" t="str">
        <f t="shared" si="18"/>
        <v>gift-codes.html?game=挖你老墓</v>
      </c>
      <c r="G459" s="9" t="s">
        <v>8298</v>
      </c>
      <c r="H459" s="9" t="str">
        <f t="shared" si="19"/>
        <v>https://www.ssbuy.tw/game-detail.html?game=挖你老墓</v>
      </c>
      <c r="I459" s="10" t="s">
        <v>8304</v>
      </c>
      <c r="J459" s="16" t="s">
        <v>5418</v>
      </c>
      <c r="K459" s="39" t="s">
        <v>5446</v>
      </c>
      <c r="L459" s="21" t="s">
        <v>4884</v>
      </c>
      <c r="M459" s="22">
        <v>2747</v>
      </c>
      <c r="N459" s="21" t="s">
        <v>204</v>
      </c>
      <c r="O459" s="22">
        <v>1391</v>
      </c>
      <c r="P459" s="21" t="s">
        <v>4885</v>
      </c>
      <c r="Q459" s="22">
        <v>843</v>
      </c>
      <c r="R459" s="21" t="s">
        <v>4444</v>
      </c>
      <c r="S459" s="22">
        <v>582</v>
      </c>
      <c r="T459" s="21" t="s">
        <v>4886</v>
      </c>
      <c r="U459" s="22">
        <v>413</v>
      </c>
      <c r="V459" s="21" t="s">
        <v>205</v>
      </c>
      <c r="W459" s="22">
        <v>278</v>
      </c>
      <c r="X459" s="21" t="s">
        <v>239</v>
      </c>
      <c r="Y459" s="22">
        <v>142</v>
      </c>
      <c r="Z459" s="21" t="s">
        <v>240</v>
      </c>
      <c r="AA459" s="22">
        <v>28</v>
      </c>
      <c r="AB459" s="21" t="s">
        <v>8466</v>
      </c>
      <c r="AC459" s="22">
        <v>142</v>
      </c>
      <c r="AD459" s="21" t="s">
        <v>8467</v>
      </c>
      <c r="AE459" s="22">
        <v>142</v>
      </c>
      <c r="AF459" s="21" t="s">
        <v>8468</v>
      </c>
      <c r="AG459" s="22">
        <v>413</v>
      </c>
    </row>
    <row r="460" spans="1:33" ht="28.5" customHeight="1" thickBot="1">
      <c r="A460" s="22" t="s">
        <v>8263</v>
      </c>
      <c r="C460" s="8" t="s">
        <v>8294</v>
      </c>
      <c r="D460" s="9" t="s">
        <v>8300</v>
      </c>
      <c r="E460" s="9" t="s">
        <v>8301</v>
      </c>
      <c r="F460" s="8" t="str">
        <f t="shared" si="18"/>
        <v>gift-codes.html?game=風與龍之歌</v>
      </c>
      <c r="G460" s="9" t="s">
        <v>8299</v>
      </c>
      <c r="H460" s="9" t="str">
        <f t="shared" si="19"/>
        <v>https://www.ssbuy.tw/game-detail.html?game=風與龍之歌</v>
      </c>
      <c r="I460" s="10" t="s">
        <v>8305</v>
      </c>
      <c r="J460" s="16" t="s">
        <v>5418</v>
      </c>
      <c r="K460" s="39" t="s">
        <v>5446</v>
      </c>
      <c r="L460" s="21" t="s">
        <v>8547</v>
      </c>
      <c r="M460" s="22">
        <v>2747</v>
      </c>
      <c r="N460" s="21" t="s">
        <v>8548</v>
      </c>
      <c r="O460" s="22">
        <v>1424</v>
      </c>
      <c r="P460" s="21" t="s">
        <v>8549</v>
      </c>
      <c r="Q460" s="22">
        <v>834</v>
      </c>
      <c r="R460" s="21" t="s">
        <v>8550</v>
      </c>
      <c r="S460" s="22">
        <v>565</v>
      </c>
      <c r="T460" s="21" t="s">
        <v>8551</v>
      </c>
      <c r="U460" s="22">
        <v>413</v>
      </c>
      <c r="V460" s="21" t="s">
        <v>8552</v>
      </c>
      <c r="W460" s="22">
        <v>278</v>
      </c>
      <c r="X460" s="21" t="s">
        <v>8553</v>
      </c>
      <c r="Y460" s="22">
        <v>146</v>
      </c>
      <c r="Z460" s="21" t="s">
        <v>8554</v>
      </c>
      <c r="AA460" s="22">
        <v>28</v>
      </c>
      <c r="AB460" s="21" t="s">
        <v>8555</v>
      </c>
      <c r="AC460" s="22">
        <v>278</v>
      </c>
    </row>
    <row r="461" spans="1:33" ht="28.5" customHeight="1" thickBot="1">
      <c r="A461" s="114" t="s">
        <v>8309</v>
      </c>
      <c r="C461" s="8" t="s">
        <v>8310</v>
      </c>
      <c r="D461" s="9" t="s">
        <v>8311</v>
      </c>
      <c r="E461" s="9" t="s">
        <v>8312</v>
      </c>
      <c r="F461" s="8" t="str">
        <f t="shared" si="18"/>
        <v>gift-codes.html?game=異環</v>
      </c>
      <c r="G461" s="9" t="s">
        <v>8313</v>
      </c>
      <c r="H461" s="9" t="str">
        <f t="shared" si="19"/>
        <v>https://www.ssbuy.tw/game-detail.html?game=異環</v>
      </c>
      <c r="I461" s="10" t="s">
        <v>8314</v>
      </c>
      <c r="J461" s="16" t="s">
        <v>5418</v>
      </c>
      <c r="K461" s="39" t="s">
        <v>5446</v>
      </c>
      <c r="L461" s="21" t="s">
        <v>5939</v>
      </c>
      <c r="M461" s="22">
        <v>2773</v>
      </c>
      <c r="N461" s="21" t="s">
        <v>5940</v>
      </c>
      <c r="O461" s="22">
        <v>1438</v>
      </c>
      <c r="P461" s="21" t="s">
        <v>5941</v>
      </c>
      <c r="Q461" s="22">
        <v>850</v>
      </c>
      <c r="R461" s="21" t="s">
        <v>5942</v>
      </c>
      <c r="S461" s="22">
        <v>747</v>
      </c>
      <c r="T461" s="21" t="s">
        <v>5943</v>
      </c>
      <c r="U461" s="22">
        <v>575</v>
      </c>
      <c r="V461" s="21" t="s">
        <v>5944</v>
      </c>
      <c r="W461" s="22">
        <v>421</v>
      </c>
      <c r="X461" s="21" t="s">
        <v>8629</v>
      </c>
      <c r="Y461" s="22">
        <v>283</v>
      </c>
      <c r="Z461" s="21" t="s">
        <v>5946</v>
      </c>
      <c r="AA461" s="22">
        <v>146</v>
      </c>
      <c r="AB461" s="21" t="s">
        <v>5947</v>
      </c>
      <c r="AC461" s="22">
        <v>28</v>
      </c>
    </row>
    <row r="462" spans="1:33" ht="28.5" customHeight="1" thickBot="1">
      <c r="A462" s="22" t="s">
        <v>8344</v>
      </c>
      <c r="C462" s="8" t="s">
        <v>8364</v>
      </c>
      <c r="D462" s="9" t="s">
        <v>8365</v>
      </c>
      <c r="E462" s="9" t="s">
        <v>8352</v>
      </c>
      <c r="F462" s="8" t="str">
        <f t="shared" si="18"/>
        <v>gift-codes.html?game=薑餅人大亂鬥</v>
      </c>
      <c r="G462" s="9" t="s">
        <v>8353</v>
      </c>
      <c r="H462" s="9" t="str">
        <f t="shared" si="19"/>
        <v>https://www.ssbuy.tw/game-detail.html?game=薑餅人大亂鬥</v>
      </c>
      <c r="I462" s="10" t="s">
        <v>8358</v>
      </c>
      <c r="J462" s="16" t="s">
        <v>5418</v>
      </c>
      <c r="K462" s="39" t="s">
        <v>5446</v>
      </c>
      <c r="L462" s="21" t="s">
        <v>8469</v>
      </c>
      <c r="M462" s="22">
        <v>2747</v>
      </c>
      <c r="N462" s="21" t="s">
        <v>8470</v>
      </c>
      <c r="O462" s="22">
        <v>1256</v>
      </c>
      <c r="P462" s="21" t="s">
        <v>8471</v>
      </c>
      <c r="Q462" s="22">
        <v>615</v>
      </c>
      <c r="R462" s="21" t="s">
        <v>8472</v>
      </c>
      <c r="S462" s="22">
        <v>278</v>
      </c>
      <c r="T462" s="21" t="s">
        <v>8473</v>
      </c>
      <c r="U462" s="22">
        <v>146</v>
      </c>
      <c r="V462" s="21" t="s">
        <v>8474</v>
      </c>
      <c r="W462" s="22">
        <v>28</v>
      </c>
      <c r="X462" s="21" t="s">
        <v>8475</v>
      </c>
      <c r="Y462" s="22">
        <v>278</v>
      </c>
      <c r="Z462" s="21" t="s">
        <v>8476</v>
      </c>
      <c r="AA462" s="22">
        <v>278</v>
      </c>
      <c r="AB462" s="21" t="s">
        <v>8477</v>
      </c>
      <c r="AC462" s="22">
        <v>615</v>
      </c>
      <c r="AD462" s="21" t="s">
        <v>8478</v>
      </c>
      <c r="AE462" s="22">
        <v>198</v>
      </c>
    </row>
    <row r="463" spans="1:33" ht="28.5" customHeight="1" thickBot="1">
      <c r="A463" s="22" t="s">
        <v>8630</v>
      </c>
      <c r="C463" s="8" t="s">
        <v>8363</v>
      </c>
      <c r="D463" s="9" t="s">
        <v>8362</v>
      </c>
      <c r="E463" s="9" t="s">
        <v>8346</v>
      </c>
      <c r="F463" s="8" t="str">
        <f t="shared" si="18"/>
        <v>gift-codes.html?game=貓娘樂園 世界連結</v>
      </c>
      <c r="G463" s="9" t="s">
        <v>8347</v>
      </c>
      <c r="H463" s="9" t="str">
        <f t="shared" si="19"/>
        <v>https://www.ssbuy.tw/game-detail.html?game=貓娘樂園 世界連結</v>
      </c>
      <c r="I463" s="10" t="s">
        <v>8359</v>
      </c>
      <c r="J463" s="16" t="s">
        <v>5418</v>
      </c>
      <c r="K463" s="39" t="s">
        <v>5446</v>
      </c>
      <c r="L463" s="21" t="s">
        <v>5939</v>
      </c>
      <c r="M463" s="22">
        <v>2773</v>
      </c>
      <c r="N463" s="21" t="s">
        <v>5940</v>
      </c>
      <c r="O463" s="22">
        <v>1438</v>
      </c>
      <c r="P463" s="21" t="s">
        <v>5941</v>
      </c>
      <c r="Q463" s="22">
        <v>850</v>
      </c>
      <c r="R463" s="21" t="s">
        <v>5942</v>
      </c>
      <c r="S463" s="22">
        <v>747</v>
      </c>
      <c r="T463" s="21" t="s">
        <v>5943</v>
      </c>
      <c r="U463" s="22">
        <v>575</v>
      </c>
      <c r="V463" s="21" t="s">
        <v>5944</v>
      </c>
      <c r="W463" s="22">
        <v>421</v>
      </c>
      <c r="X463" s="21" t="s">
        <v>8629</v>
      </c>
      <c r="Y463" s="22">
        <v>283</v>
      </c>
      <c r="Z463" s="21" t="s">
        <v>5946</v>
      </c>
      <c r="AA463" s="22">
        <v>146</v>
      </c>
      <c r="AB463" s="21" t="s">
        <v>5947</v>
      </c>
      <c r="AC463" s="22">
        <v>28</v>
      </c>
    </row>
    <row r="464" spans="1:33" ht="28.5" customHeight="1" thickBot="1">
      <c r="A464" s="22" t="s">
        <v>8345</v>
      </c>
      <c r="C464" s="8" t="s">
        <v>8366</v>
      </c>
      <c r="E464" s="9" t="s">
        <v>8348</v>
      </c>
      <c r="F464" s="8" t="str">
        <f t="shared" si="18"/>
        <v>gift-codes.html?game=環形戰爭</v>
      </c>
      <c r="G464" s="9" t="s">
        <v>8349</v>
      </c>
      <c r="H464" s="9" t="str">
        <f t="shared" si="19"/>
        <v>https://www.ssbuy.tw/game-detail.html?game=環形戰爭</v>
      </c>
      <c r="I464" s="10" t="s">
        <v>8360</v>
      </c>
      <c r="J464" s="16" t="s">
        <v>5418</v>
      </c>
      <c r="K464" s="39" t="s">
        <v>5446</v>
      </c>
      <c r="L464" s="21" t="s">
        <v>8387</v>
      </c>
      <c r="M464" s="22">
        <v>2496</v>
      </c>
      <c r="N464" s="21" t="s">
        <v>8388</v>
      </c>
      <c r="O464" s="22">
        <v>1256</v>
      </c>
      <c r="P464" s="21" t="s">
        <v>8389</v>
      </c>
      <c r="Q464" s="22">
        <v>834</v>
      </c>
      <c r="R464" s="21" t="s">
        <v>8390</v>
      </c>
      <c r="S464" s="22">
        <v>413</v>
      </c>
      <c r="T464" s="21" t="s">
        <v>8391</v>
      </c>
      <c r="U464" s="22">
        <v>129</v>
      </c>
      <c r="V464" s="21" t="s">
        <v>8392</v>
      </c>
      <c r="W464" s="22">
        <v>28</v>
      </c>
      <c r="X464" s="21"/>
      <c r="Y464" s="22"/>
      <c r="Z464" s="21"/>
      <c r="AA464" s="22"/>
      <c r="AB464" s="21"/>
      <c r="AC464" s="22"/>
    </row>
    <row r="465" spans="1:35" ht="28.5" customHeight="1" thickBot="1">
      <c r="A465" s="126" t="s">
        <v>8631</v>
      </c>
      <c r="E465" s="9" t="s">
        <v>8350</v>
      </c>
      <c r="F465" s="8" t="str">
        <f t="shared" si="18"/>
        <v>gift-codes.html?game=Slot &amp; Brave：Roguelike RPG</v>
      </c>
      <c r="G465" s="9" t="s">
        <v>8351</v>
      </c>
      <c r="H465" s="9" t="str">
        <f t="shared" si="19"/>
        <v>https://www.ssbuy.tw/game-detail.html?game=Slot &amp; Brave：Roguelike RPG</v>
      </c>
      <c r="I465" s="10" t="s">
        <v>8361</v>
      </c>
      <c r="J465" s="16" t="s">
        <v>5418</v>
      </c>
      <c r="K465" s="39" t="s">
        <v>5446</v>
      </c>
      <c r="L465" s="21" t="s">
        <v>5939</v>
      </c>
      <c r="M465" s="22">
        <v>2773</v>
      </c>
      <c r="N465" s="21" t="s">
        <v>5940</v>
      </c>
      <c r="O465" s="22">
        <v>1438</v>
      </c>
      <c r="P465" s="21" t="s">
        <v>5941</v>
      </c>
      <c r="Q465" s="22">
        <v>850</v>
      </c>
      <c r="R465" s="21" t="s">
        <v>5942</v>
      </c>
      <c r="S465" s="22">
        <v>747</v>
      </c>
      <c r="T465" s="21" t="s">
        <v>5943</v>
      </c>
      <c r="U465" s="22">
        <v>575</v>
      </c>
      <c r="V465" s="21" t="s">
        <v>5944</v>
      </c>
      <c r="W465" s="22">
        <v>421</v>
      </c>
      <c r="X465" s="21" t="s">
        <v>8629</v>
      </c>
      <c r="Y465" s="22">
        <v>283</v>
      </c>
      <c r="Z465" s="21" t="s">
        <v>5946</v>
      </c>
      <c r="AA465" s="22">
        <v>146</v>
      </c>
      <c r="AB465" s="21" t="s">
        <v>5947</v>
      </c>
      <c r="AC465" s="22">
        <v>28</v>
      </c>
    </row>
    <row r="466" spans="1:35" ht="28.5" customHeight="1" thickBot="1">
      <c r="A466" s="114" t="s">
        <v>8374</v>
      </c>
      <c r="C466" s="8" t="s">
        <v>8380</v>
      </c>
      <c r="E466" s="9" t="s">
        <v>8382</v>
      </c>
      <c r="F466" s="8" t="str">
        <f t="shared" si="18"/>
        <v>gift-codes.html?game=小小三國志：暴走群雄傳</v>
      </c>
      <c r="G466" s="9" t="s">
        <v>8381</v>
      </c>
      <c r="H466" s="9" t="str">
        <f t="shared" si="19"/>
        <v>https://www.ssbuy.tw/game-detail.html?game=小小三國志：暴走群雄傳</v>
      </c>
      <c r="I466" s="10" t="s">
        <v>8383</v>
      </c>
      <c r="J466" s="16" t="s">
        <v>5418</v>
      </c>
      <c r="K466" s="39" t="s">
        <v>5446</v>
      </c>
      <c r="L466" s="21" t="s">
        <v>8393</v>
      </c>
      <c r="M466" s="22">
        <v>2496</v>
      </c>
      <c r="N466" s="21" t="s">
        <v>8394</v>
      </c>
      <c r="O466" s="22">
        <v>1256</v>
      </c>
      <c r="P466" s="21" t="s">
        <v>8395</v>
      </c>
      <c r="Q466" s="22">
        <v>565</v>
      </c>
      <c r="R466" s="21" t="s">
        <v>8396</v>
      </c>
      <c r="S466" s="22">
        <v>278</v>
      </c>
      <c r="T466" s="21" t="s">
        <v>3713</v>
      </c>
      <c r="U466" s="22">
        <v>129</v>
      </c>
      <c r="V466" s="21" t="s">
        <v>8397</v>
      </c>
      <c r="W466" s="22">
        <v>28</v>
      </c>
      <c r="X466" s="21" t="s">
        <v>1436</v>
      </c>
      <c r="Y466" s="22">
        <v>129</v>
      </c>
      <c r="Z466" s="21" t="s">
        <v>107</v>
      </c>
      <c r="AA466" s="22">
        <v>77</v>
      </c>
      <c r="AB466" s="21"/>
      <c r="AC466" s="22"/>
    </row>
    <row r="467" spans="1:35" ht="28.5" customHeight="1" thickBot="1">
      <c r="A467" s="114" t="s">
        <v>8417</v>
      </c>
      <c r="C467" s="8" t="s">
        <v>8418</v>
      </c>
      <c r="D467" s="9" t="s">
        <v>8419</v>
      </c>
      <c r="E467" s="9" t="s">
        <v>8421</v>
      </c>
      <c r="F467" s="8" t="str">
        <f t="shared" si="18"/>
        <v>gift-codes.html?game=勇者鬥惡龍 破限亂鬥</v>
      </c>
      <c r="G467" s="9" t="s">
        <v>8420</v>
      </c>
      <c r="H467" s="9" t="str">
        <f t="shared" si="19"/>
        <v>https://www.ssbuy.tw/game-detail.html?game=勇者鬥惡龍 破限亂鬥</v>
      </c>
      <c r="I467" s="10" t="s">
        <v>8422</v>
      </c>
      <c r="J467" s="16" t="s">
        <v>5418</v>
      </c>
      <c r="K467" s="39" t="s">
        <v>5446</v>
      </c>
      <c r="L467" s="21" t="s">
        <v>8539</v>
      </c>
      <c r="M467" s="22">
        <v>1812</v>
      </c>
      <c r="N467" s="21" t="s">
        <v>8540</v>
      </c>
      <c r="O467" s="22">
        <v>906</v>
      </c>
      <c r="P467" s="21" t="s">
        <v>8541</v>
      </c>
      <c r="Q467" s="22">
        <v>539</v>
      </c>
      <c r="R467" s="21" t="s">
        <v>8542</v>
      </c>
      <c r="S467" s="22">
        <v>362</v>
      </c>
      <c r="T467" s="21" t="s">
        <v>8543</v>
      </c>
      <c r="U467" s="22">
        <v>219</v>
      </c>
      <c r="V467" s="21" t="s">
        <v>8544</v>
      </c>
      <c r="W467" s="22">
        <v>107</v>
      </c>
      <c r="X467" s="21" t="s">
        <v>8545</v>
      </c>
      <c r="Y467" s="22">
        <v>28</v>
      </c>
      <c r="Z467" s="21"/>
      <c r="AA467" s="22"/>
      <c r="AB467" s="21"/>
      <c r="AC467" s="22"/>
    </row>
    <row r="468" spans="1:35" ht="28.5" customHeight="1" thickBot="1">
      <c r="A468" s="22" t="s">
        <v>8432</v>
      </c>
      <c r="C468" s="8" t="s">
        <v>8435</v>
      </c>
      <c r="D468" s="9" t="s">
        <v>8438</v>
      </c>
      <c r="E468" s="9" t="s">
        <v>8446</v>
      </c>
      <c r="F468" s="8" t="str">
        <f t="shared" si="18"/>
        <v>gift-codes.html?game=鬼雄三國：主公有夠鬼</v>
      </c>
      <c r="G468" s="9" t="s">
        <v>8439</v>
      </c>
      <c r="H468" s="9" t="str">
        <f t="shared" si="19"/>
        <v>https://www.ssbuy.tw/game-detail.html?game=鬼雄三國：主公有夠鬼</v>
      </c>
      <c r="I468" s="10" t="s">
        <v>8448</v>
      </c>
      <c r="J468" s="16" t="s">
        <v>5418</v>
      </c>
      <c r="K468" s="39" t="s">
        <v>5446</v>
      </c>
      <c r="L468" s="111" t="s">
        <v>235</v>
      </c>
      <c r="M468" s="112">
        <v>2747</v>
      </c>
      <c r="N468" s="111" t="s">
        <v>236</v>
      </c>
      <c r="O468" s="112">
        <v>1424</v>
      </c>
      <c r="P468" s="111" t="s">
        <v>1292</v>
      </c>
      <c r="Q468" s="112">
        <v>834</v>
      </c>
      <c r="R468" s="111" t="s">
        <v>237</v>
      </c>
      <c r="S468" s="112">
        <v>565</v>
      </c>
      <c r="T468" s="111" t="s">
        <v>238</v>
      </c>
      <c r="U468" s="112">
        <v>278</v>
      </c>
      <c r="V468" s="111" t="s">
        <v>239</v>
      </c>
      <c r="W468" s="112">
        <v>146</v>
      </c>
      <c r="X468" s="111" t="s">
        <v>240</v>
      </c>
      <c r="Y468" s="112">
        <v>28</v>
      </c>
      <c r="Z468" s="21"/>
      <c r="AA468" s="22"/>
      <c r="AB468" s="21"/>
      <c r="AC468" s="22"/>
    </row>
    <row r="469" spans="1:35" ht="28.5" customHeight="1" thickBot="1">
      <c r="A469" s="22" t="s">
        <v>8433</v>
      </c>
      <c r="C469" s="8" t="s">
        <v>8436</v>
      </c>
      <c r="D469" s="9" t="s">
        <v>8440</v>
      </c>
      <c r="E469" s="9" t="s">
        <v>8441</v>
      </c>
      <c r="F469" s="8" t="str">
        <f t="shared" si="18"/>
        <v>gift-codes.html?game=NBA王朝崛起</v>
      </c>
      <c r="G469" s="9" t="s">
        <v>8442</v>
      </c>
      <c r="H469" s="9" t="str">
        <f t="shared" si="19"/>
        <v>https://www.ssbuy.tw/game-detail.html?game=NBA王朝崛起</v>
      </c>
      <c r="I469" s="10" t="s">
        <v>8449</v>
      </c>
      <c r="J469" s="16" t="s">
        <v>5418</v>
      </c>
      <c r="K469" s="39" t="s">
        <v>5446</v>
      </c>
      <c r="L469" s="21" t="s">
        <v>46</v>
      </c>
      <c r="M469" s="22">
        <v>2520</v>
      </c>
      <c r="N469" s="21" t="s">
        <v>1677</v>
      </c>
      <c r="O469" s="22">
        <v>1268</v>
      </c>
      <c r="P469" s="21" t="s">
        <v>151</v>
      </c>
      <c r="Q469" s="22">
        <v>850</v>
      </c>
      <c r="R469" s="21" t="s">
        <v>152</v>
      </c>
      <c r="S469" s="22">
        <v>575</v>
      </c>
      <c r="T469" s="21" t="s">
        <v>153</v>
      </c>
      <c r="U469" s="22">
        <v>421</v>
      </c>
      <c r="V469" s="21" t="s">
        <v>6549</v>
      </c>
      <c r="W469" s="22">
        <v>275</v>
      </c>
      <c r="X469" s="21" t="s">
        <v>6550</v>
      </c>
      <c r="Y469" s="22">
        <v>129</v>
      </c>
      <c r="Z469" s="21" t="s">
        <v>8447</v>
      </c>
      <c r="AA469" s="22">
        <v>86</v>
      </c>
      <c r="AB469" s="21" t="s">
        <v>6553</v>
      </c>
      <c r="AC469" s="22">
        <v>28</v>
      </c>
    </row>
    <row r="470" spans="1:35" ht="28.5" customHeight="1" thickBot="1">
      <c r="A470" s="22" t="s">
        <v>8434</v>
      </c>
      <c r="C470" s="8" t="s">
        <v>8437</v>
      </c>
      <c r="D470" s="9" t="s">
        <v>8443</v>
      </c>
      <c r="E470" s="9" t="s">
        <v>8444</v>
      </c>
      <c r="F470" s="8" t="str">
        <f t="shared" si="18"/>
        <v>gift-codes.html?game=仙逆M</v>
      </c>
      <c r="G470" s="9" t="s">
        <v>8445</v>
      </c>
      <c r="H470" s="9" t="str">
        <f t="shared" si="19"/>
        <v>https://www.ssbuy.tw/game-detail.html?game=仙逆M</v>
      </c>
      <c r="I470" s="10" t="s">
        <v>8450</v>
      </c>
      <c r="J470" s="16" t="s">
        <v>5418</v>
      </c>
      <c r="K470" s="39" t="s">
        <v>5446</v>
      </c>
      <c r="L470" s="111" t="s">
        <v>1514</v>
      </c>
      <c r="M470" s="112">
        <v>2496</v>
      </c>
      <c r="N470" s="111" t="s">
        <v>1515</v>
      </c>
      <c r="O470" s="112">
        <v>1256</v>
      </c>
      <c r="P470" s="111" t="s">
        <v>5407</v>
      </c>
      <c r="Q470" s="112">
        <v>834</v>
      </c>
      <c r="R470" s="111" t="s">
        <v>1516</v>
      </c>
      <c r="S470" s="112">
        <v>582</v>
      </c>
      <c r="T470" s="111" t="s">
        <v>1630</v>
      </c>
      <c r="U470" s="112">
        <v>270</v>
      </c>
      <c r="V470" s="111" t="s">
        <v>318</v>
      </c>
      <c r="W470" s="112">
        <v>129</v>
      </c>
      <c r="X470" s="111" t="s">
        <v>1518</v>
      </c>
      <c r="Y470" s="112">
        <v>26</v>
      </c>
      <c r="Z470" s="111" t="s">
        <v>8722</v>
      </c>
      <c r="AA470" s="112">
        <v>270</v>
      </c>
      <c r="AB470" s="111" t="s">
        <v>8723</v>
      </c>
      <c r="AC470" s="112">
        <v>129</v>
      </c>
      <c r="AD470" s="111" t="s">
        <v>66</v>
      </c>
      <c r="AE470" s="112">
        <v>413</v>
      </c>
    </row>
    <row r="471" spans="1:35" ht="28.5" customHeight="1" thickBot="1">
      <c r="A471" s="22" t="s">
        <v>8479</v>
      </c>
      <c r="C471" s="8" t="s">
        <v>8485</v>
      </c>
      <c r="E471" s="9" t="s">
        <v>8487</v>
      </c>
      <c r="F471" s="8" t="str">
        <f t="shared" si="18"/>
        <v>gift-codes.html?game=貓咪與湯：魔法與美食</v>
      </c>
      <c r="G471" s="9" t="s">
        <v>8486</v>
      </c>
      <c r="H471" s="9" t="str">
        <f t="shared" si="19"/>
        <v>https://www.ssbuy.tw/game-detail.html?game=貓咪與湯：魔法與美食</v>
      </c>
      <c r="I471" s="10" t="s">
        <v>8491</v>
      </c>
      <c r="J471" s="16" t="s">
        <v>5418</v>
      </c>
      <c r="K471" s="39" t="s">
        <v>5446</v>
      </c>
      <c r="L471" s="21" t="s">
        <v>46</v>
      </c>
      <c r="M471" s="22">
        <v>2520</v>
      </c>
      <c r="N471" s="21" t="s">
        <v>1677</v>
      </c>
      <c r="O471" s="22">
        <v>1268</v>
      </c>
      <c r="P471" s="21" t="s">
        <v>151</v>
      </c>
      <c r="Q471" s="22">
        <v>850</v>
      </c>
      <c r="R471" s="21" t="s">
        <v>152</v>
      </c>
      <c r="S471" s="22">
        <v>575</v>
      </c>
      <c r="T471" s="21" t="s">
        <v>153</v>
      </c>
      <c r="U471" s="22">
        <v>421</v>
      </c>
      <c r="V471" s="21" t="s">
        <v>6549</v>
      </c>
      <c r="W471" s="22">
        <v>275</v>
      </c>
      <c r="X471" s="21" t="s">
        <v>6550</v>
      </c>
      <c r="Y471" s="22">
        <v>129</v>
      </c>
      <c r="Z471" s="21" t="s">
        <v>8447</v>
      </c>
      <c r="AA471" s="22">
        <v>86</v>
      </c>
      <c r="AB471" s="21" t="s">
        <v>6553</v>
      </c>
      <c r="AC471" s="22">
        <v>28</v>
      </c>
    </row>
    <row r="472" spans="1:35" ht="28.5" customHeight="1" thickBot="1">
      <c r="A472" s="22" t="s">
        <v>8480</v>
      </c>
      <c r="C472" s="8" t="s">
        <v>8483</v>
      </c>
      <c r="D472" s="9" t="s">
        <v>8484</v>
      </c>
      <c r="E472" s="9" t="s">
        <v>8481</v>
      </c>
      <c r="F472" s="8" t="str">
        <f t="shared" si="18"/>
        <v>gift-codes.html?game=終結獵鋒K：首爾</v>
      </c>
      <c r="G472" s="9" t="s">
        <v>8482</v>
      </c>
      <c r="H472" s="9" t="str">
        <f t="shared" si="19"/>
        <v>https://www.ssbuy.tw/game-detail.html?game=終結獵鋒K：首爾</v>
      </c>
      <c r="I472" s="10" t="s">
        <v>8492</v>
      </c>
      <c r="J472" s="16" t="s">
        <v>5418</v>
      </c>
      <c r="K472" s="39" t="s">
        <v>5446</v>
      </c>
      <c r="L472" s="21" t="s">
        <v>8556</v>
      </c>
      <c r="M472" s="22">
        <v>1930</v>
      </c>
      <c r="N472" s="21" t="s">
        <v>7162</v>
      </c>
      <c r="O472" s="22">
        <v>1003</v>
      </c>
      <c r="P472" s="21" t="s">
        <v>108</v>
      </c>
      <c r="Q472" s="22">
        <v>615</v>
      </c>
      <c r="R472" s="21" t="s">
        <v>1321</v>
      </c>
      <c r="S472" s="22">
        <v>278</v>
      </c>
      <c r="T472" s="21" t="s">
        <v>4716</v>
      </c>
      <c r="U472" s="22">
        <v>112</v>
      </c>
      <c r="V472" s="21" t="s">
        <v>29</v>
      </c>
      <c r="W472" s="22">
        <v>28</v>
      </c>
      <c r="X472" s="21" t="s">
        <v>8557</v>
      </c>
      <c r="Y472" s="22">
        <v>232</v>
      </c>
      <c r="Z472" s="21" t="s">
        <v>8558</v>
      </c>
      <c r="AA472" s="22">
        <v>232</v>
      </c>
      <c r="AB472" s="21" t="s">
        <v>7217</v>
      </c>
      <c r="AC472" s="22">
        <v>413</v>
      </c>
      <c r="AD472" s="21" t="s">
        <v>3516</v>
      </c>
      <c r="AE472" s="22">
        <v>232</v>
      </c>
    </row>
    <row r="473" spans="1:35" ht="28.5" customHeight="1" thickBot="1">
      <c r="A473" s="114" t="s">
        <v>8493</v>
      </c>
      <c r="C473" s="8" t="s">
        <v>8496</v>
      </c>
      <c r="E473" s="9" t="s">
        <v>8494</v>
      </c>
      <c r="F473" s="8" t="str">
        <f t="shared" si="18"/>
        <v>gift-codes.html?game=霸起：暗影重生</v>
      </c>
      <c r="G473" s="9" t="s">
        <v>8495</v>
      </c>
      <c r="H473" s="9" t="str">
        <f t="shared" si="19"/>
        <v>https://www.ssbuy.tw/game-detail.html?game=霸起：暗影重生</v>
      </c>
      <c r="I473" s="10" t="s">
        <v>8503</v>
      </c>
      <c r="J473" s="16" t="s">
        <v>5418</v>
      </c>
      <c r="K473" s="39" t="s">
        <v>5446</v>
      </c>
      <c r="L473" s="21" t="s">
        <v>46</v>
      </c>
      <c r="M473" s="22">
        <v>2520</v>
      </c>
      <c r="N473" s="21" t="s">
        <v>1677</v>
      </c>
      <c r="O473" s="22">
        <v>1268</v>
      </c>
      <c r="P473" s="21" t="s">
        <v>151</v>
      </c>
      <c r="Q473" s="22">
        <v>850</v>
      </c>
      <c r="R473" s="21" t="s">
        <v>152</v>
      </c>
      <c r="S473" s="22">
        <v>575</v>
      </c>
      <c r="T473" s="21" t="s">
        <v>153</v>
      </c>
      <c r="U473" s="22">
        <v>421</v>
      </c>
      <c r="V473" s="21" t="s">
        <v>6549</v>
      </c>
      <c r="W473" s="22">
        <v>275</v>
      </c>
      <c r="X473" s="21" t="s">
        <v>6550</v>
      </c>
      <c r="Y473" s="22">
        <v>129</v>
      </c>
      <c r="Z473" s="21" t="s">
        <v>8447</v>
      </c>
      <c r="AA473" s="22">
        <v>86</v>
      </c>
      <c r="AB473" s="21" t="s">
        <v>6553</v>
      </c>
      <c r="AC473" s="22">
        <v>28</v>
      </c>
    </row>
    <row r="474" spans="1:35" ht="28.5" customHeight="1" thickBot="1">
      <c r="A474" s="114" t="s">
        <v>8524</v>
      </c>
      <c r="C474" s="8" t="s">
        <v>8530</v>
      </c>
      <c r="D474" s="9" t="s">
        <v>8529</v>
      </c>
      <c r="E474" s="9" t="s">
        <v>8528</v>
      </c>
      <c r="F474" s="8" t="str">
        <f t="shared" si="18"/>
        <v>gift-codes.html?game=心契少女：萌熊覺醒</v>
      </c>
      <c r="G474" s="9" t="s">
        <v>8527</v>
      </c>
      <c r="H474" s="9" t="str">
        <f t="shared" si="19"/>
        <v>https://www.ssbuy.tw/game-detail.html?game=心契少女：萌熊覺醒</v>
      </c>
      <c r="I474" s="10" t="s">
        <v>8535</v>
      </c>
      <c r="J474" s="16" t="s">
        <v>5418</v>
      </c>
      <c r="K474" s="39" t="s">
        <v>5446</v>
      </c>
      <c r="L474" s="21" t="s">
        <v>12</v>
      </c>
      <c r="M474" s="22">
        <v>2747</v>
      </c>
      <c r="N474" s="21" t="s">
        <v>118</v>
      </c>
      <c r="O474" s="22">
        <v>1930</v>
      </c>
      <c r="P474" s="21" t="s">
        <v>13</v>
      </c>
      <c r="Q474" s="22">
        <v>1256</v>
      </c>
      <c r="R474" s="21" t="s">
        <v>24</v>
      </c>
      <c r="S474" s="22">
        <v>834</v>
      </c>
      <c r="T474" s="21" t="s">
        <v>14</v>
      </c>
      <c r="U474" s="22">
        <v>582</v>
      </c>
      <c r="V474" s="21" t="s">
        <v>120</v>
      </c>
      <c r="W474" s="22">
        <v>278</v>
      </c>
      <c r="X474" s="21" t="s">
        <v>16</v>
      </c>
      <c r="Y474" s="22">
        <v>129</v>
      </c>
      <c r="Z474" s="21" t="s">
        <v>285</v>
      </c>
      <c r="AA474" s="22">
        <v>52</v>
      </c>
      <c r="AB474" s="21" t="s">
        <v>7</v>
      </c>
      <c r="AC474" s="22">
        <v>26</v>
      </c>
      <c r="AD474" s="21" t="s">
        <v>141</v>
      </c>
      <c r="AE474" s="22">
        <v>278</v>
      </c>
      <c r="AF474" s="21" t="s">
        <v>107</v>
      </c>
      <c r="AG474" s="22">
        <v>129</v>
      </c>
      <c r="AH474" s="21" t="s">
        <v>8546</v>
      </c>
      <c r="AI474" s="22">
        <v>834</v>
      </c>
    </row>
    <row r="475" spans="1:35" ht="28.5" customHeight="1" thickBot="1">
      <c r="A475" s="114" t="s">
        <v>8525</v>
      </c>
      <c r="E475" s="9" t="s">
        <v>8531</v>
      </c>
      <c r="F475" s="8" t="str">
        <f t="shared" si="18"/>
        <v>gift-codes.html?game=瑞利昂：NPC的生存記</v>
      </c>
      <c r="G475" s="9" t="s">
        <v>8532</v>
      </c>
      <c r="H475" s="9" t="str">
        <f t="shared" si="19"/>
        <v>https://www.ssbuy.tw/game-detail.html?game=瑞利昂：NPC的生存記</v>
      </c>
      <c r="I475" s="10" t="s">
        <v>8538</v>
      </c>
      <c r="J475" s="16" t="s">
        <v>5418</v>
      </c>
      <c r="K475" s="39" t="s">
        <v>5446</v>
      </c>
      <c r="L475" s="111" t="s">
        <v>8716</v>
      </c>
      <c r="M475" s="112">
        <v>2099</v>
      </c>
      <c r="N475" s="111" t="s">
        <v>8717</v>
      </c>
      <c r="O475" s="112">
        <v>1087</v>
      </c>
      <c r="P475" s="111" t="s">
        <v>8718</v>
      </c>
      <c r="Q475" s="112">
        <v>666</v>
      </c>
      <c r="R475" s="111" t="s">
        <v>8719</v>
      </c>
      <c r="S475" s="112">
        <v>249</v>
      </c>
      <c r="T475" s="111" t="s">
        <v>7553</v>
      </c>
      <c r="U475" s="112">
        <v>103</v>
      </c>
      <c r="V475" s="111" t="s">
        <v>3625</v>
      </c>
      <c r="W475" s="112">
        <v>26</v>
      </c>
      <c r="X475" s="111" t="s">
        <v>8720</v>
      </c>
      <c r="Y475" s="112">
        <v>666</v>
      </c>
      <c r="Z475" s="111" t="s">
        <v>8721</v>
      </c>
      <c r="AA475" s="112">
        <v>413</v>
      </c>
      <c r="AB475" s="111" t="s">
        <v>141</v>
      </c>
      <c r="AC475" s="112">
        <v>249</v>
      </c>
    </row>
    <row r="476" spans="1:35" ht="28.5" customHeight="1" thickBot="1">
      <c r="A476" s="114" t="s">
        <v>8526</v>
      </c>
      <c r="C476" s="8" t="s">
        <v>8533</v>
      </c>
      <c r="E476" s="9" t="s">
        <v>8534</v>
      </c>
      <c r="F476" s="8" t="str">
        <f t="shared" si="18"/>
        <v>gift-codes.html?game=拉蒂亞的骰子之旅</v>
      </c>
      <c r="G476" s="9" t="s">
        <v>8537</v>
      </c>
      <c r="H476" s="9" t="str">
        <f t="shared" si="19"/>
        <v>https://www.ssbuy.tw/game-detail.html?game=拉蒂亞的骰子之旅</v>
      </c>
      <c r="I476" s="10" t="s">
        <v>8536</v>
      </c>
      <c r="J476" s="16" t="s">
        <v>5418</v>
      </c>
      <c r="K476" s="39" t="s">
        <v>5446</v>
      </c>
      <c r="L476" s="111" t="s">
        <v>8821</v>
      </c>
      <c r="M476" s="112">
        <v>2508</v>
      </c>
      <c r="N476" s="111" t="s">
        <v>8822</v>
      </c>
      <c r="O476" s="112">
        <v>1431</v>
      </c>
      <c r="P476" s="111" t="s">
        <v>8823</v>
      </c>
      <c r="Q476" s="112">
        <v>838</v>
      </c>
      <c r="R476" s="111" t="s">
        <v>8824</v>
      </c>
      <c r="S476" s="112">
        <v>279</v>
      </c>
      <c r="T476" s="111" t="s">
        <v>8825</v>
      </c>
      <c r="U476" s="112">
        <v>147</v>
      </c>
      <c r="V476" s="111" t="s">
        <v>8826</v>
      </c>
      <c r="W476" s="112">
        <v>28</v>
      </c>
      <c r="X476" s="111" t="s">
        <v>8827</v>
      </c>
      <c r="Y476" s="112">
        <v>147</v>
      </c>
      <c r="Z476" s="111" t="s">
        <v>8828</v>
      </c>
      <c r="AA476" s="112">
        <v>483</v>
      </c>
      <c r="AB476" s="21"/>
      <c r="AC476" s="22"/>
    </row>
    <row r="477" spans="1:35" ht="28.5" customHeight="1" thickBot="1">
      <c r="A477" s="114" t="s">
        <v>8575</v>
      </c>
      <c r="C477" s="8" t="s">
        <v>8578</v>
      </c>
      <c r="D477" s="9" t="s">
        <v>8579</v>
      </c>
      <c r="E477" s="9" t="s">
        <v>8576</v>
      </c>
      <c r="F477" s="8" t="str">
        <f t="shared" si="18"/>
        <v>gift-codes.html?game=ISEKAI GATE</v>
      </c>
      <c r="G477" s="9" t="s">
        <v>8577</v>
      </c>
      <c r="H477" s="9" t="str">
        <f t="shared" si="19"/>
        <v>https://www.ssbuy.tw/game-detail.html?game=ISEKAI GATE</v>
      </c>
      <c r="I477" s="10" t="s">
        <v>8587</v>
      </c>
      <c r="J477" s="16" t="s">
        <v>5418</v>
      </c>
      <c r="K477" s="39" t="s">
        <v>5446</v>
      </c>
      <c r="L477" s="21" t="s">
        <v>5939</v>
      </c>
      <c r="M477" s="22">
        <v>2773</v>
      </c>
      <c r="N477" s="21" t="s">
        <v>5940</v>
      </c>
      <c r="O477" s="22">
        <v>1438</v>
      </c>
      <c r="P477" s="21" t="s">
        <v>5941</v>
      </c>
      <c r="Q477" s="22">
        <v>850</v>
      </c>
      <c r="R477" s="21" t="s">
        <v>5942</v>
      </c>
      <c r="S477" s="22">
        <v>747</v>
      </c>
      <c r="T477" s="21" t="s">
        <v>5943</v>
      </c>
      <c r="U477" s="22">
        <v>575</v>
      </c>
      <c r="V477" s="21" t="s">
        <v>5944</v>
      </c>
      <c r="W477" s="22">
        <v>421</v>
      </c>
      <c r="X477" s="21" t="s">
        <v>8629</v>
      </c>
      <c r="Y477" s="22">
        <v>283</v>
      </c>
      <c r="Z477" s="21" t="s">
        <v>5946</v>
      </c>
      <c r="AA477" s="22">
        <v>146</v>
      </c>
      <c r="AB477" s="21" t="s">
        <v>5947</v>
      </c>
      <c r="AC477" s="22">
        <v>28</v>
      </c>
    </row>
    <row r="478" spans="1:35" ht="28.5" customHeight="1" thickBot="1">
      <c r="A478" s="114" t="s">
        <v>8593</v>
      </c>
      <c r="C478" s="8" t="s">
        <v>8596</v>
      </c>
      <c r="E478" s="9" t="s">
        <v>8597</v>
      </c>
      <c r="F478" s="8" t="str">
        <f t="shared" si="18"/>
        <v>gift-codes.html?game=燃燒紀元：摸魚拯救世界</v>
      </c>
      <c r="G478" s="9" t="s">
        <v>8598</v>
      </c>
      <c r="H478" s="9" t="str">
        <f t="shared" si="19"/>
        <v>https://www.ssbuy.tw/game-detail.html?game=燃燒紀元：摸魚拯救世界</v>
      </c>
      <c r="I478" s="10" t="s">
        <v>8610</v>
      </c>
      <c r="J478" s="16" t="s">
        <v>5418</v>
      </c>
      <c r="K478" s="39" t="s">
        <v>5446</v>
      </c>
      <c r="L478" s="21" t="s">
        <v>8619</v>
      </c>
      <c r="M478" s="22">
        <v>2496</v>
      </c>
      <c r="N478" s="21" t="s">
        <v>8620</v>
      </c>
      <c r="O478" s="22">
        <v>1256</v>
      </c>
      <c r="P478" s="21" t="s">
        <v>8621</v>
      </c>
      <c r="Q478" s="22">
        <v>834</v>
      </c>
      <c r="R478" s="21" t="s">
        <v>8622</v>
      </c>
      <c r="S478" s="22">
        <v>582</v>
      </c>
      <c r="T478" s="21" t="s">
        <v>8623</v>
      </c>
      <c r="U478" s="22">
        <v>413</v>
      </c>
      <c r="V478" s="21" t="s">
        <v>8624</v>
      </c>
      <c r="W478" s="22">
        <v>270</v>
      </c>
      <c r="X478" s="21" t="s">
        <v>8625</v>
      </c>
      <c r="Y478" s="22">
        <v>103</v>
      </c>
      <c r="Z478" s="21" t="s">
        <v>8626</v>
      </c>
      <c r="AA478" s="22">
        <v>77</v>
      </c>
      <c r="AB478" s="21" t="s">
        <v>8627</v>
      </c>
      <c r="AC478" s="22">
        <v>52</v>
      </c>
    </row>
    <row r="479" spans="1:35" ht="28.5" customHeight="1" thickBot="1">
      <c r="A479" s="114" t="s">
        <v>8594</v>
      </c>
      <c r="C479" s="8" t="s">
        <v>8603</v>
      </c>
      <c r="F479" s="8" t="str">
        <f t="shared" si="18"/>
        <v>gift-codes.html?game=暗影紀元：魔幻冒險之旅</v>
      </c>
      <c r="G479" s="9" t="s">
        <v>8606</v>
      </c>
      <c r="H479" s="9" t="str">
        <f t="shared" si="19"/>
        <v>https://www.ssbuy.tw/game-detail.html?game=暗影紀元：魔幻冒險之旅</v>
      </c>
      <c r="I479" s="10" t="s">
        <v>8612</v>
      </c>
      <c r="J479" s="16" t="s">
        <v>5418</v>
      </c>
      <c r="K479" s="39" t="s">
        <v>5446</v>
      </c>
      <c r="L479" s="21" t="s">
        <v>5939</v>
      </c>
      <c r="M479" s="22">
        <v>2773</v>
      </c>
      <c r="N479" s="21" t="s">
        <v>5940</v>
      </c>
      <c r="O479" s="22">
        <v>1438</v>
      </c>
      <c r="P479" s="21" t="s">
        <v>5941</v>
      </c>
      <c r="Q479" s="22">
        <v>850</v>
      </c>
      <c r="R479" s="21" t="s">
        <v>5942</v>
      </c>
      <c r="S479" s="22">
        <v>747</v>
      </c>
      <c r="T479" s="21" t="s">
        <v>5943</v>
      </c>
      <c r="U479" s="22">
        <v>575</v>
      </c>
      <c r="V479" s="21" t="s">
        <v>5944</v>
      </c>
      <c r="W479" s="22">
        <v>421</v>
      </c>
      <c r="X479" s="21" t="s">
        <v>8629</v>
      </c>
      <c r="Y479" s="22">
        <v>283</v>
      </c>
      <c r="Z479" s="21" t="s">
        <v>5946</v>
      </c>
      <c r="AA479" s="22">
        <v>146</v>
      </c>
      <c r="AB479" s="21" t="s">
        <v>5947</v>
      </c>
      <c r="AC479" s="22">
        <v>28</v>
      </c>
    </row>
    <row r="480" spans="1:35" ht="28.5" customHeight="1" thickBot="1">
      <c r="A480" s="114" t="s">
        <v>8595</v>
      </c>
      <c r="C480" s="8" t="s">
        <v>8599</v>
      </c>
      <c r="D480" s="9" t="s">
        <v>8600</v>
      </c>
      <c r="E480" s="9" t="s">
        <v>8602</v>
      </c>
      <c r="F480" s="8" t="str">
        <f t="shared" si="18"/>
        <v>gift-codes.html?game=青丘世界：緣起</v>
      </c>
      <c r="G480" s="9" t="s">
        <v>8601</v>
      </c>
      <c r="H480" s="9" t="str">
        <f t="shared" si="19"/>
        <v>https://www.ssbuy.tw/game-detail.html?game=青丘世界：緣起</v>
      </c>
      <c r="I480" s="10" t="s">
        <v>8611</v>
      </c>
      <c r="J480" s="16" t="s">
        <v>5418</v>
      </c>
      <c r="K480" s="39" t="s">
        <v>5446</v>
      </c>
      <c r="L480" s="21" t="s">
        <v>5939</v>
      </c>
      <c r="M480" s="22">
        <v>2773</v>
      </c>
      <c r="N480" s="21" t="s">
        <v>5940</v>
      </c>
      <c r="O480" s="22">
        <v>1438</v>
      </c>
      <c r="P480" s="21" t="s">
        <v>5941</v>
      </c>
      <c r="Q480" s="22">
        <v>850</v>
      </c>
      <c r="R480" s="21" t="s">
        <v>5942</v>
      </c>
      <c r="S480" s="22">
        <v>747</v>
      </c>
      <c r="T480" s="21" t="s">
        <v>5943</v>
      </c>
      <c r="U480" s="22">
        <v>575</v>
      </c>
      <c r="V480" s="21" t="s">
        <v>5944</v>
      </c>
      <c r="W480" s="22">
        <v>421</v>
      </c>
      <c r="X480" s="21" t="s">
        <v>8629</v>
      </c>
      <c r="Y480" s="22">
        <v>283</v>
      </c>
      <c r="Z480" s="21" t="s">
        <v>5946</v>
      </c>
      <c r="AA480" s="22">
        <v>146</v>
      </c>
      <c r="AB480" s="21" t="s">
        <v>5947</v>
      </c>
      <c r="AC480" s="22">
        <v>28</v>
      </c>
    </row>
    <row r="481" spans="1:29" ht="28.5" customHeight="1" thickBot="1">
      <c r="A481" s="114" t="s">
        <v>8628</v>
      </c>
      <c r="D481" s="9" t="s">
        <v>8608</v>
      </c>
      <c r="E481" s="9" t="s">
        <v>8608</v>
      </c>
      <c r="F481" s="8" t="str">
        <f t="shared" si="18"/>
        <v>gift-codes.html?game=集團雄兵：疾風作戰</v>
      </c>
      <c r="G481" s="9" t="s">
        <v>8607</v>
      </c>
      <c r="H481" s="9" t="str">
        <f t="shared" si="19"/>
        <v>https://www.ssbuy.tw/game-detail.html?game=集團雄兵：疾風作戰</v>
      </c>
      <c r="I481" s="10" t="s">
        <v>8613</v>
      </c>
      <c r="J481" s="16" t="s">
        <v>5418</v>
      </c>
      <c r="K481" s="39" t="s">
        <v>5446</v>
      </c>
      <c r="L481" s="21" t="s">
        <v>8614</v>
      </c>
      <c r="M481" s="22">
        <v>2496</v>
      </c>
      <c r="N481" s="21" t="s">
        <v>8615</v>
      </c>
      <c r="O481" s="22">
        <v>1256</v>
      </c>
      <c r="P481" s="21" t="s">
        <v>8616</v>
      </c>
      <c r="Q481" s="22">
        <v>582</v>
      </c>
      <c r="R481" s="21" t="s">
        <v>62</v>
      </c>
      <c r="S481" s="22">
        <v>270</v>
      </c>
      <c r="T481" s="21" t="s">
        <v>8617</v>
      </c>
      <c r="U481" s="22">
        <v>278</v>
      </c>
      <c r="V481" s="21" t="s">
        <v>8618</v>
      </c>
      <c r="W481" s="22">
        <v>565</v>
      </c>
      <c r="X481" s="21"/>
      <c r="Y481" s="22"/>
      <c r="Z481" s="21"/>
      <c r="AA481" s="22"/>
      <c r="AB481" s="21"/>
      <c r="AC481" s="22"/>
    </row>
    <row r="482" spans="1:29" ht="28.5" customHeight="1" thickBot="1">
      <c r="A482" s="112" t="s">
        <v>8666</v>
      </c>
      <c r="C482" s="8" t="s">
        <v>8660</v>
      </c>
      <c r="D482" s="9" t="s">
        <v>8657</v>
      </c>
      <c r="E482" s="9" t="s">
        <v>8658</v>
      </c>
      <c r="F482" s="8" t="str">
        <f t="shared" si="18"/>
        <v>gift-codes.html?game=SNK：全明星覺醒</v>
      </c>
      <c r="G482" s="9" t="s">
        <v>8659</v>
      </c>
      <c r="H482" s="9" t="str">
        <f t="shared" si="19"/>
        <v>https://www.ssbuy.tw/game-detail.html?game=SNK：全明星覺醒</v>
      </c>
      <c r="I482" s="10" t="s">
        <v>8668</v>
      </c>
      <c r="J482" s="16" t="s">
        <v>5418</v>
      </c>
      <c r="K482" s="39" t="s">
        <v>5446</v>
      </c>
      <c r="L482" s="111" t="s">
        <v>8669</v>
      </c>
      <c r="M482" s="112">
        <v>2747</v>
      </c>
      <c r="N482" s="111" t="s">
        <v>8670</v>
      </c>
      <c r="O482" s="112">
        <v>1424</v>
      </c>
      <c r="P482" s="111" t="s">
        <v>8671</v>
      </c>
      <c r="Q482" s="112">
        <v>834</v>
      </c>
      <c r="R482" s="111" t="s">
        <v>8672</v>
      </c>
      <c r="S482" s="112">
        <v>565</v>
      </c>
      <c r="T482" s="111" t="s">
        <v>8673</v>
      </c>
      <c r="U482" s="112">
        <v>413</v>
      </c>
      <c r="V482" s="111" t="s">
        <v>8674</v>
      </c>
      <c r="W482" s="112">
        <v>278</v>
      </c>
      <c r="X482" s="111" t="s">
        <v>8675</v>
      </c>
      <c r="Y482" s="112">
        <v>146</v>
      </c>
      <c r="Z482" s="111" t="s">
        <v>8676</v>
      </c>
      <c r="AA482" s="112">
        <v>28</v>
      </c>
      <c r="AB482" s="21"/>
      <c r="AC482" s="22"/>
    </row>
    <row r="483" spans="1:29" ht="28.5" customHeight="1" thickBot="1">
      <c r="A483" s="122" t="s">
        <v>8665</v>
      </c>
      <c r="C483" s="8" t="s">
        <v>8663</v>
      </c>
      <c r="D483" s="9" t="s">
        <v>8662</v>
      </c>
      <c r="E483" s="9" t="s">
        <v>8661</v>
      </c>
      <c r="F483" s="8" t="str">
        <f t="shared" si="18"/>
        <v>gift-codes.html?game=超時空街球對決</v>
      </c>
      <c r="G483" s="9" t="s">
        <v>8664</v>
      </c>
      <c r="H483" s="9" t="str">
        <f t="shared" si="19"/>
        <v>https://www.ssbuy.tw/game-detail.html?game=超時空街球對決</v>
      </c>
      <c r="I483" s="10" t="s">
        <v>8667</v>
      </c>
      <c r="J483" s="16" t="s">
        <v>5418</v>
      </c>
      <c r="K483" s="39" t="s">
        <v>5446</v>
      </c>
      <c r="L483" s="21" t="s">
        <v>5939</v>
      </c>
      <c r="M483" s="22">
        <v>2773</v>
      </c>
      <c r="N483" s="21" t="s">
        <v>5940</v>
      </c>
      <c r="O483" s="22">
        <v>1438</v>
      </c>
      <c r="P483" s="21" t="s">
        <v>5941</v>
      </c>
      <c r="Q483" s="22">
        <v>850</v>
      </c>
      <c r="R483" s="21" t="s">
        <v>5942</v>
      </c>
      <c r="S483" s="22">
        <v>747</v>
      </c>
      <c r="T483" s="21" t="s">
        <v>5943</v>
      </c>
      <c r="U483" s="22">
        <v>575</v>
      </c>
      <c r="V483" s="21" t="s">
        <v>5944</v>
      </c>
      <c r="W483" s="22">
        <v>421</v>
      </c>
      <c r="X483" s="21" t="s">
        <v>8629</v>
      </c>
      <c r="Y483" s="22">
        <v>283</v>
      </c>
      <c r="Z483" s="21" t="s">
        <v>5946</v>
      </c>
      <c r="AA483" s="22">
        <v>146</v>
      </c>
      <c r="AB483" s="21" t="s">
        <v>5947</v>
      </c>
      <c r="AC483" s="22">
        <v>28</v>
      </c>
    </row>
    <row r="484" spans="1:29" ht="28.5" customHeight="1" thickBot="1">
      <c r="A484" s="112" t="s">
        <v>8677</v>
      </c>
      <c r="C484" s="8" t="s">
        <v>8678</v>
      </c>
      <c r="D484" s="9" t="s">
        <v>8681</v>
      </c>
      <c r="E484" s="9" t="s">
        <v>8679</v>
      </c>
      <c r="F484" s="8" t="str">
        <f t="shared" si="18"/>
        <v>gift-codes.html?game=數碼寶貝UP</v>
      </c>
      <c r="G484" s="9" t="s">
        <v>8680</v>
      </c>
      <c r="H484" s="9" t="str">
        <f t="shared" si="19"/>
        <v>https://www.ssbuy.tw/game-detail.html?game=數碼寶貝UP</v>
      </c>
      <c r="I484" s="10" t="s">
        <v>8685</v>
      </c>
      <c r="J484" s="16" t="s">
        <v>5418</v>
      </c>
      <c r="K484" s="39" t="s">
        <v>5446</v>
      </c>
      <c r="L484" s="21" t="s">
        <v>5939</v>
      </c>
      <c r="M484" s="22">
        <v>2773</v>
      </c>
      <c r="N484" s="21" t="s">
        <v>5940</v>
      </c>
      <c r="O484" s="22">
        <v>1438</v>
      </c>
      <c r="P484" s="21" t="s">
        <v>5941</v>
      </c>
      <c r="Q484" s="22">
        <v>850</v>
      </c>
      <c r="R484" s="21" t="s">
        <v>5942</v>
      </c>
      <c r="S484" s="22">
        <v>747</v>
      </c>
      <c r="T484" s="21" t="s">
        <v>5943</v>
      </c>
      <c r="U484" s="22">
        <v>575</v>
      </c>
      <c r="V484" s="21" t="s">
        <v>5944</v>
      </c>
      <c r="W484" s="22">
        <v>421</v>
      </c>
      <c r="X484" s="21" t="s">
        <v>8629</v>
      </c>
      <c r="Y484" s="22">
        <v>283</v>
      </c>
      <c r="Z484" s="21" t="s">
        <v>5946</v>
      </c>
      <c r="AA484" s="22">
        <v>146</v>
      </c>
      <c r="AB484" s="21" t="s">
        <v>5947</v>
      </c>
      <c r="AC484" s="22">
        <v>28</v>
      </c>
    </row>
    <row r="485" spans="1:29" ht="28.5" customHeight="1" thickBot="1">
      <c r="A485" s="114" t="s">
        <v>8708</v>
      </c>
      <c r="C485" s="8" t="s">
        <v>8683</v>
      </c>
      <c r="D485" s="9" t="s">
        <v>8684</v>
      </c>
      <c r="E485" s="9" t="s">
        <v>8682</v>
      </c>
      <c r="F485" s="8" t="str">
        <f t="shared" si="18"/>
        <v>gift-codes.html?game=權力遊戲：國王大道</v>
      </c>
      <c r="G485" s="127" t="s">
        <v>8709</v>
      </c>
      <c r="H485" s="9" t="str">
        <f t="shared" si="19"/>
        <v>https://www.ssbuy.tw/game-detail.html?game=權力遊戲：國王大道</v>
      </c>
      <c r="I485" s="10" t="s">
        <v>8710</v>
      </c>
      <c r="J485" s="16" t="s">
        <v>5418</v>
      </c>
      <c r="K485" s="39" t="s">
        <v>5446</v>
      </c>
      <c r="L485" s="111" t="s">
        <v>8686</v>
      </c>
      <c r="M485" s="112">
        <v>1846</v>
      </c>
      <c r="N485" s="111" t="s">
        <v>8687</v>
      </c>
      <c r="O485" s="112">
        <v>1003</v>
      </c>
      <c r="P485" s="111" t="s">
        <v>8688</v>
      </c>
      <c r="Q485" s="112">
        <v>615</v>
      </c>
      <c r="R485" s="111" t="s">
        <v>8689</v>
      </c>
      <c r="S485" s="112">
        <v>396</v>
      </c>
      <c r="T485" s="111" t="s">
        <v>8690</v>
      </c>
      <c r="U485" s="112">
        <v>198</v>
      </c>
      <c r="V485" s="111" t="s">
        <v>8691</v>
      </c>
      <c r="W485" s="112">
        <v>86</v>
      </c>
      <c r="Y485" s="22"/>
      <c r="Z485" s="21"/>
      <c r="AA485" s="22"/>
      <c r="AB485" s="21"/>
      <c r="AC485" s="22"/>
    </row>
    <row r="486" spans="1:29" ht="28.5" customHeight="1" thickBot="1">
      <c r="A486" s="114" t="s">
        <v>8696</v>
      </c>
      <c r="C486" s="8" t="s">
        <v>8701</v>
      </c>
      <c r="E486" s="9" t="s">
        <v>8700</v>
      </c>
      <c r="F486" s="8" t="str">
        <f t="shared" si="18"/>
        <v>gift-codes.html?game=這三國有點獸</v>
      </c>
      <c r="G486" s="127" t="s">
        <v>8711</v>
      </c>
      <c r="H486" s="9" t="str">
        <f t="shared" si="19"/>
        <v>https://www.ssbuy.tw/game-detail.html?game=這三國有點獸</v>
      </c>
      <c r="I486" s="10" t="s">
        <v>8713</v>
      </c>
      <c r="J486" s="16" t="s">
        <v>5418</v>
      </c>
      <c r="K486" s="39" t="s">
        <v>5446</v>
      </c>
      <c r="L486" s="111" t="s">
        <v>235</v>
      </c>
      <c r="M486" s="112">
        <v>2496</v>
      </c>
      <c r="N486" s="111" t="s">
        <v>236</v>
      </c>
      <c r="O486" s="112">
        <v>1256</v>
      </c>
      <c r="P486" s="111" t="s">
        <v>237</v>
      </c>
      <c r="Q486" s="112">
        <v>582</v>
      </c>
      <c r="R486" s="111" t="s">
        <v>238</v>
      </c>
      <c r="S486" s="112">
        <v>329</v>
      </c>
      <c r="T486" s="111" t="s">
        <v>239</v>
      </c>
      <c r="U486" s="112">
        <v>129</v>
      </c>
      <c r="V486" s="111" t="s">
        <v>240</v>
      </c>
      <c r="W486" s="112">
        <v>26</v>
      </c>
      <c r="X486" s="111" t="s">
        <v>223</v>
      </c>
      <c r="Y486" s="112">
        <v>77</v>
      </c>
      <c r="Z486" s="111" t="s">
        <v>8724</v>
      </c>
      <c r="AA486" s="112">
        <v>329</v>
      </c>
      <c r="AB486" s="111" t="s">
        <v>8725</v>
      </c>
      <c r="AC486" s="112">
        <v>413</v>
      </c>
    </row>
    <row r="487" spans="1:29" ht="28.5" customHeight="1" thickBot="1">
      <c r="A487" s="114" t="s">
        <v>8697</v>
      </c>
      <c r="C487" s="8" t="s">
        <v>8698</v>
      </c>
      <c r="E487" s="9" t="s">
        <v>8699</v>
      </c>
      <c r="F487" s="8" t="str">
        <f t="shared" si="18"/>
        <v>gift-codes.html?game=Monster GO</v>
      </c>
      <c r="G487" s="127" t="s">
        <v>8712</v>
      </c>
      <c r="H487" s="9" t="str">
        <f t="shared" si="19"/>
        <v>https://www.ssbuy.tw/game-detail.html?game=Monster GO</v>
      </c>
      <c r="I487" s="10" t="s">
        <v>8714</v>
      </c>
      <c r="J487" s="16" t="s">
        <v>5418</v>
      </c>
      <c r="K487" s="39" t="s">
        <v>5446</v>
      </c>
      <c r="L487" s="21" t="s">
        <v>5939</v>
      </c>
      <c r="M487" s="22">
        <v>2773</v>
      </c>
      <c r="N487" s="21" t="s">
        <v>5940</v>
      </c>
      <c r="O487" s="22">
        <v>1438</v>
      </c>
      <c r="P487" s="21" t="s">
        <v>5941</v>
      </c>
      <c r="Q487" s="22">
        <v>850</v>
      </c>
      <c r="R487" s="21" t="s">
        <v>5942</v>
      </c>
      <c r="S487" s="22">
        <v>747</v>
      </c>
      <c r="T487" s="21" t="s">
        <v>5943</v>
      </c>
      <c r="U487" s="22">
        <v>575</v>
      </c>
      <c r="V487" s="21" t="s">
        <v>5944</v>
      </c>
      <c r="W487" s="22">
        <v>421</v>
      </c>
      <c r="X487" s="21" t="s">
        <v>8629</v>
      </c>
      <c r="Y487" s="22">
        <v>283</v>
      </c>
      <c r="Z487" s="21" t="s">
        <v>5946</v>
      </c>
      <c r="AA487" s="22">
        <v>146</v>
      </c>
      <c r="AB487" s="21" t="s">
        <v>5947</v>
      </c>
      <c r="AC487" s="22">
        <v>28</v>
      </c>
    </row>
    <row r="488" spans="1:29" ht="28.5" customHeight="1" thickBot="1">
      <c r="A488" s="114" t="s">
        <v>8743</v>
      </c>
      <c r="C488" s="8" t="s">
        <v>8744</v>
      </c>
      <c r="D488" s="9" t="s">
        <v>8747</v>
      </c>
      <c r="E488" s="9" t="s">
        <v>8745</v>
      </c>
      <c r="F488" s="8" t="str">
        <f t="shared" si="18"/>
        <v>gift-codes.html?game=幻獸之旅：新紀元</v>
      </c>
      <c r="G488" s="9" t="s">
        <v>8746</v>
      </c>
      <c r="H488" s="9" t="str">
        <f t="shared" si="19"/>
        <v>https://www.ssbuy.tw/game-detail.html?game=幻獸之旅：新紀元</v>
      </c>
      <c r="I488" s="10" t="s">
        <v>8748</v>
      </c>
      <c r="J488" s="16" t="s">
        <v>5418</v>
      </c>
      <c r="K488" s="39" t="s">
        <v>5446</v>
      </c>
      <c r="L488" s="111" t="s">
        <v>8749</v>
      </c>
      <c r="M488" s="112">
        <v>2713</v>
      </c>
      <c r="N488" s="111" t="s">
        <v>1515</v>
      </c>
      <c r="O488" s="112">
        <v>1382</v>
      </c>
      <c r="P488" s="111" t="s">
        <v>5407</v>
      </c>
      <c r="Q488" s="112">
        <v>834</v>
      </c>
      <c r="R488" s="111" t="s">
        <v>1517</v>
      </c>
      <c r="S488" s="112">
        <v>413</v>
      </c>
      <c r="T488" s="111" t="s">
        <v>1630</v>
      </c>
      <c r="U488" s="112">
        <v>287</v>
      </c>
      <c r="V488" s="111" t="s">
        <v>318</v>
      </c>
      <c r="W488" s="112">
        <v>129</v>
      </c>
      <c r="X488" s="111" t="s">
        <v>8750</v>
      </c>
      <c r="Y488" s="112">
        <v>77</v>
      </c>
      <c r="Z488" s="111" t="s">
        <v>1518</v>
      </c>
      <c r="AA488" s="112">
        <v>26</v>
      </c>
      <c r="AB488" s="21"/>
      <c r="AC488" s="22"/>
    </row>
    <row r="489" spans="1:29" ht="28.5" customHeight="1" thickBot="1">
      <c r="A489" s="114" t="s">
        <v>8751</v>
      </c>
      <c r="C489" s="8" t="s">
        <v>8753</v>
      </c>
      <c r="E489" s="9" t="s">
        <v>8755</v>
      </c>
      <c r="F489" s="8" t="str">
        <f t="shared" si="18"/>
        <v>gift-codes.html?game=聖三國蜀漢霸業</v>
      </c>
      <c r="G489" s="9" t="s">
        <v>8754</v>
      </c>
      <c r="H489" s="9" t="str">
        <f t="shared" si="19"/>
        <v>https://www.ssbuy.tw/game-detail.html?game=聖三國蜀漢霸業</v>
      </c>
      <c r="I489" s="10" t="s">
        <v>8759</v>
      </c>
      <c r="J489" s="16" t="s">
        <v>5418</v>
      </c>
      <c r="K489" s="39" t="s">
        <v>5446</v>
      </c>
      <c r="L489" s="1" t="s">
        <v>5939</v>
      </c>
      <c r="M489" s="26">
        <v>2786</v>
      </c>
      <c r="N489" s="1" t="s">
        <v>5940</v>
      </c>
      <c r="O489" s="26">
        <v>1445</v>
      </c>
      <c r="P489" s="1" t="s">
        <v>5941</v>
      </c>
      <c r="Q489" s="26">
        <v>854</v>
      </c>
      <c r="R489" s="1" t="s">
        <v>5942</v>
      </c>
      <c r="S489" s="26">
        <v>751</v>
      </c>
      <c r="T489" s="1" t="s">
        <v>5943</v>
      </c>
      <c r="U489" s="26">
        <v>578</v>
      </c>
      <c r="V489" s="1" t="s">
        <v>5944</v>
      </c>
      <c r="W489" s="26">
        <v>423</v>
      </c>
      <c r="X489" s="1" t="s">
        <v>5945</v>
      </c>
      <c r="Y489" s="26">
        <v>285</v>
      </c>
      <c r="Z489" s="1" t="s">
        <v>5946</v>
      </c>
      <c r="AA489" s="26">
        <v>147</v>
      </c>
      <c r="AB489" s="1" t="s">
        <v>5947</v>
      </c>
      <c r="AC489" s="26">
        <v>28</v>
      </c>
    </row>
    <row r="490" spans="1:29" ht="28.5" customHeight="1" thickBot="1">
      <c r="A490" s="114" t="s">
        <v>8752</v>
      </c>
      <c r="C490" s="8" t="s">
        <v>8756</v>
      </c>
      <c r="E490" s="9" t="s">
        <v>8757</v>
      </c>
      <c r="F490" s="8" t="str">
        <f t="shared" si="18"/>
        <v>gift-codes.html?game=亂世美人傳</v>
      </c>
      <c r="G490" s="9" t="s">
        <v>8758</v>
      </c>
      <c r="H490" s="9" t="str">
        <f t="shared" si="19"/>
        <v>https://www.ssbuy.tw/game-detail.html?game=亂世美人傳</v>
      </c>
      <c r="I490" s="10" t="s">
        <v>8760</v>
      </c>
      <c r="J490" s="16" t="s">
        <v>5418</v>
      </c>
      <c r="K490" s="39" t="s">
        <v>5446</v>
      </c>
      <c r="L490" s="111" t="s">
        <v>46</v>
      </c>
      <c r="M490" s="112">
        <v>2532</v>
      </c>
      <c r="N490" s="111" t="s">
        <v>1677</v>
      </c>
      <c r="O490" s="112">
        <v>1274</v>
      </c>
      <c r="P490" s="111" t="s">
        <v>151</v>
      </c>
      <c r="Q490" s="112">
        <v>854</v>
      </c>
      <c r="R490" s="111" t="s">
        <v>152</v>
      </c>
      <c r="S490" s="112">
        <v>578</v>
      </c>
      <c r="T490" s="111" t="s">
        <v>153</v>
      </c>
      <c r="U490" s="112">
        <v>423</v>
      </c>
      <c r="V490" s="111" t="s">
        <v>6549</v>
      </c>
      <c r="W490" s="112">
        <v>276</v>
      </c>
      <c r="X490" s="111" t="s">
        <v>6550</v>
      </c>
      <c r="Y490" s="112">
        <v>129</v>
      </c>
      <c r="Z490" s="111" t="s">
        <v>8447</v>
      </c>
      <c r="AA490" s="112">
        <v>86</v>
      </c>
      <c r="AB490" s="111" t="s">
        <v>6553</v>
      </c>
      <c r="AC490" s="112">
        <v>28</v>
      </c>
    </row>
    <row r="491" spans="1:29" ht="28.5" customHeight="1" thickBot="1">
      <c r="A491" s="114" t="s">
        <v>8768</v>
      </c>
      <c r="D491" s="127" t="s">
        <v>8771</v>
      </c>
      <c r="E491" s="9" t="s">
        <v>8770</v>
      </c>
      <c r="F491" s="8" t="str">
        <f t="shared" ref="F491:F554" si="20">IF(A491="", "", "gift-codes.html?game=" &amp; A491)</f>
        <v>gift-codes.html?game=Pond Pals</v>
      </c>
      <c r="G491" s="9" t="s">
        <v>8769</v>
      </c>
      <c r="H491" s="9" t="str">
        <f t="shared" ref="H491:H554" si="21">IF(A491="", "", "https://www.ssbuy.tw/game-detail.html?game="&amp;A491)</f>
        <v>https://www.ssbuy.tw/game-detail.html?game=Pond Pals</v>
      </c>
      <c r="I491" t="s">
        <v>8778</v>
      </c>
      <c r="J491" s="16" t="s">
        <v>5418</v>
      </c>
      <c r="K491" s="39" t="s">
        <v>5446</v>
      </c>
      <c r="L491" s="111" t="s">
        <v>46</v>
      </c>
      <c r="M491" s="112">
        <v>2532</v>
      </c>
      <c r="N491" s="111" t="s">
        <v>1677</v>
      </c>
      <c r="O491" s="112">
        <v>1274</v>
      </c>
      <c r="P491" s="111" t="s">
        <v>151</v>
      </c>
      <c r="Q491" s="112">
        <v>854</v>
      </c>
      <c r="R491" s="111" t="s">
        <v>152</v>
      </c>
      <c r="S491" s="112">
        <v>578</v>
      </c>
      <c r="T491" s="111" t="s">
        <v>153</v>
      </c>
      <c r="U491" s="112">
        <v>423</v>
      </c>
      <c r="V491" s="111" t="s">
        <v>6549</v>
      </c>
      <c r="W491" s="112">
        <v>276</v>
      </c>
      <c r="X491" s="111" t="s">
        <v>6550</v>
      </c>
      <c r="Y491" s="112">
        <v>129</v>
      </c>
      <c r="Z491" s="111" t="s">
        <v>8447</v>
      </c>
      <c r="AA491" s="112">
        <v>86</v>
      </c>
      <c r="AB491" s="111" t="s">
        <v>6553</v>
      </c>
      <c r="AC491" s="112">
        <v>28</v>
      </c>
    </row>
    <row r="492" spans="1:29" ht="28.5" customHeight="1" thickBot="1">
      <c r="A492" s="114" t="s">
        <v>7822</v>
      </c>
      <c r="D492" s="9" t="s">
        <v>7802</v>
      </c>
      <c r="E492" s="9" t="s">
        <v>8776</v>
      </c>
      <c r="F492" s="8" t="str">
        <f t="shared" si="20"/>
        <v>gift-codes.html?game=永恆迴圈：戰術放置RPG</v>
      </c>
      <c r="G492" s="9" t="s">
        <v>8777</v>
      </c>
      <c r="H492" s="9" t="str">
        <f t="shared" si="21"/>
        <v>https://www.ssbuy.tw/game-detail.html?game=永恆迴圈：戰術放置RPG</v>
      </c>
      <c r="I492" s="10" t="s">
        <v>8779</v>
      </c>
      <c r="J492" s="16" t="s">
        <v>5418</v>
      </c>
      <c r="K492" s="39" t="s">
        <v>5446</v>
      </c>
      <c r="L492" s="111" t="s">
        <v>46</v>
      </c>
      <c r="M492" s="112">
        <v>2532</v>
      </c>
      <c r="N492" s="111" t="s">
        <v>1677</v>
      </c>
      <c r="O492" s="112">
        <v>1274</v>
      </c>
      <c r="P492" s="111" t="s">
        <v>151</v>
      </c>
      <c r="Q492" s="112">
        <v>854</v>
      </c>
      <c r="R492" s="111" t="s">
        <v>152</v>
      </c>
      <c r="S492" s="112">
        <v>578</v>
      </c>
      <c r="T492" s="111" t="s">
        <v>153</v>
      </c>
      <c r="U492" s="112">
        <v>423</v>
      </c>
      <c r="V492" s="111" t="s">
        <v>6549</v>
      </c>
      <c r="W492" s="112">
        <v>276</v>
      </c>
      <c r="X492" s="111" t="s">
        <v>6550</v>
      </c>
      <c r="Y492" s="112">
        <v>129</v>
      </c>
      <c r="Z492" s="111" t="s">
        <v>8447</v>
      </c>
      <c r="AA492" s="112">
        <v>86</v>
      </c>
      <c r="AB492" s="111" t="s">
        <v>6553</v>
      </c>
      <c r="AC492" s="112">
        <v>28</v>
      </c>
    </row>
    <row r="493" spans="1:29" ht="28.5" customHeight="1" thickBot="1">
      <c r="A493" s="114" t="s">
        <v>8800</v>
      </c>
      <c r="C493" s="8" t="s">
        <v>8805</v>
      </c>
      <c r="D493" s="9" t="s">
        <v>8806</v>
      </c>
      <c r="E493" s="9" t="s">
        <v>8804</v>
      </c>
      <c r="F493" s="8" t="str">
        <f t="shared" si="20"/>
        <v>gift-codes.html?game=嘎嘎奇兵：蛋力來勝</v>
      </c>
      <c r="G493" s="9" t="s">
        <v>8803</v>
      </c>
      <c r="H493" s="9" t="str">
        <f t="shared" si="21"/>
        <v>https://www.ssbuy.tw/game-detail.html?game=嘎嘎奇兵：蛋力來勝</v>
      </c>
      <c r="I493" s="10" t="s">
        <v>8818</v>
      </c>
      <c r="J493" s="16" t="s">
        <v>5418</v>
      </c>
      <c r="K493" s="39" t="s">
        <v>5446</v>
      </c>
      <c r="L493" s="111" t="s">
        <v>46</v>
      </c>
      <c r="M493" s="112">
        <v>2532</v>
      </c>
      <c r="N493" s="111" t="s">
        <v>1677</v>
      </c>
      <c r="O493" s="112">
        <v>1274</v>
      </c>
      <c r="P493" s="111" t="s">
        <v>151</v>
      </c>
      <c r="Q493" s="112">
        <v>854</v>
      </c>
      <c r="R493" s="111" t="s">
        <v>152</v>
      </c>
      <c r="S493" s="112">
        <v>578</v>
      </c>
      <c r="T493" s="111" t="s">
        <v>153</v>
      </c>
      <c r="U493" s="112">
        <v>423</v>
      </c>
      <c r="V493" s="111" t="s">
        <v>6549</v>
      </c>
      <c r="W493" s="112">
        <v>276</v>
      </c>
      <c r="X493" s="111" t="s">
        <v>6550</v>
      </c>
      <c r="Y493" s="112">
        <v>129</v>
      </c>
      <c r="Z493" s="111" t="s">
        <v>8447</v>
      </c>
      <c r="AA493" s="112">
        <v>86</v>
      </c>
      <c r="AB493" s="111" t="s">
        <v>6553</v>
      </c>
      <c r="AC493" s="112">
        <v>28</v>
      </c>
    </row>
    <row r="494" spans="1:29" ht="28.5" customHeight="1" thickBot="1">
      <c r="A494" s="114" t="s">
        <v>8801</v>
      </c>
      <c r="C494" s="8" t="s">
        <v>8807</v>
      </c>
      <c r="D494" s="9" t="s">
        <v>8809</v>
      </c>
      <c r="E494" s="9" t="s">
        <v>8808</v>
      </c>
      <c r="F494" s="8" t="str">
        <f t="shared" si="20"/>
        <v>gift-codes.html?game=三國異將錄</v>
      </c>
      <c r="G494" s="9" t="s">
        <v>8810</v>
      </c>
      <c r="H494" s="9" t="str">
        <f t="shared" si="21"/>
        <v>https://www.ssbuy.tw/game-detail.html?game=三國異將錄</v>
      </c>
      <c r="I494" s="10" t="s">
        <v>8819</v>
      </c>
      <c r="J494" s="16" t="s">
        <v>5418</v>
      </c>
      <c r="K494" s="39" t="s">
        <v>5446</v>
      </c>
      <c r="L494" s="111" t="s">
        <v>46</v>
      </c>
      <c r="M494" s="112">
        <v>2532</v>
      </c>
      <c r="N494" s="111" t="s">
        <v>1677</v>
      </c>
      <c r="O494" s="112">
        <v>1274</v>
      </c>
      <c r="P494" s="111" t="s">
        <v>151</v>
      </c>
      <c r="Q494" s="112">
        <v>854</v>
      </c>
      <c r="R494" s="111" t="s">
        <v>152</v>
      </c>
      <c r="S494" s="112">
        <v>578</v>
      </c>
      <c r="T494" s="111" t="s">
        <v>153</v>
      </c>
      <c r="U494" s="112">
        <v>423</v>
      </c>
      <c r="V494" s="111" t="s">
        <v>6549</v>
      </c>
      <c r="W494" s="112">
        <v>276</v>
      </c>
      <c r="X494" s="111" t="s">
        <v>6550</v>
      </c>
      <c r="Y494" s="112">
        <v>129</v>
      </c>
      <c r="Z494" s="111" t="s">
        <v>8447</v>
      </c>
      <c r="AA494" s="112">
        <v>86</v>
      </c>
      <c r="AB494" s="111" t="s">
        <v>6553</v>
      </c>
      <c r="AC494" s="112">
        <v>28</v>
      </c>
    </row>
    <row r="495" spans="1:29" ht="28.5" customHeight="1" thickBot="1">
      <c r="A495" s="114" t="s">
        <v>8802</v>
      </c>
      <c r="C495" s="8" t="s">
        <v>8812</v>
      </c>
      <c r="D495" s="9" t="s">
        <v>8811</v>
      </c>
      <c r="E495" s="9" t="s">
        <v>8842</v>
      </c>
      <c r="F495" s="8" t="str">
        <f t="shared" si="20"/>
        <v>gift-codes.html?game=三國志KING</v>
      </c>
      <c r="G495" s="9" t="s">
        <v>8813</v>
      </c>
      <c r="H495" s="9" t="str">
        <f t="shared" si="21"/>
        <v>https://www.ssbuy.tw/game-detail.html?game=三國志KING</v>
      </c>
      <c r="I495" s="10" t="s">
        <v>8820</v>
      </c>
      <c r="J495" s="16" t="s">
        <v>5418</v>
      </c>
      <c r="K495" s="39" t="s">
        <v>5446</v>
      </c>
      <c r="L495" s="111" t="s">
        <v>46</v>
      </c>
      <c r="M495" s="112">
        <v>2532</v>
      </c>
      <c r="N495" s="111" t="s">
        <v>1677</v>
      </c>
      <c r="O495" s="112">
        <v>1274</v>
      </c>
      <c r="P495" s="111" t="s">
        <v>151</v>
      </c>
      <c r="Q495" s="112">
        <v>854</v>
      </c>
      <c r="R495" s="111" t="s">
        <v>152</v>
      </c>
      <c r="S495" s="112">
        <v>578</v>
      </c>
      <c r="T495" s="111" t="s">
        <v>153</v>
      </c>
      <c r="U495" s="112">
        <v>423</v>
      </c>
      <c r="V495" s="111" t="s">
        <v>6549</v>
      </c>
      <c r="W495" s="112">
        <v>276</v>
      </c>
      <c r="X495" s="111" t="s">
        <v>6550</v>
      </c>
      <c r="Y495" s="112">
        <v>129</v>
      </c>
      <c r="Z495" s="111" t="s">
        <v>8447</v>
      </c>
      <c r="AA495" s="112">
        <v>86</v>
      </c>
      <c r="AB495" s="111" t="s">
        <v>6553</v>
      </c>
      <c r="AC495" s="112">
        <v>28</v>
      </c>
    </row>
    <row r="496" spans="1:29" ht="28.5" customHeight="1" thickBot="1">
      <c r="A496" s="114" t="s">
        <v>8841</v>
      </c>
      <c r="C496" s="8" t="s">
        <v>8832</v>
      </c>
      <c r="D496" s="9" t="s">
        <v>8830</v>
      </c>
      <c r="E496" s="9" t="s">
        <v>8829</v>
      </c>
      <c r="F496" s="8" t="str">
        <f t="shared" si="20"/>
        <v>gift-codes.html?game=骷髏要稱王</v>
      </c>
      <c r="G496" s="9" t="s">
        <v>8831</v>
      </c>
      <c r="H496" s="9" t="str">
        <f t="shared" si="21"/>
        <v>https://www.ssbuy.tw/game-detail.html?game=骷髏要稱王</v>
      </c>
      <c r="I496" t="s">
        <v>8836</v>
      </c>
      <c r="J496" s="16" t="s">
        <v>5418</v>
      </c>
      <c r="K496" s="39" t="s">
        <v>5446</v>
      </c>
      <c r="L496" s="111" t="s">
        <v>8833</v>
      </c>
      <c r="M496" s="112">
        <v>2760</v>
      </c>
      <c r="N496" s="111" t="s">
        <v>8834</v>
      </c>
      <c r="O496" s="112">
        <v>1431</v>
      </c>
      <c r="P496" s="111" t="s">
        <v>8615</v>
      </c>
      <c r="Q496" s="112">
        <v>838</v>
      </c>
      <c r="R496" s="111" t="s">
        <v>8835</v>
      </c>
      <c r="S496" s="112">
        <v>415</v>
      </c>
      <c r="T496" s="111" t="s">
        <v>61</v>
      </c>
      <c r="U496" s="112">
        <v>279</v>
      </c>
      <c r="V496" s="111" t="s">
        <v>62</v>
      </c>
      <c r="W496" s="112">
        <v>147</v>
      </c>
      <c r="X496" s="111" t="s">
        <v>65</v>
      </c>
      <c r="Y496" s="112">
        <v>28</v>
      </c>
      <c r="Z496" s="111"/>
      <c r="AA496" s="112"/>
      <c r="AB496" s="111"/>
      <c r="AC496" s="112"/>
    </row>
    <row r="497" spans="1:29" ht="28.5" customHeight="1" thickBot="1">
      <c r="A497" s="114" t="s">
        <v>8851</v>
      </c>
      <c r="C497" s="8" t="s">
        <v>8843</v>
      </c>
      <c r="D497" s="9" t="s">
        <v>8846</v>
      </c>
      <c r="E497" s="9" t="s">
        <v>8845</v>
      </c>
      <c r="F497" s="8" t="str">
        <f t="shared" si="20"/>
        <v>gift-codes.html?game=丞相請出山：破局</v>
      </c>
      <c r="G497" s="9" t="s">
        <v>8844</v>
      </c>
      <c r="H497" s="9" t="str">
        <f t="shared" si="21"/>
        <v>https://www.ssbuy.tw/game-detail.html?game=丞相請出山：破局</v>
      </c>
      <c r="I497" s="10" t="s">
        <v>8852</v>
      </c>
      <c r="J497" s="16" t="s">
        <v>5418</v>
      </c>
      <c r="K497" s="39" t="s">
        <v>5446</v>
      </c>
      <c r="L497" s="111" t="s">
        <v>46</v>
      </c>
      <c r="M497" s="112">
        <v>2532</v>
      </c>
      <c r="N497" s="111" t="s">
        <v>1677</v>
      </c>
      <c r="O497" s="112">
        <v>1274</v>
      </c>
      <c r="P497" s="111" t="s">
        <v>151</v>
      </c>
      <c r="Q497" s="112">
        <v>854</v>
      </c>
      <c r="R497" s="111" t="s">
        <v>152</v>
      </c>
      <c r="S497" s="112">
        <v>578</v>
      </c>
      <c r="T497" s="111" t="s">
        <v>153</v>
      </c>
      <c r="U497" s="112">
        <v>423</v>
      </c>
      <c r="V497" s="111" t="s">
        <v>6549</v>
      </c>
      <c r="W497" s="112">
        <v>276</v>
      </c>
      <c r="X497" s="111" t="s">
        <v>6550</v>
      </c>
      <c r="Y497" s="112">
        <v>129</v>
      </c>
      <c r="Z497" s="111" t="s">
        <v>8447</v>
      </c>
      <c r="AA497" s="112">
        <v>86</v>
      </c>
      <c r="AB497" s="111" t="s">
        <v>6553</v>
      </c>
      <c r="AC497" s="112">
        <v>28</v>
      </c>
    </row>
    <row r="498" spans="1:29" ht="28.5" customHeight="1" thickBot="1">
      <c r="A498" s="114" t="s">
        <v>8855</v>
      </c>
      <c r="D498" s="9" t="s">
        <v>8857</v>
      </c>
      <c r="E498" s="9" t="s">
        <v>8862</v>
      </c>
      <c r="F498" s="8" t="str">
        <f t="shared" si="20"/>
        <v>gift-codes.html?game=MLB® The Show™</v>
      </c>
      <c r="G498" s="9" t="s">
        <v>8858</v>
      </c>
      <c r="H498" s="9" t="str">
        <f t="shared" si="21"/>
        <v>https://www.ssbuy.tw/game-detail.html?game=MLB® The Show™</v>
      </c>
      <c r="I498" s="10" t="s">
        <v>8864</v>
      </c>
      <c r="J498" s="16" t="s">
        <v>5418</v>
      </c>
      <c r="K498" s="39" t="s">
        <v>5446</v>
      </c>
      <c r="L498" s="111" t="s">
        <v>46</v>
      </c>
      <c r="M498" s="112">
        <v>2532</v>
      </c>
      <c r="N498" s="111" t="s">
        <v>1677</v>
      </c>
      <c r="O498" s="112">
        <v>1274</v>
      </c>
      <c r="P498" s="111" t="s">
        <v>151</v>
      </c>
      <c r="Q498" s="112">
        <v>854</v>
      </c>
      <c r="R498" s="111" t="s">
        <v>152</v>
      </c>
      <c r="S498" s="112">
        <v>578</v>
      </c>
      <c r="T498" s="111" t="s">
        <v>153</v>
      </c>
      <c r="U498" s="112">
        <v>423</v>
      </c>
      <c r="V498" s="111" t="s">
        <v>6549</v>
      </c>
      <c r="W498" s="112">
        <v>276</v>
      </c>
      <c r="X498" s="111" t="s">
        <v>6550</v>
      </c>
      <c r="Y498" s="112">
        <v>129</v>
      </c>
      <c r="Z498" s="111" t="s">
        <v>8447</v>
      </c>
      <c r="AA498" s="112">
        <v>86</v>
      </c>
      <c r="AB498" s="111" t="s">
        <v>6553</v>
      </c>
      <c r="AC498" s="112">
        <v>28</v>
      </c>
    </row>
    <row r="499" spans="1:29" ht="28.5" customHeight="1" thickBot="1">
      <c r="A499" s="114" t="s">
        <v>8856</v>
      </c>
      <c r="C499" s="8" t="s">
        <v>8861</v>
      </c>
      <c r="E499" s="9" t="s">
        <v>8859</v>
      </c>
      <c r="F499" s="8" t="str">
        <f t="shared" si="20"/>
        <v>gift-codes.html?game=龍村3</v>
      </c>
      <c r="G499" s="9" t="s">
        <v>8860</v>
      </c>
      <c r="H499" s="9" t="str">
        <f t="shared" si="21"/>
        <v>https://www.ssbuy.tw/game-detail.html?game=龍村3</v>
      </c>
      <c r="I499" s="10" t="s">
        <v>8863</v>
      </c>
      <c r="J499" s="16" t="s">
        <v>5418</v>
      </c>
      <c r="K499" s="39" t="s">
        <v>5446</v>
      </c>
      <c r="L499" s="111" t="s">
        <v>46</v>
      </c>
      <c r="M499" s="112">
        <v>2532</v>
      </c>
      <c r="N499" s="111" t="s">
        <v>1677</v>
      </c>
      <c r="O499" s="112">
        <v>1274</v>
      </c>
      <c r="P499" s="111" t="s">
        <v>151</v>
      </c>
      <c r="Q499" s="112">
        <v>854</v>
      </c>
      <c r="R499" s="111" t="s">
        <v>152</v>
      </c>
      <c r="S499" s="112">
        <v>578</v>
      </c>
      <c r="T499" s="111" t="s">
        <v>153</v>
      </c>
      <c r="U499" s="112">
        <v>423</v>
      </c>
      <c r="V499" s="111" t="s">
        <v>6549</v>
      </c>
      <c r="W499" s="112">
        <v>276</v>
      </c>
      <c r="X499" s="111" t="s">
        <v>6550</v>
      </c>
      <c r="Y499" s="112">
        <v>129</v>
      </c>
      <c r="Z499" s="111" t="s">
        <v>8447</v>
      </c>
      <c r="AA499" s="112">
        <v>86</v>
      </c>
      <c r="AB499" s="111" t="s">
        <v>6553</v>
      </c>
      <c r="AC499" s="112">
        <v>28</v>
      </c>
    </row>
    <row r="500" spans="1:29" ht="28.5" customHeight="1" thickBot="1">
      <c r="A500" s="114" t="s">
        <v>8888</v>
      </c>
      <c r="C500" s="8" t="s">
        <v>8887</v>
      </c>
      <c r="D500" s="9" t="s">
        <v>8884</v>
      </c>
      <c r="E500" s="9" t="s">
        <v>8886</v>
      </c>
      <c r="F500" s="8" t="str">
        <f t="shared" si="20"/>
        <v>gift-codes.html?game=車車屍搭普</v>
      </c>
      <c r="G500" s="9" t="s">
        <v>8885</v>
      </c>
      <c r="H500" s="9" t="str">
        <f t="shared" si="21"/>
        <v>https://www.ssbuy.tw/game-detail.html?game=車車屍搭普</v>
      </c>
      <c r="I500" s="10" t="s">
        <v>8900</v>
      </c>
      <c r="J500" s="16" t="s">
        <v>5418</v>
      </c>
      <c r="K500" s="39" t="s">
        <v>5446</v>
      </c>
      <c r="L500" s="21" t="s">
        <v>5939</v>
      </c>
      <c r="M500" s="22">
        <v>2773</v>
      </c>
      <c r="N500" s="21" t="s">
        <v>5940</v>
      </c>
      <c r="O500" s="22">
        <v>1438</v>
      </c>
      <c r="P500" s="21" t="s">
        <v>5941</v>
      </c>
      <c r="Q500" s="22">
        <v>850</v>
      </c>
      <c r="R500" s="21" t="s">
        <v>5942</v>
      </c>
      <c r="S500" s="22">
        <v>747</v>
      </c>
      <c r="T500" s="21" t="s">
        <v>5943</v>
      </c>
      <c r="U500" s="22">
        <v>575</v>
      </c>
      <c r="V500" s="21" t="s">
        <v>5944</v>
      </c>
      <c r="W500" s="22">
        <v>421</v>
      </c>
      <c r="X500" s="21" t="s">
        <v>8629</v>
      </c>
      <c r="Y500" s="22">
        <v>283</v>
      </c>
      <c r="Z500" s="21" t="s">
        <v>5946</v>
      </c>
      <c r="AA500" s="22">
        <v>146</v>
      </c>
      <c r="AB500" s="21" t="s">
        <v>5947</v>
      </c>
      <c r="AC500" s="22">
        <v>28</v>
      </c>
    </row>
    <row r="501" spans="1:29" ht="28.5" customHeight="1">
      <c r="F501" s="8" t="str">
        <f t="shared" si="20"/>
        <v/>
      </c>
      <c r="H501" s="9" t="str">
        <f t="shared" si="21"/>
        <v/>
      </c>
    </row>
    <row r="502" spans="1:29" ht="28.5" customHeight="1">
      <c r="F502" s="8" t="str">
        <f t="shared" si="20"/>
        <v/>
      </c>
      <c r="H502" s="9" t="str">
        <f t="shared" si="21"/>
        <v/>
      </c>
    </row>
    <row r="503" spans="1:29" ht="28.5" customHeight="1">
      <c r="F503" s="8" t="str">
        <f t="shared" si="20"/>
        <v/>
      </c>
      <c r="H503" s="9" t="str">
        <f t="shared" si="21"/>
        <v/>
      </c>
    </row>
    <row r="504" spans="1:29" ht="28.5" customHeight="1">
      <c r="F504" s="8" t="str">
        <f t="shared" si="20"/>
        <v/>
      </c>
      <c r="H504" s="9" t="str">
        <f t="shared" si="21"/>
        <v/>
      </c>
    </row>
    <row r="505" spans="1:29" ht="28.5" customHeight="1">
      <c r="F505" s="8" t="str">
        <f t="shared" si="20"/>
        <v/>
      </c>
      <c r="H505" s="9" t="str">
        <f t="shared" si="21"/>
        <v/>
      </c>
    </row>
    <row r="506" spans="1:29" ht="28.5" customHeight="1">
      <c r="F506" s="8" t="str">
        <f t="shared" si="20"/>
        <v/>
      </c>
      <c r="H506" s="9" t="str">
        <f t="shared" si="21"/>
        <v/>
      </c>
    </row>
    <row r="507" spans="1:29" ht="28.5" customHeight="1">
      <c r="F507" s="8" t="str">
        <f t="shared" si="20"/>
        <v/>
      </c>
      <c r="H507" s="9" t="str">
        <f t="shared" si="21"/>
        <v/>
      </c>
    </row>
    <row r="508" spans="1:29" ht="28.5" customHeight="1">
      <c r="F508" s="8" t="str">
        <f t="shared" si="20"/>
        <v/>
      </c>
      <c r="H508" s="9" t="str">
        <f t="shared" si="21"/>
        <v/>
      </c>
    </row>
    <row r="509" spans="1:29" ht="28.5" customHeight="1">
      <c r="F509" s="8" t="str">
        <f t="shared" si="20"/>
        <v/>
      </c>
      <c r="H509" s="9" t="str">
        <f t="shared" si="21"/>
        <v/>
      </c>
    </row>
    <row r="510" spans="1:29" ht="28.5" customHeight="1">
      <c r="F510" s="8" t="str">
        <f t="shared" si="20"/>
        <v/>
      </c>
      <c r="H510" s="9" t="str">
        <f t="shared" si="21"/>
        <v/>
      </c>
    </row>
    <row r="511" spans="1:29" ht="28.5" customHeight="1">
      <c r="F511" s="8" t="str">
        <f t="shared" si="20"/>
        <v/>
      </c>
      <c r="H511" s="9" t="str">
        <f t="shared" si="21"/>
        <v/>
      </c>
    </row>
    <row r="512" spans="1:29" ht="28.5" customHeight="1">
      <c r="F512" s="8" t="str">
        <f t="shared" si="20"/>
        <v/>
      </c>
      <c r="H512" s="9" t="str">
        <f t="shared" si="21"/>
        <v/>
      </c>
    </row>
    <row r="513" spans="6:8" ht="28.5" customHeight="1">
      <c r="F513" s="8" t="str">
        <f t="shared" si="20"/>
        <v/>
      </c>
      <c r="H513" s="9" t="str">
        <f t="shared" si="21"/>
        <v/>
      </c>
    </row>
    <row r="514" spans="6:8" ht="28.5" customHeight="1">
      <c r="F514" s="8" t="str">
        <f t="shared" si="20"/>
        <v/>
      </c>
      <c r="H514" s="9" t="str">
        <f t="shared" si="21"/>
        <v/>
      </c>
    </row>
    <row r="515" spans="6:8" ht="28.5" customHeight="1">
      <c r="F515" s="8" t="str">
        <f t="shared" si="20"/>
        <v/>
      </c>
      <c r="H515" s="9" t="str">
        <f t="shared" si="21"/>
        <v/>
      </c>
    </row>
    <row r="516" spans="6:8" ht="28.5" customHeight="1">
      <c r="F516" s="8" t="str">
        <f t="shared" si="20"/>
        <v/>
      </c>
      <c r="H516" s="9" t="str">
        <f t="shared" si="21"/>
        <v/>
      </c>
    </row>
    <row r="517" spans="6:8" ht="28.5" customHeight="1">
      <c r="F517" s="8" t="str">
        <f t="shared" si="20"/>
        <v/>
      </c>
      <c r="H517" s="9" t="str">
        <f t="shared" si="21"/>
        <v/>
      </c>
    </row>
    <row r="518" spans="6:8" ht="28.5" customHeight="1">
      <c r="F518" s="8" t="str">
        <f t="shared" si="20"/>
        <v/>
      </c>
      <c r="H518" s="9" t="str">
        <f t="shared" si="21"/>
        <v/>
      </c>
    </row>
    <row r="519" spans="6:8" ht="28.5" customHeight="1">
      <c r="F519" s="8" t="str">
        <f t="shared" si="20"/>
        <v/>
      </c>
      <c r="H519" s="9" t="str">
        <f t="shared" si="21"/>
        <v/>
      </c>
    </row>
    <row r="520" spans="6:8" ht="28.5" customHeight="1">
      <c r="F520" s="8" t="str">
        <f t="shared" si="20"/>
        <v/>
      </c>
      <c r="H520" s="9" t="str">
        <f t="shared" si="21"/>
        <v/>
      </c>
    </row>
    <row r="521" spans="6:8" ht="28.5" customHeight="1">
      <c r="F521" s="8" t="str">
        <f t="shared" si="20"/>
        <v/>
      </c>
      <c r="H521" s="9" t="str">
        <f t="shared" si="21"/>
        <v/>
      </c>
    </row>
    <row r="522" spans="6:8" ht="28.5" customHeight="1">
      <c r="F522" s="8" t="str">
        <f t="shared" si="20"/>
        <v/>
      </c>
      <c r="H522" s="9" t="str">
        <f t="shared" si="21"/>
        <v/>
      </c>
    </row>
    <row r="523" spans="6:8" ht="28.5" customHeight="1">
      <c r="F523" s="8" t="str">
        <f t="shared" si="20"/>
        <v/>
      </c>
      <c r="H523" s="9" t="str">
        <f t="shared" si="21"/>
        <v/>
      </c>
    </row>
    <row r="524" spans="6:8" ht="28.5" customHeight="1">
      <c r="F524" s="8" t="str">
        <f t="shared" si="20"/>
        <v/>
      </c>
      <c r="H524" s="9" t="str">
        <f t="shared" si="21"/>
        <v/>
      </c>
    </row>
    <row r="525" spans="6:8" ht="28.5" customHeight="1">
      <c r="F525" s="8" t="str">
        <f t="shared" si="20"/>
        <v/>
      </c>
      <c r="H525" s="9" t="str">
        <f t="shared" si="21"/>
        <v/>
      </c>
    </row>
    <row r="526" spans="6:8" ht="28.5" customHeight="1">
      <c r="F526" s="8" t="str">
        <f t="shared" si="20"/>
        <v/>
      </c>
      <c r="H526" s="9" t="str">
        <f t="shared" si="21"/>
        <v/>
      </c>
    </row>
    <row r="527" spans="6:8" ht="28.5" customHeight="1">
      <c r="F527" s="8" t="str">
        <f t="shared" si="20"/>
        <v/>
      </c>
      <c r="H527" s="9" t="str">
        <f t="shared" si="21"/>
        <v/>
      </c>
    </row>
    <row r="528" spans="6:8" ht="28.5" customHeight="1">
      <c r="F528" s="8" t="str">
        <f t="shared" si="20"/>
        <v/>
      </c>
      <c r="H528" s="9" t="str">
        <f t="shared" si="21"/>
        <v/>
      </c>
    </row>
    <row r="529" spans="6:8" ht="28.5" customHeight="1">
      <c r="F529" s="8" t="str">
        <f t="shared" si="20"/>
        <v/>
      </c>
      <c r="H529" s="9" t="str">
        <f t="shared" si="21"/>
        <v/>
      </c>
    </row>
    <row r="530" spans="6:8" ht="28.5" customHeight="1">
      <c r="F530" s="8" t="str">
        <f t="shared" si="20"/>
        <v/>
      </c>
      <c r="H530" s="9" t="str">
        <f t="shared" si="21"/>
        <v/>
      </c>
    </row>
    <row r="531" spans="6:8" ht="28.5" customHeight="1">
      <c r="F531" s="8" t="str">
        <f t="shared" si="20"/>
        <v/>
      </c>
      <c r="H531" s="9" t="str">
        <f t="shared" si="21"/>
        <v/>
      </c>
    </row>
    <row r="532" spans="6:8" ht="28.5" customHeight="1">
      <c r="F532" s="8" t="str">
        <f t="shared" si="20"/>
        <v/>
      </c>
      <c r="H532" s="9" t="str">
        <f t="shared" si="21"/>
        <v/>
      </c>
    </row>
    <row r="533" spans="6:8" ht="28.5" customHeight="1">
      <c r="F533" s="8" t="str">
        <f t="shared" si="20"/>
        <v/>
      </c>
      <c r="H533" s="9" t="str">
        <f t="shared" si="21"/>
        <v/>
      </c>
    </row>
    <row r="534" spans="6:8" ht="28.5" customHeight="1">
      <c r="F534" s="8" t="str">
        <f t="shared" si="20"/>
        <v/>
      </c>
      <c r="H534" s="9" t="str">
        <f t="shared" si="21"/>
        <v/>
      </c>
    </row>
    <row r="535" spans="6:8" ht="28.5" customHeight="1">
      <c r="F535" s="8" t="str">
        <f t="shared" si="20"/>
        <v/>
      </c>
      <c r="H535" s="9" t="str">
        <f t="shared" si="21"/>
        <v/>
      </c>
    </row>
    <row r="536" spans="6:8" ht="28.5" customHeight="1">
      <c r="F536" s="8" t="str">
        <f t="shared" si="20"/>
        <v/>
      </c>
      <c r="H536" s="9" t="str">
        <f t="shared" si="21"/>
        <v/>
      </c>
    </row>
    <row r="537" spans="6:8" ht="28.5" customHeight="1">
      <c r="F537" s="8" t="str">
        <f t="shared" si="20"/>
        <v/>
      </c>
      <c r="H537" s="9" t="str">
        <f t="shared" si="21"/>
        <v/>
      </c>
    </row>
    <row r="538" spans="6:8" ht="28.5" customHeight="1">
      <c r="F538" s="8" t="str">
        <f t="shared" si="20"/>
        <v/>
      </c>
      <c r="H538" s="9" t="str">
        <f t="shared" si="21"/>
        <v/>
      </c>
    </row>
    <row r="539" spans="6:8" ht="28.5" customHeight="1">
      <c r="F539" s="8" t="str">
        <f t="shared" si="20"/>
        <v/>
      </c>
      <c r="H539" s="9" t="str">
        <f t="shared" si="21"/>
        <v/>
      </c>
    </row>
    <row r="540" spans="6:8" ht="28.5" customHeight="1">
      <c r="F540" s="8" t="str">
        <f t="shared" si="20"/>
        <v/>
      </c>
      <c r="H540" s="9" t="str">
        <f t="shared" si="21"/>
        <v/>
      </c>
    </row>
    <row r="541" spans="6:8" ht="28.5" customHeight="1">
      <c r="F541" s="8" t="str">
        <f t="shared" si="20"/>
        <v/>
      </c>
      <c r="H541" s="9" t="str">
        <f t="shared" si="21"/>
        <v/>
      </c>
    </row>
    <row r="542" spans="6:8" ht="28.5" customHeight="1">
      <c r="F542" s="8" t="str">
        <f t="shared" si="20"/>
        <v/>
      </c>
      <c r="H542" s="9" t="str">
        <f t="shared" si="21"/>
        <v/>
      </c>
    </row>
    <row r="543" spans="6:8" ht="28.5" customHeight="1">
      <c r="F543" s="8" t="str">
        <f t="shared" si="20"/>
        <v/>
      </c>
      <c r="H543" s="9" t="str">
        <f t="shared" si="21"/>
        <v/>
      </c>
    </row>
    <row r="544" spans="6:8" ht="28.5" customHeight="1">
      <c r="F544" s="8" t="str">
        <f t="shared" si="20"/>
        <v/>
      </c>
      <c r="H544" s="9" t="str">
        <f t="shared" si="21"/>
        <v/>
      </c>
    </row>
    <row r="545" spans="6:8" ht="28.5" customHeight="1">
      <c r="F545" s="8" t="str">
        <f t="shared" si="20"/>
        <v/>
      </c>
      <c r="H545" s="9" t="str">
        <f t="shared" si="21"/>
        <v/>
      </c>
    </row>
    <row r="546" spans="6:8" ht="28.5" customHeight="1">
      <c r="F546" s="8" t="str">
        <f t="shared" si="20"/>
        <v/>
      </c>
      <c r="H546" s="9" t="str">
        <f t="shared" si="21"/>
        <v/>
      </c>
    </row>
    <row r="547" spans="6:8" ht="28.5" customHeight="1">
      <c r="F547" s="8" t="str">
        <f t="shared" si="20"/>
        <v/>
      </c>
      <c r="H547" s="9" t="str">
        <f t="shared" si="21"/>
        <v/>
      </c>
    </row>
    <row r="548" spans="6:8" ht="28.5" customHeight="1">
      <c r="F548" s="8" t="str">
        <f t="shared" si="20"/>
        <v/>
      </c>
      <c r="H548" s="9" t="str">
        <f t="shared" si="21"/>
        <v/>
      </c>
    </row>
    <row r="549" spans="6:8" ht="28.5" customHeight="1">
      <c r="F549" s="8" t="str">
        <f t="shared" si="20"/>
        <v/>
      </c>
      <c r="H549" s="9" t="str">
        <f t="shared" si="21"/>
        <v/>
      </c>
    </row>
    <row r="550" spans="6:8" ht="28.5" customHeight="1">
      <c r="F550" s="8" t="str">
        <f t="shared" si="20"/>
        <v/>
      </c>
      <c r="H550" s="9" t="str">
        <f t="shared" si="21"/>
        <v/>
      </c>
    </row>
    <row r="551" spans="6:8" ht="28.5" customHeight="1">
      <c r="F551" s="8" t="str">
        <f t="shared" si="20"/>
        <v/>
      </c>
      <c r="H551" s="9" t="str">
        <f t="shared" si="21"/>
        <v/>
      </c>
    </row>
    <row r="552" spans="6:8" ht="28.5" customHeight="1">
      <c r="F552" s="8" t="str">
        <f t="shared" si="20"/>
        <v/>
      </c>
      <c r="H552" s="9" t="str">
        <f t="shared" si="21"/>
        <v/>
      </c>
    </row>
    <row r="553" spans="6:8" ht="28.5" customHeight="1">
      <c r="F553" s="8" t="str">
        <f t="shared" si="20"/>
        <v/>
      </c>
      <c r="H553" s="9" t="str">
        <f t="shared" si="21"/>
        <v/>
      </c>
    </row>
    <row r="554" spans="6:8" ht="28.5" customHeight="1">
      <c r="F554" s="8" t="str">
        <f t="shared" si="20"/>
        <v/>
      </c>
      <c r="H554" s="9" t="str">
        <f t="shared" si="21"/>
        <v/>
      </c>
    </row>
    <row r="555" spans="6:8" ht="28.5" customHeight="1">
      <c r="F555" s="8" t="str">
        <f>IF(A555="", "", "gift-codes.html?game=" &amp; A555)</f>
        <v/>
      </c>
      <c r="H555" s="9" t="str">
        <f t="shared" ref="H555:H613" si="22">IF(A555="", "", "https://www.ssbuy.tw/game-detail.html?game="&amp;A555)</f>
        <v/>
      </c>
    </row>
    <row r="556" spans="6:8" ht="28.5" customHeight="1">
      <c r="F556" s="8" t="str">
        <f>IF(A556="", "", "gift-codes.html?game=" &amp; A556)</f>
        <v/>
      </c>
      <c r="H556" s="9" t="str">
        <f t="shared" si="22"/>
        <v/>
      </c>
    </row>
    <row r="557" spans="6:8" ht="28.5" customHeight="1">
      <c r="F557" s="8" t="str">
        <f>IF(A557="", "", "gift-codes.html?game=" &amp; A557)</f>
        <v/>
      </c>
      <c r="H557" s="9" t="str">
        <f t="shared" si="22"/>
        <v/>
      </c>
    </row>
    <row r="558" spans="6:8" ht="28.5" customHeight="1">
      <c r="H558" s="9" t="str">
        <f t="shared" si="22"/>
        <v/>
      </c>
    </row>
    <row r="559" spans="6:8" ht="28.5" customHeight="1">
      <c r="H559" s="9" t="str">
        <f t="shared" si="22"/>
        <v/>
      </c>
    </row>
    <row r="560" spans="6:8" ht="28.5" customHeight="1">
      <c r="H560" s="9" t="str">
        <f t="shared" si="22"/>
        <v/>
      </c>
    </row>
    <row r="561" spans="8:8" ht="28.5" customHeight="1">
      <c r="H561" s="9" t="str">
        <f t="shared" si="22"/>
        <v/>
      </c>
    </row>
    <row r="562" spans="8:8" ht="28.5" customHeight="1">
      <c r="H562" s="9" t="str">
        <f t="shared" si="22"/>
        <v/>
      </c>
    </row>
    <row r="563" spans="8:8" ht="28.5" customHeight="1">
      <c r="H563" s="9" t="str">
        <f t="shared" si="22"/>
        <v/>
      </c>
    </row>
    <row r="564" spans="8:8" ht="28.5" customHeight="1">
      <c r="H564" s="9" t="str">
        <f t="shared" si="22"/>
        <v/>
      </c>
    </row>
    <row r="565" spans="8:8" ht="28.5" customHeight="1">
      <c r="H565" s="9" t="str">
        <f t="shared" si="22"/>
        <v/>
      </c>
    </row>
    <row r="566" spans="8:8" ht="28.5" customHeight="1">
      <c r="H566" s="9" t="str">
        <f t="shared" si="22"/>
        <v/>
      </c>
    </row>
    <row r="567" spans="8:8" ht="28.5" customHeight="1">
      <c r="H567" s="9" t="str">
        <f t="shared" si="22"/>
        <v/>
      </c>
    </row>
    <row r="568" spans="8:8" ht="28.5" customHeight="1">
      <c r="H568" s="9" t="str">
        <f t="shared" si="22"/>
        <v/>
      </c>
    </row>
    <row r="569" spans="8:8" ht="28.5" customHeight="1">
      <c r="H569" s="9" t="str">
        <f t="shared" si="22"/>
        <v/>
      </c>
    </row>
    <row r="570" spans="8:8" ht="28.5" customHeight="1">
      <c r="H570" s="9" t="str">
        <f t="shared" si="22"/>
        <v/>
      </c>
    </row>
    <row r="571" spans="8:8" ht="28.5" customHeight="1">
      <c r="H571" s="9" t="str">
        <f t="shared" si="22"/>
        <v/>
      </c>
    </row>
    <row r="572" spans="8:8" ht="28.5" customHeight="1">
      <c r="H572" s="9" t="str">
        <f t="shared" si="22"/>
        <v/>
      </c>
    </row>
    <row r="573" spans="8:8" ht="28.5" customHeight="1">
      <c r="H573" s="9" t="str">
        <f t="shared" si="22"/>
        <v/>
      </c>
    </row>
    <row r="574" spans="8:8" ht="28.5" customHeight="1">
      <c r="H574" s="9" t="str">
        <f t="shared" si="22"/>
        <v/>
      </c>
    </row>
    <row r="575" spans="8:8" ht="28.5" customHeight="1">
      <c r="H575" s="9" t="str">
        <f t="shared" si="22"/>
        <v/>
      </c>
    </row>
    <row r="576" spans="8:8" ht="28.5" customHeight="1">
      <c r="H576" s="9" t="str">
        <f t="shared" si="22"/>
        <v/>
      </c>
    </row>
    <row r="577" spans="8:8" ht="28.5" customHeight="1">
      <c r="H577" s="9" t="str">
        <f t="shared" si="22"/>
        <v/>
      </c>
    </row>
    <row r="578" spans="8:8" ht="28.5" customHeight="1">
      <c r="H578" s="9" t="str">
        <f t="shared" si="22"/>
        <v/>
      </c>
    </row>
    <row r="579" spans="8:8" ht="28.5" customHeight="1">
      <c r="H579" s="9" t="str">
        <f t="shared" si="22"/>
        <v/>
      </c>
    </row>
    <row r="580" spans="8:8" ht="28.5" customHeight="1">
      <c r="H580" s="9" t="str">
        <f t="shared" si="22"/>
        <v/>
      </c>
    </row>
    <row r="581" spans="8:8" ht="28.5" customHeight="1">
      <c r="H581" s="9" t="str">
        <f t="shared" si="22"/>
        <v/>
      </c>
    </row>
    <row r="582" spans="8:8" ht="28.5" customHeight="1">
      <c r="H582" s="9" t="str">
        <f t="shared" si="22"/>
        <v/>
      </c>
    </row>
    <row r="583" spans="8:8" ht="28.5" customHeight="1">
      <c r="H583" s="9" t="str">
        <f t="shared" si="22"/>
        <v/>
      </c>
    </row>
    <row r="584" spans="8:8" ht="28.5" customHeight="1">
      <c r="H584" s="9" t="str">
        <f t="shared" si="22"/>
        <v/>
      </c>
    </row>
    <row r="585" spans="8:8" ht="28.5" customHeight="1">
      <c r="H585" s="9" t="str">
        <f t="shared" si="22"/>
        <v/>
      </c>
    </row>
    <row r="586" spans="8:8" ht="28.5" customHeight="1">
      <c r="H586" s="9" t="str">
        <f t="shared" si="22"/>
        <v/>
      </c>
    </row>
    <row r="587" spans="8:8" ht="28.5" customHeight="1">
      <c r="H587" s="9" t="str">
        <f t="shared" si="22"/>
        <v/>
      </c>
    </row>
    <row r="588" spans="8:8" ht="28.5" customHeight="1">
      <c r="H588" s="9" t="str">
        <f t="shared" si="22"/>
        <v/>
      </c>
    </row>
    <row r="589" spans="8:8" ht="28.5" customHeight="1">
      <c r="H589" s="9" t="str">
        <f t="shared" si="22"/>
        <v/>
      </c>
    </row>
    <row r="590" spans="8:8" ht="28.5" customHeight="1">
      <c r="H590" s="9" t="str">
        <f t="shared" si="22"/>
        <v/>
      </c>
    </row>
    <row r="591" spans="8:8" ht="28.5" customHeight="1">
      <c r="H591" s="9" t="str">
        <f t="shared" si="22"/>
        <v/>
      </c>
    </row>
    <row r="592" spans="8:8" ht="28.5" customHeight="1">
      <c r="H592" s="9" t="str">
        <f t="shared" si="22"/>
        <v/>
      </c>
    </row>
    <row r="593" spans="8:8" ht="28.5" customHeight="1">
      <c r="H593" s="9" t="str">
        <f t="shared" si="22"/>
        <v/>
      </c>
    </row>
    <row r="594" spans="8:8" ht="28.5" customHeight="1">
      <c r="H594" s="9" t="str">
        <f t="shared" si="22"/>
        <v/>
      </c>
    </row>
    <row r="595" spans="8:8">
      <c r="H595" s="9" t="str">
        <f t="shared" si="22"/>
        <v/>
      </c>
    </row>
    <row r="596" spans="8:8">
      <c r="H596" s="9" t="str">
        <f t="shared" si="22"/>
        <v/>
      </c>
    </row>
    <row r="597" spans="8:8">
      <c r="H597" s="9" t="str">
        <f t="shared" si="22"/>
        <v/>
      </c>
    </row>
    <row r="598" spans="8:8">
      <c r="H598" s="9" t="str">
        <f t="shared" si="22"/>
        <v/>
      </c>
    </row>
    <row r="599" spans="8:8">
      <c r="H599" s="9" t="str">
        <f t="shared" si="22"/>
        <v/>
      </c>
    </row>
    <row r="600" spans="8:8">
      <c r="H600" s="9" t="str">
        <f t="shared" si="22"/>
        <v/>
      </c>
    </row>
    <row r="601" spans="8:8">
      <c r="H601" s="9" t="str">
        <f t="shared" si="22"/>
        <v/>
      </c>
    </row>
    <row r="602" spans="8:8">
      <c r="H602" s="9" t="str">
        <f t="shared" si="22"/>
        <v/>
      </c>
    </row>
    <row r="603" spans="8:8">
      <c r="H603" s="9" t="str">
        <f t="shared" si="22"/>
        <v/>
      </c>
    </row>
    <row r="604" spans="8:8">
      <c r="H604" s="9" t="str">
        <f t="shared" si="22"/>
        <v/>
      </c>
    </row>
    <row r="605" spans="8:8">
      <c r="H605" s="9" t="str">
        <f t="shared" si="22"/>
        <v/>
      </c>
    </row>
    <row r="606" spans="8:8">
      <c r="H606" s="9" t="str">
        <f t="shared" si="22"/>
        <v/>
      </c>
    </row>
    <row r="607" spans="8:8">
      <c r="H607" s="9" t="str">
        <f t="shared" si="22"/>
        <v/>
      </c>
    </row>
    <row r="608" spans="8:8">
      <c r="H608" s="9" t="str">
        <f t="shared" si="22"/>
        <v/>
      </c>
    </row>
    <row r="609" spans="8:8">
      <c r="H609" s="9" t="str">
        <f t="shared" si="22"/>
        <v/>
      </c>
    </row>
    <row r="610" spans="8:8">
      <c r="H610" s="9" t="str">
        <f t="shared" si="22"/>
        <v/>
      </c>
    </row>
    <row r="611" spans="8:8">
      <c r="H611" s="9" t="str">
        <f t="shared" si="22"/>
        <v/>
      </c>
    </row>
    <row r="612" spans="8:8">
      <c r="H612" s="9" t="str">
        <f t="shared" si="22"/>
        <v/>
      </c>
    </row>
    <row r="613" spans="8:8">
      <c r="H613" s="9"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 ref="G452" r:id="rId338"/>
    <hyperlink ref="G451" r:id="rId339"/>
    <hyperlink ref="E453" r:id="rId340"/>
    <hyperlink ref="G485" r:id="rId341"/>
    <hyperlink ref="G486" r:id="rId342"/>
    <hyperlink ref="G487" r:id="rId343"/>
    <hyperlink ref="D491" r:id="rId344"/>
  </hyperlinks>
  <pageMargins left="0.7" right="0.7" top="0.75" bottom="0.75" header="0.3" footer="0.3"/>
  <pageSetup paperSize="9" orientation="portrait" r:id="rId34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2"/>
  <sheetViews>
    <sheetView tabSelected="1" zoomScale="85" zoomScaleNormal="85" workbookViewId="0">
      <pane xSplit="1" ySplit="1" topLeftCell="F476" activePane="bottomRight" state="frozen"/>
      <selection pane="topRight" activeCell="B1" sqref="B1"/>
      <selection pane="bottomLeft" activeCell="A2" sqref="A2"/>
      <selection pane="bottomRight" activeCell="H480" sqref="H480"/>
    </sheetView>
  </sheetViews>
  <sheetFormatPr defaultColWidth="7.875" defaultRowHeight="19.5"/>
  <cols>
    <col min="1" max="1" width="24.375" style="3" customWidth="1"/>
    <col min="2" max="4" width="13.5" style="3" customWidth="1"/>
    <col min="5" max="5" width="13.5" style="4" customWidth="1"/>
    <col min="6" max="6" width="13.5" style="7" customWidth="1"/>
    <col min="7" max="9" width="13.5" style="3" customWidth="1"/>
    <col min="10" max="10" width="13.5" style="4" customWidth="1"/>
    <col min="11" max="11" width="14.75" style="5" customWidth="1"/>
    <col min="12" max="12" width="14.75" style="3" customWidth="1"/>
    <col min="13" max="13" width="14.75" style="6" customWidth="1"/>
    <col min="14" max="14" width="14.75" style="40" customWidth="1"/>
    <col min="15" max="15" width="14.75" style="6" customWidth="1"/>
    <col min="16" max="16" width="14.75" style="40" customWidth="1"/>
    <col min="17" max="17" width="14.75" style="6" customWidth="1"/>
    <col min="18" max="18" width="14.75" style="40" customWidth="1"/>
    <col min="19" max="19" width="14.75" style="6" customWidth="1"/>
    <col min="20" max="20" width="14.75" style="40" customWidth="1"/>
    <col min="21" max="21" width="14.75" style="6" customWidth="1"/>
    <col min="22" max="22" width="14.75" style="40" customWidth="1"/>
    <col min="23" max="23" width="14.75" style="6" customWidth="1"/>
    <col min="24" max="24" width="14.75" style="40" customWidth="1"/>
    <col min="25" max="25" width="14.75" style="6" customWidth="1"/>
    <col min="26" max="26" width="14.75" style="40" customWidth="1"/>
    <col min="27" max="27" width="14.75" style="6" customWidth="1"/>
    <col min="28" max="28" width="14.75" style="40" customWidth="1"/>
    <col min="29" max="29" width="14.75" style="6" customWidth="1"/>
    <col min="30" max="30" width="14.75" style="40" customWidth="1"/>
    <col min="31" max="31" width="14.75" style="6" customWidth="1"/>
    <col min="32" max="32" width="14.75" style="40" customWidth="1"/>
    <col min="33" max="33" width="14.75" style="6" customWidth="1"/>
    <col min="34" max="34" width="14.75" style="40" customWidth="1"/>
    <col min="35" max="35" width="14.75" style="6" customWidth="1"/>
    <col min="36" max="36" width="14.75" style="40" customWidth="1"/>
    <col min="37" max="37" width="14.75" style="6" customWidth="1"/>
    <col min="38" max="38" width="14.75" style="40" customWidth="1"/>
    <col min="39" max="39" width="14.75" style="6" customWidth="1"/>
    <col min="40" max="40" width="14.75" style="40" customWidth="1"/>
    <col min="41" max="41" width="14.75" style="6" customWidth="1"/>
    <col min="42" max="42" width="14.75" style="40" customWidth="1"/>
    <col min="43" max="43" width="14.75" style="6" customWidth="1"/>
    <col min="44" max="44" width="14.75" style="40" customWidth="1"/>
    <col min="45" max="45" width="14.75" style="6" customWidth="1"/>
    <col min="46" max="46" width="14.75" style="40" customWidth="1"/>
    <col min="47" max="47" width="14.75" style="6" customWidth="1"/>
    <col min="48" max="48" width="14.75" style="40" customWidth="1"/>
    <col min="49" max="49" width="14.75" style="6" customWidth="1"/>
    <col min="50" max="50" width="14.75" style="40" customWidth="1"/>
    <col min="51" max="51" width="14.75" style="6" customWidth="1"/>
    <col min="52" max="52" width="14.75" style="40" customWidth="1"/>
    <col min="53" max="53" width="14.75" style="6" customWidth="1"/>
    <col min="54" max="54" width="14.75" style="3" customWidth="1"/>
    <col min="55" max="55" width="14.75" style="6" customWidth="1"/>
    <col min="56" max="56" width="14.75" style="3" customWidth="1"/>
    <col min="57" max="57" width="14.75" style="6" customWidth="1"/>
    <col min="58" max="58" width="14.75" style="3" customWidth="1"/>
    <col min="59" max="59" width="14.75" style="6" customWidth="1"/>
    <col min="60" max="60" width="14.75" style="3" customWidth="1"/>
    <col min="61" max="61" width="14.75" style="6" customWidth="1"/>
    <col min="62" max="62" width="14.75" style="3" customWidth="1"/>
    <col min="63" max="63" width="14.75" style="6" customWidth="1"/>
    <col min="64" max="64" width="14.75" style="3" customWidth="1"/>
    <col min="65" max="65" width="14.75" style="6" customWidth="1"/>
    <col min="66" max="66" width="14.75" style="3" customWidth="1"/>
    <col min="67" max="67" width="14.75" style="6" customWidth="1"/>
    <col min="68" max="68" width="14.75" style="3" customWidth="1"/>
    <col min="69" max="69" width="14.75" style="6" customWidth="1"/>
    <col min="70" max="70" width="14.75" style="3" customWidth="1"/>
    <col min="71" max="16384" width="7.875" style="3"/>
  </cols>
  <sheetData>
    <row r="1" spans="1:70" s="2" customFormat="1" ht="28.5" customHeight="1">
      <c r="A1" s="44" t="s">
        <v>327</v>
      </c>
      <c r="B1" s="45" t="s">
        <v>1686</v>
      </c>
      <c r="C1" s="45" t="s">
        <v>2641</v>
      </c>
      <c r="D1" s="46" t="s">
        <v>2642</v>
      </c>
      <c r="E1" s="89" t="s">
        <v>1687</v>
      </c>
      <c r="F1" s="102" t="s">
        <v>1688</v>
      </c>
      <c r="G1" s="45" t="s">
        <v>1689</v>
      </c>
      <c r="H1" s="45" t="s">
        <v>1690</v>
      </c>
      <c r="I1" s="45" t="s">
        <v>1691</v>
      </c>
      <c r="J1" s="89" t="s">
        <v>1692</v>
      </c>
      <c r="K1" s="90" t="s">
        <v>1693</v>
      </c>
      <c r="L1" s="45" t="s">
        <v>1694</v>
      </c>
      <c r="M1" s="47" t="s">
        <v>1695</v>
      </c>
      <c r="N1" s="48" t="s">
        <v>1696</v>
      </c>
      <c r="O1" s="47" t="s">
        <v>1697</v>
      </c>
      <c r="P1" s="48" t="s">
        <v>1698</v>
      </c>
      <c r="Q1" s="47" t="s">
        <v>1699</v>
      </c>
      <c r="R1" s="48" t="s">
        <v>1700</v>
      </c>
      <c r="S1" s="47" t="s">
        <v>1701</v>
      </c>
      <c r="T1" s="48" t="s">
        <v>1702</v>
      </c>
      <c r="U1" s="47" t="s">
        <v>1703</v>
      </c>
      <c r="V1" s="48" t="s">
        <v>1704</v>
      </c>
      <c r="W1" s="47" t="s">
        <v>2643</v>
      </c>
      <c r="X1" s="48" t="s">
        <v>2644</v>
      </c>
      <c r="Y1" s="47" t="s">
        <v>2645</v>
      </c>
      <c r="Z1" s="48" t="s">
        <v>2646</v>
      </c>
      <c r="AA1" s="47" t="s">
        <v>2647</v>
      </c>
      <c r="AB1" s="48" t="s">
        <v>2648</v>
      </c>
      <c r="AC1" s="47" t="s">
        <v>2649</v>
      </c>
      <c r="AD1" s="48" t="s">
        <v>1705</v>
      </c>
      <c r="AE1" s="47" t="s">
        <v>2650</v>
      </c>
      <c r="AF1" s="48" t="s">
        <v>2651</v>
      </c>
      <c r="AG1" s="47" t="s">
        <v>2652</v>
      </c>
      <c r="AH1" s="48" t="s">
        <v>1706</v>
      </c>
      <c r="AI1" s="47" t="s">
        <v>2653</v>
      </c>
      <c r="AJ1" s="48" t="s">
        <v>2654</v>
      </c>
      <c r="AK1" s="47" t="s">
        <v>2655</v>
      </c>
      <c r="AL1" s="48" t="s">
        <v>2656</v>
      </c>
      <c r="AM1" s="47" t="s">
        <v>2657</v>
      </c>
      <c r="AN1" s="48" t="s">
        <v>1707</v>
      </c>
      <c r="AO1" s="47" t="s">
        <v>2658</v>
      </c>
      <c r="AP1" s="48" t="s">
        <v>2659</v>
      </c>
      <c r="AQ1" s="47" t="s">
        <v>2660</v>
      </c>
      <c r="AR1" s="48" t="s">
        <v>2661</v>
      </c>
      <c r="AS1" s="47" t="s">
        <v>2662</v>
      </c>
      <c r="AT1" s="48" t="s">
        <v>2663</v>
      </c>
      <c r="AU1" s="47" t="s">
        <v>2664</v>
      </c>
      <c r="AV1" s="48" t="s">
        <v>2665</v>
      </c>
      <c r="AW1" s="47" t="s">
        <v>1708</v>
      </c>
      <c r="AX1" s="48" t="s">
        <v>1709</v>
      </c>
      <c r="AY1" s="47" t="s">
        <v>6170</v>
      </c>
      <c r="AZ1" s="48" t="s">
        <v>6171</v>
      </c>
      <c r="BA1" s="47" t="s">
        <v>6172</v>
      </c>
      <c r="BB1" s="45" t="s">
        <v>6173</v>
      </c>
      <c r="BC1" s="47" t="s">
        <v>6174</v>
      </c>
      <c r="BD1" s="45" t="s">
        <v>6175</v>
      </c>
      <c r="BE1" s="47" t="s">
        <v>6176</v>
      </c>
      <c r="BF1" s="45" t="s">
        <v>6177</v>
      </c>
      <c r="BG1" s="47" t="s">
        <v>6178</v>
      </c>
      <c r="BH1" s="45" t="s">
        <v>6179</v>
      </c>
      <c r="BI1" s="47" t="s">
        <v>6180</v>
      </c>
      <c r="BJ1" s="45" t="s">
        <v>6181</v>
      </c>
      <c r="BK1" s="47" t="s">
        <v>6182</v>
      </c>
      <c r="BL1" s="45" t="s">
        <v>6183</v>
      </c>
      <c r="BM1" s="47" t="s">
        <v>6184</v>
      </c>
      <c r="BN1" s="45" t="s">
        <v>6185</v>
      </c>
      <c r="BO1" s="47" t="s">
        <v>6186</v>
      </c>
      <c r="BP1" s="45" t="s">
        <v>6187</v>
      </c>
      <c r="BQ1" s="47" t="s">
        <v>6188</v>
      </c>
      <c r="BR1" s="49" t="s">
        <v>6189</v>
      </c>
    </row>
    <row r="2" spans="1:70" ht="28.5" customHeight="1">
      <c r="A2" s="50" t="s">
        <v>361</v>
      </c>
      <c r="B2" s="51" t="str">
        <f>"giftcodesbanner/" &amp; A2 &amp; "-bar.jpg"</f>
        <v>giftcodesbanner/巔峰極速-bar.jpg</v>
      </c>
      <c r="C2" s="51"/>
      <c r="D2" s="51" t="str">
        <f>IF(A2="","", "https://www.ssbuy.tw/detail_giftcode/dist/giftcodes/" &amp; IF(ISNUMBER(LEFT(A2,1)*1), "game-", "") &amp; A2 &amp; ".html")</f>
        <v>https://www.ssbuy.tw/detail_giftcode/dist/giftcodes/巔峰極速.html</v>
      </c>
      <c r="E2" s="91" t="s">
        <v>2666</v>
      </c>
      <c r="F2" s="103" t="s">
        <v>2667</v>
      </c>
      <c r="G2" s="52" t="s">
        <v>1711</v>
      </c>
      <c r="H2" s="52" t="s">
        <v>2668</v>
      </c>
      <c r="I2" s="51"/>
      <c r="J2" s="91"/>
      <c r="K2" s="92" t="s">
        <v>1712</v>
      </c>
      <c r="L2" s="51" t="s">
        <v>1713</v>
      </c>
      <c r="M2" s="53" t="s">
        <v>1714</v>
      </c>
      <c r="N2" s="54" t="s">
        <v>1713</v>
      </c>
      <c r="O2" s="53" t="s">
        <v>1715</v>
      </c>
      <c r="P2" s="54" t="s">
        <v>1713</v>
      </c>
      <c r="Q2" s="53" t="s">
        <v>1716</v>
      </c>
      <c r="R2" s="54" t="s">
        <v>1713</v>
      </c>
      <c r="S2" s="53" t="s">
        <v>1717</v>
      </c>
      <c r="T2" s="54" t="s">
        <v>1713</v>
      </c>
      <c r="U2" s="53" t="s">
        <v>1718</v>
      </c>
      <c r="V2" s="54" t="s">
        <v>1713</v>
      </c>
      <c r="W2" s="53" t="s">
        <v>1719</v>
      </c>
      <c r="X2" s="54" t="s">
        <v>1713</v>
      </c>
      <c r="Y2" s="53" t="s">
        <v>1720</v>
      </c>
      <c r="Z2" s="54" t="s">
        <v>1713</v>
      </c>
      <c r="AA2" s="53" t="s">
        <v>1721</v>
      </c>
      <c r="AB2" s="54" t="s">
        <v>1713</v>
      </c>
      <c r="AC2" s="53" t="s">
        <v>1722</v>
      </c>
      <c r="AD2" s="54" t="s">
        <v>1713</v>
      </c>
      <c r="AE2" s="53" t="s">
        <v>1723</v>
      </c>
      <c r="AF2" s="54" t="s">
        <v>1713</v>
      </c>
      <c r="AG2" s="53" t="s">
        <v>1724</v>
      </c>
      <c r="AH2" s="54" t="s">
        <v>1713</v>
      </c>
      <c r="AI2" s="53" t="s">
        <v>1725</v>
      </c>
      <c r="AJ2" s="54" t="s">
        <v>1713</v>
      </c>
      <c r="AK2" s="53" t="s">
        <v>1726</v>
      </c>
      <c r="AL2" s="54" t="s">
        <v>1713</v>
      </c>
      <c r="AM2" s="53" t="s">
        <v>1727</v>
      </c>
      <c r="AN2" s="54" t="s">
        <v>1713</v>
      </c>
      <c r="AO2" s="53" t="s">
        <v>1728</v>
      </c>
      <c r="AP2" s="54" t="s">
        <v>1713</v>
      </c>
      <c r="AQ2" s="53" t="s">
        <v>1729</v>
      </c>
      <c r="AR2" s="54" t="s">
        <v>1713</v>
      </c>
      <c r="AS2" s="53" t="s">
        <v>1730</v>
      </c>
      <c r="AT2" s="54" t="s">
        <v>1713</v>
      </c>
      <c r="AU2" s="53" t="s">
        <v>1731</v>
      </c>
      <c r="AV2" s="54" t="s">
        <v>1713</v>
      </c>
      <c r="AW2" s="53"/>
      <c r="AX2" s="54"/>
      <c r="AY2" s="53"/>
      <c r="AZ2" s="54"/>
      <c r="BA2" s="53"/>
      <c r="BB2" s="51"/>
      <c r="BC2" s="53"/>
      <c r="BD2" s="51"/>
      <c r="BE2" s="53"/>
      <c r="BF2" s="51"/>
      <c r="BG2" s="53"/>
      <c r="BH2" s="51"/>
      <c r="BI2" s="53"/>
      <c r="BJ2" s="51"/>
      <c r="BK2" s="53"/>
      <c r="BL2" s="51"/>
      <c r="BM2" s="53"/>
      <c r="BN2" s="51"/>
      <c r="BO2" s="53"/>
      <c r="BP2" s="51"/>
      <c r="BQ2" s="53"/>
      <c r="BR2" s="55"/>
    </row>
    <row r="3" spans="1:70" ht="28.5" customHeight="1">
      <c r="A3" s="50" t="s">
        <v>376</v>
      </c>
      <c r="B3" s="51" t="str">
        <f t="shared" ref="B3:B66" si="0">"giftcodesbanner/" &amp; A3 &amp; "-bar.jpg"</f>
        <v>giftcodesbanner/原神-bar.jpg</v>
      </c>
      <c r="C3" s="51"/>
      <c r="D3" s="51" t="str">
        <f t="shared" ref="D3:D66" si="1">IF(A3="","", "https://www.ssbuy.tw/detail_giftcode/dist/giftcodes/" &amp; IF(ISNUMBER(LEFT(A3,1)*1), "game-", "") &amp; A3 &amp; ".html")</f>
        <v>https://www.ssbuy.tw/detail_giftcode/dist/giftcodes/原神.html</v>
      </c>
      <c r="E3" s="91" t="s">
        <v>2669</v>
      </c>
      <c r="F3" s="103" t="s">
        <v>2667</v>
      </c>
      <c r="G3" s="52" t="s">
        <v>1711</v>
      </c>
      <c r="H3" s="52" t="s">
        <v>2670</v>
      </c>
      <c r="I3" s="51"/>
      <c r="J3" s="91"/>
      <c r="K3" s="92" t="s">
        <v>1732</v>
      </c>
      <c r="L3" s="51" t="s">
        <v>1733</v>
      </c>
      <c r="M3" s="53" t="s">
        <v>1734</v>
      </c>
      <c r="N3" s="54" t="s">
        <v>1735</v>
      </c>
      <c r="O3" s="53" t="s">
        <v>1736</v>
      </c>
      <c r="P3" s="54" t="s">
        <v>1737</v>
      </c>
      <c r="Q3" s="53" t="s">
        <v>1738</v>
      </c>
      <c r="R3" s="54" t="s">
        <v>1739</v>
      </c>
      <c r="S3" s="53"/>
      <c r="T3" s="54"/>
      <c r="U3" s="53"/>
      <c r="V3" s="54"/>
      <c r="W3" s="53"/>
      <c r="X3" s="54"/>
      <c r="Y3" s="53"/>
      <c r="Z3" s="54"/>
      <c r="AA3" s="53"/>
      <c r="AB3" s="54"/>
      <c r="AC3" s="53"/>
      <c r="AD3" s="54"/>
      <c r="AE3" s="53"/>
      <c r="AF3" s="54"/>
      <c r="AG3" s="53"/>
      <c r="AH3" s="54"/>
      <c r="AI3" s="53"/>
      <c r="AJ3" s="54"/>
      <c r="AK3" s="53"/>
      <c r="AL3" s="54"/>
      <c r="AM3" s="53"/>
      <c r="AN3" s="54"/>
      <c r="AO3" s="53"/>
      <c r="AP3" s="54"/>
      <c r="AQ3" s="53"/>
      <c r="AR3" s="54"/>
      <c r="AS3" s="53"/>
      <c r="AT3" s="54"/>
      <c r="AU3" s="53"/>
      <c r="AV3" s="54"/>
      <c r="AW3" s="53"/>
      <c r="AX3" s="54"/>
      <c r="AY3" s="53"/>
      <c r="AZ3" s="54"/>
      <c r="BA3" s="53"/>
      <c r="BB3" s="51"/>
      <c r="BC3" s="53"/>
      <c r="BD3" s="51"/>
      <c r="BE3" s="53"/>
      <c r="BF3" s="51"/>
      <c r="BG3" s="53"/>
      <c r="BH3" s="51"/>
      <c r="BI3" s="53"/>
      <c r="BJ3" s="51"/>
      <c r="BK3" s="53"/>
      <c r="BL3" s="51"/>
      <c r="BM3" s="53"/>
      <c r="BN3" s="51"/>
      <c r="BO3" s="53"/>
      <c r="BP3" s="51"/>
      <c r="BQ3" s="53"/>
      <c r="BR3" s="55"/>
    </row>
    <row r="4" spans="1:70" ht="28.5" customHeight="1">
      <c r="A4" s="50" t="s">
        <v>2671</v>
      </c>
      <c r="B4" s="51" t="str">
        <f t="shared" si="0"/>
        <v>giftcodesbanner/極速快感-bar.jpg</v>
      </c>
      <c r="C4" s="51"/>
      <c r="D4" s="51" t="str">
        <f t="shared" si="1"/>
        <v>https://www.ssbuy.tw/detail_giftcode/dist/giftcodes/極速快感.html</v>
      </c>
      <c r="E4" s="91"/>
      <c r="F4" s="103" t="s">
        <v>2672</v>
      </c>
      <c r="G4" s="52" t="s">
        <v>1711</v>
      </c>
      <c r="H4" s="52" t="s">
        <v>2673</v>
      </c>
      <c r="I4" s="51"/>
      <c r="J4" s="91"/>
      <c r="K4" s="92" t="s">
        <v>1741</v>
      </c>
      <c r="L4" s="51" t="s">
        <v>1742</v>
      </c>
      <c r="M4" s="53" t="s">
        <v>1743</v>
      </c>
      <c r="N4" s="54" t="s">
        <v>1744</v>
      </c>
      <c r="O4" s="53" t="s">
        <v>1745</v>
      </c>
      <c r="P4" s="54" t="s">
        <v>1713</v>
      </c>
      <c r="Q4" s="53" t="s">
        <v>1746</v>
      </c>
      <c r="R4" s="54" t="s">
        <v>1713</v>
      </c>
      <c r="S4" s="53"/>
      <c r="T4" s="54"/>
      <c r="U4" s="53"/>
      <c r="V4" s="54"/>
      <c r="W4" s="53"/>
      <c r="X4" s="54"/>
      <c r="Y4" s="53"/>
      <c r="Z4" s="54"/>
      <c r="AA4" s="53"/>
      <c r="AB4" s="54"/>
      <c r="AC4" s="53"/>
      <c r="AD4" s="54"/>
      <c r="AE4" s="53"/>
      <c r="AF4" s="54"/>
      <c r="AG4" s="53"/>
      <c r="AH4" s="54"/>
      <c r="AI4" s="53"/>
      <c r="AJ4" s="54"/>
      <c r="AK4" s="53"/>
      <c r="AL4" s="54"/>
      <c r="AM4" s="53"/>
      <c r="AN4" s="54"/>
      <c r="AO4" s="53"/>
      <c r="AP4" s="54"/>
      <c r="AQ4" s="53"/>
      <c r="AR4" s="54"/>
      <c r="AS4" s="53"/>
      <c r="AT4" s="54"/>
      <c r="AU4" s="53"/>
      <c r="AV4" s="54"/>
      <c r="AW4" s="53"/>
      <c r="AX4" s="54"/>
      <c r="AY4" s="53"/>
      <c r="AZ4" s="54"/>
      <c r="BA4" s="53"/>
      <c r="BB4" s="51"/>
      <c r="BC4" s="53"/>
      <c r="BD4" s="51"/>
      <c r="BE4" s="53"/>
      <c r="BF4" s="51"/>
      <c r="BG4" s="53"/>
      <c r="BH4" s="51"/>
      <c r="BI4" s="53"/>
      <c r="BJ4" s="51"/>
      <c r="BK4" s="53"/>
      <c r="BL4" s="51"/>
      <c r="BM4" s="53"/>
      <c r="BN4" s="51"/>
      <c r="BO4" s="53"/>
      <c r="BP4" s="51"/>
      <c r="BQ4" s="53"/>
      <c r="BR4" s="55"/>
    </row>
    <row r="5" spans="1:70" ht="28.5" customHeight="1">
      <c r="A5" s="56" t="s">
        <v>401</v>
      </c>
      <c r="B5" s="51" t="str">
        <f t="shared" si="0"/>
        <v>giftcodesbanner/俠客傳說：小小英雄-bar.jpg</v>
      </c>
      <c r="C5" s="51"/>
      <c r="D5" s="51" t="str">
        <f t="shared" si="1"/>
        <v>https://www.ssbuy.tw/detail_giftcode/dist/giftcodes/俠客傳說：小小英雄.html</v>
      </c>
      <c r="E5" s="91" t="s">
        <v>402</v>
      </c>
      <c r="F5" s="103" t="s">
        <v>1740</v>
      </c>
      <c r="G5" s="52" t="s">
        <v>1711</v>
      </c>
      <c r="H5" s="52" t="s">
        <v>1840</v>
      </c>
      <c r="I5" s="51"/>
      <c r="J5" s="91"/>
      <c r="K5" s="92" t="s">
        <v>1747</v>
      </c>
      <c r="L5" s="51" t="s">
        <v>1713</v>
      </c>
      <c r="M5" s="53" t="s">
        <v>1748</v>
      </c>
      <c r="N5" s="54" t="s">
        <v>1713</v>
      </c>
      <c r="O5" s="53" t="s">
        <v>1749</v>
      </c>
      <c r="P5" s="54" t="s">
        <v>1713</v>
      </c>
      <c r="Q5" s="53" t="s">
        <v>1750</v>
      </c>
      <c r="R5" s="54" t="s">
        <v>1713</v>
      </c>
      <c r="S5" s="53" t="s">
        <v>1751</v>
      </c>
      <c r="T5" s="54" t="s">
        <v>1713</v>
      </c>
      <c r="U5" s="53" t="s">
        <v>1752</v>
      </c>
      <c r="V5" s="54" t="s">
        <v>1713</v>
      </c>
      <c r="W5" s="53" t="s">
        <v>1753</v>
      </c>
      <c r="X5" s="54" t="s">
        <v>1713</v>
      </c>
      <c r="Y5" s="57" t="s">
        <v>1754</v>
      </c>
      <c r="Z5" s="54" t="s">
        <v>1713</v>
      </c>
      <c r="AA5" s="53" t="s">
        <v>1755</v>
      </c>
      <c r="AB5" s="54" t="s">
        <v>1713</v>
      </c>
      <c r="AC5" s="53" t="s">
        <v>1756</v>
      </c>
      <c r="AD5" s="54" t="s">
        <v>1713</v>
      </c>
      <c r="AE5" s="53" t="s">
        <v>1757</v>
      </c>
      <c r="AF5" s="54" t="s">
        <v>1713</v>
      </c>
      <c r="AG5" s="53" t="s">
        <v>1758</v>
      </c>
      <c r="AH5" s="54" t="s">
        <v>1713</v>
      </c>
      <c r="AI5" s="53" t="s">
        <v>1759</v>
      </c>
      <c r="AJ5" s="54" t="s">
        <v>1713</v>
      </c>
      <c r="AK5" s="53"/>
      <c r="AL5" s="54"/>
      <c r="AM5" s="53"/>
      <c r="AN5" s="54"/>
      <c r="AO5" s="53"/>
      <c r="AP5" s="54"/>
      <c r="AQ5" s="53"/>
      <c r="AR5" s="54"/>
      <c r="AS5" s="53"/>
      <c r="AT5" s="54"/>
      <c r="AU5" s="53"/>
      <c r="AV5" s="54"/>
      <c r="AW5" s="53"/>
      <c r="AX5" s="54"/>
      <c r="AY5" s="53"/>
      <c r="AZ5" s="54"/>
      <c r="BA5" s="53"/>
      <c r="BB5" s="51"/>
      <c r="BC5" s="53"/>
      <c r="BD5" s="51"/>
      <c r="BE5" s="53"/>
      <c r="BF5" s="51"/>
      <c r="BG5" s="53"/>
      <c r="BH5" s="51"/>
      <c r="BI5" s="53"/>
      <c r="BJ5" s="51"/>
      <c r="BK5" s="53"/>
      <c r="BL5" s="51"/>
      <c r="BM5" s="53"/>
      <c r="BN5" s="51"/>
      <c r="BO5" s="53"/>
      <c r="BP5" s="51"/>
      <c r="BQ5" s="53"/>
      <c r="BR5" s="55"/>
    </row>
    <row r="6" spans="1:70" ht="28.5" customHeight="1">
      <c r="A6" s="56" t="s">
        <v>2674</v>
      </c>
      <c r="B6" s="51" t="str">
        <f t="shared" si="0"/>
        <v>giftcodesbanner/逆水寒-bar.jpg</v>
      </c>
      <c r="C6" s="51"/>
      <c r="D6" s="51" t="str">
        <f t="shared" si="1"/>
        <v>https://www.ssbuy.tw/detail_giftcode/dist/giftcodes/逆水寒.html</v>
      </c>
      <c r="E6" s="91" t="s">
        <v>411</v>
      </c>
      <c r="F6" s="103" t="s">
        <v>2672</v>
      </c>
      <c r="G6" s="52" t="s">
        <v>1711</v>
      </c>
      <c r="H6" s="52" t="s">
        <v>2673</v>
      </c>
      <c r="I6" s="51"/>
      <c r="J6" s="91"/>
      <c r="K6" s="92" t="s">
        <v>1760</v>
      </c>
      <c r="L6" s="51" t="s">
        <v>1761</v>
      </c>
      <c r="M6" s="53"/>
      <c r="N6" s="54"/>
      <c r="O6" s="53"/>
      <c r="P6" s="54"/>
      <c r="Q6" s="53"/>
      <c r="R6" s="54"/>
      <c r="S6" s="53"/>
      <c r="T6" s="54"/>
      <c r="U6" s="53"/>
      <c r="V6" s="54"/>
      <c r="W6" s="53"/>
      <c r="X6" s="54"/>
      <c r="Y6" s="53"/>
      <c r="Z6" s="54"/>
      <c r="AA6" s="53"/>
      <c r="AB6" s="54"/>
      <c r="AC6" s="53"/>
      <c r="AD6" s="54"/>
      <c r="AE6" s="53"/>
      <c r="AF6" s="54"/>
      <c r="AG6" s="53"/>
      <c r="AH6" s="54"/>
      <c r="AI6" s="53"/>
      <c r="AJ6" s="54"/>
      <c r="AK6" s="53"/>
      <c r="AL6" s="54"/>
      <c r="AM6" s="53"/>
      <c r="AN6" s="54"/>
      <c r="AO6" s="53"/>
      <c r="AP6" s="54"/>
      <c r="AQ6" s="53"/>
      <c r="AR6" s="54"/>
      <c r="AS6" s="53"/>
      <c r="AT6" s="54"/>
      <c r="AU6" s="53"/>
      <c r="AV6" s="54"/>
      <c r="AW6" s="53"/>
      <c r="AX6" s="54"/>
      <c r="AY6" s="53"/>
      <c r="AZ6" s="54"/>
      <c r="BA6" s="53"/>
      <c r="BB6" s="51"/>
      <c r="BC6" s="53"/>
      <c r="BD6" s="51"/>
      <c r="BE6" s="53"/>
      <c r="BF6" s="51"/>
      <c r="BG6" s="53"/>
      <c r="BH6" s="51"/>
      <c r="BI6" s="53"/>
      <c r="BJ6" s="51"/>
      <c r="BK6" s="53"/>
      <c r="BL6" s="51"/>
      <c r="BM6" s="53"/>
      <c r="BN6" s="51"/>
      <c r="BO6" s="53"/>
      <c r="BP6" s="51"/>
      <c r="BQ6" s="53"/>
      <c r="BR6" s="55"/>
    </row>
    <row r="7" spans="1:70" ht="28.5" customHeight="1">
      <c r="A7" s="56" t="s">
        <v>418</v>
      </c>
      <c r="B7" s="51" t="str">
        <f t="shared" si="0"/>
        <v>giftcodesbanner/RO仙境傳說：一定要可愛-bar.jpg</v>
      </c>
      <c r="C7" s="51"/>
      <c r="D7" s="51" t="str">
        <f t="shared" si="1"/>
        <v>https://www.ssbuy.tw/detail_giftcode/dist/giftcodes/RO仙境傳說：一定要可愛.html</v>
      </c>
      <c r="E7" s="91" t="s">
        <v>2675</v>
      </c>
      <c r="F7" s="103" t="s">
        <v>1710</v>
      </c>
      <c r="G7" s="52" t="s">
        <v>1711</v>
      </c>
      <c r="H7" s="52" t="s">
        <v>2673</v>
      </c>
      <c r="I7" s="51"/>
      <c r="J7" s="91"/>
      <c r="K7" s="92" t="s">
        <v>1762</v>
      </c>
      <c r="L7" s="51" t="s">
        <v>1763</v>
      </c>
      <c r="M7" s="53" t="s">
        <v>1764</v>
      </c>
      <c r="N7" s="54" t="s">
        <v>1765</v>
      </c>
      <c r="O7" s="53" t="s">
        <v>1766</v>
      </c>
      <c r="P7" s="54" t="s">
        <v>1767</v>
      </c>
      <c r="Q7" s="53" t="s">
        <v>1768</v>
      </c>
      <c r="R7" s="54" t="s">
        <v>1767</v>
      </c>
      <c r="S7" s="53" t="s">
        <v>1762</v>
      </c>
      <c r="T7" s="54" t="s">
        <v>1769</v>
      </c>
      <c r="U7" s="53" t="s">
        <v>1770</v>
      </c>
      <c r="V7" s="54" t="s">
        <v>1771</v>
      </c>
      <c r="W7" s="53" t="s">
        <v>1772</v>
      </c>
      <c r="X7" s="54" t="s">
        <v>2676</v>
      </c>
      <c r="Y7" s="53"/>
      <c r="Z7" s="54"/>
      <c r="AA7" s="53"/>
      <c r="AB7" s="54"/>
      <c r="AC7" s="53"/>
      <c r="AD7" s="54"/>
      <c r="AE7" s="53"/>
      <c r="AF7" s="54"/>
      <c r="AG7" s="53"/>
      <c r="AH7" s="54"/>
      <c r="AI7" s="53"/>
      <c r="AJ7" s="54"/>
      <c r="AK7" s="53"/>
      <c r="AL7" s="54"/>
      <c r="AM7" s="53"/>
      <c r="AN7" s="54"/>
      <c r="AO7" s="53"/>
      <c r="AP7" s="54"/>
      <c r="AQ7" s="53"/>
      <c r="AR7" s="54"/>
      <c r="AS7" s="53"/>
      <c r="AT7" s="54"/>
      <c r="AU7" s="53"/>
      <c r="AV7" s="54"/>
      <c r="AW7" s="53"/>
      <c r="AX7" s="54"/>
      <c r="AY7" s="53"/>
      <c r="AZ7" s="54"/>
      <c r="BA7" s="53"/>
      <c r="BB7" s="51"/>
      <c r="BC7" s="53"/>
      <c r="BD7" s="51"/>
      <c r="BE7" s="53"/>
      <c r="BF7" s="51"/>
      <c r="BG7" s="53"/>
      <c r="BH7" s="51"/>
      <c r="BI7" s="53"/>
      <c r="BJ7" s="51"/>
      <c r="BK7" s="53"/>
      <c r="BL7" s="51"/>
      <c r="BM7" s="53"/>
      <c r="BN7" s="51"/>
      <c r="BO7" s="53"/>
      <c r="BP7" s="51"/>
      <c r="BQ7" s="53"/>
      <c r="BR7" s="55"/>
    </row>
    <row r="8" spans="1:70" ht="28.5" customHeight="1">
      <c r="A8" s="56" t="s">
        <v>427</v>
      </c>
      <c r="B8" s="51" t="str">
        <f t="shared" si="0"/>
        <v>giftcodesbanner/RO新世代-bar.jpg</v>
      </c>
      <c r="C8" s="51"/>
      <c r="D8" s="51" t="str">
        <f t="shared" si="1"/>
        <v>https://www.ssbuy.tw/detail_giftcode/dist/giftcodes/RO新世代.html</v>
      </c>
      <c r="E8" s="91" t="s">
        <v>428</v>
      </c>
      <c r="F8" s="103" t="s">
        <v>2667</v>
      </c>
      <c r="G8" s="52" t="s">
        <v>1711</v>
      </c>
      <c r="H8" s="52" t="s">
        <v>2673</v>
      </c>
      <c r="I8" s="51"/>
      <c r="J8" s="91"/>
      <c r="K8" s="92" t="s">
        <v>1773</v>
      </c>
      <c r="L8" s="51" t="s">
        <v>1713</v>
      </c>
      <c r="M8" s="53" t="s">
        <v>1774</v>
      </c>
      <c r="N8" s="54" t="s">
        <v>1713</v>
      </c>
      <c r="O8" s="53" t="s">
        <v>1775</v>
      </c>
      <c r="P8" s="54" t="s">
        <v>1713</v>
      </c>
      <c r="Q8" s="53" t="s">
        <v>1776</v>
      </c>
      <c r="R8" s="54" t="s">
        <v>1713</v>
      </c>
      <c r="S8" s="53" t="s">
        <v>1777</v>
      </c>
      <c r="T8" s="54" t="s">
        <v>1713</v>
      </c>
      <c r="U8" s="53" t="s">
        <v>1778</v>
      </c>
      <c r="V8" s="54" t="s">
        <v>1713</v>
      </c>
      <c r="W8" s="53"/>
      <c r="X8" s="54"/>
      <c r="Y8" s="53"/>
      <c r="Z8" s="54"/>
      <c r="AA8" s="53"/>
      <c r="AB8" s="54"/>
      <c r="AC8" s="53"/>
      <c r="AD8" s="54"/>
      <c r="AE8" s="53"/>
      <c r="AF8" s="54"/>
      <c r="AG8" s="53"/>
      <c r="AH8" s="54"/>
      <c r="AI8" s="53"/>
      <c r="AJ8" s="54"/>
      <c r="AK8" s="53"/>
      <c r="AL8" s="54"/>
      <c r="AM8" s="53"/>
      <c r="AN8" s="54"/>
      <c r="AO8" s="53"/>
      <c r="AP8" s="54"/>
      <c r="AQ8" s="53"/>
      <c r="AR8" s="54"/>
      <c r="AS8" s="53"/>
      <c r="AT8" s="54"/>
      <c r="AU8" s="53"/>
      <c r="AV8" s="54"/>
      <c r="AW8" s="53"/>
      <c r="AX8" s="54"/>
      <c r="AY8" s="53"/>
      <c r="AZ8" s="54"/>
      <c r="BA8" s="53"/>
      <c r="BB8" s="51"/>
      <c r="BC8" s="53"/>
      <c r="BD8" s="51"/>
      <c r="BE8" s="53"/>
      <c r="BF8" s="51"/>
      <c r="BG8" s="53"/>
      <c r="BH8" s="51"/>
      <c r="BI8" s="53"/>
      <c r="BJ8" s="51"/>
      <c r="BK8" s="53"/>
      <c r="BL8" s="51"/>
      <c r="BM8" s="53"/>
      <c r="BN8" s="51"/>
      <c r="BO8" s="53"/>
      <c r="BP8" s="51"/>
      <c r="BQ8" s="53"/>
      <c r="BR8" s="55"/>
    </row>
    <row r="9" spans="1:70" ht="28.5" customHeight="1">
      <c r="A9" s="56" t="s">
        <v>436</v>
      </c>
      <c r="B9" s="51" t="str">
        <f t="shared" si="0"/>
        <v>giftcodesbanner/上古：龍神覺醒-bar.jpg</v>
      </c>
      <c r="C9" s="51"/>
      <c r="D9" s="51" t="str">
        <f t="shared" si="1"/>
        <v>https://www.ssbuy.tw/detail_giftcode/dist/giftcodes/上古：龍神覺醒.html</v>
      </c>
      <c r="E9" s="91" t="s">
        <v>437</v>
      </c>
      <c r="F9" s="103" t="s">
        <v>1740</v>
      </c>
      <c r="G9" s="52" t="s">
        <v>1711</v>
      </c>
      <c r="H9" s="52" t="s">
        <v>2673</v>
      </c>
      <c r="I9" s="51"/>
      <c r="J9" s="91"/>
      <c r="K9" s="92" t="s">
        <v>1779</v>
      </c>
      <c r="L9" s="51" t="s">
        <v>1713</v>
      </c>
      <c r="M9" s="53" t="s">
        <v>1780</v>
      </c>
      <c r="N9" s="54" t="s">
        <v>1713</v>
      </c>
      <c r="O9" s="53" t="s">
        <v>1781</v>
      </c>
      <c r="P9" s="54" t="s">
        <v>1713</v>
      </c>
      <c r="Q9" s="53" t="s">
        <v>1782</v>
      </c>
      <c r="R9" s="54" t="s">
        <v>1713</v>
      </c>
      <c r="S9" s="53" t="s">
        <v>1714</v>
      </c>
      <c r="T9" s="54" t="s">
        <v>1713</v>
      </c>
      <c r="U9" s="53" t="s">
        <v>1715</v>
      </c>
      <c r="V9" s="54" t="s">
        <v>1713</v>
      </c>
      <c r="W9" s="53" t="s">
        <v>1783</v>
      </c>
      <c r="X9" s="54" t="s">
        <v>1713</v>
      </c>
      <c r="Y9" s="53" t="s">
        <v>1784</v>
      </c>
      <c r="Z9" s="54" t="s">
        <v>1713</v>
      </c>
      <c r="AA9" s="53" t="s">
        <v>1785</v>
      </c>
      <c r="AB9" s="54" t="s">
        <v>1713</v>
      </c>
      <c r="AC9" s="53" t="s">
        <v>1786</v>
      </c>
      <c r="AD9" s="54" t="s">
        <v>1713</v>
      </c>
      <c r="AE9" s="53" t="s">
        <v>1787</v>
      </c>
      <c r="AF9" s="54" t="s">
        <v>1713</v>
      </c>
      <c r="AG9" s="53" t="s">
        <v>1788</v>
      </c>
      <c r="AH9" s="54" t="s">
        <v>1713</v>
      </c>
      <c r="AI9" s="53"/>
      <c r="AJ9" s="54"/>
      <c r="AK9" s="53"/>
      <c r="AL9" s="54"/>
      <c r="AM9" s="53"/>
      <c r="AN9" s="54"/>
      <c r="AO9" s="53"/>
      <c r="AP9" s="54"/>
      <c r="AQ9" s="53"/>
      <c r="AR9" s="54"/>
      <c r="AS9" s="53"/>
      <c r="AT9" s="54"/>
      <c r="AU9" s="53"/>
      <c r="AV9" s="54"/>
      <c r="AW9" s="53"/>
      <c r="AX9" s="54"/>
      <c r="AY9" s="53"/>
      <c r="AZ9" s="54"/>
      <c r="BA9" s="53"/>
      <c r="BB9" s="51"/>
      <c r="BC9" s="53"/>
      <c r="BD9" s="51"/>
      <c r="BE9" s="53"/>
      <c r="BF9" s="51"/>
      <c r="BG9" s="53"/>
      <c r="BH9" s="51"/>
      <c r="BI9" s="53"/>
      <c r="BJ9" s="51"/>
      <c r="BK9" s="53"/>
      <c r="BL9" s="51"/>
      <c r="BM9" s="53"/>
      <c r="BN9" s="51"/>
      <c r="BO9" s="53"/>
      <c r="BP9" s="51"/>
      <c r="BQ9" s="53"/>
      <c r="BR9" s="55"/>
    </row>
    <row r="10" spans="1:70" ht="28.5" customHeight="1">
      <c r="A10" s="56" t="s">
        <v>446</v>
      </c>
      <c r="B10" s="51" t="str">
        <f t="shared" si="0"/>
        <v>giftcodesbanner/小艦艦超勇-bar.jpg</v>
      </c>
      <c r="C10" s="51"/>
      <c r="D10" s="51" t="str">
        <f t="shared" si="1"/>
        <v>https://www.ssbuy.tw/detail_giftcode/dist/giftcodes/小艦艦超勇.html</v>
      </c>
      <c r="E10" s="91" t="s">
        <v>447</v>
      </c>
      <c r="F10" s="103" t="s">
        <v>2672</v>
      </c>
      <c r="G10" s="52" t="s">
        <v>1711</v>
      </c>
      <c r="H10" s="52" t="s">
        <v>2673</v>
      </c>
      <c r="I10" s="51"/>
      <c r="J10" s="91"/>
      <c r="K10" s="92" t="s">
        <v>1789</v>
      </c>
      <c r="L10" s="51" t="s">
        <v>1713</v>
      </c>
      <c r="M10" s="53" t="s">
        <v>1790</v>
      </c>
      <c r="N10" s="54" t="s">
        <v>1713</v>
      </c>
      <c r="O10" s="53" t="s">
        <v>1791</v>
      </c>
      <c r="P10" s="54" t="s">
        <v>1713</v>
      </c>
      <c r="Q10" s="53" t="s">
        <v>1792</v>
      </c>
      <c r="R10" s="54" t="s">
        <v>1713</v>
      </c>
      <c r="S10" s="53" t="s">
        <v>1793</v>
      </c>
      <c r="T10" s="54" t="s">
        <v>1713</v>
      </c>
      <c r="U10" s="53" t="s">
        <v>1714</v>
      </c>
      <c r="V10" s="54" t="s">
        <v>1713</v>
      </c>
      <c r="W10" s="53" t="s">
        <v>1715</v>
      </c>
      <c r="X10" s="54" t="s">
        <v>1713</v>
      </c>
      <c r="Y10" s="53" t="s">
        <v>1794</v>
      </c>
      <c r="Z10" s="54" t="s">
        <v>1713</v>
      </c>
      <c r="AA10" s="53"/>
      <c r="AB10" s="54"/>
      <c r="AC10" s="53"/>
      <c r="AD10" s="54"/>
      <c r="AE10" s="53"/>
      <c r="AF10" s="54"/>
      <c r="AG10" s="53"/>
      <c r="AH10" s="54"/>
      <c r="AI10" s="53"/>
      <c r="AJ10" s="54"/>
      <c r="AK10" s="53"/>
      <c r="AL10" s="54"/>
      <c r="AM10" s="53"/>
      <c r="AN10" s="54"/>
      <c r="AO10" s="53"/>
      <c r="AP10" s="54"/>
      <c r="AQ10" s="53"/>
      <c r="AR10" s="54"/>
      <c r="AS10" s="53"/>
      <c r="AT10" s="54"/>
      <c r="AU10" s="53"/>
      <c r="AV10" s="54"/>
      <c r="AW10" s="53"/>
      <c r="AX10" s="54"/>
      <c r="AY10" s="53"/>
      <c r="AZ10" s="54"/>
      <c r="BA10" s="53"/>
      <c r="BB10" s="51"/>
      <c r="BC10" s="53"/>
      <c r="BD10" s="51"/>
      <c r="BE10" s="53"/>
      <c r="BF10" s="51"/>
      <c r="BG10" s="53"/>
      <c r="BH10" s="51"/>
      <c r="BI10" s="53"/>
      <c r="BJ10" s="51"/>
      <c r="BK10" s="53"/>
      <c r="BL10" s="51"/>
      <c r="BM10" s="53"/>
      <c r="BN10" s="51"/>
      <c r="BO10" s="53"/>
      <c r="BP10" s="51"/>
      <c r="BQ10" s="53"/>
      <c r="BR10" s="55"/>
    </row>
    <row r="11" spans="1:70" ht="28.5" customHeight="1">
      <c r="A11" s="56" t="s">
        <v>454</v>
      </c>
      <c r="B11" s="51" t="str">
        <f t="shared" si="0"/>
        <v>giftcodesbanner/天使軍團-bar.jpg</v>
      </c>
      <c r="C11" s="51"/>
      <c r="D11" s="51" t="str">
        <f t="shared" si="1"/>
        <v>https://www.ssbuy.tw/detail_giftcode/dist/giftcodes/天使軍團.html</v>
      </c>
      <c r="E11" s="91" t="s">
        <v>455</v>
      </c>
      <c r="F11" s="103" t="s">
        <v>2672</v>
      </c>
      <c r="G11" s="52" t="s">
        <v>1711</v>
      </c>
      <c r="H11" s="52" t="s">
        <v>2673</v>
      </c>
      <c r="I11" s="51"/>
      <c r="J11" s="91"/>
      <c r="K11" s="92" t="s">
        <v>1795</v>
      </c>
      <c r="L11" s="51" t="s">
        <v>1713</v>
      </c>
      <c r="M11" s="53" t="s">
        <v>1796</v>
      </c>
      <c r="N11" s="54" t="s">
        <v>1713</v>
      </c>
      <c r="O11" s="53" t="s">
        <v>1797</v>
      </c>
      <c r="P11" s="54" t="s">
        <v>1713</v>
      </c>
      <c r="Q11" s="53"/>
      <c r="R11" s="54"/>
      <c r="S11" s="53"/>
      <c r="T11" s="54"/>
      <c r="U11" s="53"/>
      <c r="V11" s="54"/>
      <c r="W11" s="53"/>
      <c r="X11" s="54"/>
      <c r="Y11" s="53"/>
      <c r="Z11" s="54"/>
      <c r="AA11" s="53"/>
      <c r="AB11" s="54"/>
      <c r="AC11" s="53"/>
      <c r="AD11" s="54"/>
      <c r="AE11" s="53"/>
      <c r="AF11" s="54"/>
      <c r="AG11" s="53"/>
      <c r="AH11" s="54"/>
      <c r="AI11" s="53"/>
      <c r="AJ11" s="54"/>
      <c r="AK11" s="53"/>
      <c r="AL11" s="54"/>
      <c r="AM11" s="53"/>
      <c r="AN11" s="54"/>
      <c r="AO11" s="53"/>
      <c r="AP11" s="54"/>
      <c r="AQ11" s="53"/>
      <c r="AR11" s="54"/>
      <c r="AS11" s="53"/>
      <c r="AT11" s="54"/>
      <c r="AU11" s="53"/>
      <c r="AV11" s="54"/>
      <c r="AW11" s="53"/>
      <c r="AX11" s="54"/>
      <c r="AY11" s="53"/>
      <c r="AZ11" s="54"/>
      <c r="BA11" s="53"/>
      <c r="BB11" s="51"/>
      <c r="BC11" s="53"/>
      <c r="BD11" s="51"/>
      <c r="BE11" s="53"/>
      <c r="BF11" s="51"/>
      <c r="BG11" s="53"/>
      <c r="BH11" s="51"/>
      <c r="BI11" s="53"/>
      <c r="BJ11" s="51"/>
      <c r="BK11" s="53"/>
      <c r="BL11" s="51"/>
      <c r="BM11" s="53"/>
      <c r="BN11" s="51"/>
      <c r="BO11" s="53"/>
      <c r="BP11" s="51"/>
      <c r="BQ11" s="53"/>
      <c r="BR11" s="55"/>
    </row>
    <row r="12" spans="1:70" ht="28.5" customHeight="1">
      <c r="A12" s="56" t="s">
        <v>462</v>
      </c>
      <c r="B12" s="51" t="str">
        <f t="shared" si="0"/>
        <v>giftcodesbanner/天堂W-bar.jpg</v>
      </c>
      <c r="C12" s="51"/>
      <c r="D12" s="51" t="str">
        <f t="shared" si="1"/>
        <v>https://www.ssbuy.tw/detail_giftcode/dist/giftcodes/天堂W.html</v>
      </c>
      <c r="E12" s="91" t="s">
        <v>463</v>
      </c>
      <c r="F12" s="103" t="s">
        <v>1740</v>
      </c>
      <c r="G12" s="52" t="s">
        <v>1711</v>
      </c>
      <c r="H12" s="52" t="s">
        <v>1840</v>
      </c>
      <c r="I12" s="51"/>
      <c r="J12" s="91"/>
      <c r="K12" s="92" t="s">
        <v>1798</v>
      </c>
      <c r="L12" s="51" t="s">
        <v>1713</v>
      </c>
      <c r="M12" s="53" t="s">
        <v>1799</v>
      </c>
      <c r="N12" s="54" t="s">
        <v>1713</v>
      </c>
      <c r="O12" s="53"/>
      <c r="P12" s="54"/>
      <c r="Q12" s="53"/>
      <c r="R12" s="54"/>
      <c r="S12" s="53"/>
      <c r="T12" s="54"/>
      <c r="U12" s="53"/>
      <c r="V12" s="54"/>
      <c r="W12" s="53"/>
      <c r="X12" s="54"/>
      <c r="Y12" s="53"/>
      <c r="Z12" s="54"/>
      <c r="AA12" s="53"/>
      <c r="AB12" s="54"/>
      <c r="AC12" s="53"/>
      <c r="AD12" s="54"/>
      <c r="AE12" s="53"/>
      <c r="AF12" s="54"/>
      <c r="AG12" s="53"/>
      <c r="AH12" s="54"/>
      <c r="AI12" s="53"/>
      <c r="AJ12" s="54"/>
      <c r="AK12" s="53"/>
      <c r="AL12" s="54"/>
      <c r="AM12" s="53"/>
      <c r="AN12" s="54"/>
      <c r="AO12" s="53"/>
      <c r="AP12" s="54"/>
      <c r="AQ12" s="53"/>
      <c r="AR12" s="54"/>
      <c r="AS12" s="53"/>
      <c r="AT12" s="54"/>
      <c r="AU12" s="53"/>
      <c r="AV12" s="54"/>
      <c r="AW12" s="53"/>
      <c r="AX12" s="54"/>
      <c r="AY12" s="53"/>
      <c r="AZ12" s="54"/>
      <c r="BA12" s="53"/>
      <c r="BB12" s="51"/>
      <c r="BC12" s="53"/>
      <c r="BD12" s="51"/>
      <c r="BE12" s="53"/>
      <c r="BF12" s="51"/>
      <c r="BG12" s="53"/>
      <c r="BH12" s="51"/>
      <c r="BI12" s="53"/>
      <c r="BJ12" s="51"/>
      <c r="BK12" s="53"/>
      <c r="BL12" s="51"/>
      <c r="BM12" s="53"/>
      <c r="BN12" s="51"/>
      <c r="BO12" s="53"/>
      <c r="BP12" s="51"/>
      <c r="BQ12" s="53"/>
      <c r="BR12" s="55"/>
    </row>
    <row r="13" spans="1:70" ht="28.5" customHeight="1">
      <c r="A13" s="56" t="s">
        <v>469</v>
      </c>
      <c r="B13" s="51" t="str">
        <f t="shared" si="0"/>
        <v>giftcodesbanner/少女前線2：追放-bar.jpg</v>
      </c>
      <c r="C13" s="51"/>
      <c r="D13" s="51" t="str">
        <f t="shared" si="1"/>
        <v>https://www.ssbuy.tw/detail_giftcode/dist/giftcodes/少女前線2：追放.html</v>
      </c>
      <c r="E13" s="91" t="s">
        <v>470</v>
      </c>
      <c r="F13" s="103" t="s">
        <v>2672</v>
      </c>
      <c r="G13" s="52" t="s">
        <v>1711</v>
      </c>
      <c r="H13" s="52" t="s">
        <v>2673</v>
      </c>
      <c r="I13" s="51"/>
      <c r="J13" s="91"/>
      <c r="K13" s="92" t="s">
        <v>1800</v>
      </c>
      <c r="L13" s="51" t="s">
        <v>1801</v>
      </c>
      <c r="M13" s="53" t="s">
        <v>1802</v>
      </c>
      <c r="N13" s="54" t="s">
        <v>1801</v>
      </c>
      <c r="O13" s="53" t="s">
        <v>1803</v>
      </c>
      <c r="P13" s="54" t="s">
        <v>1804</v>
      </c>
      <c r="Q13" s="53" t="s">
        <v>1805</v>
      </c>
      <c r="R13" s="54" t="s">
        <v>1801</v>
      </c>
      <c r="S13" s="53" t="s">
        <v>1806</v>
      </c>
      <c r="T13" s="54" t="s">
        <v>1713</v>
      </c>
      <c r="U13" s="53" t="s">
        <v>1807</v>
      </c>
      <c r="V13" s="54" t="s">
        <v>1808</v>
      </c>
      <c r="W13" s="53" t="s">
        <v>1809</v>
      </c>
      <c r="X13" s="54" t="s">
        <v>1810</v>
      </c>
      <c r="Y13" s="53" t="s">
        <v>1811</v>
      </c>
      <c r="Z13" s="54" t="s">
        <v>1812</v>
      </c>
      <c r="AA13" s="53"/>
      <c r="AB13" s="54"/>
      <c r="AC13" s="53"/>
      <c r="AD13" s="54"/>
      <c r="AE13" s="53"/>
      <c r="AF13" s="54"/>
      <c r="AG13" s="53"/>
      <c r="AH13" s="54"/>
      <c r="AI13" s="53"/>
      <c r="AJ13" s="54"/>
      <c r="AK13" s="53"/>
      <c r="AL13" s="54"/>
      <c r="AM13" s="53"/>
      <c r="AN13" s="54"/>
      <c r="AO13" s="53"/>
      <c r="AP13" s="54"/>
      <c r="AQ13" s="53"/>
      <c r="AR13" s="54"/>
      <c r="AS13" s="53"/>
      <c r="AT13" s="54"/>
      <c r="AU13" s="53"/>
      <c r="AV13" s="54"/>
      <c r="AW13" s="53"/>
      <c r="AX13" s="54"/>
      <c r="AY13" s="53"/>
      <c r="AZ13" s="54"/>
      <c r="BA13" s="53"/>
      <c r="BB13" s="51"/>
      <c r="BC13" s="53"/>
      <c r="BD13" s="51"/>
      <c r="BE13" s="53"/>
      <c r="BF13" s="51"/>
      <c r="BG13" s="53"/>
      <c r="BH13" s="51"/>
      <c r="BI13" s="53"/>
      <c r="BJ13" s="51"/>
      <c r="BK13" s="53"/>
      <c r="BL13" s="51"/>
      <c r="BM13" s="53"/>
      <c r="BN13" s="51"/>
      <c r="BO13" s="53"/>
      <c r="BP13" s="51"/>
      <c r="BQ13" s="53"/>
      <c r="BR13" s="55"/>
    </row>
    <row r="14" spans="1:70" ht="28.5" customHeight="1">
      <c r="A14" s="56" t="s">
        <v>2677</v>
      </c>
      <c r="B14" s="51" t="str">
        <f t="shared" si="0"/>
        <v>giftcodesbanner/幻獸傳說Ｍ-bar.jpg</v>
      </c>
      <c r="C14" s="51"/>
      <c r="D14" s="51" t="str">
        <f t="shared" si="1"/>
        <v>https://www.ssbuy.tw/detail_giftcode/dist/giftcodes/幻獸傳說Ｍ.html</v>
      </c>
      <c r="E14" s="91" t="s">
        <v>2678</v>
      </c>
      <c r="F14" s="103" t="s">
        <v>2672</v>
      </c>
      <c r="G14" s="52" t="s">
        <v>1711</v>
      </c>
      <c r="H14" s="52" t="s">
        <v>2673</v>
      </c>
      <c r="I14" s="51"/>
      <c r="J14" s="91"/>
      <c r="K14" s="92" t="s">
        <v>1813</v>
      </c>
      <c r="L14" s="51" t="s">
        <v>1713</v>
      </c>
      <c r="M14" s="53" t="s">
        <v>1814</v>
      </c>
      <c r="N14" s="54" t="s">
        <v>1713</v>
      </c>
      <c r="O14" s="53" t="s">
        <v>1815</v>
      </c>
      <c r="P14" s="54" t="s">
        <v>1713</v>
      </c>
      <c r="Q14" s="53" t="s">
        <v>1816</v>
      </c>
      <c r="R14" s="54" t="s">
        <v>1713</v>
      </c>
      <c r="S14" s="53" t="s">
        <v>1817</v>
      </c>
      <c r="T14" s="54" t="s">
        <v>1713</v>
      </c>
      <c r="U14" s="53" t="s">
        <v>1818</v>
      </c>
      <c r="V14" s="54" t="s">
        <v>1713</v>
      </c>
      <c r="W14" s="53" t="s">
        <v>1819</v>
      </c>
      <c r="X14" s="54" t="s">
        <v>1713</v>
      </c>
      <c r="Y14" s="53" t="s">
        <v>1782</v>
      </c>
      <c r="Z14" s="54" t="s">
        <v>1713</v>
      </c>
      <c r="AA14" s="53" t="s">
        <v>1714</v>
      </c>
      <c r="AB14" s="54" t="s">
        <v>1713</v>
      </c>
      <c r="AC14" s="53" t="s">
        <v>1715</v>
      </c>
      <c r="AD14" s="54" t="s">
        <v>1713</v>
      </c>
      <c r="AE14" s="53" t="s">
        <v>1820</v>
      </c>
      <c r="AF14" s="54" t="s">
        <v>1713</v>
      </c>
      <c r="AG14" s="53" t="s">
        <v>1821</v>
      </c>
      <c r="AH14" s="54" t="s">
        <v>1713</v>
      </c>
      <c r="AI14" s="53"/>
      <c r="AJ14" s="54"/>
      <c r="AK14" s="53"/>
      <c r="AL14" s="54"/>
      <c r="AM14" s="53"/>
      <c r="AN14" s="54"/>
      <c r="AO14" s="53"/>
      <c r="AP14" s="54"/>
      <c r="AQ14" s="53"/>
      <c r="AR14" s="54"/>
      <c r="AS14" s="53"/>
      <c r="AT14" s="54"/>
      <c r="AU14" s="53"/>
      <c r="AV14" s="54"/>
      <c r="AW14" s="53"/>
      <c r="AX14" s="54"/>
      <c r="AY14" s="53"/>
      <c r="AZ14" s="54"/>
      <c r="BA14" s="53"/>
      <c r="BB14" s="51"/>
      <c r="BC14" s="53"/>
      <c r="BD14" s="51"/>
      <c r="BE14" s="53"/>
      <c r="BF14" s="51"/>
      <c r="BG14" s="53"/>
      <c r="BH14" s="51"/>
      <c r="BI14" s="53"/>
      <c r="BJ14" s="51"/>
      <c r="BK14" s="53"/>
      <c r="BL14" s="51"/>
      <c r="BM14" s="53"/>
      <c r="BN14" s="51"/>
      <c r="BO14" s="53"/>
      <c r="BP14" s="51"/>
      <c r="BQ14" s="53"/>
      <c r="BR14" s="55"/>
    </row>
    <row r="15" spans="1:70" ht="28.5" customHeight="1">
      <c r="A15" s="56" t="s">
        <v>2679</v>
      </c>
      <c r="B15" s="51" t="str">
        <f t="shared" si="0"/>
        <v>giftcodesbanner/未定事件簿-bar.jpg</v>
      </c>
      <c r="C15" s="51"/>
      <c r="D15" s="51" t="str">
        <f t="shared" si="1"/>
        <v>https://www.ssbuy.tw/detail_giftcode/dist/giftcodes/未定事件簿.html</v>
      </c>
      <c r="E15" s="91" t="s">
        <v>2680</v>
      </c>
      <c r="F15" s="103" t="s">
        <v>2672</v>
      </c>
      <c r="G15" s="52" t="s">
        <v>1711</v>
      </c>
      <c r="H15" s="52" t="s">
        <v>2673</v>
      </c>
      <c r="I15" s="51"/>
      <c r="J15" s="91"/>
      <c r="K15" s="92" t="s">
        <v>1822</v>
      </c>
      <c r="L15" s="51" t="s">
        <v>1823</v>
      </c>
      <c r="M15" s="53" t="s">
        <v>1824</v>
      </c>
      <c r="N15" s="54" t="s">
        <v>1825</v>
      </c>
      <c r="O15" s="53" t="s">
        <v>1826</v>
      </c>
      <c r="P15" s="54" t="s">
        <v>1827</v>
      </c>
      <c r="Q15" s="53" t="s">
        <v>1828</v>
      </c>
      <c r="R15" s="54" t="s">
        <v>1829</v>
      </c>
      <c r="S15" s="53" t="s">
        <v>1830</v>
      </c>
      <c r="T15" s="54" t="s">
        <v>1831</v>
      </c>
      <c r="U15" s="53"/>
      <c r="V15" s="54"/>
      <c r="W15" s="53"/>
      <c r="X15" s="54"/>
      <c r="Y15" s="53"/>
      <c r="Z15" s="54"/>
      <c r="AA15" s="53"/>
      <c r="AB15" s="54"/>
      <c r="AC15" s="53"/>
      <c r="AD15" s="54"/>
      <c r="AE15" s="53"/>
      <c r="AF15" s="54"/>
      <c r="AG15" s="53"/>
      <c r="AH15" s="54"/>
      <c r="AI15" s="53"/>
      <c r="AJ15" s="54"/>
      <c r="AK15" s="53"/>
      <c r="AL15" s="54"/>
      <c r="AM15" s="53"/>
      <c r="AN15" s="54"/>
      <c r="AO15" s="53"/>
      <c r="AP15" s="54"/>
      <c r="AQ15" s="53"/>
      <c r="AR15" s="54"/>
      <c r="AS15" s="53"/>
      <c r="AT15" s="54"/>
      <c r="AU15" s="53"/>
      <c r="AV15" s="54"/>
      <c r="AW15" s="53"/>
      <c r="AX15" s="54"/>
      <c r="AY15" s="53"/>
      <c r="AZ15" s="54"/>
      <c r="BA15" s="53"/>
      <c r="BB15" s="51"/>
      <c r="BC15" s="53"/>
      <c r="BD15" s="51"/>
      <c r="BE15" s="53"/>
      <c r="BF15" s="51"/>
      <c r="BG15" s="53"/>
      <c r="BH15" s="51"/>
      <c r="BI15" s="53"/>
      <c r="BJ15" s="51"/>
      <c r="BK15" s="53"/>
      <c r="BL15" s="51"/>
      <c r="BM15" s="53"/>
      <c r="BN15" s="51"/>
      <c r="BO15" s="53"/>
      <c r="BP15" s="51"/>
      <c r="BQ15" s="53"/>
      <c r="BR15" s="55"/>
    </row>
    <row r="16" spans="1:70" ht="28.5" customHeight="1">
      <c r="A16" s="56" t="s">
        <v>496</v>
      </c>
      <c r="B16" s="51" t="str">
        <f t="shared" si="0"/>
        <v>giftcodesbanner/永恆靈魂-bar.jpg</v>
      </c>
      <c r="C16" s="51"/>
      <c r="D16" s="51" t="str">
        <f t="shared" si="1"/>
        <v>https://www.ssbuy.tw/detail_giftcode/dist/giftcodes/永恆靈魂.html</v>
      </c>
      <c r="E16" s="104" t="s">
        <v>2681</v>
      </c>
      <c r="F16" s="103" t="s">
        <v>2672</v>
      </c>
      <c r="G16" s="52" t="s">
        <v>1711</v>
      </c>
      <c r="H16" s="52" t="s">
        <v>2673</v>
      </c>
      <c r="I16" s="51"/>
      <c r="J16" s="91"/>
      <c r="K16" s="92" t="s">
        <v>1832</v>
      </c>
      <c r="L16" s="51" t="s">
        <v>1833</v>
      </c>
      <c r="M16" s="53"/>
      <c r="N16" s="54"/>
      <c r="O16" s="53"/>
      <c r="P16" s="54"/>
      <c r="Q16" s="53"/>
      <c r="R16" s="54"/>
      <c r="S16" s="53"/>
      <c r="T16" s="54"/>
      <c r="U16" s="53"/>
      <c r="V16" s="54"/>
      <c r="W16" s="53"/>
      <c r="X16" s="54"/>
      <c r="Y16" s="53"/>
      <c r="Z16" s="54"/>
      <c r="AA16" s="53"/>
      <c r="AB16" s="54"/>
      <c r="AC16" s="53"/>
      <c r="AD16" s="54"/>
      <c r="AE16" s="53"/>
      <c r="AF16" s="54"/>
      <c r="AG16" s="53"/>
      <c r="AH16" s="54"/>
      <c r="AI16" s="53"/>
      <c r="AJ16" s="54"/>
      <c r="AK16" s="53"/>
      <c r="AL16" s="54"/>
      <c r="AM16" s="53"/>
      <c r="AN16" s="54"/>
      <c r="AO16" s="53"/>
      <c r="AP16" s="54"/>
      <c r="AQ16" s="53"/>
      <c r="AR16" s="54"/>
      <c r="AS16" s="53"/>
      <c r="AT16" s="54"/>
      <c r="AU16" s="53"/>
      <c r="AV16" s="54"/>
      <c r="AW16" s="53"/>
      <c r="AX16" s="54"/>
      <c r="AY16" s="53"/>
      <c r="AZ16" s="54"/>
      <c r="BA16" s="53"/>
      <c r="BB16" s="51"/>
      <c r="BC16" s="53"/>
      <c r="BD16" s="51"/>
      <c r="BE16" s="53"/>
      <c r="BF16" s="51"/>
      <c r="BG16" s="53"/>
      <c r="BH16" s="51"/>
      <c r="BI16" s="53"/>
      <c r="BJ16" s="51"/>
      <c r="BK16" s="53"/>
      <c r="BL16" s="51"/>
      <c r="BM16" s="53"/>
      <c r="BN16" s="51"/>
      <c r="BO16" s="53"/>
      <c r="BP16" s="51"/>
      <c r="BQ16" s="53"/>
      <c r="BR16" s="55"/>
    </row>
    <row r="17" spans="1:70" ht="28.5" customHeight="1">
      <c r="A17" s="56" t="s">
        <v>503</v>
      </c>
      <c r="B17" s="51" t="str">
        <f t="shared" si="0"/>
        <v>giftcodesbanner/守住呀主公-bar.jpg</v>
      </c>
      <c r="C17" s="51"/>
      <c r="D17" s="51" t="str">
        <f t="shared" si="1"/>
        <v>https://www.ssbuy.tw/detail_giftcode/dist/giftcodes/守住呀主公.html</v>
      </c>
      <c r="E17" s="91" t="s">
        <v>2682</v>
      </c>
      <c r="F17" s="103" t="s">
        <v>2683</v>
      </c>
      <c r="G17" s="52" t="s">
        <v>1711</v>
      </c>
      <c r="H17" s="52" t="s">
        <v>2673</v>
      </c>
      <c r="I17" s="51"/>
      <c r="J17" s="91"/>
      <c r="K17" s="92" t="s">
        <v>1782</v>
      </c>
      <c r="L17" s="51" t="s">
        <v>1713</v>
      </c>
      <c r="M17" s="53" t="s">
        <v>1715</v>
      </c>
      <c r="N17" s="54" t="s">
        <v>1713</v>
      </c>
      <c r="O17" s="53" t="s">
        <v>1834</v>
      </c>
      <c r="P17" s="54" t="s">
        <v>1713</v>
      </c>
      <c r="Q17" s="53" t="s">
        <v>1835</v>
      </c>
      <c r="R17" s="54" t="s">
        <v>1713</v>
      </c>
      <c r="S17" s="53" t="s">
        <v>1836</v>
      </c>
      <c r="T17" s="54" t="s">
        <v>1713</v>
      </c>
      <c r="U17" s="53" t="s">
        <v>1837</v>
      </c>
      <c r="V17" s="54" t="s">
        <v>1713</v>
      </c>
      <c r="W17" s="53" t="s">
        <v>1838</v>
      </c>
      <c r="X17" s="54" t="s">
        <v>1713</v>
      </c>
      <c r="Y17" s="53"/>
      <c r="Z17" s="54"/>
      <c r="AA17" s="53"/>
      <c r="AB17" s="54"/>
      <c r="AC17" s="53"/>
      <c r="AD17" s="54"/>
      <c r="AE17" s="53"/>
      <c r="AF17" s="54"/>
      <c r="AG17" s="53"/>
      <c r="AH17" s="54"/>
      <c r="AI17" s="53"/>
      <c r="AJ17" s="54"/>
      <c r="AK17" s="53"/>
      <c r="AL17" s="54"/>
      <c r="AM17" s="53"/>
      <c r="AN17" s="54"/>
      <c r="AO17" s="53"/>
      <c r="AP17" s="54"/>
      <c r="AQ17" s="53"/>
      <c r="AR17" s="54"/>
      <c r="AS17" s="53"/>
      <c r="AT17" s="54"/>
      <c r="AU17" s="53"/>
      <c r="AV17" s="54"/>
      <c r="AW17" s="53"/>
      <c r="AX17" s="54"/>
      <c r="AY17" s="53"/>
      <c r="AZ17" s="54"/>
      <c r="BA17" s="53"/>
      <c r="BB17" s="51"/>
      <c r="BC17" s="53"/>
      <c r="BD17" s="51"/>
      <c r="BE17" s="53"/>
      <c r="BF17" s="51"/>
      <c r="BG17" s="53"/>
      <c r="BH17" s="51"/>
      <c r="BI17" s="53"/>
      <c r="BJ17" s="51"/>
      <c r="BK17" s="53"/>
      <c r="BL17" s="51"/>
      <c r="BM17" s="53"/>
      <c r="BN17" s="51"/>
      <c r="BO17" s="53"/>
      <c r="BP17" s="51"/>
      <c r="BQ17" s="53"/>
      <c r="BR17" s="55"/>
    </row>
    <row r="18" spans="1:70" ht="28.5" customHeight="1">
      <c r="A18" s="56" t="s">
        <v>1839</v>
      </c>
      <c r="B18" s="51" t="str">
        <f t="shared" si="0"/>
        <v>giftcodesbanner/吟遊戰記-bar.jpg</v>
      </c>
      <c r="C18" s="51"/>
      <c r="D18" s="51" t="str">
        <f t="shared" si="1"/>
        <v>https://www.ssbuy.tw/detail_giftcode/dist/giftcodes/吟遊戰記.html</v>
      </c>
      <c r="E18" s="105" t="s">
        <v>514</v>
      </c>
      <c r="F18" s="103" t="s">
        <v>2672</v>
      </c>
      <c r="G18" s="52" t="s">
        <v>1711</v>
      </c>
      <c r="H18" s="52" t="s">
        <v>2668</v>
      </c>
      <c r="I18" s="51"/>
      <c r="J18" s="91"/>
      <c r="K18" s="92" t="s">
        <v>1782</v>
      </c>
      <c r="L18" s="51" t="s">
        <v>1713</v>
      </c>
      <c r="M18" s="53" t="s">
        <v>1714</v>
      </c>
      <c r="N18" s="54" t="s">
        <v>1713</v>
      </c>
      <c r="O18" s="53" t="s">
        <v>1841</v>
      </c>
      <c r="P18" s="54" t="s">
        <v>1713</v>
      </c>
      <c r="Q18" s="53" t="s">
        <v>1820</v>
      </c>
      <c r="R18" s="54" t="s">
        <v>1713</v>
      </c>
      <c r="S18" s="53"/>
      <c r="T18" s="54"/>
      <c r="U18" s="53"/>
      <c r="V18" s="54"/>
      <c r="W18" s="53"/>
      <c r="X18" s="54"/>
      <c r="Y18" s="53"/>
      <c r="Z18" s="54"/>
      <c r="AA18" s="53"/>
      <c r="AB18" s="54"/>
      <c r="AC18" s="53"/>
      <c r="AD18" s="54"/>
      <c r="AE18" s="53"/>
      <c r="AF18" s="54"/>
      <c r="AG18" s="53"/>
      <c r="AH18" s="54"/>
      <c r="AI18" s="53"/>
      <c r="AJ18" s="54"/>
      <c r="AK18" s="53"/>
      <c r="AL18" s="54"/>
      <c r="AM18" s="53"/>
      <c r="AN18" s="54"/>
      <c r="AO18" s="53"/>
      <c r="AP18" s="54"/>
      <c r="AQ18" s="53"/>
      <c r="AR18" s="54"/>
      <c r="AS18" s="53"/>
      <c r="AT18" s="54"/>
      <c r="AU18" s="53"/>
      <c r="AV18" s="54"/>
      <c r="AW18" s="53"/>
      <c r="AX18" s="54"/>
      <c r="AY18" s="53"/>
      <c r="AZ18" s="54"/>
      <c r="BA18" s="53"/>
      <c r="BB18" s="51"/>
      <c r="BC18" s="53"/>
      <c r="BD18" s="51"/>
      <c r="BE18" s="53"/>
      <c r="BF18" s="51"/>
      <c r="BG18" s="53"/>
      <c r="BH18" s="51"/>
      <c r="BI18" s="53"/>
      <c r="BJ18" s="51"/>
      <c r="BK18" s="53"/>
      <c r="BL18" s="51"/>
      <c r="BM18" s="53"/>
      <c r="BN18" s="51"/>
      <c r="BO18" s="53"/>
      <c r="BP18" s="51"/>
      <c r="BQ18" s="53"/>
      <c r="BR18" s="55"/>
    </row>
    <row r="19" spans="1:70" ht="28.5" customHeight="1">
      <c r="A19" s="56" t="s">
        <v>2684</v>
      </c>
      <c r="B19" s="51" t="str">
        <f t="shared" si="0"/>
        <v>giftcodesbanner/我獨自升級：ARISE-bar.jpg</v>
      </c>
      <c r="C19" s="51"/>
      <c r="D19" s="51" t="str">
        <f t="shared" si="1"/>
        <v>https://www.ssbuy.tw/detail_giftcode/dist/giftcodes/我獨自升級：ARISE.html</v>
      </c>
      <c r="E19" s="91" t="s">
        <v>524</v>
      </c>
      <c r="F19" s="103" t="s">
        <v>1740</v>
      </c>
      <c r="G19" s="52" t="s">
        <v>1711</v>
      </c>
      <c r="H19" s="52" t="s">
        <v>2673</v>
      </c>
      <c r="I19" s="51"/>
      <c r="J19" s="91"/>
      <c r="K19" s="93" t="s">
        <v>2685</v>
      </c>
      <c r="L19" s="51" t="s">
        <v>1713</v>
      </c>
      <c r="M19" s="53" t="s">
        <v>2686</v>
      </c>
      <c r="N19" s="54" t="s">
        <v>1713</v>
      </c>
      <c r="O19" s="59" t="s">
        <v>2687</v>
      </c>
      <c r="P19" s="54" t="s">
        <v>1713</v>
      </c>
      <c r="Q19" s="53" t="s">
        <v>2688</v>
      </c>
      <c r="R19" s="54" t="s">
        <v>1713</v>
      </c>
      <c r="S19" s="53" t="s">
        <v>2689</v>
      </c>
      <c r="T19" s="54" t="s">
        <v>1713</v>
      </c>
      <c r="U19" s="53" t="s">
        <v>2690</v>
      </c>
      <c r="V19" s="54" t="s">
        <v>1713</v>
      </c>
      <c r="W19" s="53" t="s">
        <v>1842</v>
      </c>
      <c r="X19" s="54" t="s">
        <v>1713</v>
      </c>
      <c r="Y19" s="53" t="s">
        <v>2691</v>
      </c>
      <c r="Z19" s="54" t="s">
        <v>1713</v>
      </c>
      <c r="AA19" s="53"/>
      <c r="AB19" s="54"/>
      <c r="AC19" s="53"/>
      <c r="AD19" s="54"/>
      <c r="AE19" s="53"/>
      <c r="AF19" s="54"/>
      <c r="AG19" s="53"/>
      <c r="AH19" s="54"/>
      <c r="AI19" s="53"/>
      <c r="AJ19" s="54"/>
      <c r="AK19" s="53"/>
      <c r="AL19" s="54"/>
      <c r="AM19" s="53"/>
      <c r="AN19" s="54"/>
      <c r="AO19" s="53"/>
      <c r="AP19" s="54"/>
      <c r="AQ19" s="53"/>
      <c r="AR19" s="54"/>
      <c r="AS19" s="53"/>
      <c r="AT19" s="54"/>
      <c r="AU19" s="53"/>
      <c r="AV19" s="54"/>
      <c r="AW19" s="53"/>
      <c r="AX19" s="54"/>
      <c r="AY19" s="53"/>
      <c r="AZ19" s="54"/>
      <c r="BA19" s="53"/>
      <c r="BB19" s="51"/>
      <c r="BC19" s="53"/>
      <c r="BD19" s="51"/>
      <c r="BE19" s="53"/>
      <c r="BF19" s="51"/>
      <c r="BG19" s="53"/>
      <c r="BH19" s="51"/>
      <c r="BI19" s="53"/>
      <c r="BJ19" s="51"/>
      <c r="BK19" s="53"/>
      <c r="BL19" s="51"/>
      <c r="BM19" s="53"/>
      <c r="BN19" s="51"/>
      <c r="BO19" s="53"/>
      <c r="BP19" s="51"/>
      <c r="BQ19" s="53"/>
      <c r="BR19" s="55"/>
    </row>
    <row r="20" spans="1:70" ht="28.5" customHeight="1">
      <c r="A20" s="56" t="s">
        <v>2692</v>
      </c>
      <c r="B20" s="51" t="str">
        <f t="shared" si="0"/>
        <v>giftcodesbanner/命運聖契：少女的羈絆-bar.jpg</v>
      </c>
      <c r="C20" s="51"/>
      <c r="D20" s="51" t="str">
        <f t="shared" si="1"/>
        <v>https://www.ssbuy.tw/detail_giftcode/dist/giftcodes/命運聖契：少女的羈絆.html</v>
      </c>
      <c r="E20" s="91" t="s">
        <v>2693</v>
      </c>
      <c r="F20" s="103" t="s">
        <v>1710</v>
      </c>
      <c r="G20" s="52" t="s">
        <v>1711</v>
      </c>
      <c r="H20" s="52" t="s">
        <v>2673</v>
      </c>
      <c r="I20" s="51"/>
      <c r="J20" s="91"/>
      <c r="K20" s="92" t="s">
        <v>2694</v>
      </c>
      <c r="L20" s="51" t="s">
        <v>1713</v>
      </c>
      <c r="M20" s="53" t="s">
        <v>2695</v>
      </c>
      <c r="N20" s="54" t="s">
        <v>1713</v>
      </c>
      <c r="O20" s="53" t="s">
        <v>2696</v>
      </c>
      <c r="P20" s="54" t="s">
        <v>1713</v>
      </c>
      <c r="Q20" s="53" t="s">
        <v>2697</v>
      </c>
      <c r="R20" s="54" t="s">
        <v>1713</v>
      </c>
      <c r="S20" s="53" t="s">
        <v>2698</v>
      </c>
      <c r="T20" s="54" t="s">
        <v>1713</v>
      </c>
      <c r="U20" s="53" t="s">
        <v>2699</v>
      </c>
      <c r="V20" s="54" t="s">
        <v>1713</v>
      </c>
      <c r="W20" s="53" t="s">
        <v>2700</v>
      </c>
      <c r="X20" s="54" t="s">
        <v>1713</v>
      </c>
      <c r="Y20" s="53" t="s">
        <v>1843</v>
      </c>
      <c r="Z20" s="54" t="s">
        <v>1713</v>
      </c>
      <c r="AA20" s="53" t="s">
        <v>2701</v>
      </c>
      <c r="AB20" s="54" t="s">
        <v>1713</v>
      </c>
      <c r="AC20" s="53" t="s">
        <v>2702</v>
      </c>
      <c r="AD20" s="54" t="s">
        <v>1713</v>
      </c>
      <c r="AE20" s="53" t="s">
        <v>2703</v>
      </c>
      <c r="AF20" s="54" t="s">
        <v>1713</v>
      </c>
      <c r="AG20" s="53"/>
      <c r="AH20" s="54"/>
      <c r="AI20" s="53"/>
      <c r="AJ20" s="54"/>
      <c r="AK20" s="53"/>
      <c r="AL20" s="54"/>
      <c r="AM20" s="53"/>
      <c r="AN20" s="54"/>
      <c r="AO20" s="53"/>
      <c r="AP20" s="54"/>
      <c r="AQ20" s="53"/>
      <c r="AR20" s="54"/>
      <c r="AS20" s="53"/>
      <c r="AT20" s="54"/>
      <c r="AU20" s="53"/>
      <c r="AV20" s="54"/>
      <c r="AW20" s="53"/>
      <c r="AX20" s="54"/>
      <c r="AY20" s="53"/>
      <c r="AZ20" s="54"/>
      <c r="BA20" s="53"/>
      <c r="BB20" s="51"/>
      <c r="BC20" s="53"/>
      <c r="BD20" s="51"/>
      <c r="BE20" s="53"/>
      <c r="BF20" s="51"/>
      <c r="BG20" s="53"/>
      <c r="BH20" s="51"/>
      <c r="BI20" s="53"/>
      <c r="BJ20" s="51"/>
      <c r="BK20" s="53"/>
      <c r="BL20" s="51"/>
      <c r="BM20" s="53"/>
      <c r="BN20" s="51"/>
      <c r="BO20" s="53"/>
      <c r="BP20" s="51"/>
      <c r="BQ20" s="53"/>
      <c r="BR20" s="55"/>
    </row>
    <row r="21" spans="1:70" ht="28.5" customHeight="1">
      <c r="A21" s="56" t="s">
        <v>539</v>
      </c>
      <c r="B21" s="51" t="str">
        <f t="shared" si="0"/>
        <v>giftcodesbanner/放置軍團-bar.jpg</v>
      </c>
      <c r="C21" s="51"/>
      <c r="D21" s="51" t="str">
        <f t="shared" si="1"/>
        <v>https://www.ssbuy.tw/detail_giftcode/dist/giftcodes/放置軍團.html</v>
      </c>
      <c r="E21" s="91" t="s">
        <v>2704</v>
      </c>
      <c r="F21" s="103" t="s">
        <v>1710</v>
      </c>
      <c r="G21" s="52" t="s">
        <v>1711</v>
      </c>
      <c r="H21" s="52" t="s">
        <v>2673</v>
      </c>
      <c r="I21" s="51"/>
      <c r="J21" s="91"/>
      <c r="K21" s="92" t="s">
        <v>2705</v>
      </c>
      <c r="L21" s="51" t="s">
        <v>2706</v>
      </c>
      <c r="M21" s="53" t="s">
        <v>2707</v>
      </c>
      <c r="N21" s="54" t="s">
        <v>2708</v>
      </c>
      <c r="O21" s="53" t="s">
        <v>2709</v>
      </c>
      <c r="P21" s="54" t="s">
        <v>2710</v>
      </c>
      <c r="Q21" s="53" t="s">
        <v>2711</v>
      </c>
      <c r="R21" s="54" t="s">
        <v>2712</v>
      </c>
      <c r="S21" s="53" t="s">
        <v>2713</v>
      </c>
      <c r="T21" s="54" t="s">
        <v>2714</v>
      </c>
      <c r="U21" s="53"/>
      <c r="V21" s="54"/>
      <c r="W21" s="53"/>
      <c r="X21" s="54"/>
      <c r="Y21" s="53"/>
      <c r="Z21" s="54"/>
      <c r="AA21" s="53"/>
      <c r="AB21" s="54"/>
      <c r="AC21" s="53"/>
      <c r="AD21" s="54"/>
      <c r="AE21" s="53"/>
      <c r="AF21" s="54"/>
      <c r="AG21" s="53"/>
      <c r="AH21" s="54"/>
      <c r="AI21" s="53"/>
      <c r="AJ21" s="54"/>
      <c r="AK21" s="53"/>
      <c r="AL21" s="54"/>
      <c r="AM21" s="53"/>
      <c r="AN21" s="54"/>
      <c r="AO21" s="53"/>
      <c r="AP21" s="54"/>
      <c r="AQ21" s="53"/>
      <c r="AR21" s="54"/>
      <c r="AS21" s="53"/>
      <c r="AT21" s="54"/>
      <c r="AU21" s="53"/>
      <c r="AV21" s="54"/>
      <c r="AW21" s="53"/>
      <c r="AX21" s="54"/>
      <c r="AY21" s="53"/>
      <c r="AZ21" s="54"/>
      <c r="BA21" s="53"/>
      <c r="BB21" s="51"/>
      <c r="BC21" s="53"/>
      <c r="BD21" s="51"/>
      <c r="BE21" s="53"/>
      <c r="BF21" s="51"/>
      <c r="BG21" s="53"/>
      <c r="BH21" s="51"/>
      <c r="BI21" s="53"/>
      <c r="BJ21" s="51"/>
      <c r="BK21" s="53"/>
      <c r="BL21" s="51"/>
      <c r="BM21" s="53"/>
      <c r="BN21" s="51"/>
      <c r="BO21" s="53"/>
      <c r="BP21" s="51"/>
      <c r="BQ21" s="53"/>
      <c r="BR21" s="55"/>
    </row>
    <row r="22" spans="1:70" ht="28.5" customHeight="1">
      <c r="A22" s="56" t="s">
        <v>2715</v>
      </c>
      <c r="B22" s="51" t="str">
        <f t="shared" si="0"/>
        <v>giftcodesbanner/明日方舟-bar.jpg</v>
      </c>
      <c r="C22" s="51"/>
      <c r="D22" s="51" t="str">
        <f t="shared" si="1"/>
        <v>https://www.ssbuy.tw/detail_giftcode/dist/giftcodes/明日方舟.html</v>
      </c>
      <c r="E22" s="91" t="s">
        <v>2716</v>
      </c>
      <c r="F22" s="103" t="s">
        <v>2672</v>
      </c>
      <c r="G22" s="52" t="s">
        <v>1711</v>
      </c>
      <c r="H22" s="52" t="s">
        <v>2668</v>
      </c>
      <c r="I22" s="51"/>
      <c r="J22" s="91"/>
      <c r="K22" s="92" t="s">
        <v>2717</v>
      </c>
      <c r="L22" s="51" t="s">
        <v>2718</v>
      </c>
      <c r="M22" s="53"/>
      <c r="N22" s="54"/>
      <c r="O22" s="53"/>
      <c r="P22" s="54"/>
      <c r="Q22" s="53"/>
      <c r="R22" s="54"/>
      <c r="S22" s="53"/>
      <c r="T22" s="54"/>
      <c r="U22" s="53"/>
      <c r="V22" s="54"/>
      <c r="W22" s="53"/>
      <c r="X22" s="54"/>
      <c r="Y22" s="53"/>
      <c r="Z22" s="54"/>
      <c r="AA22" s="53"/>
      <c r="AB22" s="54"/>
      <c r="AC22" s="53"/>
      <c r="AD22" s="54"/>
      <c r="AE22" s="53"/>
      <c r="AF22" s="54"/>
      <c r="AG22" s="53"/>
      <c r="AH22" s="54"/>
      <c r="AI22" s="53"/>
      <c r="AJ22" s="54"/>
      <c r="AK22" s="53"/>
      <c r="AL22" s="54"/>
      <c r="AM22" s="53"/>
      <c r="AN22" s="54"/>
      <c r="AO22" s="53"/>
      <c r="AP22" s="54"/>
      <c r="AQ22" s="53"/>
      <c r="AR22" s="54"/>
      <c r="AS22" s="53"/>
      <c r="AT22" s="54"/>
      <c r="AU22" s="53"/>
      <c r="AV22" s="54"/>
      <c r="AW22" s="53"/>
      <c r="AX22" s="54"/>
      <c r="AY22" s="53"/>
      <c r="AZ22" s="54"/>
      <c r="BA22" s="53"/>
      <c r="BB22" s="51"/>
      <c r="BC22" s="53"/>
      <c r="BD22" s="51"/>
      <c r="BE22" s="53"/>
      <c r="BF22" s="51"/>
      <c r="BG22" s="53"/>
      <c r="BH22" s="51"/>
      <c r="BI22" s="53"/>
      <c r="BJ22" s="51"/>
      <c r="BK22" s="53"/>
      <c r="BL22" s="51"/>
      <c r="BM22" s="53"/>
      <c r="BN22" s="51"/>
      <c r="BO22" s="53"/>
      <c r="BP22" s="51"/>
      <c r="BQ22" s="53"/>
      <c r="BR22" s="55"/>
    </row>
    <row r="23" spans="1:70" ht="28.5" customHeight="1">
      <c r="A23" s="56" t="s">
        <v>2719</v>
      </c>
      <c r="B23" s="51" t="str">
        <f t="shared" si="0"/>
        <v>giftcodesbanner/屍鬼三國-bar.jpg</v>
      </c>
      <c r="C23" s="51"/>
      <c r="D23" s="51" t="str">
        <f t="shared" si="1"/>
        <v>https://www.ssbuy.tw/detail_giftcode/dist/giftcodes/屍鬼三國.html</v>
      </c>
      <c r="E23" s="91" t="s">
        <v>2720</v>
      </c>
      <c r="F23" s="103" t="s">
        <v>2672</v>
      </c>
      <c r="G23" s="52" t="s">
        <v>1711</v>
      </c>
      <c r="H23" s="52" t="s">
        <v>2673</v>
      </c>
      <c r="I23" s="51"/>
      <c r="J23" s="91"/>
      <c r="K23" s="92" t="s">
        <v>1932</v>
      </c>
      <c r="L23" s="51" t="s">
        <v>1713</v>
      </c>
      <c r="M23" s="53" t="s">
        <v>2721</v>
      </c>
      <c r="N23" s="54" t="s">
        <v>1713</v>
      </c>
      <c r="O23" s="53" t="s">
        <v>1841</v>
      </c>
      <c r="P23" s="54" t="s">
        <v>1713</v>
      </c>
      <c r="Q23" s="53" t="s">
        <v>2722</v>
      </c>
      <c r="R23" s="54" t="s">
        <v>1713</v>
      </c>
      <c r="S23" s="53" t="s">
        <v>2723</v>
      </c>
      <c r="T23" s="54" t="s">
        <v>1713</v>
      </c>
      <c r="U23" s="53" t="s">
        <v>2724</v>
      </c>
      <c r="V23" s="54" t="s">
        <v>1713</v>
      </c>
      <c r="W23" s="53" t="s">
        <v>2725</v>
      </c>
      <c r="X23" s="54" t="s">
        <v>1713</v>
      </c>
      <c r="Y23" s="53" t="s">
        <v>2726</v>
      </c>
      <c r="Z23" s="54" t="s">
        <v>1713</v>
      </c>
      <c r="AA23" s="53" t="s">
        <v>2727</v>
      </c>
      <c r="AB23" s="54" t="s">
        <v>1713</v>
      </c>
      <c r="AC23" s="53" t="s">
        <v>2728</v>
      </c>
      <c r="AD23" s="54" t="s">
        <v>1713</v>
      </c>
      <c r="AE23" s="53"/>
      <c r="AF23" s="54"/>
      <c r="AG23" s="53"/>
      <c r="AH23" s="54"/>
      <c r="AI23" s="53"/>
      <c r="AJ23" s="54"/>
      <c r="AK23" s="53"/>
      <c r="AL23" s="54"/>
      <c r="AM23" s="53"/>
      <c r="AN23" s="54"/>
      <c r="AO23" s="53"/>
      <c r="AP23" s="54"/>
      <c r="AQ23" s="53"/>
      <c r="AR23" s="54"/>
      <c r="AS23" s="53"/>
      <c r="AT23" s="54"/>
      <c r="AU23" s="53"/>
      <c r="AV23" s="54"/>
      <c r="AW23" s="53"/>
      <c r="AX23" s="54"/>
      <c r="AY23" s="53"/>
      <c r="AZ23" s="54"/>
      <c r="BA23" s="53"/>
      <c r="BB23" s="51"/>
      <c r="BC23" s="53"/>
      <c r="BD23" s="51"/>
      <c r="BE23" s="53"/>
      <c r="BF23" s="51"/>
      <c r="BG23" s="53"/>
      <c r="BH23" s="51"/>
      <c r="BI23" s="53"/>
      <c r="BJ23" s="51"/>
      <c r="BK23" s="53"/>
      <c r="BL23" s="51"/>
      <c r="BM23" s="53"/>
      <c r="BN23" s="51"/>
      <c r="BO23" s="53"/>
      <c r="BP23" s="51"/>
      <c r="BQ23" s="53"/>
      <c r="BR23" s="55"/>
    </row>
    <row r="24" spans="1:70" ht="28.5" customHeight="1">
      <c r="A24" s="56" t="s">
        <v>2729</v>
      </c>
      <c r="B24" s="51" t="str">
        <f t="shared" si="0"/>
        <v>giftcodesbanner/星鏈計畫：未來少女-bar.jpg</v>
      </c>
      <c r="C24" s="51"/>
      <c r="D24" s="51" t="str">
        <f t="shared" si="1"/>
        <v>https://www.ssbuy.tw/detail_giftcode/dist/giftcodes/星鏈計畫：未來少女.html</v>
      </c>
      <c r="E24" s="91" t="s">
        <v>2730</v>
      </c>
      <c r="F24" s="103" t="s">
        <v>1710</v>
      </c>
      <c r="G24" s="52" t="s">
        <v>1711</v>
      </c>
      <c r="H24" s="52" t="s">
        <v>2673</v>
      </c>
      <c r="I24" s="51"/>
      <c r="J24" s="91"/>
      <c r="K24" s="92" t="s">
        <v>2731</v>
      </c>
      <c r="L24" s="51" t="s">
        <v>2732</v>
      </c>
      <c r="M24" s="53" t="s">
        <v>2733</v>
      </c>
      <c r="N24" s="54" t="s">
        <v>2734</v>
      </c>
      <c r="O24" s="53" t="s">
        <v>2735</v>
      </c>
      <c r="P24" s="54" t="s">
        <v>2736</v>
      </c>
      <c r="Q24" s="53" t="s">
        <v>2737</v>
      </c>
      <c r="R24" s="54" t="s">
        <v>2738</v>
      </c>
      <c r="S24" s="53" t="s">
        <v>2739</v>
      </c>
      <c r="T24" s="54" t="s">
        <v>2740</v>
      </c>
      <c r="U24" s="53" t="s">
        <v>1844</v>
      </c>
      <c r="V24" s="54" t="s">
        <v>2738</v>
      </c>
      <c r="W24" s="53"/>
      <c r="X24" s="54"/>
      <c r="Y24" s="53"/>
      <c r="Z24" s="54"/>
      <c r="AA24" s="53"/>
      <c r="AB24" s="54"/>
      <c r="AC24" s="53"/>
      <c r="AD24" s="54"/>
      <c r="AE24" s="53"/>
      <c r="AF24" s="54"/>
      <c r="AG24" s="53"/>
      <c r="AH24" s="54"/>
      <c r="AI24" s="53"/>
      <c r="AJ24" s="54"/>
      <c r="AK24" s="53"/>
      <c r="AL24" s="54"/>
      <c r="AM24" s="53"/>
      <c r="AN24" s="54"/>
      <c r="AO24" s="53"/>
      <c r="AP24" s="54"/>
      <c r="AQ24" s="53"/>
      <c r="AR24" s="54"/>
      <c r="AS24" s="53"/>
      <c r="AT24" s="54"/>
      <c r="AU24" s="53"/>
      <c r="AV24" s="54"/>
      <c r="AW24" s="53"/>
      <c r="AX24" s="54"/>
      <c r="AY24" s="53"/>
      <c r="AZ24" s="54"/>
      <c r="BA24" s="53"/>
      <c r="BB24" s="51"/>
      <c r="BC24" s="53"/>
      <c r="BD24" s="51"/>
      <c r="BE24" s="53"/>
      <c r="BF24" s="51"/>
      <c r="BG24" s="53"/>
      <c r="BH24" s="51"/>
      <c r="BI24" s="53"/>
      <c r="BJ24" s="51"/>
      <c r="BK24" s="53"/>
      <c r="BL24" s="51"/>
      <c r="BM24" s="53"/>
      <c r="BN24" s="51"/>
      <c r="BO24" s="53"/>
      <c r="BP24" s="51"/>
      <c r="BQ24" s="53"/>
      <c r="BR24" s="55"/>
    </row>
    <row r="25" spans="1:70" ht="28.5" customHeight="1">
      <c r="A25" s="56" t="s">
        <v>569</v>
      </c>
      <c r="B25" s="51" t="str">
        <f t="shared" si="0"/>
        <v>giftcodesbanner/英雄之王-bar.jpg</v>
      </c>
      <c r="C25" s="51"/>
      <c r="D25" s="51" t="str">
        <f t="shared" si="1"/>
        <v>https://www.ssbuy.tw/detail_giftcode/dist/giftcodes/英雄之王.html</v>
      </c>
      <c r="E25" s="105" t="s">
        <v>2741</v>
      </c>
      <c r="F25" s="103" t="s">
        <v>1710</v>
      </c>
      <c r="G25" s="52" t="s">
        <v>1711</v>
      </c>
      <c r="H25" s="52" t="s">
        <v>2673</v>
      </c>
      <c r="I25" s="51"/>
      <c r="J25" s="91"/>
      <c r="K25" s="92" t="s">
        <v>2742</v>
      </c>
      <c r="L25" s="51" t="s">
        <v>1713</v>
      </c>
      <c r="M25" s="53" t="s">
        <v>2743</v>
      </c>
      <c r="N25" s="54" t="s">
        <v>1713</v>
      </c>
      <c r="O25" s="53" t="s">
        <v>2744</v>
      </c>
      <c r="P25" s="54" t="s">
        <v>1713</v>
      </c>
      <c r="Q25" s="53" t="s">
        <v>2745</v>
      </c>
      <c r="R25" s="54" t="s">
        <v>1713</v>
      </c>
      <c r="S25" s="53" t="s">
        <v>2746</v>
      </c>
      <c r="T25" s="54" t="s">
        <v>1713</v>
      </c>
      <c r="U25" s="53" t="s">
        <v>2747</v>
      </c>
      <c r="V25" s="54" t="s">
        <v>1713</v>
      </c>
      <c r="W25" s="53" t="s">
        <v>2748</v>
      </c>
      <c r="X25" s="54" t="s">
        <v>1713</v>
      </c>
      <c r="Y25" s="53" t="s">
        <v>2749</v>
      </c>
      <c r="Z25" s="54" t="s">
        <v>1713</v>
      </c>
      <c r="AA25" s="53" t="s">
        <v>2750</v>
      </c>
      <c r="AB25" s="54" t="s">
        <v>1713</v>
      </c>
      <c r="AC25" s="53"/>
      <c r="AD25" s="54"/>
      <c r="AE25" s="53"/>
      <c r="AF25" s="54"/>
      <c r="AG25" s="53"/>
      <c r="AH25" s="54"/>
      <c r="AI25" s="53"/>
      <c r="AJ25" s="54"/>
      <c r="AK25" s="53"/>
      <c r="AL25" s="54"/>
      <c r="AM25" s="53"/>
      <c r="AN25" s="54"/>
      <c r="AO25" s="53"/>
      <c r="AP25" s="54"/>
      <c r="AQ25" s="53"/>
      <c r="AR25" s="54"/>
      <c r="AS25" s="53"/>
      <c r="AT25" s="54"/>
      <c r="AU25" s="53"/>
      <c r="AV25" s="54"/>
      <c r="AW25" s="53"/>
      <c r="AX25" s="54"/>
      <c r="AY25" s="53"/>
      <c r="AZ25" s="54"/>
      <c r="BA25" s="53"/>
      <c r="BB25" s="51"/>
      <c r="BC25" s="53"/>
      <c r="BD25" s="51"/>
      <c r="BE25" s="53"/>
      <c r="BF25" s="51"/>
      <c r="BG25" s="53"/>
      <c r="BH25" s="51"/>
      <c r="BI25" s="53"/>
      <c r="BJ25" s="51"/>
      <c r="BK25" s="53"/>
      <c r="BL25" s="51"/>
      <c r="BM25" s="53"/>
      <c r="BN25" s="51"/>
      <c r="BO25" s="53"/>
      <c r="BP25" s="51"/>
      <c r="BQ25" s="53"/>
      <c r="BR25" s="55"/>
    </row>
    <row r="26" spans="1:70" ht="28.5" customHeight="1">
      <c r="A26" s="56" t="s">
        <v>576</v>
      </c>
      <c r="B26" s="51" t="str">
        <f t="shared" si="0"/>
        <v>giftcodesbanner/英雄聯盟-bar.jpg</v>
      </c>
      <c r="C26" s="51"/>
      <c r="D26" s="51" t="str">
        <f t="shared" si="1"/>
        <v>https://www.ssbuy.tw/detail_giftcode/dist/giftcodes/英雄聯盟.html</v>
      </c>
      <c r="E26" s="91"/>
      <c r="F26" s="103" t="s">
        <v>2672</v>
      </c>
      <c r="G26" s="52" t="s">
        <v>1711</v>
      </c>
      <c r="H26" s="52" t="s">
        <v>1840</v>
      </c>
      <c r="I26" s="51"/>
      <c r="J26" s="91"/>
      <c r="K26" s="92" t="s">
        <v>2751</v>
      </c>
      <c r="L26" s="51" t="s">
        <v>2752</v>
      </c>
      <c r="M26" s="53" t="s">
        <v>2753</v>
      </c>
      <c r="N26" s="54" t="s">
        <v>2754</v>
      </c>
      <c r="O26" s="53"/>
      <c r="P26" s="54"/>
      <c r="Q26" s="53"/>
      <c r="R26" s="54"/>
      <c r="S26" s="53"/>
      <c r="T26" s="54"/>
      <c r="U26" s="53"/>
      <c r="V26" s="54"/>
      <c r="W26" s="53"/>
      <c r="X26" s="54"/>
      <c r="Y26" s="53"/>
      <c r="Z26" s="54"/>
      <c r="AA26" s="53"/>
      <c r="AB26" s="54"/>
      <c r="AC26" s="53"/>
      <c r="AD26" s="54"/>
      <c r="AE26" s="53"/>
      <c r="AF26" s="54"/>
      <c r="AG26" s="53"/>
      <c r="AH26" s="54"/>
      <c r="AI26" s="53"/>
      <c r="AJ26" s="54"/>
      <c r="AK26" s="53"/>
      <c r="AL26" s="54"/>
      <c r="AM26" s="53"/>
      <c r="AN26" s="54"/>
      <c r="AO26" s="53"/>
      <c r="AP26" s="54"/>
      <c r="AQ26" s="53"/>
      <c r="AR26" s="54"/>
      <c r="AS26" s="53"/>
      <c r="AT26" s="54"/>
      <c r="AU26" s="53"/>
      <c r="AV26" s="54"/>
      <c r="AW26" s="53"/>
      <c r="AX26" s="54"/>
      <c r="AY26" s="53"/>
      <c r="AZ26" s="54"/>
      <c r="BA26" s="53"/>
      <c r="BB26" s="51"/>
      <c r="BC26" s="53"/>
      <c r="BD26" s="51"/>
      <c r="BE26" s="53"/>
      <c r="BF26" s="51"/>
      <c r="BG26" s="53"/>
      <c r="BH26" s="51"/>
      <c r="BI26" s="53"/>
      <c r="BJ26" s="51"/>
      <c r="BK26" s="53"/>
      <c r="BL26" s="51"/>
      <c r="BM26" s="53"/>
      <c r="BN26" s="51"/>
      <c r="BO26" s="53"/>
      <c r="BP26" s="51"/>
      <c r="BQ26" s="53"/>
      <c r="BR26" s="55"/>
    </row>
    <row r="27" spans="1:70" ht="28.5" customHeight="1">
      <c r="A27" s="56" t="s">
        <v>582</v>
      </c>
      <c r="B27" s="51" t="str">
        <f t="shared" si="0"/>
        <v>giftcodesbanner/恐龍突變-bar.jpg</v>
      </c>
      <c r="C27" s="51"/>
      <c r="D27" s="51" t="str">
        <f t="shared" si="1"/>
        <v>https://www.ssbuy.tw/detail_giftcode/dist/giftcodes/恐龍突變.html</v>
      </c>
      <c r="E27" s="105" t="s">
        <v>2755</v>
      </c>
      <c r="F27" s="103" t="s">
        <v>2672</v>
      </c>
      <c r="G27" s="52" t="s">
        <v>1711</v>
      </c>
      <c r="H27" s="52" t="s">
        <v>2673</v>
      </c>
      <c r="I27" s="51"/>
      <c r="J27" s="91"/>
      <c r="K27" s="92"/>
      <c r="L27" s="51"/>
      <c r="M27" s="53"/>
      <c r="N27" s="54"/>
      <c r="O27" s="53"/>
      <c r="P27" s="54"/>
      <c r="Q27" s="53"/>
      <c r="R27" s="54"/>
      <c r="S27" s="53"/>
      <c r="T27" s="54"/>
      <c r="U27" s="53"/>
      <c r="V27" s="54"/>
      <c r="W27" s="53"/>
      <c r="X27" s="54"/>
      <c r="Y27" s="53"/>
      <c r="Z27" s="54"/>
      <c r="AA27" s="53"/>
      <c r="AB27" s="54"/>
      <c r="AC27" s="53"/>
      <c r="AD27" s="54"/>
      <c r="AE27" s="53"/>
      <c r="AF27" s="54"/>
      <c r="AG27" s="53"/>
      <c r="AH27" s="54"/>
      <c r="AI27" s="53"/>
      <c r="AJ27" s="54"/>
      <c r="AK27" s="53"/>
      <c r="AL27" s="54"/>
      <c r="AM27" s="53"/>
      <c r="AN27" s="54"/>
      <c r="AO27" s="53"/>
      <c r="AP27" s="54"/>
      <c r="AQ27" s="53"/>
      <c r="AR27" s="54"/>
      <c r="AS27" s="53"/>
      <c r="AT27" s="54"/>
      <c r="AU27" s="53"/>
      <c r="AV27" s="54"/>
      <c r="AW27" s="53"/>
      <c r="AX27" s="54"/>
      <c r="AY27" s="53"/>
      <c r="AZ27" s="54"/>
      <c r="BA27" s="53"/>
      <c r="BB27" s="51"/>
      <c r="BC27" s="53"/>
      <c r="BD27" s="51"/>
      <c r="BE27" s="53"/>
      <c r="BF27" s="51"/>
      <c r="BG27" s="53"/>
      <c r="BH27" s="51"/>
      <c r="BI27" s="53"/>
      <c r="BJ27" s="51"/>
      <c r="BK27" s="53"/>
      <c r="BL27" s="51"/>
      <c r="BM27" s="53"/>
      <c r="BN27" s="51"/>
      <c r="BO27" s="53"/>
      <c r="BP27" s="51"/>
      <c r="BQ27" s="53"/>
      <c r="BR27" s="55"/>
    </row>
    <row r="28" spans="1:70" ht="28.5" customHeight="1">
      <c r="A28" s="56" t="s">
        <v>592</v>
      </c>
      <c r="B28" s="51" t="str">
        <f t="shared" si="0"/>
        <v>giftcodesbanner/神域-bar.jpg</v>
      </c>
      <c r="C28" s="51"/>
      <c r="D28" s="51" t="str">
        <f t="shared" si="1"/>
        <v>https://www.ssbuy.tw/detail_giftcode/dist/giftcodes/神域.html</v>
      </c>
      <c r="E28" s="91" t="s">
        <v>2756</v>
      </c>
      <c r="F28" s="103" t="s">
        <v>2672</v>
      </c>
      <c r="G28" s="52" t="s">
        <v>1711</v>
      </c>
      <c r="H28" s="52" t="s">
        <v>2673</v>
      </c>
      <c r="I28" s="51"/>
      <c r="J28" s="91"/>
      <c r="K28" s="92" t="s">
        <v>2757</v>
      </c>
      <c r="L28" s="51" t="s">
        <v>2758</v>
      </c>
      <c r="M28" s="53" t="s">
        <v>2759</v>
      </c>
      <c r="N28" s="54" t="s">
        <v>2758</v>
      </c>
      <c r="O28" s="53"/>
      <c r="P28" s="54"/>
      <c r="Q28" s="53"/>
      <c r="R28" s="54"/>
      <c r="S28" s="53"/>
      <c r="T28" s="54"/>
      <c r="U28" s="53"/>
      <c r="V28" s="54"/>
      <c r="W28" s="53"/>
      <c r="X28" s="54"/>
      <c r="Y28" s="53"/>
      <c r="Z28" s="54"/>
      <c r="AA28" s="53"/>
      <c r="AB28" s="54"/>
      <c r="AC28" s="53"/>
      <c r="AD28" s="54"/>
      <c r="AE28" s="53"/>
      <c r="AF28" s="54"/>
      <c r="AG28" s="53"/>
      <c r="AH28" s="54"/>
      <c r="AI28" s="53"/>
      <c r="AJ28" s="54"/>
      <c r="AK28" s="53"/>
      <c r="AL28" s="54"/>
      <c r="AM28" s="53"/>
      <c r="AN28" s="54"/>
      <c r="AO28" s="53"/>
      <c r="AP28" s="54"/>
      <c r="AQ28" s="53"/>
      <c r="AR28" s="54"/>
      <c r="AS28" s="53"/>
      <c r="AT28" s="54"/>
      <c r="AU28" s="53"/>
      <c r="AV28" s="54"/>
      <c r="AW28" s="53"/>
      <c r="AX28" s="54"/>
      <c r="AY28" s="53"/>
      <c r="AZ28" s="54"/>
      <c r="BA28" s="53"/>
      <c r="BB28" s="51"/>
      <c r="BC28" s="53"/>
      <c r="BD28" s="51"/>
      <c r="BE28" s="53"/>
      <c r="BF28" s="51"/>
      <c r="BG28" s="53"/>
      <c r="BH28" s="51"/>
      <c r="BI28" s="53"/>
      <c r="BJ28" s="51"/>
      <c r="BK28" s="53"/>
      <c r="BL28" s="51"/>
      <c r="BM28" s="53"/>
      <c r="BN28" s="51"/>
      <c r="BO28" s="53"/>
      <c r="BP28" s="51"/>
      <c r="BQ28" s="53"/>
      <c r="BR28" s="55"/>
    </row>
    <row r="29" spans="1:70" ht="28.5" customHeight="1">
      <c r="A29" s="56" t="s">
        <v>2760</v>
      </c>
      <c r="B29" s="51" t="str">
        <f t="shared" si="0"/>
        <v>giftcodesbanner/崩壞：星穹鐵道-bar.jpg</v>
      </c>
      <c r="C29" s="51"/>
      <c r="D29" s="51" t="str">
        <f t="shared" si="1"/>
        <v>https://www.ssbuy.tw/detail_giftcode/dist/giftcodes/崩壞：星穹鐵道.html</v>
      </c>
      <c r="E29" s="105" t="s">
        <v>2761</v>
      </c>
      <c r="F29" s="103" t="s">
        <v>2672</v>
      </c>
      <c r="G29" s="52" t="s">
        <v>1711</v>
      </c>
      <c r="H29" s="52" t="s">
        <v>1840</v>
      </c>
      <c r="I29" s="51"/>
      <c r="J29" s="91"/>
      <c r="K29" s="92" t="s">
        <v>2762</v>
      </c>
      <c r="L29" s="51" t="s">
        <v>2763</v>
      </c>
      <c r="M29" s="53"/>
      <c r="N29" s="54"/>
      <c r="O29" s="53"/>
      <c r="P29" s="54"/>
      <c r="Q29" s="53"/>
      <c r="R29" s="54"/>
      <c r="S29" s="53"/>
      <c r="T29" s="54"/>
      <c r="U29" s="53"/>
      <c r="V29" s="54"/>
      <c r="W29" s="53"/>
      <c r="X29" s="54"/>
      <c r="Y29" s="53"/>
      <c r="Z29" s="54"/>
      <c r="AA29" s="53"/>
      <c r="AB29" s="54"/>
      <c r="AC29" s="53"/>
      <c r="AD29" s="54"/>
      <c r="AE29" s="53"/>
      <c r="AF29" s="54"/>
      <c r="AG29" s="53"/>
      <c r="AH29" s="54"/>
      <c r="AI29" s="53"/>
      <c r="AJ29" s="54"/>
      <c r="AK29" s="53"/>
      <c r="AL29" s="54"/>
      <c r="AM29" s="53"/>
      <c r="AN29" s="54"/>
      <c r="AO29" s="53"/>
      <c r="AP29" s="54"/>
      <c r="AQ29" s="53"/>
      <c r="AR29" s="54"/>
      <c r="AS29" s="53"/>
      <c r="AT29" s="54"/>
      <c r="AU29" s="53"/>
      <c r="AV29" s="54"/>
      <c r="AW29" s="53"/>
      <c r="AX29" s="54"/>
      <c r="AY29" s="53"/>
      <c r="AZ29" s="54"/>
      <c r="BA29" s="53"/>
      <c r="BB29" s="51"/>
      <c r="BC29" s="53"/>
      <c r="BD29" s="51"/>
      <c r="BE29" s="53"/>
      <c r="BF29" s="51"/>
      <c r="BG29" s="53"/>
      <c r="BH29" s="51"/>
      <c r="BI29" s="53"/>
      <c r="BJ29" s="51"/>
      <c r="BK29" s="53"/>
      <c r="BL29" s="51"/>
      <c r="BM29" s="53"/>
      <c r="BN29" s="51"/>
      <c r="BO29" s="53"/>
      <c r="BP29" s="51"/>
      <c r="BQ29" s="53"/>
      <c r="BR29" s="55"/>
    </row>
    <row r="30" spans="1:70" ht="28.5" customHeight="1">
      <c r="A30" s="56" t="s">
        <v>610</v>
      </c>
      <c r="B30" s="51" t="str">
        <f t="shared" si="0"/>
        <v>giftcodesbanner/救世者之樹：新世界-bar.jpg</v>
      </c>
      <c r="C30" s="51"/>
      <c r="D30" s="51" t="str">
        <f t="shared" si="1"/>
        <v>https://www.ssbuy.tw/detail_giftcode/dist/giftcodes/救世者之樹：新世界.html</v>
      </c>
      <c r="E30" s="105" t="s">
        <v>2764</v>
      </c>
      <c r="F30" s="103" t="s">
        <v>2672</v>
      </c>
      <c r="G30" s="52" t="s">
        <v>1711</v>
      </c>
      <c r="H30" s="52" t="s">
        <v>2673</v>
      </c>
      <c r="I30" s="51"/>
      <c r="J30" s="91"/>
      <c r="K30" s="92" t="s">
        <v>2765</v>
      </c>
      <c r="L30" s="51" t="s">
        <v>2766</v>
      </c>
      <c r="M30" s="53" t="s">
        <v>2767</v>
      </c>
      <c r="N30" s="54" t="s">
        <v>1845</v>
      </c>
      <c r="O30" s="53" t="s">
        <v>2768</v>
      </c>
      <c r="P30" s="54" t="s">
        <v>2769</v>
      </c>
      <c r="Q30" s="53" t="s">
        <v>2770</v>
      </c>
      <c r="R30" s="54" t="s">
        <v>1713</v>
      </c>
      <c r="S30" s="53" t="s">
        <v>2771</v>
      </c>
      <c r="T30" s="54" t="s">
        <v>1713</v>
      </c>
      <c r="U30" s="53" t="s">
        <v>2772</v>
      </c>
      <c r="V30" s="54" t="s">
        <v>1713</v>
      </c>
      <c r="W30" s="53" t="s">
        <v>1846</v>
      </c>
      <c r="X30" s="54" t="s">
        <v>1713</v>
      </c>
      <c r="Y30" s="53" t="s">
        <v>2773</v>
      </c>
      <c r="Z30" s="54" t="s">
        <v>1713</v>
      </c>
      <c r="AA30" s="53"/>
      <c r="AB30" s="54"/>
      <c r="AC30" s="53"/>
      <c r="AD30" s="54"/>
      <c r="AE30" s="53"/>
      <c r="AF30" s="54"/>
      <c r="AG30" s="53"/>
      <c r="AH30" s="54"/>
      <c r="AI30" s="53"/>
      <c r="AJ30" s="54"/>
      <c r="AK30" s="53"/>
      <c r="AL30" s="54"/>
      <c r="AM30" s="53"/>
      <c r="AN30" s="54"/>
      <c r="AO30" s="53"/>
      <c r="AP30" s="54"/>
      <c r="AQ30" s="53"/>
      <c r="AR30" s="54"/>
      <c r="AS30" s="53"/>
      <c r="AT30" s="54"/>
      <c r="AU30" s="53"/>
      <c r="AV30" s="54"/>
      <c r="AW30" s="53"/>
      <c r="AX30" s="54"/>
      <c r="AY30" s="53"/>
      <c r="AZ30" s="54"/>
      <c r="BA30" s="53"/>
      <c r="BB30" s="51"/>
      <c r="BC30" s="53"/>
      <c r="BD30" s="51"/>
      <c r="BE30" s="53"/>
      <c r="BF30" s="51"/>
      <c r="BG30" s="53"/>
      <c r="BH30" s="51"/>
      <c r="BI30" s="53"/>
      <c r="BJ30" s="51"/>
      <c r="BK30" s="53"/>
      <c r="BL30" s="51"/>
      <c r="BM30" s="53"/>
      <c r="BN30" s="51"/>
      <c r="BO30" s="53"/>
      <c r="BP30" s="51"/>
      <c r="BQ30" s="53"/>
      <c r="BR30" s="55"/>
    </row>
    <row r="31" spans="1:70" ht="28.5" customHeight="1">
      <c r="A31" s="56" t="s">
        <v>618</v>
      </c>
      <c r="B31" s="51" t="str">
        <f t="shared" si="0"/>
        <v>giftcodesbanner/球球英雄-bar.jpg</v>
      </c>
      <c r="C31" s="51"/>
      <c r="D31" s="51" t="str">
        <f t="shared" si="1"/>
        <v>https://www.ssbuy.tw/detail_giftcode/dist/giftcodes/球球英雄.html</v>
      </c>
      <c r="E31" s="105" t="s">
        <v>2774</v>
      </c>
      <c r="F31" s="103" t="s">
        <v>2672</v>
      </c>
      <c r="G31" s="52" t="s">
        <v>1711</v>
      </c>
      <c r="H31" s="52" t="s">
        <v>2673</v>
      </c>
      <c r="I31" s="51"/>
      <c r="J31" s="91"/>
      <c r="K31" s="92" t="s">
        <v>2775</v>
      </c>
      <c r="L31" s="51" t="s">
        <v>1713</v>
      </c>
      <c r="M31" s="53" t="s">
        <v>2776</v>
      </c>
      <c r="N31" s="54" t="s">
        <v>1713</v>
      </c>
      <c r="O31" s="53" t="s">
        <v>2777</v>
      </c>
      <c r="P31" s="54" t="s">
        <v>1713</v>
      </c>
      <c r="Q31" s="53"/>
      <c r="R31" s="54"/>
      <c r="S31" s="53"/>
      <c r="T31" s="54"/>
      <c r="U31" s="53"/>
      <c r="V31" s="54"/>
      <c r="W31" s="53"/>
      <c r="X31" s="54"/>
      <c r="Y31" s="53"/>
      <c r="Z31" s="54"/>
      <c r="AA31" s="53"/>
      <c r="AB31" s="54"/>
      <c r="AC31" s="53"/>
      <c r="AD31" s="54"/>
      <c r="AE31" s="53"/>
      <c r="AF31" s="54"/>
      <c r="AG31" s="53"/>
      <c r="AH31" s="54"/>
      <c r="AI31" s="53"/>
      <c r="AJ31" s="54"/>
      <c r="AK31" s="53"/>
      <c r="AL31" s="54"/>
      <c r="AM31" s="53"/>
      <c r="AN31" s="54"/>
      <c r="AO31" s="53"/>
      <c r="AP31" s="54"/>
      <c r="AQ31" s="53"/>
      <c r="AR31" s="54"/>
      <c r="AS31" s="53"/>
      <c r="AT31" s="54"/>
      <c r="AU31" s="53"/>
      <c r="AV31" s="54"/>
      <c r="AW31" s="53"/>
      <c r="AX31" s="54"/>
      <c r="AY31" s="53"/>
      <c r="AZ31" s="54"/>
      <c r="BA31" s="53"/>
      <c r="BB31" s="51"/>
      <c r="BC31" s="53"/>
      <c r="BD31" s="51"/>
      <c r="BE31" s="53"/>
      <c r="BF31" s="51"/>
      <c r="BG31" s="53"/>
      <c r="BH31" s="51"/>
      <c r="BI31" s="53"/>
      <c r="BJ31" s="51"/>
      <c r="BK31" s="53"/>
      <c r="BL31" s="51"/>
      <c r="BM31" s="53"/>
      <c r="BN31" s="51"/>
      <c r="BO31" s="53"/>
      <c r="BP31" s="51"/>
      <c r="BQ31" s="53"/>
      <c r="BR31" s="55"/>
    </row>
    <row r="32" spans="1:70" ht="28.5" customHeight="1">
      <c r="A32" s="56" t="s">
        <v>626</v>
      </c>
      <c r="B32" s="51" t="str">
        <f t="shared" si="0"/>
        <v>giftcodesbanner/第七史詩-bar.jpg</v>
      </c>
      <c r="C32" s="51"/>
      <c r="D32" s="51" t="str">
        <f t="shared" si="1"/>
        <v>https://www.ssbuy.tw/detail_giftcode/dist/giftcodes/第七史詩.html</v>
      </c>
      <c r="E32" s="91" t="s">
        <v>2778</v>
      </c>
      <c r="F32" s="103" t="s">
        <v>2683</v>
      </c>
      <c r="G32" s="52" t="s">
        <v>1711</v>
      </c>
      <c r="H32" s="52" t="s">
        <v>2668</v>
      </c>
      <c r="I32" s="51"/>
      <c r="J32" s="91"/>
      <c r="K32" s="92" t="s">
        <v>2779</v>
      </c>
      <c r="L32" s="51" t="s">
        <v>2780</v>
      </c>
      <c r="M32" s="53"/>
      <c r="N32" s="54"/>
      <c r="O32" s="53"/>
      <c r="P32" s="54"/>
      <c r="Q32" s="53"/>
      <c r="R32" s="54"/>
      <c r="S32" s="53"/>
      <c r="T32" s="54"/>
      <c r="U32" s="53"/>
      <c r="V32" s="54"/>
      <c r="W32" s="53"/>
      <c r="X32" s="54"/>
      <c r="Y32" s="53"/>
      <c r="Z32" s="54"/>
      <c r="AA32" s="53"/>
      <c r="AB32" s="54"/>
      <c r="AC32" s="53"/>
      <c r="AD32" s="54"/>
      <c r="AE32" s="53"/>
      <c r="AF32" s="54"/>
      <c r="AG32" s="53"/>
      <c r="AH32" s="54"/>
      <c r="AI32" s="53"/>
      <c r="AJ32" s="54"/>
      <c r="AK32" s="53"/>
      <c r="AL32" s="54"/>
      <c r="AM32" s="53"/>
      <c r="AN32" s="54"/>
      <c r="AO32" s="53"/>
      <c r="AP32" s="54"/>
      <c r="AQ32" s="53"/>
      <c r="AR32" s="54"/>
      <c r="AS32" s="53"/>
      <c r="AT32" s="54"/>
      <c r="AU32" s="53"/>
      <c r="AV32" s="54"/>
      <c r="AW32" s="53"/>
      <c r="AX32" s="54"/>
      <c r="AY32" s="53"/>
      <c r="AZ32" s="54"/>
      <c r="BA32" s="53"/>
      <c r="BB32" s="51"/>
      <c r="BC32" s="53"/>
      <c r="BD32" s="51"/>
      <c r="BE32" s="53"/>
      <c r="BF32" s="51"/>
      <c r="BG32" s="53"/>
      <c r="BH32" s="51"/>
      <c r="BI32" s="53"/>
      <c r="BJ32" s="51"/>
      <c r="BK32" s="53"/>
      <c r="BL32" s="51"/>
      <c r="BM32" s="53"/>
      <c r="BN32" s="51"/>
      <c r="BO32" s="53"/>
      <c r="BP32" s="51"/>
      <c r="BQ32" s="53"/>
      <c r="BR32" s="55"/>
    </row>
    <row r="33" spans="1:70" ht="28.5" customHeight="1">
      <c r="A33" s="56" t="s">
        <v>2781</v>
      </c>
      <c r="B33" s="51" t="str">
        <f t="shared" si="0"/>
        <v>giftcodesbanner/創世紀戰M：阿修羅計畫-bar.jpg</v>
      </c>
      <c r="C33" s="51"/>
      <c r="D33" s="51" t="str">
        <f t="shared" si="1"/>
        <v>https://www.ssbuy.tw/detail_giftcode/dist/giftcodes/創世紀戰M：阿修羅計畫.html</v>
      </c>
      <c r="E33" s="105" t="s">
        <v>2782</v>
      </c>
      <c r="F33" s="103" t="s">
        <v>2672</v>
      </c>
      <c r="G33" s="52" t="s">
        <v>1711</v>
      </c>
      <c r="H33" s="52" t="s">
        <v>2668</v>
      </c>
      <c r="I33" s="51"/>
      <c r="J33" s="91"/>
      <c r="K33" s="92" t="s">
        <v>2783</v>
      </c>
      <c r="L33" s="51" t="s">
        <v>1713</v>
      </c>
      <c r="M33" s="53" t="s">
        <v>2784</v>
      </c>
      <c r="N33" s="54" t="s">
        <v>1713</v>
      </c>
      <c r="O33" s="53" t="s">
        <v>2785</v>
      </c>
      <c r="P33" s="54" t="s">
        <v>1713</v>
      </c>
      <c r="Q33" s="53" t="s">
        <v>2786</v>
      </c>
      <c r="R33" s="54" t="s">
        <v>1713</v>
      </c>
      <c r="S33" s="53" t="s">
        <v>2787</v>
      </c>
      <c r="T33" s="54" t="s">
        <v>1713</v>
      </c>
      <c r="U33" s="53" t="s">
        <v>2788</v>
      </c>
      <c r="V33" s="54" t="s">
        <v>1713</v>
      </c>
      <c r="W33" s="53" t="s">
        <v>2789</v>
      </c>
      <c r="X33" s="54" t="s">
        <v>1713</v>
      </c>
      <c r="Y33" s="53" t="s">
        <v>2790</v>
      </c>
      <c r="Z33" s="54" t="s">
        <v>1713</v>
      </c>
      <c r="AA33" s="53" t="s">
        <v>2791</v>
      </c>
      <c r="AB33" s="54" t="s">
        <v>1713</v>
      </c>
      <c r="AC33" s="53" t="s">
        <v>2792</v>
      </c>
      <c r="AD33" s="54" t="s">
        <v>1713</v>
      </c>
      <c r="AE33" s="53" t="s">
        <v>2793</v>
      </c>
      <c r="AF33" s="54" t="s">
        <v>1713</v>
      </c>
      <c r="AG33" s="53"/>
      <c r="AH33" s="54"/>
      <c r="AI33" s="53"/>
      <c r="AJ33" s="54"/>
      <c r="AK33" s="53"/>
      <c r="AL33" s="54"/>
      <c r="AM33" s="53"/>
      <c r="AN33" s="54"/>
      <c r="AO33" s="53"/>
      <c r="AP33" s="54"/>
      <c r="AQ33" s="53"/>
      <c r="AR33" s="54"/>
      <c r="AS33" s="53"/>
      <c r="AT33" s="54"/>
      <c r="AU33" s="53"/>
      <c r="AV33" s="54"/>
      <c r="AW33" s="53"/>
      <c r="AX33" s="54"/>
      <c r="AY33" s="53"/>
      <c r="AZ33" s="54"/>
      <c r="BA33" s="53"/>
      <c r="BB33" s="51"/>
      <c r="BC33" s="53"/>
      <c r="BD33" s="51"/>
      <c r="BE33" s="53"/>
      <c r="BF33" s="51"/>
      <c r="BG33" s="53"/>
      <c r="BH33" s="51"/>
      <c r="BI33" s="53"/>
      <c r="BJ33" s="51"/>
      <c r="BK33" s="53"/>
      <c r="BL33" s="51"/>
      <c r="BM33" s="53"/>
      <c r="BN33" s="51"/>
      <c r="BO33" s="53"/>
      <c r="BP33" s="51"/>
      <c r="BQ33" s="53"/>
      <c r="BR33" s="55"/>
    </row>
    <row r="34" spans="1:70" ht="28.5" customHeight="1">
      <c r="A34" s="56" t="s">
        <v>2794</v>
      </c>
      <c r="B34" s="51" t="str">
        <f t="shared" si="0"/>
        <v>giftcodesbanner/最強宗師-bar.jpg</v>
      </c>
      <c r="C34" s="51"/>
      <c r="D34" s="51" t="str">
        <f t="shared" si="1"/>
        <v>https://www.ssbuy.tw/detail_giftcode/dist/giftcodes/最強宗師.html</v>
      </c>
      <c r="E34" s="91" t="s">
        <v>2795</v>
      </c>
      <c r="F34" s="103" t="s">
        <v>2672</v>
      </c>
      <c r="G34" s="52" t="s">
        <v>1711</v>
      </c>
      <c r="H34" s="52" t="s">
        <v>2673</v>
      </c>
      <c r="I34" s="51"/>
      <c r="J34" s="91"/>
      <c r="K34" s="92" t="s">
        <v>2796</v>
      </c>
      <c r="L34" s="51" t="s">
        <v>1713</v>
      </c>
      <c r="M34" s="53" t="s">
        <v>2797</v>
      </c>
      <c r="N34" s="54" t="s">
        <v>1713</v>
      </c>
      <c r="O34" s="53" t="s">
        <v>2798</v>
      </c>
      <c r="P34" s="54" t="s">
        <v>1713</v>
      </c>
      <c r="Q34" s="53" t="s">
        <v>2799</v>
      </c>
      <c r="R34" s="54" t="s">
        <v>1713</v>
      </c>
      <c r="S34" s="53" t="s">
        <v>2800</v>
      </c>
      <c r="T34" s="54" t="s">
        <v>1713</v>
      </c>
      <c r="U34" s="53" t="s">
        <v>2801</v>
      </c>
      <c r="V34" s="54" t="s">
        <v>1713</v>
      </c>
      <c r="W34" s="53" t="s">
        <v>2802</v>
      </c>
      <c r="X34" s="54" t="s">
        <v>1713</v>
      </c>
      <c r="Y34" s="53" t="s">
        <v>2803</v>
      </c>
      <c r="Z34" s="54" t="s">
        <v>1713</v>
      </c>
      <c r="AA34" s="53" t="s">
        <v>2804</v>
      </c>
      <c r="AB34" s="54" t="s">
        <v>1713</v>
      </c>
      <c r="AC34" s="53" t="s">
        <v>2805</v>
      </c>
      <c r="AD34" s="54" t="s">
        <v>1713</v>
      </c>
      <c r="AE34" s="53" t="s">
        <v>2806</v>
      </c>
      <c r="AF34" s="54" t="s">
        <v>1713</v>
      </c>
      <c r="AG34" s="53" t="s">
        <v>2807</v>
      </c>
      <c r="AH34" s="54" t="s">
        <v>1713</v>
      </c>
      <c r="AI34" s="53"/>
      <c r="AJ34" s="54"/>
      <c r="AK34" s="53"/>
      <c r="AL34" s="54"/>
      <c r="AM34" s="53"/>
      <c r="AN34" s="54"/>
      <c r="AO34" s="53"/>
      <c r="AP34" s="54"/>
      <c r="AQ34" s="53"/>
      <c r="AR34" s="54"/>
      <c r="AS34" s="53"/>
      <c r="AT34" s="54"/>
      <c r="AU34" s="53"/>
      <c r="AV34" s="54"/>
      <c r="AW34" s="53"/>
      <c r="AX34" s="54"/>
      <c r="AY34" s="53"/>
      <c r="AZ34" s="54"/>
      <c r="BA34" s="53"/>
      <c r="BB34" s="51"/>
      <c r="BC34" s="53"/>
      <c r="BD34" s="51"/>
      <c r="BE34" s="53"/>
      <c r="BF34" s="51"/>
      <c r="BG34" s="53"/>
      <c r="BH34" s="51"/>
      <c r="BI34" s="53"/>
      <c r="BJ34" s="51"/>
      <c r="BK34" s="53"/>
      <c r="BL34" s="51"/>
      <c r="BM34" s="53"/>
      <c r="BN34" s="51"/>
      <c r="BO34" s="53"/>
      <c r="BP34" s="51"/>
      <c r="BQ34" s="53"/>
      <c r="BR34" s="55"/>
    </row>
    <row r="35" spans="1:70" ht="28.5" customHeight="1">
      <c r="A35" s="56" t="s">
        <v>655</v>
      </c>
      <c r="B35" s="51" t="str">
        <f t="shared" si="0"/>
        <v>giftcodesbanner/無期迷途-bar.jpg</v>
      </c>
      <c r="C35" s="51"/>
      <c r="D35" s="51" t="str">
        <f t="shared" si="1"/>
        <v>https://www.ssbuy.tw/detail_giftcode/dist/giftcodes/無期迷途.html</v>
      </c>
      <c r="E35" s="105" t="s">
        <v>2808</v>
      </c>
      <c r="F35" s="103" t="s">
        <v>2672</v>
      </c>
      <c r="G35" s="52" t="s">
        <v>1711</v>
      </c>
      <c r="H35" s="52" t="s">
        <v>2673</v>
      </c>
      <c r="I35" s="51"/>
      <c r="J35" s="91"/>
      <c r="K35" s="92" t="s">
        <v>2809</v>
      </c>
      <c r="L35" s="51" t="s">
        <v>1713</v>
      </c>
      <c r="M35" s="53" t="s">
        <v>2810</v>
      </c>
      <c r="N35" s="54" t="s">
        <v>1713</v>
      </c>
      <c r="O35" s="53" t="s">
        <v>2811</v>
      </c>
      <c r="P35" s="54" t="s">
        <v>1713</v>
      </c>
      <c r="Q35" s="53" t="s">
        <v>2812</v>
      </c>
      <c r="R35" s="54" t="s">
        <v>1713</v>
      </c>
      <c r="S35" s="53"/>
      <c r="T35" s="54"/>
      <c r="U35" s="53"/>
      <c r="V35" s="54"/>
      <c r="W35" s="53"/>
      <c r="X35" s="54"/>
      <c r="Y35" s="53"/>
      <c r="Z35" s="54"/>
      <c r="AA35" s="53"/>
      <c r="AB35" s="54"/>
      <c r="AC35" s="53"/>
      <c r="AD35" s="54"/>
      <c r="AE35" s="53"/>
      <c r="AF35" s="54"/>
      <c r="AG35" s="53"/>
      <c r="AH35" s="54"/>
      <c r="AI35" s="53"/>
      <c r="AJ35" s="54"/>
      <c r="AK35" s="53"/>
      <c r="AL35" s="54"/>
      <c r="AM35" s="53"/>
      <c r="AN35" s="54"/>
      <c r="AO35" s="53"/>
      <c r="AP35" s="54"/>
      <c r="AQ35" s="53"/>
      <c r="AR35" s="54"/>
      <c r="AS35" s="53"/>
      <c r="AT35" s="54"/>
      <c r="AU35" s="53"/>
      <c r="AV35" s="54"/>
      <c r="AW35" s="53"/>
      <c r="AX35" s="54"/>
      <c r="AY35" s="53"/>
      <c r="AZ35" s="54"/>
      <c r="BA35" s="53"/>
      <c r="BB35" s="51"/>
      <c r="BC35" s="53"/>
      <c r="BD35" s="51"/>
      <c r="BE35" s="53"/>
      <c r="BF35" s="51"/>
      <c r="BG35" s="53"/>
      <c r="BH35" s="51"/>
      <c r="BI35" s="53"/>
      <c r="BJ35" s="51"/>
      <c r="BK35" s="53"/>
      <c r="BL35" s="51"/>
      <c r="BM35" s="53"/>
      <c r="BN35" s="51"/>
      <c r="BO35" s="53"/>
      <c r="BP35" s="51"/>
      <c r="BQ35" s="53"/>
      <c r="BR35" s="55"/>
    </row>
    <row r="36" spans="1:70" ht="28.5" customHeight="1">
      <c r="A36" s="56" t="s">
        <v>663</v>
      </c>
      <c r="B36" s="51" t="str">
        <f t="shared" si="0"/>
        <v>giftcodesbanner/絕區零-bar.jpg</v>
      </c>
      <c r="C36" s="51"/>
      <c r="D36" s="51" t="str">
        <f t="shared" si="1"/>
        <v>https://www.ssbuy.tw/detail_giftcode/dist/giftcodes/絕區零.html</v>
      </c>
      <c r="E36" s="91" t="s">
        <v>2813</v>
      </c>
      <c r="F36" s="103" t="s">
        <v>2672</v>
      </c>
      <c r="G36" s="52" t="s">
        <v>1711</v>
      </c>
      <c r="H36" s="52" t="s">
        <v>2673</v>
      </c>
      <c r="I36" s="51"/>
      <c r="J36" s="91"/>
      <c r="K36" s="92" t="s">
        <v>2814</v>
      </c>
      <c r="L36" s="51" t="s">
        <v>2815</v>
      </c>
      <c r="M36" s="53" t="s">
        <v>2816</v>
      </c>
      <c r="N36" s="54" t="s">
        <v>2817</v>
      </c>
      <c r="O36" s="53" t="s">
        <v>2818</v>
      </c>
      <c r="P36" s="54" t="s">
        <v>2819</v>
      </c>
      <c r="Q36" s="53" t="s">
        <v>2820</v>
      </c>
      <c r="R36" s="54" t="s">
        <v>2821</v>
      </c>
      <c r="S36" s="53" t="s">
        <v>2822</v>
      </c>
      <c r="T36" s="54" t="s">
        <v>2823</v>
      </c>
      <c r="U36" s="53" t="s">
        <v>2824</v>
      </c>
      <c r="V36" s="54" t="s">
        <v>2823</v>
      </c>
      <c r="W36" s="53" t="s">
        <v>2825</v>
      </c>
      <c r="X36" s="54" t="s">
        <v>2826</v>
      </c>
      <c r="Y36" s="53"/>
      <c r="Z36" s="54"/>
      <c r="AA36" s="53"/>
      <c r="AB36" s="54"/>
      <c r="AC36" s="53"/>
      <c r="AD36" s="54"/>
      <c r="AE36" s="53"/>
      <c r="AF36" s="54"/>
      <c r="AG36" s="53"/>
      <c r="AH36" s="54"/>
      <c r="AI36" s="53"/>
      <c r="AJ36" s="54"/>
      <c r="AK36" s="53"/>
      <c r="AL36" s="54"/>
      <c r="AM36" s="53"/>
      <c r="AN36" s="54"/>
      <c r="AO36" s="53"/>
      <c r="AP36" s="54"/>
      <c r="AQ36" s="53"/>
      <c r="AR36" s="54"/>
      <c r="AS36" s="53"/>
      <c r="AT36" s="54"/>
      <c r="AU36" s="53"/>
      <c r="AV36" s="54"/>
      <c r="AW36" s="53"/>
      <c r="AX36" s="54"/>
      <c r="AY36" s="53"/>
      <c r="AZ36" s="54"/>
      <c r="BA36" s="53"/>
      <c r="BB36" s="51"/>
      <c r="BC36" s="53"/>
      <c r="BD36" s="51"/>
      <c r="BE36" s="53"/>
      <c r="BF36" s="51"/>
      <c r="BG36" s="53"/>
      <c r="BH36" s="51"/>
      <c r="BI36" s="53"/>
      <c r="BJ36" s="51"/>
      <c r="BK36" s="53"/>
      <c r="BL36" s="51"/>
      <c r="BM36" s="53"/>
      <c r="BN36" s="51"/>
      <c r="BO36" s="53"/>
      <c r="BP36" s="51"/>
      <c r="BQ36" s="53"/>
      <c r="BR36" s="55"/>
    </row>
    <row r="37" spans="1:70" ht="28.5" customHeight="1">
      <c r="A37" s="56" t="s">
        <v>674</v>
      </c>
      <c r="B37" s="51" t="str">
        <f t="shared" si="0"/>
        <v>giftcodesbanner/傳說對決-bar.jpg</v>
      </c>
      <c r="C37" s="51"/>
      <c r="D37" s="51" t="str">
        <f t="shared" si="1"/>
        <v>https://www.ssbuy.tw/detail_giftcode/dist/giftcodes/傳說對決.html</v>
      </c>
      <c r="E37" s="91" t="s">
        <v>2827</v>
      </c>
      <c r="F37" s="103" t="s">
        <v>2672</v>
      </c>
      <c r="G37" s="52" t="s">
        <v>1711</v>
      </c>
      <c r="H37" s="52" t="s">
        <v>1840</v>
      </c>
      <c r="I37" s="51"/>
      <c r="J37" s="91"/>
      <c r="K37" s="92" t="s">
        <v>2160</v>
      </c>
      <c r="L37" s="51" t="s">
        <v>1847</v>
      </c>
      <c r="M37" s="53" t="s">
        <v>2828</v>
      </c>
      <c r="N37" s="54" t="s">
        <v>2829</v>
      </c>
      <c r="O37" s="53"/>
      <c r="P37" s="54"/>
      <c r="Q37" s="53"/>
      <c r="R37" s="54"/>
      <c r="S37" s="53"/>
      <c r="T37" s="54"/>
      <c r="U37" s="53"/>
      <c r="V37" s="54"/>
      <c r="W37" s="53"/>
      <c r="X37" s="54"/>
      <c r="Y37" s="53"/>
      <c r="Z37" s="54"/>
      <c r="AA37" s="53"/>
      <c r="AB37" s="54"/>
      <c r="AC37" s="53"/>
      <c r="AD37" s="54"/>
      <c r="AE37" s="53"/>
      <c r="AF37" s="54"/>
      <c r="AG37" s="53"/>
      <c r="AH37" s="54"/>
      <c r="AI37" s="53"/>
      <c r="AJ37" s="54"/>
      <c r="AK37" s="53"/>
      <c r="AL37" s="54"/>
      <c r="AM37" s="53"/>
      <c r="AN37" s="54"/>
      <c r="AO37" s="53"/>
      <c r="AP37" s="54"/>
      <c r="AQ37" s="53"/>
      <c r="AR37" s="54"/>
      <c r="AS37" s="53"/>
      <c r="AT37" s="54"/>
      <c r="AU37" s="53"/>
      <c r="AV37" s="54"/>
      <c r="AW37" s="53"/>
      <c r="AX37" s="54"/>
      <c r="AY37" s="53"/>
      <c r="AZ37" s="54"/>
      <c r="BA37" s="53"/>
      <c r="BB37" s="51"/>
      <c r="BC37" s="53"/>
      <c r="BD37" s="51"/>
      <c r="BE37" s="53"/>
      <c r="BF37" s="51"/>
      <c r="BG37" s="53"/>
      <c r="BH37" s="51"/>
      <c r="BI37" s="53"/>
      <c r="BJ37" s="51"/>
      <c r="BK37" s="53"/>
      <c r="BL37" s="51"/>
      <c r="BM37" s="53"/>
      <c r="BN37" s="51"/>
      <c r="BO37" s="53"/>
      <c r="BP37" s="51"/>
      <c r="BQ37" s="53"/>
      <c r="BR37" s="55"/>
    </row>
    <row r="38" spans="1:70" ht="28.5" customHeight="1">
      <c r="A38" s="56" t="s">
        <v>2830</v>
      </c>
      <c r="B38" s="51" t="str">
        <f t="shared" si="0"/>
        <v>giftcodesbanner/楓之谷M-bar.jpg</v>
      </c>
      <c r="C38" s="51"/>
      <c r="D38" s="51" t="str">
        <f t="shared" si="1"/>
        <v>https://www.ssbuy.tw/detail_giftcode/dist/giftcodes/楓之谷M.html</v>
      </c>
      <c r="E38" s="91" t="s">
        <v>2831</v>
      </c>
      <c r="F38" s="103" t="s">
        <v>2672</v>
      </c>
      <c r="G38" s="52" t="s">
        <v>1711</v>
      </c>
      <c r="H38" s="52" t="s">
        <v>2673</v>
      </c>
      <c r="I38" s="51"/>
      <c r="J38" s="91"/>
      <c r="K38" s="92" t="s">
        <v>2832</v>
      </c>
      <c r="L38" s="51" t="s">
        <v>2833</v>
      </c>
      <c r="M38" s="53" t="s">
        <v>1848</v>
      </c>
      <c r="N38" s="54" t="s">
        <v>2834</v>
      </c>
      <c r="O38" s="53" t="s">
        <v>2835</v>
      </c>
      <c r="P38" s="54" t="s">
        <v>1713</v>
      </c>
      <c r="Q38" s="53" t="s">
        <v>2836</v>
      </c>
      <c r="R38" s="54" t="s">
        <v>1713</v>
      </c>
      <c r="S38" s="53"/>
      <c r="T38" s="54"/>
      <c r="U38" s="53"/>
      <c r="V38" s="54"/>
      <c r="W38" s="53"/>
      <c r="X38" s="54"/>
      <c r="Y38" s="53"/>
      <c r="Z38" s="54"/>
      <c r="AA38" s="53"/>
      <c r="AB38" s="54"/>
      <c r="AC38" s="53"/>
      <c r="AD38" s="54"/>
      <c r="AE38" s="53"/>
      <c r="AF38" s="54"/>
      <c r="AG38" s="53"/>
      <c r="AH38" s="54"/>
      <c r="AI38" s="53"/>
      <c r="AJ38" s="54"/>
      <c r="AK38" s="53"/>
      <c r="AL38" s="54"/>
      <c r="AM38" s="53"/>
      <c r="AN38" s="54"/>
      <c r="AO38" s="53"/>
      <c r="AP38" s="54"/>
      <c r="AQ38" s="53"/>
      <c r="AR38" s="54"/>
      <c r="AS38" s="53"/>
      <c r="AT38" s="54"/>
      <c r="AU38" s="53"/>
      <c r="AV38" s="54"/>
      <c r="AW38" s="53"/>
      <c r="AX38" s="54"/>
      <c r="AY38" s="53"/>
      <c r="AZ38" s="54"/>
      <c r="BA38" s="53"/>
      <c r="BB38" s="51"/>
      <c r="BC38" s="53"/>
      <c r="BD38" s="51"/>
      <c r="BE38" s="53"/>
      <c r="BF38" s="51"/>
      <c r="BG38" s="53"/>
      <c r="BH38" s="51"/>
      <c r="BI38" s="53"/>
      <c r="BJ38" s="51"/>
      <c r="BK38" s="53"/>
      <c r="BL38" s="51"/>
      <c r="BM38" s="53"/>
      <c r="BN38" s="51"/>
      <c r="BO38" s="53"/>
      <c r="BP38" s="51"/>
      <c r="BQ38" s="53"/>
      <c r="BR38" s="55"/>
    </row>
    <row r="39" spans="1:70" ht="28.5" customHeight="1">
      <c r="A39" s="56" t="s">
        <v>692</v>
      </c>
      <c r="B39" s="51" t="str">
        <f t="shared" si="0"/>
        <v>giftcodesbanner/鳴潮-bar.jpg</v>
      </c>
      <c r="C39" s="51"/>
      <c r="D39" s="51" t="str">
        <f t="shared" si="1"/>
        <v>https://www.ssbuy.tw/detail_giftcode/dist/giftcodes/鳴潮.html</v>
      </c>
      <c r="E39" s="91" t="s">
        <v>2837</v>
      </c>
      <c r="F39" s="103" t="s">
        <v>2672</v>
      </c>
      <c r="G39" s="52" t="s">
        <v>1711</v>
      </c>
      <c r="H39" s="52" t="s">
        <v>1840</v>
      </c>
      <c r="I39" s="51"/>
      <c r="J39" s="91"/>
      <c r="K39" s="92" t="s">
        <v>2838</v>
      </c>
      <c r="L39" s="51" t="s">
        <v>2839</v>
      </c>
      <c r="M39" s="53" t="s">
        <v>1849</v>
      </c>
      <c r="N39" s="54" t="s">
        <v>2840</v>
      </c>
      <c r="O39" s="53" t="s">
        <v>2841</v>
      </c>
      <c r="P39" s="54" t="s">
        <v>2842</v>
      </c>
      <c r="Q39" s="53" t="s">
        <v>2843</v>
      </c>
      <c r="R39" s="54" t="s">
        <v>2844</v>
      </c>
      <c r="S39" s="53"/>
      <c r="T39" s="54"/>
      <c r="U39" s="53"/>
      <c r="V39" s="54"/>
      <c r="W39" s="53"/>
      <c r="X39" s="54"/>
      <c r="Y39" s="53"/>
      <c r="Z39" s="54"/>
      <c r="AA39" s="53"/>
      <c r="AB39" s="54"/>
      <c r="AC39" s="53"/>
      <c r="AD39" s="54"/>
      <c r="AE39" s="53"/>
      <c r="AF39" s="54"/>
      <c r="AG39" s="53"/>
      <c r="AH39" s="54"/>
      <c r="AI39" s="53"/>
      <c r="AJ39" s="54"/>
      <c r="AK39" s="53"/>
      <c r="AL39" s="54"/>
      <c r="AM39" s="53"/>
      <c r="AN39" s="54"/>
      <c r="AO39" s="53"/>
      <c r="AP39" s="54"/>
      <c r="AQ39" s="53"/>
      <c r="AR39" s="54"/>
      <c r="AS39" s="53"/>
      <c r="AT39" s="54"/>
      <c r="AU39" s="53"/>
      <c r="AV39" s="54"/>
      <c r="AW39" s="53"/>
      <c r="AX39" s="54"/>
      <c r="AY39" s="53"/>
      <c r="AZ39" s="54"/>
      <c r="BA39" s="53"/>
      <c r="BB39" s="51"/>
      <c r="BC39" s="53"/>
      <c r="BD39" s="51"/>
      <c r="BE39" s="53"/>
      <c r="BF39" s="51"/>
      <c r="BG39" s="53"/>
      <c r="BH39" s="51"/>
      <c r="BI39" s="53"/>
      <c r="BJ39" s="51"/>
      <c r="BK39" s="53"/>
      <c r="BL39" s="51"/>
      <c r="BM39" s="53"/>
      <c r="BN39" s="51"/>
      <c r="BO39" s="53"/>
      <c r="BP39" s="51"/>
      <c r="BQ39" s="53"/>
      <c r="BR39" s="55"/>
    </row>
    <row r="40" spans="1:70" ht="28.5" customHeight="1">
      <c r="A40" s="56" t="s">
        <v>2845</v>
      </c>
      <c r="B40" s="51" t="str">
        <f t="shared" si="0"/>
        <v>giftcodesbanner/劍與遠征：啟程-bar.jpg</v>
      </c>
      <c r="C40" s="51"/>
      <c r="D40" s="51" t="str">
        <f t="shared" si="1"/>
        <v>https://www.ssbuy.tw/detail_giftcode/dist/giftcodes/劍與遠征：啟程.html</v>
      </c>
      <c r="E40" s="91" t="s">
        <v>1850</v>
      </c>
      <c r="F40" s="103" t="s">
        <v>1740</v>
      </c>
      <c r="G40" s="52" t="s">
        <v>1711</v>
      </c>
      <c r="H40" s="52" t="s">
        <v>2673</v>
      </c>
      <c r="I40" s="51"/>
      <c r="J40" s="91"/>
      <c r="K40" s="92" t="s">
        <v>2846</v>
      </c>
      <c r="L40" s="51" t="s">
        <v>2847</v>
      </c>
      <c r="M40" s="53" t="s">
        <v>2848</v>
      </c>
      <c r="N40" s="60" t="s">
        <v>2849</v>
      </c>
      <c r="O40" s="53" t="s">
        <v>2850</v>
      </c>
      <c r="P40" s="54" t="s">
        <v>2851</v>
      </c>
      <c r="Q40" s="53" t="s">
        <v>2852</v>
      </c>
      <c r="R40" s="54" t="s">
        <v>2853</v>
      </c>
      <c r="S40" s="53" t="s">
        <v>2854</v>
      </c>
      <c r="T40" s="54" t="s">
        <v>2855</v>
      </c>
      <c r="U40" s="53"/>
      <c r="V40" s="54"/>
      <c r="W40" s="53"/>
      <c r="X40" s="54"/>
      <c r="Y40" s="53"/>
      <c r="Z40" s="54"/>
      <c r="AA40" s="53"/>
      <c r="AB40" s="54"/>
      <c r="AC40" s="53"/>
      <c r="AD40" s="54"/>
      <c r="AE40" s="53"/>
      <c r="AF40" s="54"/>
      <c r="AG40" s="53"/>
      <c r="AH40" s="54"/>
      <c r="AI40" s="53"/>
      <c r="AJ40" s="54"/>
      <c r="AK40" s="53"/>
      <c r="AL40" s="54"/>
      <c r="AM40" s="53"/>
      <c r="AN40" s="54"/>
      <c r="AO40" s="53"/>
      <c r="AP40" s="54"/>
      <c r="AQ40" s="53"/>
      <c r="AR40" s="54"/>
      <c r="AS40" s="53"/>
      <c r="AT40" s="54"/>
      <c r="AU40" s="53"/>
      <c r="AV40" s="54"/>
      <c r="AW40" s="53"/>
      <c r="AX40" s="54"/>
      <c r="AY40" s="53"/>
      <c r="AZ40" s="54"/>
      <c r="BA40" s="53"/>
      <c r="BB40" s="51"/>
      <c r="BC40" s="53"/>
      <c r="BD40" s="51"/>
      <c r="BE40" s="53"/>
      <c r="BF40" s="51"/>
      <c r="BG40" s="53"/>
      <c r="BH40" s="51"/>
      <c r="BI40" s="53"/>
      <c r="BJ40" s="51"/>
      <c r="BK40" s="53"/>
      <c r="BL40" s="51"/>
      <c r="BM40" s="53"/>
      <c r="BN40" s="51"/>
      <c r="BO40" s="53"/>
      <c r="BP40" s="51"/>
      <c r="BQ40" s="53"/>
      <c r="BR40" s="55"/>
    </row>
    <row r="41" spans="1:70" ht="28.5" customHeight="1">
      <c r="A41" s="56" t="s">
        <v>710</v>
      </c>
      <c r="B41" s="51" t="str">
        <f t="shared" si="0"/>
        <v>giftcodesbanner/熱血大作戰-bar.jpg</v>
      </c>
      <c r="C41" s="51"/>
      <c r="D41" s="51" t="str">
        <f t="shared" si="1"/>
        <v>https://www.ssbuy.tw/detail_giftcode/dist/giftcodes/熱血大作戰.html</v>
      </c>
      <c r="E41" s="91" t="s">
        <v>1851</v>
      </c>
      <c r="F41" s="103" t="s">
        <v>2672</v>
      </c>
      <c r="G41" s="52" t="s">
        <v>1711</v>
      </c>
      <c r="H41" s="52" t="s">
        <v>1840</v>
      </c>
      <c r="I41" s="51"/>
      <c r="J41" s="91"/>
      <c r="K41" s="92" t="s">
        <v>2856</v>
      </c>
      <c r="L41" s="51" t="s">
        <v>2857</v>
      </c>
      <c r="M41" s="53" t="s">
        <v>1852</v>
      </c>
      <c r="N41" s="61" t="s">
        <v>1853</v>
      </c>
      <c r="O41" s="53" t="s">
        <v>1854</v>
      </c>
      <c r="P41" s="54" t="s">
        <v>1855</v>
      </c>
      <c r="Q41" s="53" t="s">
        <v>1856</v>
      </c>
      <c r="R41" s="54" t="s">
        <v>1857</v>
      </c>
      <c r="S41" s="53" t="s">
        <v>1858</v>
      </c>
      <c r="T41" s="54" t="s">
        <v>1859</v>
      </c>
      <c r="U41" s="53" t="s">
        <v>1860</v>
      </c>
      <c r="V41" s="54" t="s">
        <v>1713</v>
      </c>
      <c r="W41" s="53" t="s">
        <v>1861</v>
      </c>
      <c r="X41" s="54" t="s">
        <v>1862</v>
      </c>
      <c r="Y41" s="53"/>
      <c r="Z41" s="54"/>
      <c r="AA41" s="53"/>
      <c r="AB41" s="54"/>
      <c r="AC41" s="53"/>
      <c r="AD41" s="54"/>
      <c r="AE41" s="53"/>
      <c r="AF41" s="54"/>
      <c r="AG41" s="53"/>
      <c r="AH41" s="54"/>
      <c r="AI41" s="53"/>
      <c r="AJ41" s="54"/>
      <c r="AK41" s="53"/>
      <c r="AL41" s="54"/>
      <c r="AM41" s="53"/>
      <c r="AN41" s="54"/>
      <c r="AO41" s="53"/>
      <c r="AP41" s="54"/>
      <c r="AQ41" s="53"/>
      <c r="AR41" s="54"/>
      <c r="AS41" s="53"/>
      <c r="AT41" s="54"/>
      <c r="AU41" s="53"/>
      <c r="AV41" s="54"/>
      <c r="AW41" s="53"/>
      <c r="AX41" s="54"/>
      <c r="AY41" s="53"/>
      <c r="AZ41" s="54"/>
      <c r="BA41" s="53"/>
      <c r="BB41" s="51"/>
      <c r="BC41" s="53"/>
      <c r="BD41" s="51"/>
      <c r="BE41" s="53"/>
      <c r="BF41" s="51"/>
      <c r="BG41" s="53"/>
      <c r="BH41" s="51"/>
      <c r="BI41" s="53"/>
      <c r="BJ41" s="51"/>
      <c r="BK41" s="53"/>
      <c r="BL41" s="51"/>
      <c r="BM41" s="53"/>
      <c r="BN41" s="51"/>
      <c r="BO41" s="53"/>
      <c r="BP41" s="51"/>
      <c r="BQ41" s="53"/>
      <c r="BR41" s="55"/>
    </row>
    <row r="42" spans="1:70" ht="28.5" customHeight="1">
      <c r="A42" s="56" t="s">
        <v>2858</v>
      </c>
      <c r="B42" s="51" t="str">
        <f t="shared" si="0"/>
        <v>giftcodesbanner/骷髏傳說：戰神崛起-bar.jpg</v>
      </c>
      <c r="C42" s="51"/>
      <c r="D42" s="51" t="str">
        <f t="shared" si="1"/>
        <v>https://www.ssbuy.tw/detail_giftcode/dist/giftcodes/骷髏傳說：戰神崛起.html</v>
      </c>
      <c r="E42" s="91" t="s">
        <v>2859</v>
      </c>
      <c r="F42" s="103" t="s">
        <v>1710</v>
      </c>
      <c r="G42" s="52" t="s">
        <v>1711</v>
      </c>
      <c r="H42" s="52" t="s">
        <v>1840</v>
      </c>
      <c r="I42" s="51"/>
      <c r="J42" s="91"/>
      <c r="K42" s="92" t="s">
        <v>1782</v>
      </c>
      <c r="L42" s="51" t="s">
        <v>1713</v>
      </c>
      <c r="M42" s="53" t="s">
        <v>1714</v>
      </c>
      <c r="N42" s="54" t="s">
        <v>1713</v>
      </c>
      <c r="O42" s="53" t="s">
        <v>1715</v>
      </c>
      <c r="P42" s="54" t="s">
        <v>1713</v>
      </c>
      <c r="Q42" s="53" t="s">
        <v>1863</v>
      </c>
      <c r="R42" s="54" t="s">
        <v>1713</v>
      </c>
      <c r="S42" s="53" t="s">
        <v>1864</v>
      </c>
      <c r="T42" s="54" t="s">
        <v>1713</v>
      </c>
      <c r="U42" s="53" t="s">
        <v>1865</v>
      </c>
      <c r="V42" s="54" t="s">
        <v>1713</v>
      </c>
      <c r="W42" s="53" t="s">
        <v>1866</v>
      </c>
      <c r="X42" s="54" t="s">
        <v>1713</v>
      </c>
      <c r="Y42" s="53" t="s">
        <v>1867</v>
      </c>
      <c r="Z42" s="54" t="s">
        <v>1713</v>
      </c>
      <c r="AA42" s="53" t="s">
        <v>1868</v>
      </c>
      <c r="AB42" s="54" t="s">
        <v>1713</v>
      </c>
      <c r="AC42" s="53" t="s">
        <v>1869</v>
      </c>
      <c r="AD42" s="54" t="s">
        <v>1713</v>
      </c>
      <c r="AE42" s="53" t="s">
        <v>1870</v>
      </c>
      <c r="AF42" s="54" t="s">
        <v>1713</v>
      </c>
      <c r="AG42" s="53" t="s">
        <v>1871</v>
      </c>
      <c r="AH42" s="54" t="s">
        <v>1713</v>
      </c>
      <c r="AI42" s="53" t="s">
        <v>1872</v>
      </c>
      <c r="AJ42" s="54" t="s">
        <v>1713</v>
      </c>
      <c r="AK42" s="53"/>
      <c r="AL42" s="54"/>
      <c r="AM42" s="53"/>
      <c r="AN42" s="54"/>
      <c r="AO42" s="53"/>
      <c r="AP42" s="54"/>
      <c r="AQ42" s="53"/>
      <c r="AR42" s="54"/>
      <c r="AS42" s="53"/>
      <c r="AT42" s="54"/>
      <c r="AU42" s="53"/>
      <c r="AV42" s="54"/>
      <c r="AW42" s="53"/>
      <c r="AX42" s="54"/>
      <c r="AY42" s="53"/>
      <c r="AZ42" s="54"/>
      <c r="BA42" s="53"/>
      <c r="BB42" s="51"/>
      <c r="BC42" s="53"/>
      <c r="BD42" s="51"/>
      <c r="BE42" s="53"/>
      <c r="BF42" s="51"/>
      <c r="BG42" s="53"/>
      <c r="BH42" s="51"/>
      <c r="BI42" s="53"/>
      <c r="BJ42" s="51"/>
      <c r="BK42" s="53"/>
      <c r="BL42" s="51"/>
      <c r="BM42" s="53"/>
      <c r="BN42" s="51"/>
      <c r="BO42" s="53"/>
      <c r="BP42" s="51"/>
      <c r="BQ42" s="53"/>
      <c r="BR42" s="55"/>
    </row>
    <row r="43" spans="1:70" ht="28.5" customHeight="1">
      <c r="A43" s="56" t="s">
        <v>2860</v>
      </c>
      <c r="B43" s="51" t="str">
        <f t="shared" si="0"/>
        <v>giftcodesbanner/黎明：血色魔女-bar.jpg</v>
      </c>
      <c r="C43" s="51"/>
      <c r="D43" s="51" t="str">
        <f t="shared" si="1"/>
        <v>https://www.ssbuy.tw/detail_giftcode/dist/giftcodes/黎明：血色魔女.html</v>
      </c>
      <c r="E43" s="91" t="s">
        <v>2861</v>
      </c>
      <c r="F43" s="103" t="s">
        <v>1710</v>
      </c>
      <c r="G43" s="52" t="s">
        <v>1711</v>
      </c>
      <c r="H43" s="52" t="s">
        <v>1840</v>
      </c>
      <c r="I43" s="51"/>
      <c r="J43" s="91"/>
      <c r="K43" s="92" t="s">
        <v>1873</v>
      </c>
      <c r="L43" s="51" t="s">
        <v>1713</v>
      </c>
      <c r="M43" s="53" t="s">
        <v>1874</v>
      </c>
      <c r="N43" s="54" t="s">
        <v>1713</v>
      </c>
      <c r="O43" s="53" t="s">
        <v>1875</v>
      </c>
      <c r="P43" s="54" t="s">
        <v>1713</v>
      </c>
      <c r="Q43" s="53" t="s">
        <v>1876</v>
      </c>
      <c r="R43" s="54" t="s">
        <v>1713</v>
      </c>
      <c r="S43" s="53" t="s">
        <v>1877</v>
      </c>
      <c r="T43" s="54" t="s">
        <v>1713</v>
      </c>
      <c r="U43" s="53" t="s">
        <v>1878</v>
      </c>
      <c r="V43" s="54" t="s">
        <v>1713</v>
      </c>
      <c r="W43" s="53" t="s">
        <v>1879</v>
      </c>
      <c r="X43" s="54" t="s">
        <v>1713</v>
      </c>
      <c r="Y43" s="53" t="s">
        <v>1880</v>
      </c>
      <c r="Z43" s="54" t="s">
        <v>1713</v>
      </c>
      <c r="AA43" s="53" t="s">
        <v>1881</v>
      </c>
      <c r="AB43" s="54" t="s">
        <v>1713</v>
      </c>
      <c r="AC43" s="53" t="s">
        <v>1882</v>
      </c>
      <c r="AD43" s="54" t="s">
        <v>1713</v>
      </c>
      <c r="AE43" s="53" t="s">
        <v>1883</v>
      </c>
      <c r="AF43" s="54" t="s">
        <v>1713</v>
      </c>
      <c r="AG43" s="53" t="s">
        <v>1884</v>
      </c>
      <c r="AH43" s="54" t="s">
        <v>1713</v>
      </c>
      <c r="AI43" s="53" t="s">
        <v>1885</v>
      </c>
      <c r="AJ43" s="54" t="s">
        <v>1713</v>
      </c>
      <c r="AK43" s="53"/>
      <c r="AL43" s="54"/>
      <c r="AM43" s="53"/>
      <c r="AN43" s="54"/>
      <c r="AO43" s="53"/>
      <c r="AP43" s="54"/>
      <c r="AQ43" s="53"/>
      <c r="AR43" s="54"/>
      <c r="AS43" s="53"/>
      <c r="AT43" s="54"/>
      <c r="AU43" s="53"/>
      <c r="AV43" s="54"/>
      <c r="AW43" s="53"/>
      <c r="AX43" s="54"/>
      <c r="AY43" s="53"/>
      <c r="AZ43" s="54"/>
      <c r="BA43" s="53"/>
      <c r="BB43" s="51"/>
      <c r="BC43" s="53"/>
      <c r="BD43" s="51"/>
      <c r="BE43" s="53"/>
      <c r="BF43" s="51"/>
      <c r="BG43" s="53"/>
      <c r="BH43" s="51"/>
      <c r="BI43" s="53"/>
      <c r="BJ43" s="51"/>
      <c r="BK43" s="53"/>
      <c r="BL43" s="51"/>
      <c r="BM43" s="53"/>
      <c r="BN43" s="51"/>
      <c r="BO43" s="53"/>
      <c r="BP43" s="51"/>
      <c r="BQ43" s="53"/>
      <c r="BR43" s="55"/>
    </row>
    <row r="44" spans="1:70" ht="28.5" customHeight="1">
      <c r="A44" s="56" t="s">
        <v>735</v>
      </c>
      <c r="B44" s="51" t="str">
        <f t="shared" si="0"/>
        <v>giftcodesbanner/黎明啟示錄-bar.jpg</v>
      </c>
      <c r="C44" s="51"/>
      <c r="D44" s="51" t="str">
        <f t="shared" si="1"/>
        <v>https://www.ssbuy.tw/detail_giftcode/dist/giftcodes/黎明啟示錄.html</v>
      </c>
      <c r="E44" s="91" t="s">
        <v>2862</v>
      </c>
      <c r="F44" s="103" t="s">
        <v>1710</v>
      </c>
      <c r="G44" s="52" t="s">
        <v>1711</v>
      </c>
      <c r="H44" s="52" t="s">
        <v>1840</v>
      </c>
      <c r="I44" s="51"/>
      <c r="J44" s="91"/>
      <c r="K44" s="92">
        <v>888888</v>
      </c>
      <c r="L44" s="51" t="s">
        <v>1713</v>
      </c>
      <c r="M44" s="53" t="s">
        <v>1886</v>
      </c>
      <c r="N44" s="54" t="s">
        <v>1713</v>
      </c>
      <c r="O44" s="53" t="s">
        <v>1887</v>
      </c>
      <c r="P44" s="54" t="s">
        <v>1713</v>
      </c>
      <c r="Q44" s="53" t="s">
        <v>1888</v>
      </c>
      <c r="R44" s="54" t="s">
        <v>1713</v>
      </c>
      <c r="S44" s="53" t="s">
        <v>1889</v>
      </c>
      <c r="T44" s="54" t="s">
        <v>1713</v>
      </c>
      <c r="U44" s="53" t="s">
        <v>1890</v>
      </c>
      <c r="V44" s="54" t="s">
        <v>1713</v>
      </c>
      <c r="W44" s="53" t="s">
        <v>1891</v>
      </c>
      <c r="X44" s="54" t="s">
        <v>1713</v>
      </c>
      <c r="Y44" s="53" t="s">
        <v>1892</v>
      </c>
      <c r="Z44" s="54" t="s">
        <v>1713</v>
      </c>
      <c r="AA44" s="53" t="s">
        <v>1893</v>
      </c>
      <c r="AB44" s="54" t="s">
        <v>1713</v>
      </c>
      <c r="AC44" s="53"/>
      <c r="AD44" s="54"/>
      <c r="AE44" s="53"/>
      <c r="AF44" s="54"/>
      <c r="AG44" s="53"/>
      <c r="AH44" s="54"/>
      <c r="AI44" s="53"/>
      <c r="AJ44" s="54"/>
      <c r="AK44" s="53"/>
      <c r="AL44" s="54"/>
      <c r="AM44" s="53"/>
      <c r="AN44" s="54"/>
      <c r="AO44" s="53"/>
      <c r="AP44" s="54"/>
      <c r="AQ44" s="53"/>
      <c r="AR44" s="54"/>
      <c r="AS44" s="53"/>
      <c r="AT44" s="54"/>
      <c r="AU44" s="53"/>
      <c r="AV44" s="54"/>
      <c r="AW44" s="53"/>
      <c r="AX44" s="54"/>
      <c r="AY44" s="53"/>
      <c r="AZ44" s="54"/>
      <c r="BA44" s="53"/>
      <c r="BB44" s="51"/>
      <c r="BC44" s="53"/>
      <c r="BD44" s="51"/>
      <c r="BE44" s="53"/>
      <c r="BF44" s="51"/>
      <c r="BG44" s="53"/>
      <c r="BH44" s="51"/>
      <c r="BI44" s="53"/>
      <c r="BJ44" s="51"/>
      <c r="BK44" s="53"/>
      <c r="BL44" s="51"/>
      <c r="BM44" s="53"/>
      <c r="BN44" s="51"/>
      <c r="BO44" s="53"/>
      <c r="BP44" s="51"/>
      <c r="BQ44" s="53"/>
      <c r="BR44" s="55"/>
    </row>
    <row r="45" spans="1:70" ht="28.5" customHeight="1">
      <c r="A45" s="56" t="s">
        <v>741</v>
      </c>
      <c r="B45" s="51" t="str">
        <f t="shared" si="0"/>
        <v>giftcodesbanner/龍魂旅人-bar.jpg</v>
      </c>
      <c r="C45" s="51"/>
      <c r="D45" s="51" t="str">
        <f t="shared" si="1"/>
        <v>https://www.ssbuy.tw/detail_giftcode/dist/giftcodes/龍魂旅人.html</v>
      </c>
      <c r="E45" s="91" t="s">
        <v>2863</v>
      </c>
      <c r="F45" s="103" t="s">
        <v>1710</v>
      </c>
      <c r="G45" s="52" t="s">
        <v>1711</v>
      </c>
      <c r="H45" s="52" t="s">
        <v>1840</v>
      </c>
      <c r="I45" s="51"/>
      <c r="J45" s="91"/>
      <c r="K45" s="92" t="s">
        <v>1894</v>
      </c>
      <c r="L45" s="51" t="s">
        <v>1713</v>
      </c>
      <c r="M45" s="53" t="s">
        <v>1895</v>
      </c>
      <c r="N45" s="54" t="s">
        <v>1713</v>
      </c>
      <c r="O45" s="53" t="s">
        <v>1896</v>
      </c>
      <c r="P45" s="54" t="s">
        <v>1713</v>
      </c>
      <c r="Q45" s="53" t="s">
        <v>1897</v>
      </c>
      <c r="R45" s="54" t="s">
        <v>1713</v>
      </c>
      <c r="S45" s="53" t="s">
        <v>1898</v>
      </c>
      <c r="T45" s="54" t="s">
        <v>1713</v>
      </c>
      <c r="U45" s="53" t="s">
        <v>1899</v>
      </c>
      <c r="V45" s="54" t="s">
        <v>1713</v>
      </c>
      <c r="W45" s="53" t="s">
        <v>1900</v>
      </c>
      <c r="X45" s="54" t="s">
        <v>1713</v>
      </c>
      <c r="Y45" s="53" t="s">
        <v>1901</v>
      </c>
      <c r="Z45" s="54" t="s">
        <v>1713</v>
      </c>
      <c r="AA45" s="53" t="s">
        <v>1902</v>
      </c>
      <c r="AB45" s="54" t="s">
        <v>1713</v>
      </c>
      <c r="AC45" s="53" t="s">
        <v>1903</v>
      </c>
      <c r="AD45" s="54" t="s">
        <v>1713</v>
      </c>
      <c r="AE45" s="53" t="s">
        <v>1904</v>
      </c>
      <c r="AF45" s="54" t="s">
        <v>1713</v>
      </c>
      <c r="AG45" s="53" t="s">
        <v>1905</v>
      </c>
      <c r="AH45" s="54" t="s">
        <v>1713</v>
      </c>
      <c r="AI45" s="53" t="s">
        <v>1906</v>
      </c>
      <c r="AJ45" s="54" t="s">
        <v>1713</v>
      </c>
      <c r="AK45" s="53"/>
      <c r="AL45" s="54"/>
      <c r="AM45" s="53"/>
      <c r="AN45" s="54"/>
      <c r="AO45" s="53"/>
      <c r="AP45" s="54"/>
      <c r="AQ45" s="53"/>
      <c r="AR45" s="54"/>
      <c r="AS45" s="53"/>
      <c r="AT45" s="54"/>
      <c r="AU45" s="53"/>
      <c r="AV45" s="54"/>
      <c r="AW45" s="53"/>
      <c r="AX45" s="54"/>
      <c r="AY45" s="53"/>
      <c r="AZ45" s="54"/>
      <c r="BA45" s="53"/>
      <c r="BB45" s="51"/>
      <c r="BC45" s="53"/>
      <c r="BD45" s="51"/>
      <c r="BE45" s="53"/>
      <c r="BF45" s="51"/>
      <c r="BG45" s="53"/>
      <c r="BH45" s="51"/>
      <c r="BI45" s="53"/>
      <c r="BJ45" s="51"/>
      <c r="BK45" s="53"/>
      <c r="BL45" s="51"/>
      <c r="BM45" s="53"/>
      <c r="BN45" s="51"/>
      <c r="BO45" s="53"/>
      <c r="BP45" s="51"/>
      <c r="BQ45" s="53"/>
      <c r="BR45" s="55"/>
    </row>
    <row r="46" spans="1:70" ht="28.5" customHeight="1">
      <c r="A46" s="56" t="s">
        <v>749</v>
      </c>
      <c r="B46" s="51" t="str">
        <f t="shared" si="0"/>
        <v>giftcodesbanner/戀與深空-bar.jpg</v>
      </c>
      <c r="C46" s="51"/>
      <c r="D46" s="51" t="str">
        <f t="shared" si="1"/>
        <v>https://www.ssbuy.tw/detail_giftcode/dist/giftcodes/戀與深空.html</v>
      </c>
      <c r="E46" s="91" t="s">
        <v>1907</v>
      </c>
      <c r="F46" s="103" t="s">
        <v>1710</v>
      </c>
      <c r="G46" s="52" t="s">
        <v>1711</v>
      </c>
      <c r="H46" s="52" t="s">
        <v>1840</v>
      </c>
      <c r="I46" s="51"/>
      <c r="J46" s="91"/>
      <c r="K46" s="92" t="s">
        <v>1908</v>
      </c>
      <c r="L46" s="51" t="s">
        <v>1912</v>
      </c>
      <c r="M46" s="53" t="s">
        <v>1909</v>
      </c>
      <c r="N46" s="54" t="s">
        <v>1713</v>
      </c>
      <c r="O46" s="53" t="s">
        <v>1917</v>
      </c>
      <c r="P46" s="54" t="s">
        <v>1713</v>
      </c>
      <c r="Q46" s="53" t="s">
        <v>1914</v>
      </c>
      <c r="R46" s="54" t="s">
        <v>1713</v>
      </c>
      <c r="S46" s="53" t="s">
        <v>1910</v>
      </c>
      <c r="T46" s="54" t="s">
        <v>1713</v>
      </c>
      <c r="U46" s="53" t="s">
        <v>2864</v>
      </c>
      <c r="V46" s="54" t="s">
        <v>1713</v>
      </c>
      <c r="W46" s="53" t="s">
        <v>2865</v>
      </c>
      <c r="X46" s="54" t="s">
        <v>2866</v>
      </c>
      <c r="Y46" s="53" t="s">
        <v>1911</v>
      </c>
      <c r="Z46" s="54" t="s">
        <v>2867</v>
      </c>
      <c r="AA46" s="53" t="s">
        <v>1908</v>
      </c>
      <c r="AB46" s="54" t="s">
        <v>1912</v>
      </c>
      <c r="AC46" s="53" t="s">
        <v>1909</v>
      </c>
      <c r="AD46" s="54" t="s">
        <v>1913</v>
      </c>
      <c r="AE46" s="53" t="s">
        <v>1914</v>
      </c>
      <c r="AF46" s="54" t="s">
        <v>1915</v>
      </c>
      <c r="AG46" s="53" t="s">
        <v>1916</v>
      </c>
      <c r="AH46" s="54" t="s">
        <v>1915</v>
      </c>
      <c r="AI46" s="53" t="s">
        <v>1917</v>
      </c>
      <c r="AJ46" s="54" t="s">
        <v>1915</v>
      </c>
      <c r="AK46" s="53" t="s">
        <v>1918</v>
      </c>
      <c r="AL46" s="54" t="s">
        <v>1915</v>
      </c>
      <c r="AM46" s="53" t="s">
        <v>1919</v>
      </c>
      <c r="AN46" s="54" t="s">
        <v>1920</v>
      </c>
      <c r="AO46" s="53" t="s">
        <v>2868</v>
      </c>
      <c r="AP46" s="54" t="s">
        <v>1920</v>
      </c>
      <c r="AQ46" s="53"/>
      <c r="AR46" s="54"/>
      <c r="AS46" s="53"/>
      <c r="AT46" s="54"/>
      <c r="AU46" s="53"/>
      <c r="AV46" s="54"/>
      <c r="AW46" s="53"/>
      <c r="AX46" s="54"/>
      <c r="AY46" s="53"/>
      <c r="AZ46" s="54"/>
      <c r="BA46" s="53"/>
      <c r="BB46" s="51"/>
      <c r="BC46" s="53"/>
      <c r="BD46" s="51"/>
      <c r="BE46" s="53"/>
      <c r="BF46" s="51"/>
      <c r="BG46" s="53"/>
      <c r="BH46" s="51"/>
      <c r="BI46" s="53"/>
      <c r="BJ46" s="51"/>
      <c r="BK46" s="53"/>
      <c r="BL46" s="51"/>
      <c r="BM46" s="53"/>
      <c r="BN46" s="51"/>
      <c r="BO46" s="53"/>
      <c r="BP46" s="51"/>
      <c r="BQ46" s="53"/>
      <c r="BR46" s="55"/>
    </row>
    <row r="47" spans="1:70" ht="28.5" customHeight="1">
      <c r="A47" s="56" t="s">
        <v>757</v>
      </c>
      <c r="B47" s="51" t="str">
        <f t="shared" si="0"/>
        <v>giftcodesbanner/靈魂衝擊：無限放置-bar.jpg</v>
      </c>
      <c r="C47" s="51"/>
      <c r="D47" s="51" t="str">
        <f t="shared" si="1"/>
        <v>https://www.ssbuy.tw/detail_giftcode/dist/giftcodes/靈魂衝擊：無限放置.html</v>
      </c>
      <c r="E47" s="91" t="s">
        <v>1921</v>
      </c>
      <c r="F47" s="103" t="s">
        <v>1710</v>
      </c>
      <c r="G47" s="52" t="s">
        <v>1711</v>
      </c>
      <c r="H47" s="52" t="s">
        <v>1840</v>
      </c>
      <c r="I47" s="51"/>
      <c r="J47" s="91"/>
      <c r="K47" s="92" t="s">
        <v>2869</v>
      </c>
      <c r="L47" s="51" t="s">
        <v>1713</v>
      </c>
      <c r="M47" s="53" t="s">
        <v>1922</v>
      </c>
      <c r="N47" s="54" t="s">
        <v>1713</v>
      </c>
      <c r="O47" s="53" t="s">
        <v>1923</v>
      </c>
      <c r="P47" s="54" t="s">
        <v>1713</v>
      </c>
      <c r="Q47" s="53" t="s">
        <v>2870</v>
      </c>
      <c r="R47" s="54" t="s">
        <v>1713</v>
      </c>
      <c r="S47" s="53" t="s">
        <v>1924</v>
      </c>
      <c r="T47" s="54" t="s">
        <v>1713</v>
      </c>
      <c r="U47" s="53"/>
      <c r="V47" s="54"/>
      <c r="W47" s="53"/>
      <c r="X47" s="54"/>
      <c r="Y47" s="53"/>
      <c r="Z47" s="54"/>
      <c r="AA47" s="53"/>
      <c r="AB47" s="54"/>
      <c r="AC47" s="53"/>
      <c r="AD47" s="54"/>
      <c r="AE47" s="53"/>
      <c r="AF47" s="54"/>
      <c r="AG47" s="53"/>
      <c r="AH47" s="54"/>
      <c r="AI47" s="53"/>
      <c r="AJ47" s="54"/>
      <c r="AK47" s="53"/>
      <c r="AL47" s="54"/>
      <c r="AM47" s="53"/>
      <c r="AN47" s="54"/>
      <c r="AO47" s="53"/>
      <c r="AP47" s="54"/>
      <c r="AQ47" s="53"/>
      <c r="AR47" s="54"/>
      <c r="AS47" s="53"/>
      <c r="AT47" s="54"/>
      <c r="AU47" s="53"/>
      <c r="AV47" s="54"/>
      <c r="AW47" s="53"/>
      <c r="AX47" s="54"/>
      <c r="AY47" s="53"/>
      <c r="AZ47" s="54"/>
      <c r="BA47" s="53"/>
      <c r="BB47" s="51"/>
      <c r="BC47" s="53"/>
      <c r="BD47" s="51"/>
      <c r="BE47" s="53"/>
      <c r="BF47" s="51"/>
      <c r="BG47" s="53"/>
      <c r="BH47" s="51"/>
      <c r="BI47" s="53"/>
      <c r="BJ47" s="51"/>
      <c r="BK47" s="53"/>
      <c r="BL47" s="51"/>
      <c r="BM47" s="53"/>
      <c r="BN47" s="51"/>
      <c r="BO47" s="53"/>
      <c r="BP47" s="51"/>
      <c r="BQ47" s="53"/>
      <c r="BR47" s="55"/>
    </row>
    <row r="48" spans="1:70" ht="28.5" customHeight="1">
      <c r="A48" s="56" t="s">
        <v>2871</v>
      </c>
      <c r="B48" s="51" t="str">
        <f t="shared" si="0"/>
        <v>giftcodesbanner/楓葉島-bar.jpg</v>
      </c>
      <c r="C48" s="51"/>
      <c r="D48" s="51" t="str">
        <f t="shared" si="1"/>
        <v>https://www.ssbuy.tw/detail_giftcode/dist/giftcodes/楓葉島.html</v>
      </c>
      <c r="E48" s="91" t="s">
        <v>2872</v>
      </c>
      <c r="F48" s="103" t="s">
        <v>1710</v>
      </c>
      <c r="G48" s="52" t="s">
        <v>1711</v>
      </c>
      <c r="H48" s="52" t="s">
        <v>1840</v>
      </c>
      <c r="I48" s="51"/>
      <c r="J48" s="91"/>
      <c r="K48" s="92" t="s">
        <v>1925</v>
      </c>
      <c r="L48" s="51" t="s">
        <v>1713</v>
      </c>
      <c r="M48" s="53" t="s">
        <v>2873</v>
      </c>
      <c r="N48" s="54" t="s">
        <v>1713</v>
      </c>
      <c r="O48" s="53" t="s">
        <v>1926</v>
      </c>
      <c r="P48" s="54" t="s">
        <v>1713</v>
      </c>
      <c r="Q48" s="53" t="s">
        <v>2874</v>
      </c>
      <c r="R48" s="54" t="s">
        <v>1713</v>
      </c>
      <c r="S48" s="53" t="s">
        <v>2875</v>
      </c>
      <c r="T48" s="54" t="s">
        <v>1713</v>
      </c>
      <c r="U48" s="53" t="s">
        <v>2876</v>
      </c>
      <c r="V48" s="54" t="s">
        <v>1713</v>
      </c>
      <c r="W48" s="53" t="s">
        <v>2877</v>
      </c>
      <c r="X48" s="54" t="s">
        <v>1713</v>
      </c>
      <c r="Y48" s="53" t="s">
        <v>1927</v>
      </c>
      <c r="Z48" s="54" t="s">
        <v>1713</v>
      </c>
      <c r="AA48" s="53" t="s">
        <v>2878</v>
      </c>
      <c r="AB48" s="54" t="s">
        <v>1713</v>
      </c>
      <c r="AC48" s="53" t="s">
        <v>1928</v>
      </c>
      <c r="AD48" s="54" t="s">
        <v>1713</v>
      </c>
      <c r="AE48" s="53"/>
      <c r="AF48" s="54"/>
      <c r="AG48" s="53"/>
      <c r="AH48" s="54"/>
      <c r="AI48" s="53"/>
      <c r="AJ48" s="54"/>
      <c r="AK48" s="53"/>
      <c r="AL48" s="54"/>
      <c r="AM48" s="53"/>
      <c r="AN48" s="54"/>
      <c r="AO48" s="53"/>
      <c r="AP48" s="54"/>
      <c r="AQ48" s="53"/>
      <c r="AR48" s="54"/>
      <c r="AS48" s="53"/>
      <c r="AT48" s="54"/>
      <c r="AU48" s="53"/>
      <c r="AV48" s="54"/>
      <c r="AW48" s="53"/>
      <c r="AX48" s="54"/>
      <c r="AY48" s="53"/>
      <c r="AZ48" s="54"/>
      <c r="BA48" s="53"/>
      <c r="BB48" s="51"/>
      <c r="BC48" s="53"/>
      <c r="BD48" s="51"/>
      <c r="BE48" s="53"/>
      <c r="BF48" s="51"/>
      <c r="BG48" s="53"/>
      <c r="BH48" s="51"/>
      <c r="BI48" s="53"/>
      <c r="BJ48" s="51"/>
      <c r="BK48" s="53"/>
      <c r="BL48" s="51"/>
      <c r="BM48" s="53"/>
      <c r="BN48" s="51"/>
      <c r="BO48" s="53"/>
      <c r="BP48" s="51"/>
      <c r="BQ48" s="53"/>
      <c r="BR48" s="55"/>
    </row>
    <row r="49" spans="1:70" ht="28.5" customHeight="1">
      <c r="A49" s="56" t="s">
        <v>774</v>
      </c>
      <c r="B49" s="51" t="str">
        <f t="shared" si="0"/>
        <v>giftcodesbanner/無名江湖-bar.jpg</v>
      </c>
      <c r="C49" s="51"/>
      <c r="D49" s="51" t="str">
        <f t="shared" si="1"/>
        <v>https://www.ssbuy.tw/detail_giftcode/dist/giftcodes/無名江湖.html</v>
      </c>
      <c r="E49" s="91" t="s">
        <v>1929</v>
      </c>
      <c r="F49" s="103" t="s">
        <v>1710</v>
      </c>
      <c r="G49" s="52" t="s">
        <v>1711</v>
      </c>
      <c r="H49" s="52" t="s">
        <v>1840</v>
      </c>
      <c r="I49" s="51"/>
      <c r="J49" s="91"/>
      <c r="K49" s="92" t="s">
        <v>1930</v>
      </c>
      <c r="L49" s="51" t="s">
        <v>2879</v>
      </c>
      <c r="M49" s="53" t="s">
        <v>1931</v>
      </c>
      <c r="N49" s="54" t="s">
        <v>2880</v>
      </c>
      <c r="O49" s="53" t="s">
        <v>2881</v>
      </c>
      <c r="P49" s="54" t="s">
        <v>2882</v>
      </c>
      <c r="Q49" s="53" t="s">
        <v>2883</v>
      </c>
      <c r="R49" s="54" t="s">
        <v>2880</v>
      </c>
      <c r="S49" s="53"/>
      <c r="T49" s="54"/>
      <c r="U49" s="53"/>
      <c r="V49" s="54"/>
      <c r="W49" s="53"/>
      <c r="X49" s="54"/>
      <c r="Y49" s="53"/>
      <c r="Z49" s="54"/>
      <c r="AA49" s="53"/>
      <c r="AB49" s="54"/>
      <c r="AC49" s="53"/>
      <c r="AD49" s="54"/>
      <c r="AE49" s="53"/>
      <c r="AF49" s="54"/>
      <c r="AG49" s="53"/>
      <c r="AH49" s="54"/>
      <c r="AI49" s="53"/>
      <c r="AJ49" s="54"/>
      <c r="AK49" s="53"/>
      <c r="AL49" s="54"/>
      <c r="AM49" s="53"/>
      <c r="AN49" s="54"/>
      <c r="AO49" s="53"/>
      <c r="AP49" s="54"/>
      <c r="AQ49" s="53"/>
      <c r="AR49" s="54"/>
      <c r="AS49" s="53"/>
      <c r="AT49" s="54"/>
      <c r="AU49" s="53"/>
      <c r="AV49" s="54"/>
      <c r="AW49" s="53"/>
      <c r="AX49" s="54"/>
      <c r="AY49" s="53"/>
      <c r="AZ49" s="54"/>
      <c r="BA49" s="53"/>
      <c r="BB49" s="51"/>
      <c r="BC49" s="53"/>
      <c r="BD49" s="51"/>
      <c r="BE49" s="53"/>
      <c r="BF49" s="51"/>
      <c r="BG49" s="53"/>
      <c r="BH49" s="51"/>
      <c r="BI49" s="53"/>
      <c r="BJ49" s="51"/>
      <c r="BK49" s="53"/>
      <c r="BL49" s="51"/>
      <c r="BM49" s="53"/>
      <c r="BN49" s="51"/>
      <c r="BO49" s="53"/>
      <c r="BP49" s="51"/>
      <c r="BQ49" s="53"/>
      <c r="BR49" s="55"/>
    </row>
    <row r="50" spans="1:70" ht="28.5" customHeight="1">
      <c r="A50" s="56" t="s">
        <v>782</v>
      </c>
      <c r="B50" s="51" t="str">
        <f t="shared" si="0"/>
        <v>giftcodesbanner/萬妖領域-bar.jpg</v>
      </c>
      <c r="C50" s="51"/>
      <c r="D50" s="51" t="str">
        <f t="shared" si="1"/>
        <v>https://www.ssbuy.tw/detail_giftcode/dist/giftcodes/萬妖領域.html</v>
      </c>
      <c r="E50" s="91" t="s">
        <v>2884</v>
      </c>
      <c r="F50" s="103" t="s">
        <v>1710</v>
      </c>
      <c r="G50" s="52" t="s">
        <v>1711</v>
      </c>
      <c r="H50" s="52" t="s">
        <v>1840</v>
      </c>
      <c r="I50" s="51"/>
      <c r="J50" s="91"/>
      <c r="K50" s="92" t="s">
        <v>1932</v>
      </c>
      <c r="L50" s="51" t="s">
        <v>1713</v>
      </c>
      <c r="M50" s="53" t="s">
        <v>2056</v>
      </c>
      <c r="N50" s="54" t="s">
        <v>1713</v>
      </c>
      <c r="O50" s="53" t="s">
        <v>1841</v>
      </c>
      <c r="P50" s="54" t="s">
        <v>1713</v>
      </c>
      <c r="Q50" s="53" t="s">
        <v>1933</v>
      </c>
      <c r="R50" s="54" t="s">
        <v>1713</v>
      </c>
      <c r="S50" s="53" t="s">
        <v>2885</v>
      </c>
      <c r="T50" s="54" t="s">
        <v>1713</v>
      </c>
      <c r="U50" s="53" t="s">
        <v>1934</v>
      </c>
      <c r="V50" s="54" t="s">
        <v>1713</v>
      </c>
      <c r="W50" s="53" t="s">
        <v>2886</v>
      </c>
      <c r="X50" s="54" t="s">
        <v>1713</v>
      </c>
      <c r="Y50" s="53" t="s">
        <v>2887</v>
      </c>
      <c r="Z50" s="54" t="s">
        <v>1713</v>
      </c>
      <c r="AA50" s="53"/>
      <c r="AB50" s="54"/>
      <c r="AC50" s="53"/>
      <c r="AD50" s="54"/>
      <c r="AE50" s="53"/>
      <c r="AF50" s="54"/>
      <c r="AG50" s="53"/>
      <c r="AH50" s="54"/>
      <c r="AI50" s="53"/>
      <c r="AJ50" s="54"/>
      <c r="AK50" s="53"/>
      <c r="AL50" s="54"/>
      <c r="AM50" s="53"/>
      <c r="AN50" s="54"/>
      <c r="AO50" s="53"/>
      <c r="AP50" s="54"/>
      <c r="AQ50" s="53"/>
      <c r="AR50" s="54"/>
      <c r="AS50" s="53"/>
      <c r="AT50" s="54"/>
      <c r="AU50" s="53"/>
      <c r="AV50" s="54"/>
      <c r="AW50" s="53"/>
      <c r="AX50" s="54"/>
      <c r="AY50" s="53"/>
      <c r="AZ50" s="54"/>
      <c r="BA50" s="53"/>
      <c r="BB50" s="51"/>
      <c r="BC50" s="53"/>
      <c r="BD50" s="51"/>
      <c r="BE50" s="53"/>
      <c r="BF50" s="51"/>
      <c r="BG50" s="53"/>
      <c r="BH50" s="51"/>
      <c r="BI50" s="53"/>
      <c r="BJ50" s="51"/>
      <c r="BK50" s="53"/>
      <c r="BL50" s="51"/>
      <c r="BM50" s="53"/>
      <c r="BN50" s="51"/>
      <c r="BO50" s="53"/>
      <c r="BP50" s="51"/>
      <c r="BQ50" s="53"/>
      <c r="BR50" s="55"/>
    </row>
    <row r="51" spans="1:70" ht="28.5" customHeight="1">
      <c r="A51" s="56" t="s">
        <v>790</v>
      </c>
      <c r="B51" s="51" t="str">
        <f t="shared" si="0"/>
        <v>giftcodesbanner/一姬當千TD-bar.jpg</v>
      </c>
      <c r="C51" s="51"/>
      <c r="D51" s="51" t="str">
        <f t="shared" si="1"/>
        <v>https://www.ssbuy.tw/detail_giftcode/dist/giftcodes/一姬當千TD.html</v>
      </c>
      <c r="E51" s="91" t="s">
        <v>1935</v>
      </c>
      <c r="F51" s="103" t="s">
        <v>1710</v>
      </c>
      <c r="G51" s="52" t="s">
        <v>1711</v>
      </c>
      <c r="H51" s="52" t="s">
        <v>1840</v>
      </c>
      <c r="I51" s="51"/>
      <c r="J51" s="91"/>
      <c r="K51" s="92" t="s">
        <v>1932</v>
      </c>
      <c r="L51" s="51" t="s">
        <v>1713</v>
      </c>
      <c r="M51" s="53" t="s">
        <v>1841</v>
      </c>
      <c r="N51" s="54" t="s">
        <v>1713</v>
      </c>
      <c r="O51" s="53" t="s">
        <v>1936</v>
      </c>
      <c r="P51" s="54" t="s">
        <v>1713</v>
      </c>
      <c r="Q51" s="53" t="s">
        <v>1937</v>
      </c>
      <c r="R51" s="54" t="s">
        <v>1713</v>
      </c>
      <c r="S51" s="53"/>
      <c r="T51" s="54"/>
      <c r="U51" s="53"/>
      <c r="V51" s="54"/>
      <c r="W51" s="53"/>
      <c r="X51" s="54"/>
      <c r="Y51" s="53"/>
      <c r="Z51" s="54"/>
      <c r="AA51" s="53"/>
      <c r="AB51" s="54"/>
      <c r="AC51" s="53"/>
      <c r="AD51" s="54"/>
      <c r="AE51" s="53"/>
      <c r="AF51" s="54"/>
      <c r="AG51" s="53"/>
      <c r="AH51" s="54"/>
      <c r="AI51" s="53"/>
      <c r="AJ51" s="54"/>
      <c r="AK51" s="53"/>
      <c r="AL51" s="54"/>
      <c r="AM51" s="53"/>
      <c r="AN51" s="54"/>
      <c r="AO51" s="53"/>
      <c r="AP51" s="54"/>
      <c r="AQ51" s="53"/>
      <c r="AR51" s="54"/>
      <c r="AS51" s="53"/>
      <c r="AT51" s="54"/>
      <c r="AU51" s="53"/>
      <c r="AV51" s="54"/>
      <c r="AW51" s="53"/>
      <c r="AX51" s="54"/>
      <c r="AY51" s="53"/>
      <c r="AZ51" s="54"/>
      <c r="BA51" s="53"/>
      <c r="BB51" s="51"/>
      <c r="BC51" s="53"/>
      <c r="BD51" s="51"/>
      <c r="BE51" s="53"/>
      <c r="BF51" s="51"/>
      <c r="BG51" s="53"/>
      <c r="BH51" s="51"/>
      <c r="BI51" s="53"/>
      <c r="BJ51" s="51"/>
      <c r="BK51" s="53"/>
      <c r="BL51" s="51"/>
      <c r="BM51" s="53"/>
      <c r="BN51" s="51"/>
      <c r="BO51" s="53"/>
      <c r="BP51" s="51"/>
      <c r="BQ51" s="53"/>
      <c r="BR51" s="55"/>
    </row>
    <row r="52" spans="1:70" ht="28.5" customHeight="1">
      <c r="A52" s="56" t="s">
        <v>797</v>
      </c>
      <c r="B52" s="51" t="str">
        <f t="shared" si="0"/>
        <v>giftcodesbanner/劍客行-bar.jpg</v>
      </c>
      <c r="C52" s="51"/>
      <c r="D52" s="51" t="str">
        <f t="shared" si="1"/>
        <v>https://www.ssbuy.tw/detail_giftcode/dist/giftcodes/劍客行.html</v>
      </c>
      <c r="E52" s="91" t="s">
        <v>1938</v>
      </c>
      <c r="F52" s="103" t="s">
        <v>1710</v>
      </c>
      <c r="G52" s="52" t="s">
        <v>1711</v>
      </c>
      <c r="H52" s="52" t="s">
        <v>1840</v>
      </c>
      <c r="I52" s="51"/>
      <c r="J52" s="91"/>
      <c r="K52" s="92" t="s">
        <v>1939</v>
      </c>
      <c r="L52" s="51" t="s">
        <v>1940</v>
      </c>
      <c r="M52" s="53" t="s">
        <v>2888</v>
      </c>
      <c r="N52" s="54" t="s">
        <v>1940</v>
      </c>
      <c r="O52" s="53"/>
      <c r="P52" s="54"/>
      <c r="Q52" s="53"/>
      <c r="R52" s="54"/>
      <c r="S52" s="53"/>
      <c r="T52" s="54"/>
      <c r="U52" s="53"/>
      <c r="V52" s="54"/>
      <c r="W52" s="53"/>
      <c r="X52" s="54"/>
      <c r="Y52" s="53"/>
      <c r="Z52" s="54"/>
      <c r="AA52" s="53"/>
      <c r="AB52" s="54"/>
      <c r="AC52" s="53"/>
      <c r="AD52" s="54"/>
      <c r="AE52" s="53"/>
      <c r="AF52" s="54"/>
      <c r="AG52" s="53"/>
      <c r="AH52" s="54"/>
      <c r="AI52" s="53"/>
      <c r="AJ52" s="54"/>
      <c r="AK52" s="53"/>
      <c r="AL52" s="54"/>
      <c r="AM52" s="53"/>
      <c r="AN52" s="54"/>
      <c r="AO52" s="53"/>
      <c r="AP52" s="54"/>
      <c r="AQ52" s="53"/>
      <c r="AR52" s="54"/>
      <c r="AS52" s="53"/>
      <c r="AT52" s="54"/>
      <c r="AU52" s="53"/>
      <c r="AV52" s="54"/>
      <c r="AW52" s="53"/>
      <c r="AX52" s="54"/>
      <c r="AY52" s="53"/>
      <c r="AZ52" s="54"/>
      <c r="BA52" s="53"/>
      <c r="BB52" s="51"/>
      <c r="BC52" s="53"/>
      <c r="BD52" s="51"/>
      <c r="BE52" s="53"/>
      <c r="BF52" s="51"/>
      <c r="BG52" s="53"/>
      <c r="BH52" s="51"/>
      <c r="BI52" s="53"/>
      <c r="BJ52" s="51"/>
      <c r="BK52" s="53"/>
      <c r="BL52" s="51"/>
      <c r="BM52" s="53"/>
      <c r="BN52" s="51"/>
      <c r="BO52" s="53"/>
      <c r="BP52" s="51"/>
      <c r="BQ52" s="53"/>
      <c r="BR52" s="55"/>
    </row>
    <row r="53" spans="1:70" ht="28.5" customHeight="1">
      <c r="A53" s="56" t="s">
        <v>806</v>
      </c>
      <c r="B53" s="51" t="str">
        <f t="shared" si="0"/>
        <v>giftcodesbanner/時之樹少女-bar.jpg</v>
      </c>
      <c r="C53" s="51"/>
      <c r="D53" s="51" t="str">
        <f t="shared" si="1"/>
        <v>https://www.ssbuy.tw/detail_giftcode/dist/giftcodes/時之樹少女.html</v>
      </c>
      <c r="E53" s="91" t="s">
        <v>2889</v>
      </c>
      <c r="F53" s="103" t="s">
        <v>1710</v>
      </c>
      <c r="G53" s="52" t="s">
        <v>1711</v>
      </c>
      <c r="H53" s="52" t="s">
        <v>1840</v>
      </c>
      <c r="I53" s="51"/>
      <c r="J53" s="91"/>
      <c r="K53" s="92" t="s">
        <v>2890</v>
      </c>
      <c r="L53" s="51" t="s">
        <v>2891</v>
      </c>
      <c r="M53" s="53" t="s">
        <v>1941</v>
      </c>
      <c r="N53" s="54" t="s">
        <v>1942</v>
      </c>
      <c r="O53" s="53" t="s">
        <v>2892</v>
      </c>
      <c r="P53" s="54" t="s">
        <v>1943</v>
      </c>
      <c r="Q53" s="53" t="s">
        <v>1944</v>
      </c>
      <c r="R53" s="54" t="s">
        <v>1945</v>
      </c>
      <c r="S53" s="53"/>
      <c r="T53" s="54"/>
      <c r="U53" s="53"/>
      <c r="V53" s="54"/>
      <c r="W53" s="53"/>
      <c r="X53" s="54"/>
      <c r="Y53" s="53"/>
      <c r="Z53" s="54"/>
      <c r="AA53" s="53"/>
      <c r="AB53" s="54"/>
      <c r="AC53" s="53"/>
      <c r="AD53" s="54"/>
      <c r="AE53" s="53"/>
      <c r="AF53" s="54"/>
      <c r="AG53" s="53"/>
      <c r="AH53" s="54"/>
      <c r="AI53" s="53"/>
      <c r="AJ53" s="54"/>
      <c r="AK53" s="53"/>
      <c r="AL53" s="54"/>
      <c r="AM53" s="53"/>
      <c r="AN53" s="54"/>
      <c r="AO53" s="53"/>
      <c r="AP53" s="54"/>
      <c r="AQ53" s="53"/>
      <c r="AR53" s="54"/>
      <c r="AS53" s="53"/>
      <c r="AT53" s="54"/>
      <c r="AU53" s="53"/>
      <c r="AV53" s="54"/>
      <c r="AW53" s="53"/>
      <c r="AX53" s="54"/>
      <c r="AY53" s="53"/>
      <c r="AZ53" s="54"/>
      <c r="BA53" s="53"/>
      <c r="BB53" s="51"/>
      <c r="BC53" s="53"/>
      <c r="BD53" s="51"/>
      <c r="BE53" s="53"/>
      <c r="BF53" s="51"/>
      <c r="BG53" s="53"/>
      <c r="BH53" s="51"/>
      <c r="BI53" s="53"/>
      <c r="BJ53" s="51"/>
      <c r="BK53" s="53"/>
      <c r="BL53" s="51"/>
      <c r="BM53" s="53"/>
      <c r="BN53" s="51"/>
      <c r="BO53" s="53"/>
      <c r="BP53" s="51"/>
      <c r="BQ53" s="53"/>
      <c r="BR53" s="55"/>
    </row>
    <row r="54" spans="1:70" ht="28.5" customHeight="1">
      <c r="A54" s="56" t="s">
        <v>2893</v>
      </c>
      <c r="B54" s="51" t="str">
        <f t="shared" si="0"/>
        <v>giftcodesbanner/錨點降臨Re：Code-bar.jpg</v>
      </c>
      <c r="C54" s="51"/>
      <c r="D54" s="51" t="str">
        <f t="shared" si="1"/>
        <v>https://www.ssbuy.tw/detail_giftcode/dist/giftcodes/錨點降臨Re：Code.html</v>
      </c>
      <c r="E54" s="91" t="s">
        <v>1946</v>
      </c>
      <c r="F54" s="103" t="s">
        <v>1710</v>
      </c>
      <c r="G54" s="52" t="s">
        <v>1711</v>
      </c>
      <c r="H54" s="52" t="s">
        <v>1840</v>
      </c>
      <c r="I54" s="51"/>
      <c r="J54" s="91"/>
      <c r="K54" s="93" t="s">
        <v>1947</v>
      </c>
      <c r="L54" s="52" t="s">
        <v>1948</v>
      </c>
      <c r="M54" s="59" t="s">
        <v>1949</v>
      </c>
      <c r="N54" s="62" t="s">
        <v>1950</v>
      </c>
      <c r="O54" s="59" t="s">
        <v>1951</v>
      </c>
      <c r="P54" s="62" t="s">
        <v>1948</v>
      </c>
      <c r="Q54" s="59" t="s">
        <v>1952</v>
      </c>
      <c r="R54" s="62" t="s">
        <v>1948</v>
      </c>
      <c r="S54" s="59" t="s">
        <v>1953</v>
      </c>
      <c r="T54" s="62" t="s">
        <v>1954</v>
      </c>
      <c r="U54" s="59" t="s">
        <v>1955</v>
      </c>
      <c r="V54" s="62" t="s">
        <v>1956</v>
      </c>
      <c r="W54" s="59" t="s">
        <v>1957</v>
      </c>
      <c r="X54" s="62" t="s">
        <v>1948</v>
      </c>
      <c r="Y54" s="59" t="s">
        <v>1958</v>
      </c>
      <c r="Z54" s="62" t="s">
        <v>1948</v>
      </c>
      <c r="AA54" s="59" t="s">
        <v>1959</v>
      </c>
      <c r="AB54" s="62" t="s">
        <v>1954</v>
      </c>
      <c r="AC54" s="59" t="s">
        <v>1960</v>
      </c>
      <c r="AD54" s="62" t="s">
        <v>1961</v>
      </c>
      <c r="AE54" s="59" t="s">
        <v>1962</v>
      </c>
      <c r="AF54" s="62" t="s">
        <v>1961</v>
      </c>
      <c r="AG54" s="59" t="s">
        <v>1963</v>
      </c>
      <c r="AH54" s="62" t="s">
        <v>1961</v>
      </c>
      <c r="AI54" s="59" t="s">
        <v>1964</v>
      </c>
      <c r="AJ54" s="62" t="s">
        <v>1961</v>
      </c>
      <c r="AK54" s="59" t="s">
        <v>1965</v>
      </c>
      <c r="AL54" s="62" t="s">
        <v>1961</v>
      </c>
      <c r="AM54" s="59" t="s">
        <v>1966</v>
      </c>
      <c r="AN54" s="62" t="s">
        <v>1961</v>
      </c>
      <c r="AO54" s="59" t="s">
        <v>1967</v>
      </c>
      <c r="AP54" s="62" t="s">
        <v>1961</v>
      </c>
      <c r="AQ54" s="59" t="s">
        <v>1968</v>
      </c>
      <c r="AR54" s="62" t="s">
        <v>1961</v>
      </c>
      <c r="AS54" s="59" t="s">
        <v>1969</v>
      </c>
      <c r="AT54" s="62" t="s">
        <v>1961</v>
      </c>
      <c r="AU54" s="53"/>
      <c r="AV54" s="54"/>
      <c r="AW54" s="53"/>
      <c r="AX54" s="54"/>
      <c r="AY54" s="53"/>
      <c r="AZ54" s="54"/>
      <c r="BA54" s="53"/>
      <c r="BB54" s="51"/>
      <c r="BC54" s="53"/>
      <c r="BD54" s="51"/>
      <c r="BE54" s="53"/>
      <c r="BF54" s="51"/>
      <c r="BG54" s="53"/>
      <c r="BH54" s="51"/>
      <c r="BI54" s="53"/>
      <c r="BJ54" s="51"/>
      <c r="BK54" s="53"/>
      <c r="BL54" s="51"/>
      <c r="BM54" s="53"/>
      <c r="BN54" s="51"/>
      <c r="BO54" s="53"/>
      <c r="BP54" s="51"/>
      <c r="BQ54" s="53"/>
      <c r="BR54" s="55"/>
    </row>
    <row r="55" spans="1:70" ht="28.5" customHeight="1">
      <c r="A55" s="56" t="s">
        <v>2894</v>
      </c>
      <c r="B55" s="51" t="str">
        <f t="shared" si="0"/>
        <v>giftcodesbanner/神契氣靈師-bar.jpg</v>
      </c>
      <c r="C55" s="51"/>
      <c r="D55" s="51" t="str">
        <f t="shared" si="1"/>
        <v>https://www.ssbuy.tw/detail_giftcode/dist/giftcodes/神契氣靈師.html</v>
      </c>
      <c r="E55" s="91" t="s">
        <v>1970</v>
      </c>
      <c r="F55" s="103" t="s">
        <v>1710</v>
      </c>
      <c r="G55" s="52" t="s">
        <v>1711</v>
      </c>
      <c r="H55" s="52" t="s">
        <v>1840</v>
      </c>
      <c r="I55" s="51"/>
      <c r="J55" s="91"/>
      <c r="K55" s="93" t="s">
        <v>1782</v>
      </c>
      <c r="L55" s="52" t="s">
        <v>1971</v>
      </c>
      <c r="M55" s="59" t="s">
        <v>1714</v>
      </c>
      <c r="N55" s="62" t="s">
        <v>1972</v>
      </c>
      <c r="O55" s="59" t="s">
        <v>1715</v>
      </c>
      <c r="P55" s="62" t="s">
        <v>1973</v>
      </c>
      <c r="Q55" s="59" t="s">
        <v>1783</v>
      </c>
      <c r="R55" s="62" t="s">
        <v>1974</v>
      </c>
      <c r="S55" s="59" t="s">
        <v>1784</v>
      </c>
      <c r="T55" s="62" t="s">
        <v>1975</v>
      </c>
      <c r="U55" s="59" t="s">
        <v>1785</v>
      </c>
      <c r="V55" s="62" t="s">
        <v>1976</v>
      </c>
      <c r="W55" s="59" t="s">
        <v>1977</v>
      </c>
      <c r="X55" s="62" t="s">
        <v>1976</v>
      </c>
      <c r="Y55" s="59" t="s">
        <v>1978</v>
      </c>
      <c r="Z55" s="62" t="s">
        <v>1979</v>
      </c>
      <c r="AA55" s="59" t="s">
        <v>1980</v>
      </c>
      <c r="AB55" s="62" t="s">
        <v>1981</v>
      </c>
      <c r="AC55" s="59" t="s">
        <v>1982</v>
      </c>
      <c r="AD55" s="62" t="s">
        <v>1983</v>
      </c>
      <c r="AE55" s="59" t="s">
        <v>1984</v>
      </c>
      <c r="AF55" s="62" t="s">
        <v>1985</v>
      </c>
      <c r="AG55" s="59" t="s">
        <v>1986</v>
      </c>
      <c r="AH55" s="62" t="s">
        <v>1987</v>
      </c>
      <c r="AI55" s="59" t="s">
        <v>1988</v>
      </c>
      <c r="AJ55" s="62" t="s">
        <v>1989</v>
      </c>
      <c r="AK55" s="59" t="s">
        <v>1990</v>
      </c>
      <c r="AL55" s="62" t="s">
        <v>1991</v>
      </c>
      <c r="AM55" s="59" t="s">
        <v>1992</v>
      </c>
      <c r="AN55" s="62" t="s">
        <v>1993</v>
      </c>
      <c r="AO55" s="59" t="s">
        <v>1994</v>
      </c>
      <c r="AP55" s="62" t="s">
        <v>1995</v>
      </c>
      <c r="AQ55" s="53"/>
      <c r="AR55" s="54"/>
      <c r="AS55" s="53"/>
      <c r="AT55" s="54"/>
      <c r="AU55" s="53"/>
      <c r="AV55" s="54"/>
      <c r="AW55" s="53"/>
      <c r="AX55" s="54"/>
      <c r="AY55" s="53"/>
      <c r="AZ55" s="54"/>
      <c r="BA55" s="53"/>
      <c r="BB55" s="51"/>
      <c r="BC55" s="53"/>
      <c r="BD55" s="51"/>
      <c r="BE55" s="53"/>
      <c r="BF55" s="51"/>
      <c r="BG55" s="53"/>
      <c r="BH55" s="51"/>
      <c r="BI55" s="53"/>
      <c r="BJ55" s="51"/>
      <c r="BK55" s="53"/>
      <c r="BL55" s="51"/>
      <c r="BM55" s="53"/>
      <c r="BN55" s="51"/>
      <c r="BO55" s="53"/>
      <c r="BP55" s="51"/>
      <c r="BQ55" s="53"/>
      <c r="BR55" s="55"/>
    </row>
    <row r="56" spans="1:70" ht="28.5" customHeight="1">
      <c r="A56" s="56" t="s">
        <v>2895</v>
      </c>
      <c r="B56" s="51" t="str">
        <f t="shared" si="0"/>
        <v>giftcodesbanner/不休旅途：繪卷世界-bar.jpg</v>
      </c>
      <c r="C56" s="51"/>
      <c r="D56" s="51" t="str">
        <f t="shared" si="1"/>
        <v>https://www.ssbuy.tw/detail_giftcode/dist/giftcodes/不休旅途：繪卷世界.html</v>
      </c>
      <c r="E56" s="91" t="s">
        <v>1996</v>
      </c>
      <c r="F56" s="103" t="s">
        <v>1710</v>
      </c>
      <c r="G56" s="52" t="s">
        <v>1711</v>
      </c>
      <c r="H56" s="52" t="s">
        <v>1840</v>
      </c>
      <c r="I56" s="51"/>
      <c r="J56" s="91"/>
      <c r="K56" s="93" t="s">
        <v>1997</v>
      </c>
      <c r="L56" s="52" t="s">
        <v>1998</v>
      </c>
      <c r="M56" s="63" t="s">
        <v>1999</v>
      </c>
      <c r="N56" s="61"/>
      <c r="O56" s="53" t="s">
        <v>2896</v>
      </c>
      <c r="P56" s="61"/>
      <c r="Q56" s="53" t="s">
        <v>2000</v>
      </c>
      <c r="R56" s="54" t="s">
        <v>1713</v>
      </c>
      <c r="S56" s="59" t="s">
        <v>2001</v>
      </c>
      <c r="T56" s="62" t="s">
        <v>2002</v>
      </c>
      <c r="U56" s="59" t="s">
        <v>2003</v>
      </c>
      <c r="V56" s="62" t="s">
        <v>2004</v>
      </c>
      <c r="W56" s="59" t="s">
        <v>2005</v>
      </c>
      <c r="X56" s="62" t="s">
        <v>2004</v>
      </c>
      <c r="Y56" s="59" t="s">
        <v>2006</v>
      </c>
      <c r="Z56" s="62" t="s">
        <v>2004</v>
      </c>
      <c r="AA56" s="59" t="s">
        <v>2007</v>
      </c>
      <c r="AB56" s="62" t="s">
        <v>2008</v>
      </c>
      <c r="AC56" s="59" t="s">
        <v>2009</v>
      </c>
      <c r="AD56" s="62" t="s">
        <v>2004</v>
      </c>
      <c r="AE56" s="53"/>
      <c r="AF56" s="54"/>
      <c r="AG56" s="53"/>
      <c r="AH56" s="54"/>
      <c r="AI56" s="53"/>
      <c r="AJ56" s="54"/>
      <c r="AK56" s="53"/>
      <c r="AL56" s="54"/>
      <c r="AM56" s="53"/>
      <c r="AN56" s="54"/>
      <c r="AO56" s="53"/>
      <c r="AP56" s="54"/>
      <c r="AQ56" s="53"/>
      <c r="AR56" s="54"/>
      <c r="AS56" s="53"/>
      <c r="AT56" s="54"/>
      <c r="AU56" s="53"/>
      <c r="AV56" s="54"/>
      <c r="AW56" s="53"/>
      <c r="AX56" s="54"/>
      <c r="AY56" s="53"/>
      <c r="AZ56" s="54"/>
      <c r="BA56" s="53"/>
      <c r="BB56" s="51"/>
      <c r="BC56" s="53"/>
      <c r="BD56" s="51"/>
      <c r="BE56" s="53"/>
      <c r="BF56" s="51"/>
      <c r="BG56" s="53"/>
      <c r="BH56" s="51"/>
      <c r="BI56" s="53"/>
      <c r="BJ56" s="51"/>
      <c r="BK56" s="53"/>
      <c r="BL56" s="51"/>
      <c r="BM56" s="53"/>
      <c r="BN56" s="51"/>
      <c r="BO56" s="53"/>
      <c r="BP56" s="51"/>
      <c r="BQ56" s="53"/>
      <c r="BR56" s="55"/>
    </row>
    <row r="57" spans="1:70" ht="28.5" customHeight="1">
      <c r="A57" s="56" t="s">
        <v>2010</v>
      </c>
      <c r="B57" s="51" t="str">
        <f t="shared" si="0"/>
        <v>giftcodesbanner/別破防鴨-bar.jpg</v>
      </c>
      <c r="C57" s="51"/>
      <c r="D57" s="51" t="str">
        <f t="shared" si="1"/>
        <v>https://www.ssbuy.tw/detail_giftcode/dist/giftcodes/別破防鴨.html</v>
      </c>
      <c r="E57" s="105" t="s">
        <v>2011</v>
      </c>
      <c r="F57" s="103" t="s">
        <v>1710</v>
      </c>
      <c r="G57" s="52" t="s">
        <v>1711</v>
      </c>
      <c r="H57" s="52" t="s">
        <v>1840</v>
      </c>
      <c r="I57" s="51"/>
      <c r="J57" s="91"/>
      <c r="K57" s="93" t="s">
        <v>2012</v>
      </c>
      <c r="L57" s="52" t="s">
        <v>2013</v>
      </c>
      <c r="M57" s="63" t="s">
        <v>2014</v>
      </c>
      <c r="N57" s="64" t="s">
        <v>2015</v>
      </c>
      <c r="O57" s="65" t="s">
        <v>2016</v>
      </c>
      <c r="P57" s="64" t="s">
        <v>2013</v>
      </c>
      <c r="Q57" s="65" t="s">
        <v>2017</v>
      </c>
      <c r="R57" s="64" t="s">
        <v>2013</v>
      </c>
      <c r="S57" s="65" t="s">
        <v>2018</v>
      </c>
      <c r="T57" s="64" t="s">
        <v>2019</v>
      </c>
      <c r="U57" s="65" t="s">
        <v>2020</v>
      </c>
      <c r="V57" s="64" t="s">
        <v>2021</v>
      </c>
      <c r="W57" s="65" t="s">
        <v>2022</v>
      </c>
      <c r="X57" s="64" t="s">
        <v>2023</v>
      </c>
      <c r="Y57" s="65" t="s">
        <v>2024</v>
      </c>
      <c r="Z57" s="64" t="s">
        <v>2025</v>
      </c>
      <c r="AA57" s="65" t="s">
        <v>2026</v>
      </c>
      <c r="AB57" s="64" t="s">
        <v>2025</v>
      </c>
      <c r="AC57" s="65" t="s">
        <v>2027</v>
      </c>
      <c r="AD57" s="64" t="s">
        <v>2025</v>
      </c>
      <c r="AE57" s="65" t="s">
        <v>2028</v>
      </c>
      <c r="AF57" s="64" t="s">
        <v>2021</v>
      </c>
      <c r="AG57" s="65" t="s">
        <v>2029</v>
      </c>
      <c r="AH57" s="64" t="s">
        <v>2023</v>
      </c>
      <c r="AI57" s="53"/>
      <c r="AJ57" s="54"/>
      <c r="AK57" s="53"/>
      <c r="AL57" s="54"/>
      <c r="AM57" s="53"/>
      <c r="AN57" s="54"/>
      <c r="AO57" s="53"/>
      <c r="AP57" s="54"/>
      <c r="AQ57" s="53"/>
      <c r="AR57" s="54"/>
      <c r="AS57" s="53"/>
      <c r="AT57" s="54"/>
      <c r="AU57" s="53"/>
      <c r="AV57" s="54"/>
      <c r="AW57" s="53"/>
      <c r="AX57" s="54"/>
      <c r="AY57" s="53"/>
      <c r="AZ57" s="54"/>
      <c r="BA57" s="53"/>
      <c r="BB57" s="51"/>
      <c r="BC57" s="53"/>
      <c r="BD57" s="51"/>
      <c r="BE57" s="53"/>
      <c r="BF57" s="51"/>
      <c r="BG57" s="53"/>
      <c r="BH57" s="51"/>
      <c r="BI57" s="53"/>
      <c r="BJ57" s="51"/>
      <c r="BK57" s="53"/>
      <c r="BL57" s="51"/>
      <c r="BM57" s="53"/>
      <c r="BN57" s="51"/>
      <c r="BO57" s="53"/>
      <c r="BP57" s="51"/>
      <c r="BQ57" s="53"/>
      <c r="BR57" s="55"/>
    </row>
    <row r="58" spans="1:70" ht="28.5" customHeight="1">
      <c r="A58" s="56" t="s">
        <v>846</v>
      </c>
      <c r="B58" s="51" t="str">
        <f t="shared" si="0"/>
        <v>giftcodesbanner/超派救星幫幫忙-bar.jpg</v>
      </c>
      <c r="C58" s="51"/>
      <c r="D58" s="51" t="str">
        <f t="shared" si="1"/>
        <v>https://www.ssbuy.tw/detail_giftcode/dist/giftcodes/超派救星幫幫忙.html</v>
      </c>
      <c r="E58" s="91" t="s">
        <v>2030</v>
      </c>
      <c r="F58" s="103" t="s">
        <v>1710</v>
      </c>
      <c r="G58" s="52" t="s">
        <v>1711</v>
      </c>
      <c r="H58" s="52" t="s">
        <v>1840</v>
      </c>
      <c r="I58" s="51"/>
      <c r="J58" s="91"/>
      <c r="K58" s="94" t="s">
        <v>1782</v>
      </c>
      <c r="L58" s="66" t="s">
        <v>2031</v>
      </c>
      <c r="M58" s="65" t="s">
        <v>1714</v>
      </c>
      <c r="N58" s="64" t="s">
        <v>2031</v>
      </c>
      <c r="O58" s="65" t="s">
        <v>1715</v>
      </c>
      <c r="P58" s="64" t="s">
        <v>2031</v>
      </c>
      <c r="Q58" s="53"/>
      <c r="R58" s="54"/>
      <c r="S58" s="53"/>
      <c r="T58" s="54"/>
      <c r="U58" s="53"/>
      <c r="V58" s="54"/>
      <c r="W58" s="53"/>
      <c r="X58" s="54"/>
      <c r="Y58" s="53"/>
      <c r="Z58" s="54"/>
      <c r="AA58" s="53"/>
      <c r="AB58" s="54"/>
      <c r="AC58" s="53"/>
      <c r="AD58" s="54"/>
      <c r="AE58" s="53"/>
      <c r="AF58" s="54"/>
      <c r="AG58" s="53"/>
      <c r="AH58" s="54"/>
      <c r="AI58" s="53"/>
      <c r="AJ58" s="54"/>
      <c r="AK58" s="53"/>
      <c r="AL58" s="54"/>
      <c r="AM58" s="53"/>
      <c r="AN58" s="54"/>
      <c r="AO58" s="53"/>
      <c r="AP58" s="54"/>
      <c r="AQ58" s="53"/>
      <c r="AR58" s="54"/>
      <c r="AS58" s="53"/>
      <c r="AT58" s="54"/>
      <c r="AU58" s="53"/>
      <c r="AV58" s="54"/>
      <c r="AW58" s="53"/>
      <c r="AX58" s="54"/>
      <c r="AY58" s="53"/>
      <c r="AZ58" s="54"/>
      <c r="BA58" s="53"/>
      <c r="BB58" s="51"/>
      <c r="BC58" s="53"/>
      <c r="BD58" s="51"/>
      <c r="BE58" s="53"/>
      <c r="BF58" s="51"/>
      <c r="BG58" s="53"/>
      <c r="BH58" s="51"/>
      <c r="BI58" s="53"/>
      <c r="BJ58" s="51"/>
      <c r="BK58" s="53"/>
      <c r="BL58" s="51"/>
      <c r="BM58" s="53"/>
      <c r="BN58" s="51"/>
      <c r="BO58" s="53"/>
      <c r="BP58" s="51"/>
      <c r="BQ58" s="53"/>
      <c r="BR58" s="55"/>
    </row>
    <row r="59" spans="1:70" ht="28.5" customHeight="1">
      <c r="A59" s="56" t="s">
        <v>857</v>
      </c>
      <c r="B59" s="51" t="str">
        <f t="shared" si="0"/>
        <v>giftcodesbanner/時光大爆炸-bar.jpg</v>
      </c>
      <c r="C59" s="51"/>
      <c r="D59" s="51" t="str">
        <f t="shared" si="1"/>
        <v>https://www.ssbuy.tw/detail_giftcode/dist/giftcodes/時光大爆炸.html</v>
      </c>
      <c r="E59" s="91" t="s">
        <v>2897</v>
      </c>
      <c r="F59" s="103" t="s">
        <v>1710</v>
      </c>
      <c r="G59" s="52" t="s">
        <v>1711</v>
      </c>
      <c r="H59" s="52" t="s">
        <v>1840</v>
      </c>
      <c r="I59" s="51"/>
      <c r="J59" s="91"/>
      <c r="K59" s="92" t="s">
        <v>2032</v>
      </c>
      <c r="L59" s="51" t="s">
        <v>1713</v>
      </c>
      <c r="M59" s="53" t="s">
        <v>2033</v>
      </c>
      <c r="N59" s="54" t="s">
        <v>1713</v>
      </c>
      <c r="O59" s="53" t="s">
        <v>2034</v>
      </c>
      <c r="P59" s="54" t="s">
        <v>1713</v>
      </c>
      <c r="Q59" s="53" t="s">
        <v>2035</v>
      </c>
      <c r="R59" s="54" t="s">
        <v>1713</v>
      </c>
      <c r="S59" s="53" t="s">
        <v>2036</v>
      </c>
      <c r="T59" s="54" t="s">
        <v>1713</v>
      </c>
      <c r="U59" s="53" t="s">
        <v>2037</v>
      </c>
      <c r="V59" s="54" t="s">
        <v>1713</v>
      </c>
      <c r="W59" s="53" t="s">
        <v>2038</v>
      </c>
      <c r="X59" s="54" t="s">
        <v>1713</v>
      </c>
      <c r="Y59" s="53" t="s">
        <v>2039</v>
      </c>
      <c r="Z59" s="54" t="s">
        <v>1713</v>
      </c>
      <c r="AA59" s="53" t="s">
        <v>2040</v>
      </c>
      <c r="AB59" s="54" t="s">
        <v>1713</v>
      </c>
      <c r="AC59" s="53"/>
      <c r="AD59" s="54"/>
      <c r="AE59" s="53"/>
      <c r="AF59" s="54"/>
      <c r="AG59" s="53"/>
      <c r="AH59" s="54"/>
      <c r="AI59" s="53"/>
      <c r="AJ59" s="54"/>
      <c r="AK59" s="53"/>
      <c r="AL59" s="54"/>
      <c r="AM59" s="53"/>
      <c r="AN59" s="54"/>
      <c r="AO59" s="53"/>
      <c r="AP59" s="54"/>
      <c r="AQ59" s="53"/>
      <c r="AR59" s="54"/>
      <c r="AS59" s="53"/>
      <c r="AT59" s="54"/>
      <c r="AU59" s="53"/>
      <c r="AV59" s="54"/>
      <c r="AW59" s="53"/>
      <c r="AX59" s="54"/>
      <c r="AY59" s="53"/>
      <c r="AZ59" s="54"/>
      <c r="BA59" s="53"/>
      <c r="BB59" s="51"/>
      <c r="BC59" s="53"/>
      <c r="BD59" s="51"/>
      <c r="BE59" s="53"/>
      <c r="BF59" s="51"/>
      <c r="BG59" s="53"/>
      <c r="BH59" s="51"/>
      <c r="BI59" s="53"/>
      <c r="BJ59" s="51"/>
      <c r="BK59" s="53"/>
      <c r="BL59" s="51"/>
      <c r="BM59" s="53"/>
      <c r="BN59" s="51"/>
      <c r="BO59" s="53"/>
      <c r="BP59" s="51"/>
      <c r="BQ59" s="53"/>
      <c r="BR59" s="55"/>
    </row>
    <row r="60" spans="1:70" ht="28.5" customHeight="1">
      <c r="A60" s="56" t="s">
        <v>866</v>
      </c>
      <c r="B60" s="51" t="str">
        <f t="shared" si="0"/>
        <v>giftcodesbanner/深淵：不滅者-bar.jpg</v>
      </c>
      <c r="C60" s="51"/>
      <c r="D60" s="51" t="str">
        <f t="shared" si="1"/>
        <v>https://www.ssbuy.tw/detail_giftcode/dist/giftcodes/深淵：不滅者.html</v>
      </c>
      <c r="E60" s="91" t="s">
        <v>2898</v>
      </c>
      <c r="F60" s="103" t="s">
        <v>1710</v>
      </c>
      <c r="G60" s="52" t="s">
        <v>1711</v>
      </c>
      <c r="H60" s="52" t="s">
        <v>1840</v>
      </c>
      <c r="I60" s="51"/>
      <c r="J60" s="91"/>
      <c r="K60" s="93" t="s">
        <v>2041</v>
      </c>
      <c r="L60" s="52" t="s">
        <v>2042</v>
      </c>
      <c r="M60" s="59" t="s">
        <v>2043</v>
      </c>
      <c r="N60" s="62" t="s">
        <v>2044</v>
      </c>
      <c r="O60" s="59" t="s">
        <v>2045</v>
      </c>
      <c r="P60" s="62" t="s">
        <v>2046</v>
      </c>
      <c r="Q60" s="59" t="s">
        <v>2047</v>
      </c>
      <c r="R60" s="62" t="s">
        <v>2048</v>
      </c>
      <c r="S60" s="59" t="s">
        <v>1819</v>
      </c>
      <c r="T60" s="62" t="s">
        <v>2049</v>
      </c>
      <c r="U60" s="59" t="s">
        <v>1782</v>
      </c>
      <c r="V60" s="62" t="s">
        <v>2049</v>
      </c>
      <c r="W60" s="59" t="s">
        <v>1714</v>
      </c>
      <c r="X60" s="62" t="s">
        <v>2050</v>
      </c>
      <c r="Y60" s="59" t="s">
        <v>1715</v>
      </c>
      <c r="Z60" s="62" t="s">
        <v>2050</v>
      </c>
      <c r="AA60" s="59" t="s">
        <v>1820</v>
      </c>
      <c r="AB60" s="62" t="s">
        <v>2050</v>
      </c>
      <c r="AC60" s="59" t="s">
        <v>1783</v>
      </c>
      <c r="AD60" s="62" t="s">
        <v>2050</v>
      </c>
      <c r="AE60" s="59" t="s">
        <v>1784</v>
      </c>
      <c r="AF60" s="62" t="s">
        <v>2050</v>
      </c>
      <c r="AG60" s="59" t="s">
        <v>1785</v>
      </c>
      <c r="AH60" s="62" t="s">
        <v>2050</v>
      </c>
      <c r="AI60" s="59" t="s">
        <v>2051</v>
      </c>
      <c r="AJ60" s="62" t="s">
        <v>2050</v>
      </c>
      <c r="AK60" s="53"/>
      <c r="AL60" s="54"/>
      <c r="AM60" s="53"/>
      <c r="AN60" s="54"/>
      <c r="AO60" s="53"/>
      <c r="AP60" s="54"/>
      <c r="AQ60" s="53"/>
      <c r="AR60" s="54"/>
      <c r="AS60" s="53"/>
      <c r="AT60" s="54"/>
      <c r="AU60" s="53"/>
      <c r="AV60" s="54"/>
      <c r="AW60" s="53"/>
      <c r="AX60" s="54"/>
      <c r="AY60" s="53"/>
      <c r="AZ60" s="54"/>
      <c r="BA60" s="53"/>
      <c r="BB60" s="51"/>
      <c r="BC60" s="53"/>
      <c r="BD60" s="51"/>
      <c r="BE60" s="53"/>
      <c r="BF60" s="51"/>
      <c r="BG60" s="53"/>
      <c r="BH60" s="51"/>
      <c r="BI60" s="53"/>
      <c r="BJ60" s="51"/>
      <c r="BK60" s="53"/>
      <c r="BL60" s="51"/>
      <c r="BM60" s="53"/>
      <c r="BN60" s="51"/>
      <c r="BO60" s="53"/>
      <c r="BP60" s="51"/>
      <c r="BQ60" s="53"/>
      <c r="BR60" s="55"/>
    </row>
    <row r="61" spans="1:70" ht="28.5" customHeight="1">
      <c r="A61" s="56" t="s">
        <v>2</v>
      </c>
      <c r="B61" s="51" t="str">
        <f t="shared" si="0"/>
        <v>giftcodesbanner/Last War-bar.jpg</v>
      </c>
      <c r="C61" s="51"/>
      <c r="D61" s="51" t="str">
        <f t="shared" si="1"/>
        <v>https://www.ssbuy.tw/detail_giftcode/dist/giftcodes/Last War.html</v>
      </c>
      <c r="E61" s="91" t="s">
        <v>2899</v>
      </c>
      <c r="F61" s="103" t="s">
        <v>1710</v>
      </c>
      <c r="G61" s="52" t="s">
        <v>1711</v>
      </c>
      <c r="H61" s="52" t="s">
        <v>1840</v>
      </c>
      <c r="I61" s="51"/>
      <c r="J61" s="91"/>
      <c r="K61" s="92" t="s">
        <v>2052</v>
      </c>
      <c r="L61" s="51" t="s">
        <v>1920</v>
      </c>
      <c r="M61" s="53"/>
      <c r="N61" s="54"/>
      <c r="O61" s="53"/>
      <c r="P61" s="54"/>
      <c r="Q61" s="53"/>
      <c r="R61" s="54"/>
      <c r="S61" s="53"/>
      <c r="T61" s="54"/>
      <c r="U61" s="53"/>
      <c r="V61" s="54"/>
      <c r="W61" s="53"/>
      <c r="X61" s="54"/>
      <c r="Y61" s="53"/>
      <c r="Z61" s="54"/>
      <c r="AA61" s="53"/>
      <c r="AB61" s="54"/>
      <c r="AC61" s="53"/>
      <c r="AD61" s="54"/>
      <c r="AE61" s="53"/>
      <c r="AF61" s="54"/>
      <c r="AG61" s="53"/>
      <c r="AH61" s="54"/>
      <c r="AI61" s="53"/>
      <c r="AJ61" s="54"/>
      <c r="AK61" s="53"/>
      <c r="AL61" s="54"/>
      <c r="AM61" s="53"/>
      <c r="AN61" s="54"/>
      <c r="AO61" s="53"/>
      <c r="AP61" s="54"/>
      <c r="AQ61" s="53"/>
      <c r="AR61" s="54"/>
      <c r="AS61" s="53"/>
      <c r="AT61" s="54"/>
      <c r="AU61" s="53"/>
      <c r="AV61" s="54"/>
      <c r="AW61" s="53"/>
      <c r="AX61" s="54"/>
      <c r="AY61" s="53"/>
      <c r="AZ61" s="54"/>
      <c r="BA61" s="53"/>
      <c r="BB61" s="51"/>
      <c r="BC61" s="53"/>
      <c r="BD61" s="51"/>
      <c r="BE61" s="53"/>
      <c r="BF61" s="51"/>
      <c r="BG61" s="53"/>
      <c r="BH61" s="51"/>
      <c r="BI61" s="53"/>
      <c r="BJ61" s="51"/>
      <c r="BK61" s="53"/>
      <c r="BL61" s="51"/>
      <c r="BM61" s="53"/>
      <c r="BN61" s="51"/>
      <c r="BO61" s="53"/>
      <c r="BP61" s="51"/>
      <c r="BQ61" s="53"/>
      <c r="BR61" s="55"/>
    </row>
    <row r="62" spans="1:70" ht="28.5" customHeight="1">
      <c r="A62" s="56" t="s">
        <v>883</v>
      </c>
      <c r="B62" s="51" t="str">
        <f t="shared" si="0"/>
        <v>giftcodesbanner/勇士不要停-bar.jpg</v>
      </c>
      <c r="C62" s="51"/>
      <c r="D62" s="51" t="str">
        <f t="shared" si="1"/>
        <v>https://www.ssbuy.tw/detail_giftcode/dist/giftcodes/勇士不要停.html</v>
      </c>
      <c r="E62" s="91" t="s">
        <v>2053</v>
      </c>
      <c r="F62" s="103" t="s">
        <v>1710</v>
      </c>
      <c r="G62" s="52" t="s">
        <v>1711</v>
      </c>
      <c r="H62" s="52" t="s">
        <v>1840</v>
      </c>
      <c r="I62" s="51"/>
      <c r="J62" s="91"/>
      <c r="K62" s="92" t="s">
        <v>2054</v>
      </c>
      <c r="L62" s="51" t="s">
        <v>1920</v>
      </c>
      <c r="M62" s="53" t="s">
        <v>2900</v>
      </c>
      <c r="N62" s="54" t="s">
        <v>1920</v>
      </c>
      <c r="O62" s="53" t="s">
        <v>2901</v>
      </c>
      <c r="P62" s="54" t="s">
        <v>1920</v>
      </c>
      <c r="Q62" s="53" t="s">
        <v>2055</v>
      </c>
      <c r="R62" s="54" t="s">
        <v>1920</v>
      </c>
      <c r="S62" s="53" t="s">
        <v>2902</v>
      </c>
      <c r="T62" s="54" t="s">
        <v>1920</v>
      </c>
      <c r="U62" s="53" t="s">
        <v>2903</v>
      </c>
      <c r="V62" s="54" t="s">
        <v>1920</v>
      </c>
      <c r="W62" s="53" t="s">
        <v>2904</v>
      </c>
      <c r="X62" s="54" t="s">
        <v>1920</v>
      </c>
      <c r="Y62" s="53" t="s">
        <v>1932</v>
      </c>
      <c r="Z62" s="54" t="s">
        <v>1920</v>
      </c>
      <c r="AA62" s="53" t="s">
        <v>2056</v>
      </c>
      <c r="AB62" s="54" t="s">
        <v>1920</v>
      </c>
      <c r="AC62" s="53" t="s">
        <v>1841</v>
      </c>
      <c r="AD62" s="54" t="s">
        <v>1920</v>
      </c>
      <c r="AE62" s="53" t="s">
        <v>2422</v>
      </c>
      <c r="AF62" s="54" t="s">
        <v>1920</v>
      </c>
      <c r="AG62" s="53" t="s">
        <v>2905</v>
      </c>
      <c r="AH62" s="54" t="s">
        <v>1920</v>
      </c>
      <c r="AI62" s="53" t="s">
        <v>2057</v>
      </c>
      <c r="AJ62" s="54" t="s">
        <v>1920</v>
      </c>
      <c r="AK62" s="53" t="s">
        <v>2906</v>
      </c>
      <c r="AL62" s="54" t="s">
        <v>1920</v>
      </c>
      <c r="AM62" s="53" t="s">
        <v>2907</v>
      </c>
      <c r="AN62" s="54" t="s">
        <v>1920</v>
      </c>
      <c r="AO62" s="53"/>
      <c r="AP62" s="54"/>
      <c r="AQ62" s="53"/>
      <c r="AR62" s="54"/>
      <c r="AS62" s="53"/>
      <c r="AT62" s="54"/>
      <c r="AU62" s="53"/>
      <c r="AV62" s="54"/>
      <c r="AW62" s="53"/>
      <c r="AX62" s="54"/>
      <c r="AY62" s="53"/>
      <c r="AZ62" s="54"/>
      <c r="BA62" s="53"/>
      <c r="BB62" s="51"/>
      <c r="BC62" s="53"/>
      <c r="BD62" s="51"/>
      <c r="BE62" s="53"/>
      <c r="BF62" s="51"/>
      <c r="BG62" s="53"/>
      <c r="BH62" s="51"/>
      <c r="BI62" s="53"/>
      <c r="BJ62" s="51"/>
      <c r="BK62" s="53"/>
      <c r="BL62" s="51"/>
      <c r="BM62" s="53"/>
      <c r="BN62" s="51"/>
      <c r="BO62" s="53"/>
      <c r="BP62" s="51"/>
      <c r="BQ62" s="53"/>
      <c r="BR62" s="55"/>
    </row>
    <row r="63" spans="1:70" ht="28.5" customHeight="1">
      <c r="A63" s="56" t="s">
        <v>890</v>
      </c>
      <c r="B63" s="51" t="str">
        <f t="shared" si="0"/>
        <v>giftcodesbanner/元氣火柴人-bar.jpg</v>
      </c>
      <c r="C63" s="51"/>
      <c r="D63" s="51" t="str">
        <f t="shared" si="1"/>
        <v>https://www.ssbuy.tw/detail_giftcode/dist/giftcodes/元氣火柴人.html</v>
      </c>
      <c r="E63" s="105" t="s">
        <v>2908</v>
      </c>
      <c r="F63" s="103" t="s">
        <v>1710</v>
      </c>
      <c r="G63" s="52" t="s">
        <v>1711</v>
      </c>
      <c r="H63" s="52" t="s">
        <v>1840</v>
      </c>
      <c r="I63" s="51"/>
      <c r="J63" s="91"/>
      <c r="K63" s="92" t="s">
        <v>1932</v>
      </c>
      <c r="L63" s="51" t="s">
        <v>1920</v>
      </c>
      <c r="M63" s="53" t="s">
        <v>2056</v>
      </c>
      <c r="N63" s="54" t="s">
        <v>1920</v>
      </c>
      <c r="O63" s="53" t="s">
        <v>1841</v>
      </c>
      <c r="P63" s="54" t="s">
        <v>1920</v>
      </c>
      <c r="Q63" s="53" t="s">
        <v>1933</v>
      </c>
      <c r="R63" s="54" t="s">
        <v>1920</v>
      </c>
      <c r="S63" s="53" t="s">
        <v>2909</v>
      </c>
      <c r="T63" s="54" t="s">
        <v>1920</v>
      </c>
      <c r="U63" s="53" t="s">
        <v>2910</v>
      </c>
      <c r="V63" s="54" t="s">
        <v>1920</v>
      </c>
      <c r="W63" s="53" t="s">
        <v>2911</v>
      </c>
      <c r="X63" s="54" t="s">
        <v>1920</v>
      </c>
      <c r="Y63" s="53" t="s">
        <v>2058</v>
      </c>
      <c r="Z63" s="54" t="s">
        <v>1920</v>
      </c>
      <c r="AA63" s="53" t="s">
        <v>2912</v>
      </c>
      <c r="AB63" s="54" t="s">
        <v>1920</v>
      </c>
      <c r="AC63" s="53" t="s">
        <v>2913</v>
      </c>
      <c r="AD63" s="54" t="s">
        <v>1920</v>
      </c>
      <c r="AE63" s="53" t="s">
        <v>2059</v>
      </c>
      <c r="AF63" s="54" t="s">
        <v>1920</v>
      </c>
      <c r="AG63" s="53" t="s">
        <v>2905</v>
      </c>
      <c r="AH63" s="54" t="s">
        <v>1920</v>
      </c>
      <c r="AI63" s="53" t="s">
        <v>2906</v>
      </c>
      <c r="AJ63" s="54" t="s">
        <v>1920</v>
      </c>
      <c r="AK63" s="53" t="s">
        <v>2060</v>
      </c>
      <c r="AL63" s="54" t="s">
        <v>1920</v>
      </c>
      <c r="AM63" s="53" t="s">
        <v>2061</v>
      </c>
      <c r="AN63" s="54" t="s">
        <v>1920</v>
      </c>
      <c r="AO63" s="53" t="s">
        <v>2062</v>
      </c>
      <c r="AP63" s="54" t="s">
        <v>1920</v>
      </c>
      <c r="AQ63" s="53" t="s">
        <v>2063</v>
      </c>
      <c r="AR63" s="54" t="s">
        <v>1920</v>
      </c>
      <c r="AS63" s="53" t="s">
        <v>2064</v>
      </c>
      <c r="AT63" s="54" t="s">
        <v>1920</v>
      </c>
      <c r="AU63" s="53" t="s">
        <v>2065</v>
      </c>
      <c r="AV63" s="54" t="s">
        <v>1920</v>
      </c>
      <c r="AW63" s="53" t="s">
        <v>2066</v>
      </c>
      <c r="AX63" s="54" t="s">
        <v>1920</v>
      </c>
      <c r="AY63" s="53"/>
      <c r="AZ63" s="54"/>
      <c r="BA63" s="53"/>
      <c r="BB63" s="51"/>
      <c r="BC63" s="53"/>
      <c r="BD63" s="51"/>
      <c r="BE63" s="53"/>
      <c r="BF63" s="51"/>
      <c r="BG63" s="53"/>
      <c r="BH63" s="51"/>
      <c r="BI63" s="53"/>
      <c r="BJ63" s="51"/>
      <c r="BK63" s="53"/>
      <c r="BL63" s="51"/>
      <c r="BM63" s="53"/>
      <c r="BN63" s="51"/>
      <c r="BO63" s="53"/>
      <c r="BP63" s="51"/>
      <c r="BQ63" s="53"/>
      <c r="BR63" s="55"/>
    </row>
    <row r="64" spans="1:70" ht="28.5" customHeight="1">
      <c r="A64" s="56" t="s">
        <v>899</v>
      </c>
      <c r="B64" s="51" t="str">
        <f t="shared" si="0"/>
        <v>giftcodesbanner/深淵之影-bar.jpg</v>
      </c>
      <c r="C64" s="51"/>
      <c r="D64" s="51" t="str">
        <f t="shared" si="1"/>
        <v>https://www.ssbuy.tw/detail_giftcode/dist/giftcodes/深淵之影.html</v>
      </c>
      <c r="E64" s="91" t="s">
        <v>2914</v>
      </c>
      <c r="F64" s="103" t="s">
        <v>1710</v>
      </c>
      <c r="G64" s="52" t="s">
        <v>1711</v>
      </c>
      <c r="H64" s="52" t="s">
        <v>1840</v>
      </c>
      <c r="I64" s="51"/>
      <c r="J64" s="91"/>
      <c r="K64" s="92" t="s">
        <v>2915</v>
      </c>
      <c r="L64" s="51" t="s">
        <v>2916</v>
      </c>
      <c r="M64" s="53" t="s">
        <v>2917</v>
      </c>
      <c r="N64" s="54" t="s">
        <v>1920</v>
      </c>
      <c r="O64" s="53"/>
      <c r="P64" s="54"/>
      <c r="Q64" s="53"/>
      <c r="R64" s="54"/>
      <c r="S64" s="53"/>
      <c r="T64" s="54"/>
      <c r="U64" s="53"/>
      <c r="V64" s="54"/>
      <c r="W64" s="53"/>
      <c r="X64" s="54"/>
      <c r="Y64" s="53"/>
      <c r="Z64" s="54"/>
      <c r="AA64" s="53"/>
      <c r="AB64" s="54"/>
      <c r="AC64" s="53"/>
      <c r="AD64" s="54"/>
      <c r="AE64" s="53"/>
      <c r="AF64" s="54"/>
      <c r="AG64" s="53"/>
      <c r="AH64" s="54"/>
      <c r="AI64" s="53"/>
      <c r="AJ64" s="54"/>
      <c r="AK64" s="53"/>
      <c r="AL64" s="54"/>
      <c r="AM64" s="53"/>
      <c r="AN64" s="54"/>
      <c r="AO64" s="53"/>
      <c r="AP64" s="54"/>
      <c r="AQ64" s="53"/>
      <c r="AR64" s="54"/>
      <c r="AS64" s="53"/>
      <c r="AT64" s="54"/>
      <c r="AU64" s="53"/>
      <c r="AV64" s="54"/>
      <c r="AW64" s="53"/>
      <c r="AX64" s="54"/>
      <c r="AY64" s="53"/>
      <c r="AZ64" s="54"/>
      <c r="BA64" s="53"/>
      <c r="BB64" s="51"/>
      <c r="BC64" s="53"/>
      <c r="BD64" s="51"/>
      <c r="BE64" s="53"/>
      <c r="BF64" s="51"/>
      <c r="BG64" s="53"/>
      <c r="BH64" s="51"/>
      <c r="BI64" s="53"/>
      <c r="BJ64" s="51"/>
      <c r="BK64" s="53"/>
      <c r="BL64" s="51"/>
      <c r="BM64" s="53"/>
      <c r="BN64" s="51"/>
      <c r="BO64" s="53"/>
      <c r="BP64" s="51"/>
      <c r="BQ64" s="53"/>
      <c r="BR64" s="55"/>
    </row>
    <row r="65" spans="1:70" ht="28.5" customHeight="1">
      <c r="A65" s="56" t="s">
        <v>904</v>
      </c>
      <c r="B65" s="51" t="str">
        <f t="shared" si="0"/>
        <v>giftcodesbanner/玩星派對-bar.jpg</v>
      </c>
      <c r="C65" s="51"/>
      <c r="D65" s="51" t="str">
        <f t="shared" si="1"/>
        <v>https://www.ssbuy.tw/detail_giftcode/dist/giftcodes/玩星派對.html</v>
      </c>
      <c r="E65" s="91" t="s">
        <v>2067</v>
      </c>
      <c r="F65" s="103" t="s">
        <v>1710</v>
      </c>
      <c r="G65" s="52" t="s">
        <v>1711</v>
      </c>
      <c r="H65" s="52" t="s">
        <v>1840</v>
      </c>
      <c r="I65" s="51"/>
      <c r="J65" s="91"/>
      <c r="K65" s="92" t="s">
        <v>2068</v>
      </c>
      <c r="L65" s="51" t="s">
        <v>1920</v>
      </c>
      <c r="M65" s="53" t="s">
        <v>2069</v>
      </c>
      <c r="N65" s="54" t="s">
        <v>1920</v>
      </c>
      <c r="O65" s="53" t="s">
        <v>2918</v>
      </c>
      <c r="P65" s="54" t="s">
        <v>1920</v>
      </c>
      <c r="Q65" s="53" t="s">
        <v>2070</v>
      </c>
      <c r="R65" s="54" t="s">
        <v>1920</v>
      </c>
      <c r="S65" s="53" t="s">
        <v>2919</v>
      </c>
      <c r="T65" s="54" t="s">
        <v>1920</v>
      </c>
      <c r="U65" s="53" t="s">
        <v>2071</v>
      </c>
      <c r="V65" s="54" t="s">
        <v>1920</v>
      </c>
      <c r="W65" s="53"/>
      <c r="X65" s="54"/>
      <c r="Y65" s="53"/>
      <c r="Z65" s="54"/>
      <c r="AA65" s="53"/>
      <c r="AB65" s="54"/>
      <c r="AC65" s="53"/>
      <c r="AD65" s="54"/>
      <c r="AE65" s="53"/>
      <c r="AF65" s="54"/>
      <c r="AG65" s="53"/>
      <c r="AH65" s="54"/>
      <c r="AI65" s="53"/>
      <c r="AJ65" s="54"/>
      <c r="AK65" s="53"/>
      <c r="AL65" s="54"/>
      <c r="AM65" s="53"/>
      <c r="AN65" s="54"/>
      <c r="AO65" s="53"/>
      <c r="AP65" s="54"/>
      <c r="AQ65" s="53"/>
      <c r="AR65" s="54"/>
      <c r="AS65" s="53"/>
      <c r="AT65" s="54"/>
      <c r="AU65" s="53"/>
      <c r="AV65" s="54"/>
      <c r="AW65" s="53"/>
      <c r="AX65" s="54"/>
      <c r="AY65" s="53"/>
      <c r="AZ65" s="54"/>
      <c r="BA65" s="53"/>
      <c r="BB65" s="51"/>
      <c r="BC65" s="53"/>
      <c r="BD65" s="51"/>
      <c r="BE65" s="53"/>
      <c r="BF65" s="51"/>
      <c r="BG65" s="53"/>
      <c r="BH65" s="51"/>
      <c r="BI65" s="53"/>
      <c r="BJ65" s="51"/>
      <c r="BK65" s="53"/>
      <c r="BL65" s="51"/>
      <c r="BM65" s="53"/>
      <c r="BN65" s="51"/>
      <c r="BO65" s="53"/>
      <c r="BP65" s="51"/>
      <c r="BQ65" s="53"/>
      <c r="BR65" s="55"/>
    </row>
    <row r="66" spans="1:70" ht="28.5" customHeight="1">
      <c r="A66" s="56" t="s">
        <v>2072</v>
      </c>
      <c r="B66" s="51" t="str">
        <f t="shared" si="0"/>
        <v>giftcodesbanner/進化吧!我的人生-bar.jpg</v>
      </c>
      <c r="C66" s="51"/>
      <c r="D66" s="51" t="str">
        <f t="shared" si="1"/>
        <v>https://www.ssbuy.tw/detail_giftcode/dist/giftcodes/進化吧!我的人生.html</v>
      </c>
      <c r="E66" s="91" t="s">
        <v>2073</v>
      </c>
      <c r="F66" s="103" t="s">
        <v>1710</v>
      </c>
      <c r="G66" s="52" t="s">
        <v>1711</v>
      </c>
      <c r="H66" s="52" t="s">
        <v>1840</v>
      </c>
      <c r="I66" s="51"/>
      <c r="J66" s="91"/>
      <c r="K66" s="92" t="s">
        <v>2074</v>
      </c>
      <c r="L66" s="51" t="s">
        <v>2075</v>
      </c>
      <c r="M66" s="53" t="s">
        <v>2920</v>
      </c>
      <c r="N66" s="54" t="s">
        <v>2076</v>
      </c>
      <c r="O66" s="53" t="s">
        <v>2077</v>
      </c>
      <c r="P66" s="54" t="s">
        <v>2078</v>
      </c>
      <c r="Q66" s="53" t="s">
        <v>2921</v>
      </c>
      <c r="R66" s="54" t="s">
        <v>2922</v>
      </c>
      <c r="S66" s="53" t="s">
        <v>2079</v>
      </c>
      <c r="T66" s="54" t="s">
        <v>2923</v>
      </c>
      <c r="U66" s="53" t="s">
        <v>1932</v>
      </c>
      <c r="V66" s="54" t="s">
        <v>1920</v>
      </c>
      <c r="W66" s="53" t="s">
        <v>6363</v>
      </c>
      <c r="X66" s="54" t="s">
        <v>6364</v>
      </c>
      <c r="Y66" s="53" t="s">
        <v>8837</v>
      </c>
      <c r="Z66" s="54" t="s">
        <v>8838</v>
      </c>
      <c r="AA66" s="53"/>
      <c r="AB66" s="54"/>
      <c r="AC66" s="53"/>
      <c r="AD66" s="54"/>
      <c r="AE66" s="53"/>
      <c r="AF66" s="54"/>
      <c r="AG66" s="53"/>
      <c r="AH66" s="54"/>
      <c r="AI66" s="53"/>
      <c r="AJ66" s="54"/>
      <c r="AK66" s="53"/>
      <c r="AL66" s="54"/>
      <c r="AM66" s="53"/>
      <c r="AN66" s="54"/>
      <c r="AO66" s="53"/>
      <c r="AP66" s="54"/>
      <c r="AQ66" s="53"/>
      <c r="AR66" s="54"/>
      <c r="AS66" s="53"/>
      <c r="AT66" s="54"/>
      <c r="AU66" s="53"/>
      <c r="AV66" s="54"/>
      <c r="AW66" s="53"/>
      <c r="AX66" s="54"/>
      <c r="AY66" s="53"/>
      <c r="AZ66" s="54"/>
      <c r="BA66" s="53"/>
      <c r="BB66" s="51"/>
      <c r="BC66" s="53"/>
      <c r="BD66" s="51"/>
      <c r="BE66" s="53"/>
      <c r="BF66" s="51"/>
      <c r="BG66" s="53"/>
      <c r="BH66" s="51"/>
      <c r="BI66" s="53"/>
      <c r="BJ66" s="51"/>
      <c r="BK66" s="53"/>
      <c r="BL66" s="51"/>
      <c r="BM66" s="53"/>
      <c r="BN66" s="51"/>
      <c r="BO66" s="53"/>
      <c r="BP66" s="51"/>
      <c r="BQ66" s="53"/>
      <c r="BR66" s="55"/>
    </row>
    <row r="67" spans="1:70" ht="28.5" customHeight="1">
      <c r="A67" s="56" t="s">
        <v>920</v>
      </c>
      <c r="B67" s="51" t="str">
        <f t="shared" ref="B67:B125" si="2">"giftcodesbanner/" &amp; A67 &amp; "-bar.jpg"</f>
        <v>giftcodesbanner/星之夢幻島-bar.jpg</v>
      </c>
      <c r="C67" s="51"/>
      <c r="D67" s="51" t="str">
        <f t="shared" ref="D67:D130" si="3">IF(A67="","", "https://www.ssbuy.tw/detail_giftcode/dist/giftcodes/" &amp; IF(ISNUMBER(LEFT(A67,1)*1), "game-", "") &amp; A67 &amp; ".html")</f>
        <v>https://www.ssbuy.tw/detail_giftcode/dist/giftcodes/星之夢幻島.html</v>
      </c>
      <c r="E67" s="91" t="s">
        <v>2080</v>
      </c>
      <c r="F67" s="103" t="s">
        <v>1710</v>
      </c>
      <c r="G67" s="52" t="s">
        <v>1711</v>
      </c>
      <c r="H67" s="52" t="s">
        <v>1840</v>
      </c>
      <c r="I67" s="51"/>
      <c r="J67" s="91"/>
      <c r="K67" s="92" t="s">
        <v>2081</v>
      </c>
      <c r="L67" s="51" t="s">
        <v>1920</v>
      </c>
      <c r="M67" s="53" t="s">
        <v>2082</v>
      </c>
      <c r="N67" s="54" t="s">
        <v>1920</v>
      </c>
      <c r="O67" s="53" t="s">
        <v>2083</v>
      </c>
      <c r="P67" s="54" t="s">
        <v>1920</v>
      </c>
      <c r="Q67" s="53" t="s">
        <v>2084</v>
      </c>
      <c r="R67" s="54" t="s">
        <v>1920</v>
      </c>
      <c r="S67" s="53" t="s">
        <v>2085</v>
      </c>
      <c r="T67" s="54" t="s">
        <v>1920</v>
      </c>
      <c r="U67" s="53" t="s">
        <v>2086</v>
      </c>
      <c r="V67" s="54" t="s">
        <v>1920</v>
      </c>
      <c r="W67" s="53" t="s">
        <v>2087</v>
      </c>
      <c r="X67" s="54" t="s">
        <v>1920</v>
      </c>
      <c r="Y67" s="53"/>
      <c r="Z67" s="54"/>
      <c r="AA67" s="53"/>
      <c r="AB67" s="54"/>
      <c r="AC67" s="53"/>
      <c r="AD67" s="54"/>
      <c r="AE67" s="53"/>
      <c r="AF67" s="54"/>
      <c r="AG67" s="53"/>
      <c r="AH67" s="54"/>
      <c r="AI67" s="53"/>
      <c r="AJ67" s="54"/>
      <c r="AK67" s="53"/>
      <c r="AL67" s="54"/>
      <c r="AM67" s="53"/>
      <c r="AN67" s="54"/>
      <c r="AO67" s="53"/>
      <c r="AP67" s="54"/>
      <c r="AQ67" s="53"/>
      <c r="AR67" s="54"/>
      <c r="AS67" s="53"/>
      <c r="AT67" s="54"/>
      <c r="AU67" s="53"/>
      <c r="AV67" s="54"/>
      <c r="AW67" s="53"/>
      <c r="AX67" s="54"/>
      <c r="AY67" s="53"/>
      <c r="AZ67" s="54"/>
      <c r="BA67" s="53"/>
      <c r="BB67" s="51"/>
      <c r="BC67" s="53"/>
      <c r="BD67" s="51"/>
      <c r="BE67" s="53"/>
      <c r="BF67" s="51"/>
      <c r="BG67" s="53"/>
      <c r="BH67" s="51"/>
      <c r="BI67" s="53"/>
      <c r="BJ67" s="51"/>
      <c r="BK67" s="53"/>
      <c r="BL67" s="51"/>
      <c r="BM67" s="53"/>
      <c r="BN67" s="51"/>
      <c r="BO67" s="53"/>
      <c r="BP67" s="51"/>
      <c r="BQ67" s="53"/>
      <c r="BR67" s="55"/>
    </row>
    <row r="68" spans="1:70" ht="28.5" customHeight="1">
      <c r="A68" s="56" t="s">
        <v>2088</v>
      </c>
      <c r="B68" s="51" t="str">
        <f t="shared" si="2"/>
        <v>giftcodesbanner/小冰冰傳奇：回到最初-bar.jpg</v>
      </c>
      <c r="C68" s="51"/>
      <c r="D68" s="51" t="str">
        <f t="shared" si="3"/>
        <v>https://www.ssbuy.tw/detail_giftcode/dist/giftcodes/小冰冰傳奇：回到最初.html</v>
      </c>
      <c r="E68" s="91" t="s">
        <v>2089</v>
      </c>
      <c r="F68" s="103" t="s">
        <v>1710</v>
      </c>
      <c r="G68" s="52" t="s">
        <v>1711</v>
      </c>
      <c r="H68" s="52" t="s">
        <v>1840</v>
      </c>
      <c r="I68" s="51"/>
      <c r="J68" s="91"/>
      <c r="K68" s="92" t="s">
        <v>2090</v>
      </c>
      <c r="L68" s="51" t="s">
        <v>1920</v>
      </c>
      <c r="M68" s="53" t="s">
        <v>2091</v>
      </c>
      <c r="N68" s="54" t="s">
        <v>1920</v>
      </c>
      <c r="O68" s="53" t="s">
        <v>2092</v>
      </c>
      <c r="P68" s="54" t="s">
        <v>1920</v>
      </c>
      <c r="Q68" s="53" t="s">
        <v>2924</v>
      </c>
      <c r="R68" s="54" t="s">
        <v>1920</v>
      </c>
      <c r="S68" s="53" t="s">
        <v>2925</v>
      </c>
      <c r="T68" s="54" t="s">
        <v>1920</v>
      </c>
      <c r="U68" s="53" t="s">
        <v>1932</v>
      </c>
      <c r="V68" s="54" t="s">
        <v>1920</v>
      </c>
      <c r="W68" s="53" t="s">
        <v>2056</v>
      </c>
      <c r="X68" s="54" t="s">
        <v>1920</v>
      </c>
      <c r="Y68" s="53" t="s">
        <v>1841</v>
      </c>
      <c r="Z68" s="54" t="s">
        <v>1920</v>
      </c>
      <c r="AA68" s="53" t="s">
        <v>2926</v>
      </c>
      <c r="AB68" s="54" t="s">
        <v>1920</v>
      </c>
      <c r="AC68" s="53"/>
      <c r="AD68" s="54"/>
      <c r="AE68" s="53"/>
      <c r="AF68" s="54"/>
      <c r="AG68" s="53"/>
      <c r="AH68" s="54"/>
      <c r="AI68" s="53"/>
      <c r="AJ68" s="54"/>
      <c r="AK68" s="53"/>
      <c r="AL68" s="54"/>
      <c r="AM68" s="53"/>
      <c r="AN68" s="54"/>
      <c r="AO68" s="53"/>
      <c r="AP68" s="54"/>
      <c r="AQ68" s="53"/>
      <c r="AR68" s="54"/>
      <c r="AS68" s="53"/>
      <c r="AT68" s="54"/>
      <c r="AU68" s="53"/>
      <c r="AV68" s="54"/>
      <c r="AW68" s="53"/>
      <c r="AX68" s="54"/>
      <c r="AY68" s="53"/>
      <c r="AZ68" s="54"/>
      <c r="BA68" s="53"/>
      <c r="BB68" s="51"/>
      <c r="BC68" s="53"/>
      <c r="BD68" s="51"/>
      <c r="BE68" s="53"/>
      <c r="BF68" s="51"/>
      <c r="BG68" s="53"/>
      <c r="BH68" s="51"/>
      <c r="BI68" s="53"/>
      <c r="BJ68" s="51"/>
      <c r="BK68" s="53"/>
      <c r="BL68" s="51"/>
      <c r="BM68" s="53"/>
      <c r="BN68" s="51"/>
      <c r="BO68" s="53"/>
      <c r="BP68" s="51"/>
      <c r="BQ68" s="53"/>
      <c r="BR68" s="55"/>
    </row>
    <row r="69" spans="1:70" ht="28.5" customHeight="1">
      <c r="A69" s="56" t="s">
        <v>936</v>
      </c>
      <c r="B69" s="51" t="str">
        <f t="shared" si="2"/>
        <v>giftcodesbanner/江湖風雲傳-bar.jpg</v>
      </c>
      <c r="C69" s="51"/>
      <c r="D69" s="51" t="str">
        <f t="shared" si="3"/>
        <v>https://www.ssbuy.tw/detail_giftcode/dist/giftcodes/江湖風雲傳.html</v>
      </c>
      <c r="E69" s="91" t="s">
        <v>2927</v>
      </c>
      <c r="F69" s="103" t="s">
        <v>1710</v>
      </c>
      <c r="G69" s="52" t="s">
        <v>1711</v>
      </c>
      <c r="H69" s="52" t="s">
        <v>1840</v>
      </c>
      <c r="I69" s="51"/>
      <c r="J69" s="91"/>
      <c r="K69" s="92" t="s">
        <v>2093</v>
      </c>
      <c r="L69" s="51" t="s">
        <v>2094</v>
      </c>
      <c r="M69" s="53" t="s">
        <v>2095</v>
      </c>
      <c r="N69" s="54" t="s">
        <v>2096</v>
      </c>
      <c r="O69" s="53" t="s">
        <v>2097</v>
      </c>
      <c r="P69" s="54" t="s">
        <v>2098</v>
      </c>
      <c r="Q69" s="53"/>
      <c r="R69" s="54"/>
      <c r="S69" s="53"/>
      <c r="T69" s="54"/>
      <c r="U69" s="53"/>
      <c r="V69" s="54"/>
      <c r="W69" s="53"/>
      <c r="X69" s="54"/>
      <c r="Y69" s="53"/>
      <c r="Z69" s="54"/>
      <c r="AA69" s="53"/>
      <c r="AB69" s="54"/>
      <c r="AC69" s="53"/>
      <c r="AD69" s="54"/>
      <c r="AE69" s="53"/>
      <c r="AF69" s="54"/>
      <c r="AG69" s="53"/>
      <c r="AH69" s="54"/>
      <c r="AI69" s="53"/>
      <c r="AJ69" s="54"/>
      <c r="AK69" s="53"/>
      <c r="AL69" s="54"/>
      <c r="AM69" s="53"/>
      <c r="AN69" s="54"/>
      <c r="AO69" s="53"/>
      <c r="AP69" s="54"/>
      <c r="AQ69" s="53"/>
      <c r="AR69" s="54"/>
      <c r="AS69" s="53"/>
      <c r="AT69" s="54"/>
      <c r="AU69" s="53"/>
      <c r="AV69" s="54"/>
      <c r="AW69" s="53"/>
      <c r="AX69" s="54"/>
      <c r="AY69" s="53"/>
      <c r="AZ69" s="54"/>
      <c r="BA69" s="53"/>
      <c r="BB69" s="51"/>
      <c r="BC69" s="53"/>
      <c r="BD69" s="51"/>
      <c r="BE69" s="53"/>
      <c r="BF69" s="51"/>
      <c r="BG69" s="53"/>
      <c r="BH69" s="51"/>
      <c r="BI69" s="53"/>
      <c r="BJ69" s="51"/>
      <c r="BK69" s="53"/>
      <c r="BL69" s="51"/>
      <c r="BM69" s="53"/>
      <c r="BN69" s="51"/>
      <c r="BO69" s="53"/>
      <c r="BP69" s="51"/>
      <c r="BQ69" s="53"/>
      <c r="BR69" s="55"/>
    </row>
    <row r="70" spans="1:70" ht="28.5" customHeight="1">
      <c r="A70" s="56" t="s">
        <v>2099</v>
      </c>
      <c r="B70" s="51" t="str">
        <f t="shared" si="2"/>
        <v>giftcodesbanner/星願之冠：狼少女物語-bar.jpg</v>
      </c>
      <c r="C70" s="51"/>
      <c r="D70" s="51" t="str">
        <f t="shared" si="3"/>
        <v>https://www.ssbuy.tw/detail_giftcode/dist/giftcodes/星願之冠：狼少女物語.html</v>
      </c>
      <c r="E70" s="91" t="s">
        <v>2100</v>
      </c>
      <c r="F70" s="103" t="s">
        <v>1710</v>
      </c>
      <c r="G70" s="52" t="s">
        <v>1711</v>
      </c>
      <c r="H70" s="52" t="s">
        <v>1840</v>
      </c>
      <c r="I70" s="51"/>
      <c r="J70" s="91"/>
      <c r="K70" s="92" t="s">
        <v>2928</v>
      </c>
      <c r="L70" s="51" t="s">
        <v>2101</v>
      </c>
      <c r="M70" s="53" t="s">
        <v>2929</v>
      </c>
      <c r="N70" s="54" t="s">
        <v>2930</v>
      </c>
      <c r="O70" s="53" t="s">
        <v>2102</v>
      </c>
      <c r="P70" s="54" t="s">
        <v>2103</v>
      </c>
      <c r="Q70" s="53"/>
      <c r="R70" s="54"/>
      <c r="S70" s="53"/>
      <c r="T70" s="54"/>
      <c r="U70" s="53"/>
      <c r="V70" s="54"/>
      <c r="W70" s="53"/>
      <c r="X70" s="54"/>
      <c r="Y70" s="53"/>
      <c r="Z70" s="54"/>
      <c r="AA70" s="53"/>
      <c r="AB70" s="54"/>
      <c r="AC70" s="53"/>
      <c r="AD70" s="54"/>
      <c r="AE70" s="53"/>
      <c r="AF70" s="54"/>
      <c r="AG70" s="53"/>
      <c r="AH70" s="54"/>
      <c r="AI70" s="53"/>
      <c r="AJ70" s="54"/>
      <c r="AK70" s="53"/>
      <c r="AL70" s="54"/>
      <c r="AM70" s="53"/>
      <c r="AN70" s="54"/>
      <c r="AO70" s="53"/>
      <c r="AP70" s="54"/>
      <c r="AQ70" s="53"/>
      <c r="AR70" s="54"/>
      <c r="AS70" s="53"/>
      <c r="AT70" s="54"/>
      <c r="AU70" s="53"/>
      <c r="AV70" s="54"/>
      <c r="AW70" s="53"/>
      <c r="AX70" s="54"/>
      <c r="AY70" s="53"/>
      <c r="AZ70" s="54"/>
      <c r="BA70" s="53"/>
      <c r="BB70" s="51"/>
      <c r="BC70" s="53"/>
      <c r="BD70" s="51"/>
      <c r="BE70" s="53"/>
      <c r="BF70" s="51"/>
      <c r="BG70" s="53"/>
      <c r="BH70" s="51"/>
      <c r="BI70" s="53"/>
      <c r="BJ70" s="51"/>
      <c r="BK70" s="53"/>
      <c r="BL70" s="51"/>
      <c r="BM70" s="53"/>
      <c r="BN70" s="51"/>
      <c r="BO70" s="53"/>
      <c r="BP70" s="51"/>
      <c r="BQ70" s="53"/>
      <c r="BR70" s="55"/>
    </row>
    <row r="71" spans="1:70" ht="28.5" customHeight="1">
      <c r="A71" s="56" t="s">
        <v>955</v>
      </c>
      <c r="B71" s="51" t="str">
        <f t="shared" si="2"/>
        <v>giftcodesbanner/香蕉缺個芭樂-bar.jpg</v>
      </c>
      <c r="C71" s="51"/>
      <c r="D71" s="51" t="str">
        <f t="shared" si="3"/>
        <v>https://www.ssbuy.tw/detail_giftcode/dist/giftcodes/香蕉缺個芭樂.html</v>
      </c>
      <c r="E71" s="91" t="s">
        <v>2931</v>
      </c>
      <c r="F71" s="103" t="s">
        <v>1710</v>
      </c>
      <c r="G71" s="52" t="s">
        <v>1711</v>
      </c>
      <c r="H71" s="52" t="s">
        <v>1840</v>
      </c>
      <c r="I71" s="51"/>
      <c r="J71" s="91"/>
      <c r="K71" s="92" t="s">
        <v>2932</v>
      </c>
      <c r="L71" s="51" t="s">
        <v>2933</v>
      </c>
      <c r="M71" s="53" t="s">
        <v>2104</v>
      </c>
      <c r="N71" s="54" t="s">
        <v>1920</v>
      </c>
      <c r="O71" s="53" t="s">
        <v>2934</v>
      </c>
      <c r="P71" s="54" t="s">
        <v>1920</v>
      </c>
      <c r="Q71" s="53" t="s">
        <v>2935</v>
      </c>
      <c r="R71" s="54" t="s">
        <v>1920</v>
      </c>
      <c r="S71" s="53" t="s">
        <v>2936</v>
      </c>
      <c r="T71" s="54" t="s">
        <v>2937</v>
      </c>
      <c r="U71" s="53" t="s">
        <v>2938</v>
      </c>
      <c r="V71" s="54" t="s">
        <v>1920</v>
      </c>
      <c r="W71" s="53" t="s">
        <v>2105</v>
      </c>
      <c r="X71" s="54" t="s">
        <v>1920</v>
      </c>
      <c r="Y71" s="53" t="s">
        <v>2939</v>
      </c>
      <c r="Z71" s="54" t="s">
        <v>1920</v>
      </c>
      <c r="AA71" s="53" t="s">
        <v>2940</v>
      </c>
      <c r="AB71" s="54" t="s">
        <v>1920</v>
      </c>
      <c r="AC71" s="53" t="s">
        <v>2941</v>
      </c>
      <c r="AD71" s="54" t="s">
        <v>1920</v>
      </c>
      <c r="AE71" s="53" t="s">
        <v>2106</v>
      </c>
      <c r="AF71" s="54" t="s">
        <v>1920</v>
      </c>
      <c r="AG71" s="53" t="s">
        <v>2942</v>
      </c>
      <c r="AH71" s="54" t="s">
        <v>1920</v>
      </c>
      <c r="AI71" s="53" t="s">
        <v>2107</v>
      </c>
      <c r="AJ71" s="54" t="s">
        <v>1920</v>
      </c>
      <c r="AK71" s="53" t="s">
        <v>2108</v>
      </c>
      <c r="AL71" s="54" t="s">
        <v>1920</v>
      </c>
      <c r="AM71" s="53" t="s">
        <v>2943</v>
      </c>
      <c r="AN71" s="54" t="s">
        <v>1920</v>
      </c>
      <c r="AO71" s="53" t="s">
        <v>2944</v>
      </c>
      <c r="AP71" s="54" t="s">
        <v>2945</v>
      </c>
      <c r="AQ71" s="53" t="s">
        <v>2946</v>
      </c>
      <c r="AR71" s="54" t="s">
        <v>1920</v>
      </c>
      <c r="AS71" s="53" t="s">
        <v>2109</v>
      </c>
      <c r="AT71" s="54" t="s">
        <v>1920</v>
      </c>
      <c r="AU71" s="53"/>
      <c r="AV71" s="54"/>
      <c r="AW71" s="53"/>
      <c r="AX71" s="54"/>
      <c r="AY71" s="53"/>
      <c r="AZ71" s="54"/>
      <c r="BA71" s="53"/>
      <c r="BB71" s="51"/>
      <c r="BC71" s="53"/>
      <c r="BD71" s="51"/>
      <c r="BE71" s="53"/>
      <c r="BF71" s="51"/>
      <c r="BG71" s="53"/>
      <c r="BH71" s="51"/>
      <c r="BI71" s="53"/>
      <c r="BJ71" s="51"/>
      <c r="BK71" s="53"/>
      <c r="BL71" s="51"/>
      <c r="BM71" s="53"/>
      <c r="BN71" s="51"/>
      <c r="BO71" s="53"/>
      <c r="BP71" s="51"/>
      <c r="BQ71" s="53"/>
      <c r="BR71" s="55"/>
    </row>
    <row r="72" spans="1:70" ht="28.5" customHeight="1">
      <c r="A72" s="56" t="s">
        <v>962</v>
      </c>
      <c r="B72" s="51" t="str">
        <f t="shared" si="2"/>
        <v>giftcodesbanner/精靈塔塔開-bar.jpg</v>
      </c>
      <c r="C72" s="51"/>
      <c r="D72" s="51" t="str">
        <f t="shared" si="3"/>
        <v>https://www.ssbuy.tw/detail_giftcode/dist/giftcodes/精靈塔塔開.html</v>
      </c>
      <c r="E72" s="91" t="s">
        <v>2110</v>
      </c>
      <c r="F72" s="103" t="s">
        <v>1710</v>
      </c>
      <c r="G72" s="52" t="s">
        <v>1711</v>
      </c>
      <c r="H72" s="52" t="s">
        <v>1840</v>
      </c>
      <c r="I72" s="51"/>
      <c r="J72" s="91"/>
      <c r="K72" s="92" t="s">
        <v>2111</v>
      </c>
      <c r="L72" s="51" t="s">
        <v>1920</v>
      </c>
      <c r="M72" s="53"/>
      <c r="N72" s="54"/>
      <c r="O72" s="53"/>
      <c r="P72" s="54"/>
      <c r="Q72" s="53"/>
      <c r="R72" s="54"/>
      <c r="S72" s="53"/>
      <c r="T72" s="54"/>
      <c r="U72" s="53"/>
      <c r="V72" s="54"/>
      <c r="W72" s="53"/>
      <c r="X72" s="54"/>
      <c r="Y72" s="53"/>
      <c r="Z72" s="54"/>
      <c r="AA72" s="53"/>
      <c r="AB72" s="54"/>
      <c r="AC72" s="53"/>
      <c r="AD72" s="54"/>
      <c r="AE72" s="53"/>
      <c r="AF72" s="54"/>
      <c r="AG72" s="53"/>
      <c r="AH72" s="54"/>
      <c r="AI72" s="53"/>
      <c r="AJ72" s="54"/>
      <c r="AK72" s="53"/>
      <c r="AL72" s="54"/>
      <c r="AM72" s="53"/>
      <c r="AN72" s="54"/>
      <c r="AO72" s="53"/>
      <c r="AP72" s="54"/>
      <c r="AQ72" s="53"/>
      <c r="AR72" s="54"/>
      <c r="AS72" s="53"/>
      <c r="AT72" s="54"/>
      <c r="AU72" s="53"/>
      <c r="AV72" s="54"/>
      <c r="AW72" s="53"/>
      <c r="AX72" s="54"/>
      <c r="AY72" s="53"/>
      <c r="AZ72" s="54"/>
      <c r="BA72" s="53"/>
      <c r="BB72" s="51"/>
      <c r="BC72" s="53"/>
      <c r="BD72" s="51"/>
      <c r="BE72" s="53"/>
      <c r="BF72" s="51"/>
      <c r="BG72" s="53"/>
      <c r="BH72" s="51"/>
      <c r="BI72" s="53"/>
      <c r="BJ72" s="51"/>
      <c r="BK72" s="53"/>
      <c r="BL72" s="51"/>
      <c r="BM72" s="53"/>
      <c r="BN72" s="51"/>
      <c r="BO72" s="53"/>
      <c r="BP72" s="51"/>
      <c r="BQ72" s="53"/>
      <c r="BR72" s="55"/>
    </row>
    <row r="73" spans="1:70" ht="28.5" customHeight="1">
      <c r="A73" s="56" t="s">
        <v>970</v>
      </c>
      <c r="B73" s="51" t="str">
        <f t="shared" si="2"/>
        <v>giftcodesbanner/終末之歌-bar.jpg</v>
      </c>
      <c r="C73" s="51"/>
      <c r="D73" s="51" t="str">
        <f t="shared" si="3"/>
        <v>https://www.ssbuy.tw/detail_giftcode/dist/giftcodes/終末之歌.html</v>
      </c>
      <c r="E73" s="91" t="s">
        <v>2947</v>
      </c>
      <c r="F73" s="103" t="s">
        <v>1710</v>
      </c>
      <c r="G73" s="52" t="s">
        <v>1711</v>
      </c>
      <c r="H73" s="52" t="s">
        <v>1840</v>
      </c>
      <c r="I73" s="51"/>
      <c r="J73" s="91"/>
      <c r="K73" s="92" t="s">
        <v>2948</v>
      </c>
      <c r="L73" s="51" t="s">
        <v>2949</v>
      </c>
      <c r="M73" s="53" t="s">
        <v>2950</v>
      </c>
      <c r="N73" s="54" t="s">
        <v>2112</v>
      </c>
      <c r="O73" s="53" t="s">
        <v>2951</v>
      </c>
      <c r="P73" s="54" t="s">
        <v>1920</v>
      </c>
      <c r="Q73" s="53"/>
      <c r="R73" s="54"/>
      <c r="S73" s="53"/>
      <c r="T73" s="54"/>
      <c r="U73" s="53"/>
      <c r="V73" s="54"/>
      <c r="W73" s="53"/>
      <c r="X73" s="54"/>
      <c r="Y73" s="53"/>
      <c r="Z73" s="54"/>
      <c r="AA73" s="53"/>
      <c r="AB73" s="54"/>
      <c r="AC73" s="53"/>
      <c r="AD73" s="54"/>
      <c r="AE73" s="53"/>
      <c r="AF73" s="54"/>
      <c r="AG73" s="53"/>
      <c r="AH73" s="54"/>
      <c r="AI73" s="53"/>
      <c r="AJ73" s="54"/>
      <c r="AK73" s="53"/>
      <c r="AL73" s="54"/>
      <c r="AM73" s="53"/>
      <c r="AN73" s="54"/>
      <c r="AO73" s="53"/>
      <c r="AP73" s="54"/>
      <c r="AQ73" s="53"/>
      <c r="AR73" s="54"/>
      <c r="AS73" s="53"/>
      <c r="AT73" s="54"/>
      <c r="AU73" s="53"/>
      <c r="AV73" s="54"/>
      <c r="AW73" s="53"/>
      <c r="AX73" s="54"/>
      <c r="AY73" s="53"/>
      <c r="AZ73" s="54"/>
      <c r="BA73" s="53"/>
      <c r="BB73" s="51"/>
      <c r="BC73" s="53"/>
      <c r="BD73" s="51"/>
      <c r="BE73" s="53"/>
      <c r="BF73" s="51"/>
      <c r="BG73" s="53"/>
      <c r="BH73" s="51"/>
      <c r="BI73" s="53"/>
      <c r="BJ73" s="51"/>
      <c r="BK73" s="53"/>
      <c r="BL73" s="51"/>
      <c r="BM73" s="53"/>
      <c r="BN73" s="51"/>
      <c r="BO73" s="53"/>
      <c r="BP73" s="51"/>
      <c r="BQ73" s="53"/>
      <c r="BR73" s="55"/>
    </row>
    <row r="74" spans="1:70" ht="28.5" customHeight="1">
      <c r="A74" s="56" t="s">
        <v>978</v>
      </c>
      <c r="B74" s="51" t="str">
        <f t="shared" si="2"/>
        <v>giftcodesbanner/森靈奇境-bar.jpg</v>
      </c>
      <c r="C74" s="51"/>
      <c r="D74" s="51" t="str">
        <f t="shared" si="3"/>
        <v>https://www.ssbuy.tw/detail_giftcode/dist/giftcodes/森靈奇境.html</v>
      </c>
      <c r="E74" s="91" t="s">
        <v>2113</v>
      </c>
      <c r="F74" s="103" t="s">
        <v>1710</v>
      </c>
      <c r="G74" s="52" t="s">
        <v>1711</v>
      </c>
      <c r="H74" s="52" t="s">
        <v>1840</v>
      </c>
      <c r="I74" s="51"/>
      <c r="J74" s="91"/>
      <c r="K74" s="92" t="s">
        <v>1932</v>
      </c>
      <c r="L74" s="51" t="s">
        <v>2114</v>
      </c>
      <c r="M74" s="53" t="s">
        <v>2056</v>
      </c>
      <c r="N74" s="54" t="s">
        <v>2952</v>
      </c>
      <c r="O74" s="53" t="s">
        <v>1841</v>
      </c>
      <c r="P74" s="54" t="s">
        <v>2115</v>
      </c>
      <c r="Q74" s="53" t="s">
        <v>2116</v>
      </c>
      <c r="R74" s="54" t="s">
        <v>2117</v>
      </c>
      <c r="S74" s="53" t="s">
        <v>2953</v>
      </c>
      <c r="T74" s="54" t="s">
        <v>2954</v>
      </c>
      <c r="U74" s="53" t="s">
        <v>2118</v>
      </c>
      <c r="V74" s="54" t="s">
        <v>2955</v>
      </c>
      <c r="W74" s="53" t="s">
        <v>2119</v>
      </c>
      <c r="X74" s="54" t="s">
        <v>2956</v>
      </c>
      <c r="Y74" s="53" t="s">
        <v>2120</v>
      </c>
      <c r="Z74" s="54" t="s">
        <v>1920</v>
      </c>
      <c r="AA74" s="53" t="s">
        <v>2957</v>
      </c>
      <c r="AB74" s="54" t="s">
        <v>1920</v>
      </c>
      <c r="AC74" s="53" t="s">
        <v>2958</v>
      </c>
      <c r="AD74" s="54" t="s">
        <v>1920</v>
      </c>
      <c r="AE74" s="53" t="s">
        <v>2121</v>
      </c>
      <c r="AF74" s="54" t="s">
        <v>1920</v>
      </c>
      <c r="AG74" s="53"/>
      <c r="AH74" s="54"/>
      <c r="AI74" s="53"/>
      <c r="AJ74" s="54"/>
      <c r="AK74" s="53"/>
      <c r="AL74" s="54"/>
      <c r="AM74" s="53"/>
      <c r="AN74" s="54"/>
      <c r="AO74" s="53"/>
      <c r="AP74" s="54"/>
      <c r="AQ74" s="53"/>
      <c r="AR74" s="54"/>
      <c r="AS74" s="53"/>
      <c r="AT74" s="54"/>
      <c r="AU74" s="53"/>
      <c r="AV74" s="54"/>
      <c r="AW74" s="53"/>
      <c r="AX74" s="54"/>
      <c r="AY74" s="53"/>
      <c r="AZ74" s="54"/>
      <c r="BA74" s="53"/>
      <c r="BB74" s="51"/>
      <c r="BC74" s="53"/>
      <c r="BD74" s="51"/>
      <c r="BE74" s="53"/>
      <c r="BF74" s="51"/>
      <c r="BG74" s="53"/>
      <c r="BH74" s="51"/>
      <c r="BI74" s="53"/>
      <c r="BJ74" s="51"/>
      <c r="BK74" s="53"/>
      <c r="BL74" s="51"/>
      <c r="BM74" s="53"/>
      <c r="BN74" s="51"/>
      <c r="BO74" s="53"/>
      <c r="BP74" s="51"/>
      <c r="BQ74" s="53"/>
      <c r="BR74" s="55"/>
    </row>
    <row r="75" spans="1:70" ht="28.5" customHeight="1">
      <c r="A75" s="56" t="s">
        <v>2959</v>
      </c>
      <c r="B75" s="51" t="str">
        <f t="shared" si="2"/>
        <v>giftcodesbanner/鬥破蒼穹：蕭門篇-bar.jpg</v>
      </c>
      <c r="C75" s="51"/>
      <c r="D75" s="51" t="str">
        <f t="shared" si="3"/>
        <v>https://www.ssbuy.tw/detail_giftcode/dist/giftcodes/鬥破蒼穹：蕭門篇.html</v>
      </c>
      <c r="E75" s="91" t="s">
        <v>2122</v>
      </c>
      <c r="F75" s="103" t="s">
        <v>1710</v>
      </c>
      <c r="G75" s="52" t="s">
        <v>1711</v>
      </c>
      <c r="H75" s="52" t="s">
        <v>1840</v>
      </c>
      <c r="I75" s="51"/>
      <c r="J75" s="91"/>
      <c r="K75" s="92" t="s">
        <v>2123</v>
      </c>
      <c r="L75" s="51" t="s">
        <v>1920</v>
      </c>
      <c r="M75" s="53" t="s">
        <v>2960</v>
      </c>
      <c r="N75" s="54" t="s">
        <v>1920</v>
      </c>
      <c r="O75" s="53" t="s">
        <v>2124</v>
      </c>
      <c r="P75" s="54" t="s">
        <v>1920</v>
      </c>
      <c r="Q75" s="53" t="s">
        <v>2125</v>
      </c>
      <c r="R75" s="54" t="s">
        <v>2126</v>
      </c>
      <c r="S75" s="53" t="s">
        <v>2127</v>
      </c>
      <c r="T75" s="54" t="s">
        <v>2961</v>
      </c>
      <c r="U75" s="53" t="s">
        <v>2962</v>
      </c>
      <c r="V75" s="54" t="s">
        <v>1920</v>
      </c>
      <c r="W75" s="53" t="s">
        <v>2963</v>
      </c>
      <c r="X75" s="54" t="s">
        <v>1920</v>
      </c>
      <c r="Y75" s="53" t="s">
        <v>2964</v>
      </c>
      <c r="Z75" s="54" t="s">
        <v>1920</v>
      </c>
      <c r="AA75" s="53" t="s">
        <v>2965</v>
      </c>
      <c r="AB75" s="54" t="s">
        <v>2966</v>
      </c>
      <c r="AC75" s="53" t="s">
        <v>2128</v>
      </c>
      <c r="AD75" s="54" t="s">
        <v>1920</v>
      </c>
      <c r="AE75" s="53" t="s">
        <v>2129</v>
      </c>
      <c r="AF75" s="54" t="s">
        <v>1920</v>
      </c>
      <c r="AG75" s="53"/>
      <c r="AH75" s="54"/>
      <c r="AI75" s="53"/>
      <c r="AJ75" s="54"/>
      <c r="AK75" s="53"/>
      <c r="AL75" s="54"/>
      <c r="AM75" s="53"/>
      <c r="AN75" s="54"/>
      <c r="AO75" s="53"/>
      <c r="AP75" s="54"/>
      <c r="AQ75" s="53"/>
      <c r="AR75" s="54"/>
      <c r="AS75" s="53"/>
      <c r="AT75" s="54"/>
      <c r="AU75" s="53"/>
      <c r="AV75" s="54"/>
      <c r="AW75" s="53"/>
      <c r="AX75" s="54"/>
      <c r="AY75" s="53"/>
      <c r="AZ75" s="54"/>
      <c r="BA75" s="53"/>
      <c r="BB75" s="51"/>
      <c r="BC75" s="53"/>
      <c r="BD75" s="51"/>
      <c r="BE75" s="53"/>
      <c r="BF75" s="51"/>
      <c r="BG75" s="53"/>
      <c r="BH75" s="51"/>
      <c r="BI75" s="53"/>
      <c r="BJ75" s="51"/>
      <c r="BK75" s="53"/>
      <c r="BL75" s="51"/>
      <c r="BM75" s="53"/>
      <c r="BN75" s="51"/>
      <c r="BO75" s="53"/>
      <c r="BP75" s="51"/>
      <c r="BQ75" s="53"/>
      <c r="BR75" s="55"/>
    </row>
    <row r="76" spans="1:70" ht="28.5" customHeight="1">
      <c r="A76" s="56" t="s">
        <v>995</v>
      </c>
      <c r="B76" s="51" t="str">
        <f t="shared" si="2"/>
        <v>giftcodesbanner/無畏的狼煙-bar.jpg</v>
      </c>
      <c r="C76" s="51"/>
      <c r="D76" s="51" t="str">
        <f t="shared" si="3"/>
        <v>https://www.ssbuy.tw/detail_giftcode/dist/giftcodes/無畏的狼煙.html</v>
      </c>
      <c r="E76" s="91" t="s">
        <v>2130</v>
      </c>
      <c r="F76" s="103" t="s">
        <v>1710</v>
      </c>
      <c r="G76" s="52" t="s">
        <v>1711</v>
      </c>
      <c r="H76" s="52" t="s">
        <v>1840</v>
      </c>
      <c r="I76" s="51"/>
      <c r="J76" s="91"/>
      <c r="K76" s="92" t="s">
        <v>2131</v>
      </c>
      <c r="L76" s="51" t="s">
        <v>2132</v>
      </c>
      <c r="M76" s="53" t="s">
        <v>2967</v>
      </c>
      <c r="N76" s="54" t="s">
        <v>2133</v>
      </c>
      <c r="O76" s="53" t="s">
        <v>2134</v>
      </c>
      <c r="P76" s="54" t="s">
        <v>2135</v>
      </c>
      <c r="Q76" s="53"/>
      <c r="R76" s="54"/>
      <c r="S76" s="53"/>
      <c r="T76" s="54"/>
      <c r="U76" s="53"/>
      <c r="V76" s="54"/>
      <c r="W76" s="53"/>
      <c r="X76" s="54"/>
      <c r="Y76" s="53"/>
      <c r="Z76" s="54"/>
      <c r="AA76" s="53"/>
      <c r="AB76" s="54"/>
      <c r="AC76" s="53"/>
      <c r="AD76" s="54"/>
      <c r="AE76" s="53"/>
      <c r="AF76" s="54"/>
      <c r="AG76" s="53"/>
      <c r="AH76" s="54"/>
      <c r="AI76" s="53"/>
      <c r="AJ76" s="54"/>
      <c r="AK76" s="53"/>
      <c r="AL76" s="54"/>
      <c r="AM76" s="53"/>
      <c r="AN76" s="54"/>
      <c r="AO76" s="53"/>
      <c r="AP76" s="54"/>
      <c r="AQ76" s="53"/>
      <c r="AR76" s="54"/>
      <c r="AS76" s="53"/>
      <c r="AT76" s="54"/>
      <c r="AU76" s="53"/>
      <c r="AV76" s="54"/>
      <c r="AW76" s="53"/>
      <c r="AX76" s="54"/>
      <c r="AY76" s="53"/>
      <c r="AZ76" s="54"/>
      <c r="BA76" s="53"/>
      <c r="BB76" s="51"/>
      <c r="BC76" s="53"/>
      <c r="BD76" s="51"/>
      <c r="BE76" s="53"/>
      <c r="BF76" s="51"/>
      <c r="BG76" s="53"/>
      <c r="BH76" s="51"/>
      <c r="BI76" s="53"/>
      <c r="BJ76" s="51"/>
      <c r="BK76" s="53"/>
      <c r="BL76" s="51"/>
      <c r="BM76" s="53"/>
      <c r="BN76" s="51"/>
      <c r="BO76" s="53"/>
      <c r="BP76" s="51"/>
      <c r="BQ76" s="53"/>
      <c r="BR76" s="55"/>
    </row>
    <row r="77" spans="1:70" ht="28.5" customHeight="1">
      <c r="A77" s="67" t="s">
        <v>2968</v>
      </c>
      <c r="B77" s="51" t="str">
        <f t="shared" si="2"/>
        <v>giftcodesbanner/代號：無頭-bar.jpg</v>
      </c>
      <c r="C77" s="51"/>
      <c r="D77" s="51" t="str">
        <f t="shared" si="3"/>
        <v>https://www.ssbuy.tw/detail_giftcode/dist/giftcodes/代號：無頭.html</v>
      </c>
      <c r="E77" s="91" t="s">
        <v>2136</v>
      </c>
      <c r="F77" s="103" t="s">
        <v>1710</v>
      </c>
      <c r="G77" s="52" t="s">
        <v>1711</v>
      </c>
      <c r="H77" s="52" t="s">
        <v>1840</v>
      </c>
      <c r="I77" s="51"/>
      <c r="J77" s="91"/>
      <c r="K77" s="92" t="s">
        <v>2969</v>
      </c>
      <c r="L77" s="51" t="s">
        <v>2970</v>
      </c>
      <c r="M77" s="53" t="s">
        <v>2137</v>
      </c>
      <c r="N77" s="54" t="s">
        <v>2970</v>
      </c>
      <c r="O77" s="53" t="s">
        <v>2971</v>
      </c>
      <c r="P77" s="54" t="s">
        <v>2972</v>
      </c>
      <c r="Q77" s="53" t="s">
        <v>2973</v>
      </c>
      <c r="R77" s="54" t="s">
        <v>2138</v>
      </c>
      <c r="S77" s="53" t="s">
        <v>2139</v>
      </c>
      <c r="T77" s="54" t="s">
        <v>2140</v>
      </c>
      <c r="U77" s="53" t="s">
        <v>2974</v>
      </c>
      <c r="V77" s="54" t="s">
        <v>1920</v>
      </c>
      <c r="W77" s="53" t="s">
        <v>2056</v>
      </c>
      <c r="X77" s="54" t="s">
        <v>1920</v>
      </c>
      <c r="Y77" s="53" t="s">
        <v>1933</v>
      </c>
      <c r="Z77" s="54" t="s">
        <v>1920</v>
      </c>
      <c r="AA77" s="53"/>
      <c r="AB77" s="54"/>
      <c r="AC77" s="53"/>
      <c r="AD77" s="54"/>
      <c r="AE77" s="53"/>
      <c r="AF77" s="54"/>
      <c r="AG77" s="53"/>
      <c r="AH77" s="54"/>
      <c r="AI77" s="53"/>
      <c r="AJ77" s="54"/>
      <c r="AK77" s="53"/>
      <c r="AL77" s="54"/>
      <c r="AM77" s="53"/>
      <c r="AN77" s="54"/>
      <c r="AO77" s="53"/>
      <c r="AP77" s="54"/>
      <c r="AQ77" s="53"/>
      <c r="AR77" s="54"/>
      <c r="AS77" s="53"/>
      <c r="AT77" s="54"/>
      <c r="AU77" s="53"/>
      <c r="AV77" s="54"/>
      <c r="AW77" s="53"/>
      <c r="AX77" s="54"/>
      <c r="AY77" s="53"/>
      <c r="AZ77" s="54"/>
      <c r="BA77" s="53"/>
      <c r="BB77" s="51"/>
      <c r="BC77" s="53"/>
      <c r="BD77" s="51"/>
      <c r="BE77" s="53"/>
      <c r="BF77" s="51"/>
      <c r="BG77" s="53"/>
      <c r="BH77" s="51"/>
      <c r="BI77" s="53"/>
      <c r="BJ77" s="51"/>
      <c r="BK77" s="53"/>
      <c r="BL77" s="51"/>
      <c r="BM77" s="53"/>
      <c r="BN77" s="51"/>
      <c r="BO77" s="53"/>
      <c r="BP77" s="51"/>
      <c r="BQ77" s="53"/>
      <c r="BR77" s="55"/>
    </row>
    <row r="78" spans="1:70" ht="28.5" customHeight="1">
      <c r="A78" s="56" t="s">
        <v>1012</v>
      </c>
      <c r="B78" s="51" t="str">
        <f t="shared" si="2"/>
        <v>giftcodesbanner/牛頭人GO-bar.jpg</v>
      </c>
      <c r="C78" s="51"/>
      <c r="D78" s="51" t="str">
        <f t="shared" si="3"/>
        <v>https://www.ssbuy.tw/detail_giftcode/dist/giftcodes/牛頭人GO.html</v>
      </c>
      <c r="E78" s="91" t="s">
        <v>2975</v>
      </c>
      <c r="F78" s="103" t="s">
        <v>1710</v>
      </c>
      <c r="G78" s="52" t="s">
        <v>1711</v>
      </c>
      <c r="H78" s="52" t="s">
        <v>1840</v>
      </c>
      <c r="I78" s="51"/>
      <c r="J78" s="91"/>
      <c r="K78" s="92" t="s">
        <v>2141</v>
      </c>
      <c r="L78" s="51" t="s">
        <v>1920</v>
      </c>
      <c r="M78" s="53" t="s">
        <v>2142</v>
      </c>
      <c r="N78" s="54" t="s">
        <v>1920</v>
      </c>
      <c r="O78" s="53" t="s">
        <v>2976</v>
      </c>
      <c r="P78" s="54" t="s">
        <v>1920</v>
      </c>
      <c r="Q78" s="53" t="s">
        <v>2143</v>
      </c>
      <c r="R78" s="54" t="s">
        <v>1920</v>
      </c>
      <c r="S78" s="53" t="s">
        <v>2977</v>
      </c>
      <c r="T78" s="54" t="s">
        <v>1920</v>
      </c>
      <c r="U78" s="53" t="s">
        <v>2978</v>
      </c>
      <c r="V78" s="54" t="s">
        <v>1920</v>
      </c>
      <c r="W78" s="53" t="s">
        <v>2979</v>
      </c>
      <c r="X78" s="54" t="s">
        <v>1920</v>
      </c>
      <c r="Y78" s="53" t="s">
        <v>2144</v>
      </c>
      <c r="Z78" s="54" t="s">
        <v>1920</v>
      </c>
      <c r="AA78" s="53"/>
      <c r="AB78" s="54"/>
      <c r="AC78" s="53"/>
      <c r="AD78" s="54"/>
      <c r="AE78" s="53"/>
      <c r="AF78" s="54"/>
      <c r="AG78" s="53"/>
      <c r="AH78" s="54"/>
      <c r="AI78" s="53"/>
      <c r="AJ78" s="54"/>
      <c r="AK78" s="53"/>
      <c r="AL78" s="54"/>
      <c r="AM78" s="53"/>
      <c r="AN78" s="54"/>
      <c r="AO78" s="53"/>
      <c r="AP78" s="54"/>
      <c r="AQ78" s="53"/>
      <c r="AR78" s="54"/>
      <c r="AS78" s="53"/>
      <c r="AT78" s="54"/>
      <c r="AU78" s="53"/>
      <c r="AV78" s="54"/>
      <c r="AW78" s="53"/>
      <c r="AX78" s="54"/>
      <c r="AY78" s="53"/>
      <c r="AZ78" s="54"/>
      <c r="BA78" s="53"/>
      <c r="BB78" s="51"/>
      <c r="BC78" s="53"/>
      <c r="BD78" s="51"/>
      <c r="BE78" s="53"/>
      <c r="BF78" s="51"/>
      <c r="BG78" s="53"/>
      <c r="BH78" s="51"/>
      <c r="BI78" s="53"/>
      <c r="BJ78" s="51"/>
      <c r="BK78" s="53"/>
      <c r="BL78" s="51"/>
      <c r="BM78" s="53"/>
      <c r="BN78" s="51"/>
      <c r="BO78" s="53"/>
      <c r="BP78" s="51"/>
      <c r="BQ78" s="53"/>
      <c r="BR78" s="55"/>
    </row>
    <row r="79" spans="1:70" ht="28.5" customHeight="1">
      <c r="A79" s="56" t="s">
        <v>1021</v>
      </c>
      <c r="B79" s="51" t="str">
        <f t="shared" si="2"/>
        <v>giftcodesbanner/派對吧三國-bar.jpg</v>
      </c>
      <c r="C79" s="51"/>
      <c r="D79" s="51" t="str">
        <f t="shared" si="3"/>
        <v>https://www.ssbuy.tw/detail_giftcode/dist/giftcodes/派對吧三國.html</v>
      </c>
      <c r="E79" s="91" t="s">
        <v>2980</v>
      </c>
      <c r="F79" s="103" t="s">
        <v>1710</v>
      </c>
      <c r="G79" s="52" t="s">
        <v>1711</v>
      </c>
      <c r="H79" s="52" t="s">
        <v>1840</v>
      </c>
      <c r="I79" s="51"/>
      <c r="J79" s="91"/>
      <c r="K79" s="92" t="s">
        <v>2981</v>
      </c>
      <c r="L79" s="51" t="s">
        <v>1920</v>
      </c>
      <c r="M79" s="53" t="s">
        <v>2982</v>
      </c>
      <c r="N79" s="54" t="s">
        <v>1920</v>
      </c>
      <c r="O79" s="53" t="s">
        <v>2145</v>
      </c>
      <c r="P79" s="54" t="s">
        <v>1920</v>
      </c>
      <c r="Q79" s="53" t="s">
        <v>2146</v>
      </c>
      <c r="R79" s="54" t="s">
        <v>1920</v>
      </c>
      <c r="S79" s="53" t="s">
        <v>2983</v>
      </c>
      <c r="T79" s="54" t="s">
        <v>1920</v>
      </c>
      <c r="U79" s="53" t="s">
        <v>2147</v>
      </c>
      <c r="V79" s="54" t="s">
        <v>1920</v>
      </c>
      <c r="W79" s="53" t="s">
        <v>2148</v>
      </c>
      <c r="X79" s="54" t="s">
        <v>1920</v>
      </c>
      <c r="Y79" s="53" t="s">
        <v>2149</v>
      </c>
      <c r="Z79" s="54" t="s">
        <v>1920</v>
      </c>
      <c r="AA79" s="53" t="s">
        <v>2150</v>
      </c>
      <c r="AB79" s="54" t="s">
        <v>1920</v>
      </c>
      <c r="AC79" s="53" t="s">
        <v>2984</v>
      </c>
      <c r="AD79" s="54" t="s">
        <v>1920</v>
      </c>
      <c r="AE79" s="53"/>
      <c r="AF79" s="54"/>
      <c r="AG79" s="53"/>
      <c r="AH79" s="54"/>
      <c r="AI79" s="53"/>
      <c r="AJ79" s="54"/>
      <c r="AK79" s="53"/>
      <c r="AL79" s="54"/>
      <c r="AM79" s="53"/>
      <c r="AN79" s="54"/>
      <c r="AO79" s="53"/>
      <c r="AP79" s="54"/>
      <c r="AQ79" s="53"/>
      <c r="AR79" s="54"/>
      <c r="AS79" s="53"/>
      <c r="AT79" s="54"/>
      <c r="AU79" s="53"/>
      <c r="AV79" s="54"/>
      <c r="AW79" s="53"/>
      <c r="AX79" s="54"/>
      <c r="AY79" s="53"/>
      <c r="AZ79" s="54"/>
      <c r="BA79" s="53"/>
      <c r="BB79" s="51"/>
      <c r="BC79" s="53"/>
      <c r="BD79" s="51"/>
      <c r="BE79" s="53"/>
      <c r="BF79" s="51"/>
      <c r="BG79" s="53"/>
      <c r="BH79" s="51"/>
      <c r="BI79" s="53"/>
      <c r="BJ79" s="51"/>
      <c r="BK79" s="53"/>
      <c r="BL79" s="51"/>
      <c r="BM79" s="53"/>
      <c r="BN79" s="51"/>
      <c r="BO79" s="53"/>
      <c r="BP79" s="51"/>
      <c r="BQ79" s="53"/>
      <c r="BR79" s="55"/>
    </row>
    <row r="80" spans="1:70" ht="28.5" customHeight="1">
      <c r="A80" s="56" t="s">
        <v>1035</v>
      </c>
      <c r="B80" s="51" t="str">
        <f t="shared" si="2"/>
        <v>giftcodesbanner/酒酒大俠-bar.jpg</v>
      </c>
      <c r="C80" s="51"/>
      <c r="D80" s="51" t="str">
        <f t="shared" si="3"/>
        <v>https://www.ssbuy.tw/detail_giftcode/dist/giftcodes/酒酒大俠.html</v>
      </c>
      <c r="E80" s="91" t="s">
        <v>2985</v>
      </c>
      <c r="F80" s="103" t="s">
        <v>1710</v>
      </c>
      <c r="G80" s="52" t="s">
        <v>1711</v>
      </c>
      <c r="H80" s="52" t="s">
        <v>1840</v>
      </c>
      <c r="I80" s="51"/>
      <c r="J80" s="91"/>
      <c r="K80" s="92" t="s">
        <v>2986</v>
      </c>
      <c r="L80" s="51" t="s">
        <v>1920</v>
      </c>
      <c r="M80" s="53" t="s">
        <v>2987</v>
      </c>
      <c r="N80" s="54" t="s">
        <v>1920</v>
      </c>
      <c r="O80" s="53" t="s">
        <v>2151</v>
      </c>
      <c r="P80" s="54" t="s">
        <v>1920</v>
      </c>
      <c r="Q80" s="53" t="s">
        <v>2152</v>
      </c>
      <c r="R80" s="54" t="s">
        <v>1920</v>
      </c>
      <c r="S80" s="53" t="s">
        <v>2153</v>
      </c>
      <c r="T80" s="54" t="s">
        <v>1920</v>
      </c>
      <c r="U80" s="53" t="s">
        <v>2988</v>
      </c>
      <c r="V80" s="54" t="s">
        <v>1920</v>
      </c>
      <c r="W80" s="53" t="s">
        <v>2989</v>
      </c>
      <c r="X80" s="54" t="s">
        <v>1920</v>
      </c>
      <c r="Y80" s="53"/>
      <c r="Z80" s="54"/>
      <c r="AA80" s="53"/>
      <c r="AB80" s="54"/>
      <c r="AC80" s="53"/>
      <c r="AD80" s="54"/>
      <c r="AE80" s="53"/>
      <c r="AF80" s="54"/>
      <c r="AG80" s="53"/>
      <c r="AH80" s="54"/>
      <c r="AI80" s="53"/>
      <c r="AJ80" s="54"/>
      <c r="AK80" s="53"/>
      <c r="AL80" s="54"/>
      <c r="AM80" s="53"/>
      <c r="AN80" s="54"/>
      <c r="AO80" s="53"/>
      <c r="AP80" s="54"/>
      <c r="AQ80" s="53"/>
      <c r="AR80" s="54"/>
      <c r="AS80" s="53"/>
      <c r="AT80" s="54"/>
      <c r="AU80" s="53"/>
      <c r="AV80" s="54"/>
      <c r="AW80" s="53"/>
      <c r="AX80" s="54"/>
      <c r="AY80" s="53"/>
      <c r="AZ80" s="54"/>
      <c r="BA80" s="53"/>
      <c r="BB80" s="51"/>
      <c r="BC80" s="53"/>
      <c r="BD80" s="51"/>
      <c r="BE80" s="53"/>
      <c r="BF80" s="51"/>
      <c r="BG80" s="53"/>
      <c r="BH80" s="51"/>
      <c r="BI80" s="53"/>
      <c r="BJ80" s="51"/>
      <c r="BK80" s="53"/>
      <c r="BL80" s="51"/>
      <c r="BM80" s="53"/>
      <c r="BN80" s="51"/>
      <c r="BO80" s="53"/>
      <c r="BP80" s="51"/>
      <c r="BQ80" s="53"/>
      <c r="BR80" s="55"/>
    </row>
    <row r="81" spans="1:70" ht="28.5" customHeight="1">
      <c r="A81" s="56" t="s">
        <v>1044</v>
      </c>
      <c r="B81" s="51" t="str">
        <f t="shared" si="2"/>
        <v>giftcodesbanner/鼠衛家園-bar.jpg</v>
      </c>
      <c r="C81" s="51"/>
      <c r="D81" s="51" t="str">
        <f t="shared" si="3"/>
        <v>https://www.ssbuy.tw/detail_giftcode/dist/giftcodes/鼠衛家園.html</v>
      </c>
      <c r="E81" s="91" t="s">
        <v>2990</v>
      </c>
      <c r="F81" s="103" t="s">
        <v>1710</v>
      </c>
      <c r="G81" s="52" t="s">
        <v>1711</v>
      </c>
      <c r="H81" s="52" t="s">
        <v>1840</v>
      </c>
      <c r="I81" s="51"/>
      <c r="J81" s="91"/>
      <c r="K81" s="92" t="s">
        <v>2154</v>
      </c>
      <c r="L81" s="51" t="s">
        <v>1920</v>
      </c>
      <c r="M81" s="53" t="s">
        <v>2991</v>
      </c>
      <c r="N81" s="54" t="s">
        <v>1920</v>
      </c>
      <c r="O81" s="53" t="s">
        <v>2992</v>
      </c>
      <c r="P81" s="54" t="s">
        <v>1920</v>
      </c>
      <c r="Q81" s="53" t="s">
        <v>2993</v>
      </c>
      <c r="R81" s="54" t="s">
        <v>1920</v>
      </c>
      <c r="S81" s="53" t="s">
        <v>2994</v>
      </c>
      <c r="T81" s="54" t="s">
        <v>1920</v>
      </c>
      <c r="U81" s="53"/>
      <c r="V81" s="54"/>
      <c r="W81" s="53"/>
      <c r="X81" s="54"/>
      <c r="Y81" s="53"/>
      <c r="Z81" s="54"/>
      <c r="AA81" s="53"/>
      <c r="AB81" s="54"/>
      <c r="AC81" s="53"/>
      <c r="AD81" s="54"/>
      <c r="AE81" s="53"/>
      <c r="AF81" s="54"/>
      <c r="AG81" s="53"/>
      <c r="AH81" s="54"/>
      <c r="AI81" s="53"/>
      <c r="AJ81" s="54"/>
      <c r="AK81" s="53"/>
      <c r="AL81" s="54"/>
      <c r="AM81" s="53"/>
      <c r="AN81" s="54"/>
      <c r="AO81" s="53"/>
      <c r="AP81" s="54"/>
      <c r="AQ81" s="53"/>
      <c r="AR81" s="54"/>
      <c r="AS81" s="53"/>
      <c r="AT81" s="54"/>
      <c r="AU81" s="53"/>
      <c r="AV81" s="54"/>
      <c r="AW81" s="53"/>
      <c r="AX81" s="54"/>
      <c r="AY81" s="53"/>
      <c r="AZ81" s="54"/>
      <c r="BA81" s="53"/>
      <c r="BB81" s="51"/>
      <c r="BC81" s="53"/>
      <c r="BD81" s="51"/>
      <c r="BE81" s="53"/>
      <c r="BF81" s="51"/>
      <c r="BG81" s="53"/>
      <c r="BH81" s="51"/>
      <c r="BI81" s="53"/>
      <c r="BJ81" s="51"/>
      <c r="BK81" s="53"/>
      <c r="BL81" s="51"/>
      <c r="BM81" s="53"/>
      <c r="BN81" s="51"/>
      <c r="BO81" s="53"/>
      <c r="BP81" s="51"/>
      <c r="BQ81" s="53"/>
      <c r="BR81" s="55"/>
    </row>
    <row r="82" spans="1:70" ht="28.5" customHeight="1">
      <c r="A82" s="56" t="s">
        <v>2995</v>
      </c>
      <c r="B82" s="51" t="str">
        <f t="shared" si="2"/>
        <v>giftcodesbanner/未頌者之歌：異世界冒險奇譚-bar.jpg</v>
      </c>
      <c r="C82" s="51"/>
      <c r="D82" s="51" t="str">
        <f t="shared" si="3"/>
        <v>https://www.ssbuy.tw/detail_giftcode/dist/giftcodes/未頌者之歌：異世界冒險奇譚.html</v>
      </c>
      <c r="E82" s="91" t="s">
        <v>2996</v>
      </c>
      <c r="F82" s="103" t="s">
        <v>1710</v>
      </c>
      <c r="G82" s="52" t="s">
        <v>1711</v>
      </c>
      <c r="H82" s="52" t="s">
        <v>1840</v>
      </c>
      <c r="I82" s="51"/>
      <c r="J82" s="91"/>
      <c r="K82" s="92" t="s">
        <v>2997</v>
      </c>
      <c r="L82" s="51" t="s">
        <v>1920</v>
      </c>
      <c r="M82" s="53" t="s">
        <v>2155</v>
      </c>
      <c r="N82" s="54" t="s">
        <v>1920</v>
      </c>
      <c r="O82" s="53" t="s">
        <v>2998</v>
      </c>
      <c r="P82" s="54" t="s">
        <v>1920</v>
      </c>
      <c r="Q82" s="53" t="s">
        <v>2156</v>
      </c>
      <c r="R82" s="54" t="s">
        <v>1920</v>
      </c>
      <c r="S82" s="53" t="s">
        <v>2999</v>
      </c>
      <c r="T82" s="54" t="s">
        <v>1920</v>
      </c>
      <c r="U82" s="53" t="s">
        <v>3000</v>
      </c>
      <c r="V82" s="54" t="s">
        <v>1920</v>
      </c>
      <c r="W82" s="53"/>
      <c r="X82" s="54" t="s">
        <v>1920</v>
      </c>
      <c r="Y82" s="53"/>
      <c r="Z82" s="54"/>
      <c r="AA82" s="53"/>
      <c r="AB82" s="54"/>
      <c r="AC82" s="53"/>
      <c r="AD82" s="54"/>
      <c r="AE82" s="53"/>
      <c r="AF82" s="54"/>
      <c r="AG82" s="53"/>
      <c r="AH82" s="54"/>
      <c r="AI82" s="53"/>
      <c r="AJ82" s="54"/>
      <c r="AK82" s="53"/>
      <c r="AL82" s="54"/>
      <c r="AM82" s="53"/>
      <c r="AN82" s="54"/>
      <c r="AO82" s="53"/>
      <c r="AP82" s="54"/>
      <c r="AQ82" s="53"/>
      <c r="AR82" s="54"/>
      <c r="AS82" s="53"/>
      <c r="AT82" s="54"/>
      <c r="AU82" s="53"/>
      <c r="AV82" s="54"/>
      <c r="AW82" s="53"/>
      <c r="AX82" s="54"/>
      <c r="AY82" s="53"/>
      <c r="AZ82" s="54"/>
      <c r="BA82" s="53"/>
      <c r="BB82" s="51"/>
      <c r="BC82" s="53"/>
      <c r="BD82" s="51"/>
      <c r="BE82" s="53"/>
      <c r="BF82" s="51"/>
      <c r="BG82" s="53"/>
      <c r="BH82" s="51"/>
      <c r="BI82" s="53"/>
      <c r="BJ82" s="51"/>
      <c r="BK82" s="53"/>
      <c r="BL82" s="51"/>
      <c r="BM82" s="53"/>
      <c r="BN82" s="51"/>
      <c r="BO82" s="53"/>
      <c r="BP82" s="51"/>
      <c r="BQ82" s="53"/>
      <c r="BR82" s="55"/>
    </row>
    <row r="83" spans="1:70" ht="28.5" customHeight="1">
      <c r="A83" s="56" t="s">
        <v>1059</v>
      </c>
      <c r="B83" s="51" t="str">
        <f t="shared" si="2"/>
        <v>giftcodesbanner/熱練戰士-bar.jpg</v>
      </c>
      <c r="C83" s="51"/>
      <c r="D83" s="51" t="str">
        <f t="shared" si="3"/>
        <v>https://www.ssbuy.tw/detail_giftcode/dist/giftcodes/熱練戰士.html</v>
      </c>
      <c r="E83" s="91" t="s">
        <v>3001</v>
      </c>
      <c r="F83" s="103" t="s">
        <v>1710</v>
      </c>
      <c r="G83" s="52" t="s">
        <v>1711</v>
      </c>
      <c r="H83" s="52" t="s">
        <v>1840</v>
      </c>
      <c r="I83" s="51"/>
      <c r="J83" s="91"/>
      <c r="K83" s="92" t="s">
        <v>3002</v>
      </c>
      <c r="L83" s="51" t="s">
        <v>3003</v>
      </c>
      <c r="M83" s="53" t="s">
        <v>3004</v>
      </c>
      <c r="N83" s="54" t="s">
        <v>3005</v>
      </c>
      <c r="O83" s="53" t="s">
        <v>3006</v>
      </c>
      <c r="P83" s="54" t="s">
        <v>2157</v>
      </c>
      <c r="Q83" s="53" t="s">
        <v>2158</v>
      </c>
      <c r="R83" s="54" t="s">
        <v>3007</v>
      </c>
      <c r="S83" s="53" t="s">
        <v>2159</v>
      </c>
      <c r="T83" s="60" t="s">
        <v>3008</v>
      </c>
      <c r="U83" s="53" t="s">
        <v>2160</v>
      </c>
      <c r="V83" s="54" t="s">
        <v>3009</v>
      </c>
      <c r="W83" s="53"/>
      <c r="X83" s="54"/>
      <c r="Y83" s="53"/>
      <c r="Z83" s="54"/>
      <c r="AA83" s="53"/>
      <c r="AB83" s="54"/>
      <c r="AC83" s="53"/>
      <c r="AD83" s="54"/>
      <c r="AE83" s="53"/>
      <c r="AF83" s="54"/>
      <c r="AG83" s="53"/>
      <c r="AH83" s="54"/>
      <c r="AI83" s="53"/>
      <c r="AJ83" s="54"/>
      <c r="AK83" s="53"/>
      <c r="AL83" s="54"/>
      <c r="AM83" s="53"/>
      <c r="AN83" s="54"/>
      <c r="AO83" s="53"/>
      <c r="AP83" s="54"/>
      <c r="AQ83" s="53"/>
      <c r="AR83" s="54"/>
      <c r="AS83" s="53"/>
      <c r="AT83" s="54"/>
      <c r="AU83" s="53"/>
      <c r="AV83" s="54"/>
      <c r="AW83" s="53"/>
      <c r="AX83" s="54"/>
      <c r="AY83" s="53"/>
      <c r="AZ83" s="54"/>
      <c r="BA83" s="53"/>
      <c r="BB83" s="51"/>
      <c r="BC83" s="53"/>
      <c r="BD83" s="51"/>
      <c r="BE83" s="53"/>
      <c r="BF83" s="51"/>
      <c r="BG83" s="53"/>
      <c r="BH83" s="51"/>
      <c r="BI83" s="53"/>
      <c r="BJ83" s="51"/>
      <c r="BK83" s="53"/>
      <c r="BL83" s="51"/>
      <c r="BM83" s="53"/>
      <c r="BN83" s="51"/>
      <c r="BO83" s="53"/>
      <c r="BP83" s="51"/>
      <c r="BQ83" s="53"/>
      <c r="BR83" s="55"/>
    </row>
    <row r="84" spans="1:70" ht="28.5" customHeight="1">
      <c r="A84" s="56" t="s">
        <v>1064</v>
      </c>
      <c r="B84" s="51" t="str">
        <f t="shared" si="2"/>
        <v>giftcodesbanner/聯盟戰棋-bar.jpg</v>
      </c>
      <c r="C84" s="51"/>
      <c r="D84" s="51" t="str">
        <f t="shared" si="3"/>
        <v>https://www.ssbuy.tw/detail_giftcode/dist/giftcodes/聯盟戰棋.html</v>
      </c>
      <c r="E84" s="91" t="s">
        <v>2161</v>
      </c>
      <c r="F84" s="103" t="s">
        <v>1710</v>
      </c>
      <c r="G84" s="52" t="s">
        <v>1711</v>
      </c>
      <c r="H84" s="52" t="s">
        <v>1840</v>
      </c>
      <c r="I84" s="51"/>
      <c r="J84" s="91"/>
      <c r="K84" s="92"/>
      <c r="L84" s="51" t="s">
        <v>1920</v>
      </c>
      <c r="M84" s="53"/>
      <c r="N84" s="54" t="s">
        <v>1920</v>
      </c>
      <c r="O84" s="53"/>
      <c r="P84" s="54" t="s">
        <v>1920</v>
      </c>
      <c r="Q84" s="53"/>
      <c r="R84" s="54" t="s">
        <v>1920</v>
      </c>
      <c r="S84" s="53"/>
      <c r="T84" s="54" t="s">
        <v>1920</v>
      </c>
      <c r="U84" s="53"/>
      <c r="V84" s="54" t="s">
        <v>1920</v>
      </c>
      <c r="W84" s="53"/>
      <c r="X84" s="54" t="s">
        <v>1920</v>
      </c>
      <c r="Y84" s="53"/>
      <c r="Z84" s="54"/>
      <c r="AA84" s="53"/>
      <c r="AB84" s="54"/>
      <c r="AC84" s="53"/>
      <c r="AD84" s="54"/>
      <c r="AE84" s="53"/>
      <c r="AF84" s="54"/>
      <c r="AG84" s="53"/>
      <c r="AH84" s="54"/>
      <c r="AI84" s="53"/>
      <c r="AJ84" s="54"/>
      <c r="AK84" s="53"/>
      <c r="AL84" s="54"/>
      <c r="AM84" s="53"/>
      <c r="AN84" s="54"/>
      <c r="AO84" s="53"/>
      <c r="AP84" s="54"/>
      <c r="AQ84" s="53"/>
      <c r="AR84" s="54"/>
      <c r="AS84" s="53"/>
      <c r="AT84" s="54"/>
      <c r="AU84" s="53"/>
      <c r="AV84" s="54"/>
      <c r="AW84" s="53"/>
      <c r="AX84" s="54"/>
      <c r="AY84" s="53"/>
      <c r="AZ84" s="54"/>
      <c r="BA84" s="53"/>
      <c r="BB84" s="51"/>
      <c r="BC84" s="53"/>
      <c r="BD84" s="51"/>
      <c r="BE84" s="53"/>
      <c r="BF84" s="51"/>
      <c r="BG84" s="53"/>
      <c r="BH84" s="51"/>
      <c r="BI84" s="53"/>
      <c r="BJ84" s="51"/>
      <c r="BK84" s="53"/>
      <c r="BL84" s="51"/>
      <c r="BM84" s="53"/>
      <c r="BN84" s="51"/>
      <c r="BO84" s="53"/>
      <c r="BP84" s="51"/>
      <c r="BQ84" s="53"/>
      <c r="BR84" s="55"/>
    </row>
    <row r="85" spans="1:70" ht="28.5" customHeight="1">
      <c r="A85" s="56" t="s">
        <v>2162</v>
      </c>
      <c r="B85" s="51" t="str">
        <f t="shared" si="2"/>
        <v>giftcodesbanner/劍客物語-bar.jpg</v>
      </c>
      <c r="C85" s="51"/>
      <c r="D85" s="51" t="str">
        <f t="shared" si="3"/>
        <v>https://www.ssbuy.tw/detail_giftcode/dist/giftcodes/劍客物語.html</v>
      </c>
      <c r="E85" s="91" t="s">
        <v>3010</v>
      </c>
      <c r="F85" s="103" t="s">
        <v>1710</v>
      </c>
      <c r="G85" s="52" t="s">
        <v>1711</v>
      </c>
      <c r="H85" s="52" t="s">
        <v>1840</v>
      </c>
      <c r="I85" s="51"/>
      <c r="J85" s="91"/>
      <c r="K85" s="92" t="s">
        <v>3011</v>
      </c>
      <c r="L85" s="51" t="s">
        <v>2163</v>
      </c>
      <c r="M85" s="53" t="s">
        <v>2164</v>
      </c>
      <c r="N85" s="54" t="s">
        <v>2165</v>
      </c>
      <c r="O85" s="53" t="s">
        <v>2166</v>
      </c>
      <c r="P85" s="54" t="s">
        <v>3012</v>
      </c>
      <c r="Q85" s="53" t="s">
        <v>3013</v>
      </c>
      <c r="R85" s="54" t="s">
        <v>3014</v>
      </c>
      <c r="S85" s="53" t="s">
        <v>3015</v>
      </c>
      <c r="T85" s="54" t="s">
        <v>3016</v>
      </c>
      <c r="U85" s="53" t="s">
        <v>2167</v>
      </c>
      <c r="V85" s="54" t="s">
        <v>2165</v>
      </c>
      <c r="W85" s="53" t="s">
        <v>3017</v>
      </c>
      <c r="X85" s="54" t="s">
        <v>3018</v>
      </c>
      <c r="Y85" s="53" t="s">
        <v>3019</v>
      </c>
      <c r="Z85" s="54" t="s">
        <v>3014</v>
      </c>
      <c r="AA85" s="53" t="s">
        <v>3020</v>
      </c>
      <c r="AB85" s="54" t="s">
        <v>3021</v>
      </c>
      <c r="AC85" s="53"/>
      <c r="AD85" s="54"/>
      <c r="AE85" s="53"/>
      <c r="AF85" s="54"/>
      <c r="AG85" s="53"/>
      <c r="AH85" s="54"/>
      <c r="AI85" s="53"/>
      <c r="AJ85" s="54"/>
      <c r="AK85" s="53"/>
      <c r="AL85" s="54"/>
      <c r="AM85" s="53"/>
      <c r="AN85" s="54"/>
      <c r="AO85" s="53"/>
      <c r="AP85" s="54"/>
      <c r="AQ85" s="53"/>
      <c r="AR85" s="54"/>
      <c r="AS85" s="53"/>
      <c r="AT85" s="54"/>
      <c r="AU85" s="53"/>
      <c r="AV85" s="54"/>
      <c r="AW85" s="53"/>
      <c r="AX85" s="54"/>
      <c r="AY85" s="53"/>
      <c r="AZ85" s="54"/>
      <c r="BA85" s="53"/>
      <c r="BB85" s="51"/>
      <c r="BC85" s="53"/>
      <c r="BD85" s="51"/>
      <c r="BE85" s="53"/>
      <c r="BF85" s="51"/>
      <c r="BG85" s="53"/>
      <c r="BH85" s="51"/>
      <c r="BI85" s="53"/>
      <c r="BJ85" s="51"/>
      <c r="BK85" s="53"/>
      <c r="BL85" s="51"/>
      <c r="BM85" s="53"/>
      <c r="BN85" s="51"/>
      <c r="BO85" s="53"/>
      <c r="BP85" s="51"/>
      <c r="BQ85" s="53"/>
      <c r="BR85" s="55"/>
    </row>
    <row r="86" spans="1:70" ht="28.5" customHeight="1">
      <c r="A86" s="56" t="s">
        <v>2168</v>
      </c>
      <c r="B86" s="51" t="str">
        <f t="shared" si="2"/>
        <v>giftcodesbanner/人在塔在-bar.jpg</v>
      </c>
      <c r="C86" s="51"/>
      <c r="D86" s="51" t="str">
        <f t="shared" si="3"/>
        <v>https://www.ssbuy.tw/detail_giftcode/dist/giftcodes/人在塔在.html</v>
      </c>
      <c r="E86" s="91" t="s">
        <v>3022</v>
      </c>
      <c r="F86" s="103" t="s">
        <v>1710</v>
      </c>
      <c r="G86" s="52" t="s">
        <v>1711</v>
      </c>
      <c r="H86" s="52" t="s">
        <v>1840</v>
      </c>
      <c r="I86" s="51"/>
      <c r="J86" s="91"/>
      <c r="K86" s="92" t="s">
        <v>3023</v>
      </c>
      <c r="L86" s="51" t="s">
        <v>1920</v>
      </c>
      <c r="M86" s="53" t="s">
        <v>2169</v>
      </c>
      <c r="N86" s="54" t="s">
        <v>1920</v>
      </c>
      <c r="O86" s="53"/>
      <c r="P86" s="54"/>
      <c r="Q86" s="53"/>
      <c r="R86" s="54"/>
      <c r="S86" s="53"/>
      <c r="T86" s="54"/>
      <c r="U86" s="53"/>
      <c r="V86" s="54"/>
      <c r="W86" s="53"/>
      <c r="X86" s="54"/>
      <c r="Y86" s="53"/>
      <c r="Z86" s="54"/>
      <c r="AA86" s="53"/>
      <c r="AB86" s="54"/>
      <c r="AC86" s="53"/>
      <c r="AD86" s="54"/>
      <c r="AE86" s="53"/>
      <c r="AF86" s="54"/>
      <c r="AG86" s="53"/>
      <c r="AH86" s="54"/>
      <c r="AI86" s="53"/>
      <c r="AJ86" s="54"/>
      <c r="AK86" s="53"/>
      <c r="AL86" s="54"/>
      <c r="AM86" s="53"/>
      <c r="AN86" s="54"/>
      <c r="AO86" s="53"/>
      <c r="AP86" s="54"/>
      <c r="AQ86" s="53"/>
      <c r="AR86" s="54"/>
      <c r="AS86" s="53"/>
      <c r="AT86" s="54"/>
      <c r="AU86" s="53"/>
      <c r="AV86" s="54"/>
      <c r="AW86" s="53"/>
      <c r="AX86" s="54"/>
      <c r="AY86" s="53"/>
      <c r="AZ86" s="54"/>
      <c r="BA86" s="53"/>
      <c r="BB86" s="51"/>
      <c r="BC86" s="53"/>
      <c r="BD86" s="51"/>
      <c r="BE86" s="53"/>
      <c r="BF86" s="51"/>
      <c r="BG86" s="53"/>
      <c r="BH86" s="51"/>
      <c r="BI86" s="53"/>
      <c r="BJ86" s="51"/>
      <c r="BK86" s="53"/>
      <c r="BL86" s="51"/>
      <c r="BM86" s="53"/>
      <c r="BN86" s="51"/>
      <c r="BO86" s="53"/>
      <c r="BP86" s="51"/>
      <c r="BQ86" s="53"/>
      <c r="BR86" s="55"/>
    </row>
    <row r="87" spans="1:70" ht="28.5" customHeight="1">
      <c r="A87" s="56" t="s">
        <v>2170</v>
      </c>
      <c r="B87" s="51" t="str">
        <f t="shared" si="2"/>
        <v>giftcodesbanner/龍語霜城-bar.jpg</v>
      </c>
      <c r="C87" s="51"/>
      <c r="D87" s="51" t="str">
        <f t="shared" si="3"/>
        <v>https://www.ssbuy.tw/detail_giftcode/dist/giftcodes/龍語霜城.html</v>
      </c>
      <c r="E87" s="91" t="s">
        <v>3024</v>
      </c>
      <c r="F87" s="103" t="s">
        <v>1710</v>
      </c>
      <c r="G87" s="52" t="s">
        <v>1711</v>
      </c>
      <c r="H87" s="52" t="s">
        <v>1840</v>
      </c>
      <c r="I87" s="51"/>
      <c r="J87" s="91"/>
      <c r="K87" s="92" t="s">
        <v>2171</v>
      </c>
      <c r="L87" s="51" t="s">
        <v>1920</v>
      </c>
      <c r="M87" s="53" t="s">
        <v>2172</v>
      </c>
      <c r="N87" s="54" t="s">
        <v>1920</v>
      </c>
      <c r="O87" s="53" t="s">
        <v>3025</v>
      </c>
      <c r="P87" s="54" t="s">
        <v>1920</v>
      </c>
      <c r="Q87" s="53" t="s">
        <v>3026</v>
      </c>
      <c r="R87" s="54" t="s">
        <v>1920</v>
      </c>
      <c r="S87" s="53" t="s">
        <v>2173</v>
      </c>
      <c r="T87" s="54" t="s">
        <v>1920</v>
      </c>
      <c r="U87" s="53" t="s">
        <v>3027</v>
      </c>
      <c r="V87" s="54" t="s">
        <v>1920</v>
      </c>
      <c r="W87" s="53" t="s">
        <v>3028</v>
      </c>
      <c r="X87" s="54" t="s">
        <v>1920</v>
      </c>
      <c r="Y87" s="53" t="s">
        <v>2174</v>
      </c>
      <c r="Z87" s="54" t="s">
        <v>1920</v>
      </c>
      <c r="AA87" s="53" t="s">
        <v>3029</v>
      </c>
      <c r="AB87" s="54" t="s">
        <v>1920</v>
      </c>
      <c r="AC87" s="53" t="s">
        <v>2175</v>
      </c>
      <c r="AD87" s="54" t="s">
        <v>1920</v>
      </c>
      <c r="AE87" s="53" t="s">
        <v>3030</v>
      </c>
      <c r="AF87" s="54" t="s">
        <v>1920</v>
      </c>
      <c r="AG87" s="53" t="s">
        <v>3031</v>
      </c>
      <c r="AH87" s="54" t="s">
        <v>1920</v>
      </c>
      <c r="AI87" s="53" t="s">
        <v>3032</v>
      </c>
      <c r="AJ87" s="54" t="s">
        <v>1920</v>
      </c>
      <c r="AK87" s="53"/>
      <c r="AL87" s="54"/>
      <c r="AM87" s="53"/>
      <c r="AN87" s="54"/>
      <c r="AO87" s="53"/>
      <c r="AP87" s="54"/>
      <c r="AQ87" s="53"/>
      <c r="AR87" s="54"/>
      <c r="AS87" s="53"/>
      <c r="AT87" s="54"/>
      <c r="AU87" s="53"/>
      <c r="AV87" s="54"/>
      <c r="AW87" s="53"/>
      <c r="AX87" s="54"/>
      <c r="AY87" s="53"/>
      <c r="AZ87" s="54"/>
      <c r="BA87" s="53"/>
      <c r="BB87" s="51"/>
      <c r="BC87" s="53"/>
      <c r="BD87" s="51"/>
      <c r="BE87" s="53"/>
      <c r="BF87" s="51"/>
      <c r="BG87" s="53"/>
      <c r="BH87" s="51"/>
      <c r="BI87" s="53"/>
      <c r="BJ87" s="51"/>
      <c r="BK87" s="53"/>
      <c r="BL87" s="51"/>
      <c r="BM87" s="53"/>
      <c r="BN87" s="51"/>
      <c r="BO87" s="53"/>
      <c r="BP87" s="51"/>
      <c r="BQ87" s="53"/>
      <c r="BR87" s="55"/>
    </row>
    <row r="88" spans="1:70" ht="28.5" customHeight="1">
      <c r="A88" s="56" t="s">
        <v>2176</v>
      </c>
      <c r="B88" s="51" t="str">
        <f t="shared" si="2"/>
        <v>giftcodesbanner/洛伊的移動要塞-bar.jpg</v>
      </c>
      <c r="C88" s="51"/>
      <c r="D88" s="51" t="str">
        <f t="shared" si="3"/>
        <v>https://www.ssbuy.tw/detail_giftcode/dist/giftcodes/洛伊的移動要塞.html</v>
      </c>
      <c r="E88" s="91" t="s">
        <v>2177</v>
      </c>
      <c r="F88" s="103" t="s">
        <v>1710</v>
      </c>
      <c r="G88" s="52" t="s">
        <v>1711</v>
      </c>
      <c r="H88" s="52" t="s">
        <v>1840</v>
      </c>
      <c r="I88" s="51"/>
      <c r="J88" s="91"/>
      <c r="K88" s="92" t="s">
        <v>3033</v>
      </c>
      <c r="L88" s="51" t="s">
        <v>3034</v>
      </c>
      <c r="M88" s="53" t="s">
        <v>2178</v>
      </c>
      <c r="N88" s="54" t="s">
        <v>3035</v>
      </c>
      <c r="O88" s="53" t="s">
        <v>3036</v>
      </c>
      <c r="P88" s="54" t="s">
        <v>2179</v>
      </c>
      <c r="Q88" s="53" t="s">
        <v>2180</v>
      </c>
      <c r="R88" s="54" t="s">
        <v>3037</v>
      </c>
      <c r="S88" s="53" t="s">
        <v>2181</v>
      </c>
      <c r="T88" s="54" t="s">
        <v>2179</v>
      </c>
      <c r="U88" s="53" t="s">
        <v>2182</v>
      </c>
      <c r="V88" s="54" t="s">
        <v>3038</v>
      </c>
      <c r="W88" s="53" t="s">
        <v>2183</v>
      </c>
      <c r="X88" s="54" t="s">
        <v>2184</v>
      </c>
      <c r="Y88" s="53" t="s">
        <v>3039</v>
      </c>
      <c r="Z88" s="54" t="s">
        <v>3040</v>
      </c>
      <c r="AA88" s="53"/>
      <c r="AB88" s="54"/>
      <c r="AC88" s="53"/>
      <c r="AD88" s="54"/>
      <c r="AE88" s="53"/>
      <c r="AF88" s="54"/>
      <c r="AG88" s="53"/>
      <c r="AH88" s="54"/>
      <c r="AI88" s="53"/>
      <c r="AJ88" s="54"/>
      <c r="AK88" s="53"/>
      <c r="AL88" s="54"/>
      <c r="AM88" s="53"/>
      <c r="AN88" s="54"/>
      <c r="AO88" s="53"/>
      <c r="AP88" s="54"/>
      <c r="AQ88" s="53"/>
      <c r="AR88" s="54"/>
      <c r="AS88" s="53"/>
      <c r="AT88" s="54"/>
      <c r="AU88" s="53"/>
      <c r="AV88" s="54"/>
      <c r="AW88" s="53"/>
      <c r="AX88" s="54"/>
      <c r="AY88" s="53"/>
      <c r="AZ88" s="54"/>
      <c r="BA88" s="53"/>
      <c r="BB88" s="51"/>
      <c r="BC88" s="53"/>
      <c r="BD88" s="51"/>
      <c r="BE88" s="53"/>
      <c r="BF88" s="51"/>
      <c r="BG88" s="53"/>
      <c r="BH88" s="51"/>
      <c r="BI88" s="53"/>
      <c r="BJ88" s="51"/>
      <c r="BK88" s="53"/>
      <c r="BL88" s="51"/>
      <c r="BM88" s="53"/>
      <c r="BN88" s="51"/>
      <c r="BO88" s="53"/>
      <c r="BP88" s="51"/>
      <c r="BQ88" s="53"/>
      <c r="BR88" s="55"/>
    </row>
    <row r="89" spans="1:70" ht="28.5" customHeight="1">
      <c r="A89" s="56" t="s">
        <v>3041</v>
      </c>
      <c r="B89" s="51" t="str">
        <f t="shared" si="2"/>
        <v>giftcodesbanner/喵喵王國-bar.jpg</v>
      </c>
      <c r="C89" s="51"/>
      <c r="D89" s="51" t="str">
        <f t="shared" si="3"/>
        <v>https://www.ssbuy.tw/detail_giftcode/dist/giftcodes/喵喵王國.html</v>
      </c>
      <c r="E89" s="91" t="s">
        <v>3042</v>
      </c>
      <c r="F89" s="103" t="s">
        <v>1710</v>
      </c>
      <c r="G89" s="52" t="s">
        <v>1711</v>
      </c>
      <c r="H89" s="52" t="s">
        <v>1840</v>
      </c>
      <c r="I89" s="51"/>
      <c r="J89" s="91"/>
      <c r="K89" s="92" t="s">
        <v>3043</v>
      </c>
      <c r="L89" s="51" t="s">
        <v>1920</v>
      </c>
      <c r="M89" s="53"/>
      <c r="N89" s="54"/>
      <c r="O89" s="53"/>
      <c r="P89" s="54"/>
      <c r="Q89" s="53"/>
      <c r="R89" s="54"/>
      <c r="S89" s="53"/>
      <c r="T89" s="54"/>
      <c r="U89" s="53"/>
      <c r="V89" s="54"/>
      <c r="W89" s="53"/>
      <c r="X89" s="54"/>
      <c r="Y89" s="53"/>
      <c r="Z89" s="54"/>
      <c r="AA89" s="53"/>
      <c r="AB89" s="54"/>
      <c r="AC89" s="53"/>
      <c r="AD89" s="54"/>
      <c r="AE89" s="53"/>
      <c r="AF89" s="54"/>
      <c r="AG89" s="53"/>
      <c r="AH89" s="54"/>
      <c r="AI89" s="53"/>
      <c r="AJ89" s="54"/>
      <c r="AK89" s="53"/>
      <c r="AL89" s="54"/>
      <c r="AM89" s="53"/>
      <c r="AN89" s="54"/>
      <c r="AO89" s="53"/>
      <c r="AP89" s="54"/>
      <c r="AQ89" s="53"/>
      <c r="AR89" s="54"/>
      <c r="AS89" s="53"/>
      <c r="AT89" s="54"/>
      <c r="AU89" s="53"/>
      <c r="AV89" s="54"/>
      <c r="AW89" s="53"/>
      <c r="AX89" s="54"/>
      <c r="AY89" s="53"/>
      <c r="AZ89" s="54"/>
      <c r="BA89" s="53"/>
      <c r="BB89" s="51"/>
      <c r="BC89" s="53"/>
      <c r="BD89" s="51"/>
      <c r="BE89" s="53"/>
      <c r="BF89" s="51"/>
      <c r="BG89" s="53"/>
      <c r="BH89" s="51"/>
      <c r="BI89" s="53"/>
      <c r="BJ89" s="51"/>
      <c r="BK89" s="53"/>
      <c r="BL89" s="51"/>
      <c r="BM89" s="53"/>
      <c r="BN89" s="51"/>
      <c r="BO89" s="53"/>
      <c r="BP89" s="51"/>
      <c r="BQ89" s="53"/>
      <c r="BR89" s="55"/>
    </row>
    <row r="90" spans="1:70" ht="28.5" customHeight="1">
      <c r="A90" s="56" t="s">
        <v>1121</v>
      </c>
      <c r="B90" s="51" t="str">
        <f t="shared" si="2"/>
        <v>giftcodesbanner/東京謎影者-bar.jpg</v>
      </c>
      <c r="C90" s="51"/>
      <c r="D90" s="51" t="str">
        <f t="shared" si="3"/>
        <v>https://www.ssbuy.tw/detail_giftcode/dist/giftcodes/東京謎影者.html</v>
      </c>
      <c r="E90" s="91" t="s">
        <v>2185</v>
      </c>
      <c r="F90" s="103" t="s">
        <v>1710</v>
      </c>
      <c r="G90" s="52" t="s">
        <v>1711</v>
      </c>
      <c r="H90" s="52" t="s">
        <v>1840</v>
      </c>
      <c r="I90" s="51"/>
      <c r="J90" s="91"/>
      <c r="K90" s="92"/>
      <c r="L90" s="51" t="s">
        <v>1920</v>
      </c>
      <c r="M90" s="53"/>
      <c r="N90" s="54" t="s">
        <v>1920</v>
      </c>
      <c r="O90" s="53"/>
      <c r="P90" s="54" t="s">
        <v>1920</v>
      </c>
      <c r="Q90" s="53"/>
      <c r="R90" s="54" t="s">
        <v>1920</v>
      </c>
      <c r="S90" s="53"/>
      <c r="T90" s="54" t="s">
        <v>1920</v>
      </c>
      <c r="U90" s="53"/>
      <c r="V90" s="54" t="s">
        <v>1920</v>
      </c>
      <c r="W90" s="53"/>
      <c r="X90" s="54" t="s">
        <v>1920</v>
      </c>
      <c r="Y90" s="53"/>
      <c r="Z90" s="54"/>
      <c r="AA90" s="53"/>
      <c r="AB90" s="54"/>
      <c r="AC90" s="53"/>
      <c r="AD90" s="54"/>
      <c r="AE90" s="53"/>
      <c r="AF90" s="54"/>
      <c r="AG90" s="53"/>
      <c r="AH90" s="54"/>
      <c r="AI90" s="53"/>
      <c r="AJ90" s="54"/>
      <c r="AK90" s="53"/>
      <c r="AL90" s="54"/>
      <c r="AM90" s="53"/>
      <c r="AN90" s="54"/>
      <c r="AO90" s="53"/>
      <c r="AP90" s="54"/>
      <c r="AQ90" s="53"/>
      <c r="AR90" s="54"/>
      <c r="AS90" s="53"/>
      <c r="AT90" s="54"/>
      <c r="AU90" s="53"/>
      <c r="AV90" s="54"/>
      <c r="AW90" s="53"/>
      <c r="AX90" s="54"/>
      <c r="AY90" s="53"/>
      <c r="AZ90" s="54"/>
      <c r="BA90" s="53"/>
      <c r="BB90" s="51"/>
      <c r="BC90" s="53"/>
      <c r="BD90" s="51"/>
      <c r="BE90" s="53"/>
      <c r="BF90" s="51"/>
      <c r="BG90" s="53"/>
      <c r="BH90" s="51"/>
      <c r="BI90" s="53"/>
      <c r="BJ90" s="51"/>
      <c r="BK90" s="53"/>
      <c r="BL90" s="51"/>
      <c r="BM90" s="53"/>
      <c r="BN90" s="51"/>
      <c r="BO90" s="53"/>
      <c r="BP90" s="51"/>
      <c r="BQ90" s="53"/>
      <c r="BR90" s="55"/>
    </row>
    <row r="91" spans="1:70" ht="28.5" customHeight="1">
      <c r="A91" s="56" t="s">
        <v>1129</v>
      </c>
      <c r="B91" s="51" t="str">
        <f t="shared" si="2"/>
        <v>giftcodesbanner/戰極死遊-bar.jpg</v>
      </c>
      <c r="C91" s="51"/>
      <c r="D91" s="51" t="str">
        <f t="shared" si="3"/>
        <v>https://www.ssbuy.tw/detail_giftcode/dist/giftcodes/戰極死遊.html</v>
      </c>
      <c r="E91" s="91" t="s">
        <v>2186</v>
      </c>
      <c r="F91" s="103" t="s">
        <v>1710</v>
      </c>
      <c r="G91" s="52" t="s">
        <v>1711</v>
      </c>
      <c r="H91" s="52" t="s">
        <v>1840</v>
      </c>
      <c r="I91" s="51"/>
      <c r="J91" s="91"/>
      <c r="K91" s="92" t="s">
        <v>2187</v>
      </c>
      <c r="L91" s="51" t="s">
        <v>3044</v>
      </c>
      <c r="M91" s="53" t="s">
        <v>2188</v>
      </c>
      <c r="N91" s="54" t="s">
        <v>3044</v>
      </c>
      <c r="O91" s="53" t="s">
        <v>3045</v>
      </c>
      <c r="P91" s="54" t="s">
        <v>3044</v>
      </c>
      <c r="Q91" s="53"/>
      <c r="R91" s="54"/>
      <c r="S91" s="53"/>
      <c r="T91" s="54"/>
      <c r="U91" s="53"/>
      <c r="V91" s="54"/>
      <c r="W91" s="53"/>
      <c r="X91" s="54"/>
      <c r="Y91" s="53"/>
      <c r="Z91" s="54"/>
      <c r="AA91" s="53"/>
      <c r="AB91" s="54"/>
      <c r="AC91" s="53"/>
      <c r="AD91" s="54"/>
      <c r="AE91" s="53"/>
      <c r="AF91" s="54"/>
      <c r="AG91" s="53"/>
      <c r="AH91" s="54"/>
      <c r="AI91" s="53"/>
      <c r="AJ91" s="54"/>
      <c r="AK91" s="53"/>
      <c r="AL91" s="54"/>
      <c r="AM91" s="53"/>
      <c r="AN91" s="54"/>
      <c r="AO91" s="53"/>
      <c r="AP91" s="54"/>
      <c r="AQ91" s="53"/>
      <c r="AR91" s="54"/>
      <c r="AS91" s="53"/>
      <c r="AT91" s="54"/>
      <c r="AU91" s="53"/>
      <c r="AV91" s="54"/>
      <c r="AW91" s="53"/>
      <c r="AX91" s="54"/>
      <c r="AY91" s="53"/>
      <c r="AZ91" s="54"/>
      <c r="BA91" s="53"/>
      <c r="BB91" s="51"/>
      <c r="BC91" s="53"/>
      <c r="BD91" s="51"/>
      <c r="BE91" s="53"/>
      <c r="BF91" s="51"/>
      <c r="BG91" s="53"/>
      <c r="BH91" s="51"/>
      <c r="BI91" s="53"/>
      <c r="BJ91" s="51"/>
      <c r="BK91" s="53"/>
      <c r="BL91" s="51"/>
      <c r="BM91" s="53"/>
      <c r="BN91" s="51"/>
      <c r="BO91" s="53"/>
      <c r="BP91" s="51"/>
      <c r="BQ91" s="53"/>
      <c r="BR91" s="55"/>
    </row>
    <row r="92" spans="1:70" ht="28.5" customHeight="1">
      <c r="A92" s="56" t="s">
        <v>1137</v>
      </c>
      <c r="B92" s="51" t="str">
        <f t="shared" si="2"/>
        <v>giftcodesbanner/進擊的蝸牛-bar.jpg</v>
      </c>
      <c r="C92" s="51"/>
      <c r="D92" s="51" t="str">
        <f t="shared" si="3"/>
        <v>https://www.ssbuy.tw/detail_giftcode/dist/giftcodes/進擊的蝸牛.html</v>
      </c>
      <c r="E92" s="91" t="s">
        <v>2189</v>
      </c>
      <c r="F92" s="103" t="s">
        <v>1710</v>
      </c>
      <c r="G92" s="52" t="s">
        <v>1711</v>
      </c>
      <c r="H92" s="52" t="s">
        <v>1840</v>
      </c>
      <c r="I92" s="51"/>
      <c r="J92" s="91"/>
      <c r="K92" s="92" t="s">
        <v>2190</v>
      </c>
      <c r="L92" s="51" t="s">
        <v>3046</v>
      </c>
      <c r="M92" s="53" t="s">
        <v>2191</v>
      </c>
      <c r="N92" s="54" t="s">
        <v>1920</v>
      </c>
      <c r="O92" s="53" t="s">
        <v>3047</v>
      </c>
      <c r="P92" s="54" t="s">
        <v>1920</v>
      </c>
      <c r="Q92" s="53" t="s">
        <v>2192</v>
      </c>
      <c r="R92" s="54" t="s">
        <v>1920</v>
      </c>
      <c r="S92" s="68" t="s">
        <v>2193</v>
      </c>
      <c r="T92" s="54" t="s">
        <v>1920</v>
      </c>
      <c r="U92" s="53" t="s">
        <v>2194</v>
      </c>
      <c r="V92" s="54" t="s">
        <v>1920</v>
      </c>
      <c r="W92" s="53" t="s">
        <v>2195</v>
      </c>
      <c r="X92" s="54" t="s">
        <v>1920</v>
      </c>
      <c r="Y92" s="53" t="s">
        <v>1932</v>
      </c>
      <c r="Z92" s="54" t="s">
        <v>1920</v>
      </c>
      <c r="AA92" s="53" t="s">
        <v>2056</v>
      </c>
      <c r="AB92" s="54" t="s">
        <v>1920</v>
      </c>
      <c r="AC92" s="53" t="s">
        <v>1841</v>
      </c>
      <c r="AD92" s="54" t="s">
        <v>1920</v>
      </c>
      <c r="AE92" s="53" t="s">
        <v>2196</v>
      </c>
      <c r="AF92" s="54" t="s">
        <v>1920</v>
      </c>
      <c r="AG92" s="53" t="s">
        <v>2197</v>
      </c>
      <c r="AH92" s="54" t="s">
        <v>1920</v>
      </c>
      <c r="AI92" s="53" t="s">
        <v>2198</v>
      </c>
      <c r="AJ92" s="54" t="s">
        <v>1920</v>
      </c>
      <c r="AK92" s="53" t="s">
        <v>2400</v>
      </c>
      <c r="AL92" s="54" t="s">
        <v>1920</v>
      </c>
      <c r="AM92" s="53" t="s">
        <v>2199</v>
      </c>
      <c r="AN92" s="54" t="s">
        <v>1920</v>
      </c>
      <c r="AO92" s="53" t="s">
        <v>2200</v>
      </c>
      <c r="AP92" s="54" t="s">
        <v>1920</v>
      </c>
      <c r="AQ92" s="53"/>
      <c r="AR92" s="54"/>
      <c r="AS92" s="53"/>
      <c r="AT92" s="54"/>
      <c r="AU92" s="53"/>
      <c r="AV92" s="54"/>
      <c r="AW92" s="53"/>
      <c r="AX92" s="54"/>
      <c r="AY92" s="53"/>
      <c r="AZ92" s="54"/>
      <c r="BA92" s="53"/>
      <c r="BB92" s="51"/>
      <c r="BC92" s="53"/>
      <c r="BD92" s="51"/>
      <c r="BE92" s="53"/>
      <c r="BF92" s="51"/>
      <c r="BG92" s="53"/>
      <c r="BH92" s="51"/>
      <c r="BI92" s="53"/>
      <c r="BJ92" s="51"/>
      <c r="BK92" s="53"/>
      <c r="BL92" s="51"/>
      <c r="BM92" s="53"/>
      <c r="BN92" s="51"/>
      <c r="BO92" s="53"/>
      <c r="BP92" s="51"/>
      <c r="BQ92" s="53"/>
      <c r="BR92" s="55"/>
    </row>
    <row r="93" spans="1:70" ht="28.5" customHeight="1">
      <c r="A93" s="56" t="s">
        <v>1145</v>
      </c>
      <c r="B93" s="51" t="str">
        <f t="shared" si="2"/>
        <v>giftcodesbanner/純白大作戰-bar.jpg</v>
      </c>
      <c r="C93" s="51"/>
      <c r="D93" s="51" t="str">
        <f t="shared" si="3"/>
        <v>https://www.ssbuy.tw/detail_giftcode/dist/giftcodes/純白大作戰.html</v>
      </c>
      <c r="E93" s="91" t="s">
        <v>2201</v>
      </c>
      <c r="F93" s="103" t="s">
        <v>1710</v>
      </c>
      <c r="G93" s="52" t="s">
        <v>1711</v>
      </c>
      <c r="H93" s="52" t="s">
        <v>1840</v>
      </c>
      <c r="I93" s="51"/>
      <c r="J93" s="91"/>
      <c r="K93" s="92" t="s">
        <v>1932</v>
      </c>
      <c r="L93" s="51" t="s">
        <v>2202</v>
      </c>
      <c r="M93" s="53" t="s">
        <v>2056</v>
      </c>
      <c r="N93" s="54" t="s">
        <v>3048</v>
      </c>
      <c r="O93" s="53" t="s">
        <v>1841</v>
      </c>
      <c r="P93" s="54" t="s">
        <v>2203</v>
      </c>
      <c r="Q93" s="53" t="s">
        <v>3049</v>
      </c>
      <c r="R93" s="54" t="s">
        <v>3050</v>
      </c>
      <c r="S93" s="53" t="s">
        <v>3051</v>
      </c>
      <c r="T93" s="54" t="s">
        <v>2204</v>
      </c>
      <c r="U93" s="53" t="s">
        <v>3052</v>
      </c>
      <c r="V93" s="54" t="s">
        <v>2205</v>
      </c>
      <c r="W93" s="53"/>
      <c r="X93" s="54" t="s">
        <v>1920</v>
      </c>
      <c r="Y93" s="53"/>
      <c r="Z93" s="54"/>
      <c r="AA93" s="53"/>
      <c r="AB93" s="54"/>
      <c r="AC93" s="53"/>
      <c r="AD93" s="54"/>
      <c r="AE93" s="53"/>
      <c r="AF93" s="54"/>
      <c r="AG93" s="53"/>
      <c r="AH93" s="54"/>
      <c r="AI93" s="53"/>
      <c r="AJ93" s="54"/>
      <c r="AK93" s="53"/>
      <c r="AL93" s="54"/>
      <c r="AM93" s="53"/>
      <c r="AN93" s="54"/>
      <c r="AO93" s="53"/>
      <c r="AP93" s="54"/>
      <c r="AQ93" s="53"/>
      <c r="AR93" s="54"/>
      <c r="AS93" s="53"/>
      <c r="AT93" s="54"/>
      <c r="AU93" s="53"/>
      <c r="AV93" s="54"/>
      <c r="AW93" s="53"/>
      <c r="AX93" s="54"/>
      <c r="AY93" s="53"/>
      <c r="AZ93" s="54"/>
      <c r="BA93" s="53"/>
      <c r="BB93" s="51"/>
      <c r="BC93" s="53"/>
      <c r="BD93" s="51"/>
      <c r="BE93" s="53"/>
      <c r="BF93" s="51"/>
      <c r="BG93" s="53"/>
      <c r="BH93" s="51"/>
      <c r="BI93" s="53"/>
      <c r="BJ93" s="51"/>
      <c r="BK93" s="53"/>
      <c r="BL93" s="51"/>
      <c r="BM93" s="53"/>
      <c r="BN93" s="51"/>
      <c r="BO93" s="53"/>
      <c r="BP93" s="51"/>
      <c r="BQ93" s="53"/>
      <c r="BR93" s="55"/>
    </row>
    <row r="94" spans="1:70" ht="28.5" customHeight="1">
      <c r="A94" s="56" t="s">
        <v>1153</v>
      </c>
      <c r="B94" s="51" t="str">
        <f t="shared" si="2"/>
        <v>giftcodesbanner/黑星勇者-bar.jpg</v>
      </c>
      <c r="C94" s="51"/>
      <c r="D94" s="51" t="str">
        <f t="shared" si="3"/>
        <v>https://www.ssbuy.tw/detail_giftcode/dist/giftcodes/黑星勇者.html</v>
      </c>
      <c r="E94" s="91" t="s">
        <v>2206</v>
      </c>
      <c r="F94" s="103" t="s">
        <v>1710</v>
      </c>
      <c r="G94" s="52" t="s">
        <v>1711</v>
      </c>
      <c r="H94" s="52" t="s">
        <v>1840</v>
      </c>
      <c r="I94" s="51"/>
      <c r="J94" s="91"/>
      <c r="K94" s="92" t="s">
        <v>3053</v>
      </c>
      <c r="L94" s="51" t="s">
        <v>2208</v>
      </c>
      <c r="M94" s="53" t="s">
        <v>2207</v>
      </c>
      <c r="N94" s="54" t="s">
        <v>2208</v>
      </c>
      <c r="O94" s="53"/>
      <c r="P94" s="54"/>
      <c r="Q94" s="53"/>
      <c r="R94" s="54"/>
      <c r="S94" s="53"/>
      <c r="T94" s="54"/>
      <c r="U94" s="53"/>
      <c r="V94" s="54"/>
      <c r="W94" s="53"/>
      <c r="X94" s="54"/>
      <c r="Y94" s="53"/>
      <c r="Z94" s="54"/>
      <c r="AA94" s="53"/>
      <c r="AB94" s="54"/>
      <c r="AC94" s="53"/>
      <c r="AD94" s="54"/>
      <c r="AE94" s="53"/>
      <c r="AF94" s="54"/>
      <c r="AG94" s="53"/>
      <c r="AH94" s="54"/>
      <c r="AI94" s="53"/>
      <c r="AJ94" s="54"/>
      <c r="AK94" s="53"/>
      <c r="AL94" s="54"/>
      <c r="AM94" s="53"/>
      <c r="AN94" s="54"/>
      <c r="AO94" s="53"/>
      <c r="AP94" s="54"/>
      <c r="AQ94" s="53"/>
      <c r="AR94" s="54"/>
      <c r="AS94" s="53"/>
      <c r="AT94" s="54"/>
      <c r="AU94" s="53"/>
      <c r="AV94" s="54"/>
      <c r="AW94" s="53"/>
      <c r="AX94" s="54"/>
      <c r="AY94" s="53"/>
      <c r="AZ94" s="54"/>
      <c r="BA94" s="53"/>
      <c r="BB94" s="51"/>
      <c r="BC94" s="53"/>
      <c r="BD94" s="51"/>
      <c r="BE94" s="53"/>
      <c r="BF94" s="51"/>
      <c r="BG94" s="53"/>
      <c r="BH94" s="51"/>
      <c r="BI94" s="53"/>
      <c r="BJ94" s="51"/>
      <c r="BK94" s="53"/>
      <c r="BL94" s="51"/>
      <c r="BM94" s="53"/>
      <c r="BN94" s="51"/>
      <c r="BO94" s="53"/>
      <c r="BP94" s="51"/>
      <c r="BQ94" s="53"/>
      <c r="BR94" s="55"/>
    </row>
    <row r="95" spans="1:70" ht="28.5" customHeight="1">
      <c r="A95" s="56" t="s">
        <v>2209</v>
      </c>
      <c r="B95" s="51" t="str">
        <f t="shared" si="2"/>
        <v>giftcodesbanner/龍之谷：經典再現-bar.jpg</v>
      </c>
      <c r="C95" s="51"/>
      <c r="D95" s="51" t="str">
        <f t="shared" si="3"/>
        <v>https://www.ssbuy.tw/detail_giftcode/dist/giftcodes/龍之谷：經典再現.html</v>
      </c>
      <c r="E95" s="91" t="s">
        <v>2210</v>
      </c>
      <c r="F95" s="103" t="s">
        <v>1710</v>
      </c>
      <c r="G95" s="52" t="s">
        <v>1711</v>
      </c>
      <c r="H95" s="52" t="s">
        <v>1840</v>
      </c>
      <c r="I95" s="51"/>
      <c r="J95" s="91"/>
      <c r="K95" s="92" t="s">
        <v>2211</v>
      </c>
      <c r="L95" s="51" t="s">
        <v>1920</v>
      </c>
      <c r="M95" s="53" t="s">
        <v>3054</v>
      </c>
      <c r="N95" s="54" t="s">
        <v>1920</v>
      </c>
      <c r="O95" s="53" t="s">
        <v>3055</v>
      </c>
      <c r="P95" s="54" t="s">
        <v>1920</v>
      </c>
      <c r="Q95" s="53" t="s">
        <v>3056</v>
      </c>
      <c r="R95" s="54" t="s">
        <v>1920</v>
      </c>
      <c r="S95" s="53" t="s">
        <v>3057</v>
      </c>
      <c r="T95" s="54" t="s">
        <v>1920</v>
      </c>
      <c r="U95" s="53"/>
      <c r="V95" s="54" t="s">
        <v>1920</v>
      </c>
      <c r="W95" s="53"/>
      <c r="X95" s="54" t="s">
        <v>1920</v>
      </c>
      <c r="Y95" s="53"/>
      <c r="Z95" s="54"/>
      <c r="AA95" s="53"/>
      <c r="AB95" s="54"/>
      <c r="AC95" s="53"/>
      <c r="AD95" s="54"/>
      <c r="AE95" s="53"/>
      <c r="AF95" s="54"/>
      <c r="AG95" s="53"/>
      <c r="AH95" s="54"/>
      <c r="AI95" s="53"/>
      <c r="AJ95" s="54"/>
      <c r="AK95" s="53"/>
      <c r="AL95" s="54"/>
      <c r="AM95" s="53"/>
      <c r="AN95" s="54"/>
      <c r="AO95" s="53"/>
      <c r="AP95" s="54"/>
      <c r="AQ95" s="53"/>
      <c r="AR95" s="54"/>
      <c r="AS95" s="53"/>
      <c r="AT95" s="54"/>
      <c r="AU95" s="53"/>
      <c r="AV95" s="54"/>
      <c r="AW95" s="53"/>
      <c r="AX95" s="54"/>
      <c r="AY95" s="53"/>
      <c r="AZ95" s="54"/>
      <c r="BA95" s="53"/>
      <c r="BB95" s="51"/>
      <c r="BC95" s="53"/>
      <c r="BD95" s="51"/>
      <c r="BE95" s="53"/>
      <c r="BF95" s="51"/>
      <c r="BG95" s="53"/>
      <c r="BH95" s="51"/>
      <c r="BI95" s="53"/>
      <c r="BJ95" s="51"/>
      <c r="BK95" s="53"/>
      <c r="BL95" s="51"/>
      <c r="BM95" s="53"/>
      <c r="BN95" s="51"/>
      <c r="BO95" s="53"/>
      <c r="BP95" s="51"/>
      <c r="BQ95" s="53"/>
      <c r="BR95" s="55"/>
    </row>
    <row r="96" spans="1:70" ht="28.5" customHeight="1">
      <c r="A96" s="56" t="s">
        <v>1170</v>
      </c>
      <c r="B96" s="51" t="str">
        <f t="shared" si="2"/>
        <v>giftcodesbanner/楓之谷Artale-bar.jpg</v>
      </c>
      <c r="C96" s="51"/>
      <c r="D96" s="51" t="str">
        <f t="shared" si="3"/>
        <v>https://www.ssbuy.tw/detail_giftcode/dist/giftcodes/楓之谷Artale.html</v>
      </c>
      <c r="E96" s="91" t="s">
        <v>3058</v>
      </c>
      <c r="F96" s="103" t="s">
        <v>1710</v>
      </c>
      <c r="G96" s="52" t="s">
        <v>1711</v>
      </c>
      <c r="H96" s="52" t="s">
        <v>1840</v>
      </c>
      <c r="I96" s="51"/>
      <c r="J96" s="91"/>
      <c r="K96" s="92"/>
      <c r="L96" s="51" t="s">
        <v>1920</v>
      </c>
      <c r="M96" s="53"/>
      <c r="N96" s="54" t="s">
        <v>1920</v>
      </c>
      <c r="O96" s="53"/>
      <c r="P96" s="54" t="s">
        <v>1920</v>
      </c>
      <c r="Q96" s="53"/>
      <c r="R96" s="54" t="s">
        <v>1920</v>
      </c>
      <c r="S96" s="53"/>
      <c r="T96" s="54" t="s">
        <v>1920</v>
      </c>
      <c r="U96" s="53"/>
      <c r="V96" s="54" t="s">
        <v>1920</v>
      </c>
      <c r="W96" s="53"/>
      <c r="X96" s="54" t="s">
        <v>1920</v>
      </c>
      <c r="Y96" s="53"/>
      <c r="Z96" s="54"/>
      <c r="AA96" s="53"/>
      <c r="AB96" s="54"/>
      <c r="AC96" s="53"/>
      <c r="AD96" s="54"/>
      <c r="AE96" s="53"/>
      <c r="AF96" s="54"/>
      <c r="AG96" s="53"/>
      <c r="AH96" s="54"/>
      <c r="AI96" s="53"/>
      <c r="AJ96" s="54"/>
      <c r="AK96" s="53"/>
      <c r="AL96" s="54"/>
      <c r="AM96" s="53"/>
      <c r="AN96" s="54"/>
      <c r="AO96" s="53"/>
      <c r="AP96" s="54"/>
      <c r="AQ96" s="53"/>
      <c r="AR96" s="54"/>
      <c r="AS96" s="53"/>
      <c r="AT96" s="54"/>
      <c r="AU96" s="53"/>
      <c r="AV96" s="54"/>
      <c r="AW96" s="53"/>
      <c r="AX96" s="54"/>
      <c r="AY96" s="53"/>
      <c r="AZ96" s="54"/>
      <c r="BA96" s="53"/>
      <c r="BB96" s="51"/>
      <c r="BC96" s="53"/>
      <c r="BD96" s="51"/>
      <c r="BE96" s="53"/>
      <c r="BF96" s="51"/>
      <c r="BG96" s="53"/>
      <c r="BH96" s="51"/>
      <c r="BI96" s="53"/>
      <c r="BJ96" s="51"/>
      <c r="BK96" s="53"/>
      <c r="BL96" s="51"/>
      <c r="BM96" s="53"/>
      <c r="BN96" s="51"/>
      <c r="BO96" s="53"/>
      <c r="BP96" s="51"/>
      <c r="BQ96" s="53"/>
      <c r="BR96" s="55"/>
    </row>
    <row r="97" spans="1:70" ht="28.5" customHeight="1">
      <c r="A97" s="56" t="s">
        <v>2212</v>
      </c>
      <c r="B97" s="51" t="str">
        <f t="shared" si="2"/>
        <v>giftcodesbanner/出發吧麥芬-bar.jpg</v>
      </c>
      <c r="C97" s="51"/>
      <c r="D97" s="51" t="str">
        <f t="shared" si="3"/>
        <v>https://www.ssbuy.tw/detail_giftcode/dist/giftcodes/出發吧麥芬.html</v>
      </c>
      <c r="E97" s="91" t="s">
        <v>3059</v>
      </c>
      <c r="F97" s="103" t="s">
        <v>1710</v>
      </c>
      <c r="G97" s="52" t="s">
        <v>1711</v>
      </c>
      <c r="H97" s="52" t="s">
        <v>1840</v>
      </c>
      <c r="I97" s="51"/>
      <c r="J97" s="91"/>
      <c r="K97" s="92" t="s">
        <v>2213</v>
      </c>
      <c r="L97" s="51" t="s">
        <v>2214</v>
      </c>
      <c r="M97" s="53"/>
      <c r="N97" s="54"/>
      <c r="O97" s="53"/>
      <c r="P97" s="54"/>
      <c r="Q97" s="53"/>
      <c r="R97" s="54"/>
      <c r="S97" s="53"/>
      <c r="T97" s="54"/>
      <c r="U97" s="53"/>
      <c r="V97" s="54"/>
      <c r="W97" s="53"/>
      <c r="X97" s="54"/>
      <c r="Y97" s="53"/>
      <c r="Z97" s="54"/>
      <c r="AA97" s="53"/>
      <c r="AB97" s="54"/>
      <c r="AC97" s="53"/>
      <c r="AD97" s="54"/>
      <c r="AE97" s="53"/>
      <c r="AF97" s="54"/>
      <c r="AG97" s="53"/>
      <c r="AH97" s="54"/>
      <c r="AI97" s="53"/>
      <c r="AJ97" s="54"/>
      <c r="AK97" s="53"/>
      <c r="AL97" s="54"/>
      <c r="AM97" s="53"/>
      <c r="AN97" s="54"/>
      <c r="AO97" s="53"/>
      <c r="AP97" s="54"/>
      <c r="AQ97" s="53"/>
      <c r="AR97" s="54"/>
      <c r="AS97" s="53"/>
      <c r="AT97" s="54"/>
      <c r="AU97" s="53"/>
      <c r="AV97" s="54"/>
      <c r="AW97" s="53"/>
      <c r="AX97" s="54"/>
      <c r="AY97" s="53"/>
      <c r="AZ97" s="54"/>
      <c r="BA97" s="53"/>
      <c r="BB97" s="51"/>
      <c r="BC97" s="53"/>
      <c r="BD97" s="51"/>
      <c r="BE97" s="53"/>
      <c r="BF97" s="51"/>
      <c r="BG97" s="53"/>
      <c r="BH97" s="51"/>
      <c r="BI97" s="53"/>
      <c r="BJ97" s="51"/>
      <c r="BK97" s="53"/>
      <c r="BL97" s="51"/>
      <c r="BM97" s="53"/>
      <c r="BN97" s="51"/>
      <c r="BO97" s="53"/>
      <c r="BP97" s="51"/>
      <c r="BQ97" s="53"/>
      <c r="BR97" s="55"/>
    </row>
    <row r="98" spans="1:70" ht="28.5" customHeight="1">
      <c r="A98" s="56" t="s">
        <v>1181</v>
      </c>
      <c r="B98" s="51" t="str">
        <f t="shared" si="2"/>
        <v>giftcodesbanner/RO仙境傳說：守護永恆的愛 Classic-bar.jpg</v>
      </c>
      <c r="C98" s="51"/>
      <c r="D98" s="51" t="str">
        <f t="shared" si="3"/>
        <v>https://www.ssbuy.tw/detail_giftcode/dist/giftcodes/RO仙境傳說：守護永恆的愛 Classic.html</v>
      </c>
      <c r="E98" s="91" t="s">
        <v>2215</v>
      </c>
      <c r="F98" s="103" t="s">
        <v>1710</v>
      </c>
      <c r="G98" s="52" t="s">
        <v>1711</v>
      </c>
      <c r="H98" s="52" t="s">
        <v>1840</v>
      </c>
      <c r="I98" s="51"/>
      <c r="J98" s="91"/>
      <c r="K98" s="92" t="s">
        <v>2216</v>
      </c>
      <c r="L98" s="51" t="s">
        <v>1920</v>
      </c>
      <c r="M98" s="53" t="s">
        <v>3060</v>
      </c>
      <c r="N98" s="54" t="s">
        <v>1920</v>
      </c>
      <c r="O98" s="53" t="s">
        <v>3061</v>
      </c>
      <c r="P98" s="54" t="s">
        <v>1920</v>
      </c>
      <c r="Q98" s="53" t="s">
        <v>3062</v>
      </c>
      <c r="R98" s="54" t="s">
        <v>1920</v>
      </c>
      <c r="S98" s="53" t="s">
        <v>2217</v>
      </c>
      <c r="T98" s="54" t="s">
        <v>1920</v>
      </c>
      <c r="U98" s="53" t="s">
        <v>3063</v>
      </c>
      <c r="V98" s="54" t="s">
        <v>1920</v>
      </c>
      <c r="W98" s="53" t="s">
        <v>3064</v>
      </c>
      <c r="X98" s="54" t="s">
        <v>1920</v>
      </c>
      <c r="Y98" s="53" t="s">
        <v>3065</v>
      </c>
      <c r="Z98" s="54" t="s">
        <v>1920</v>
      </c>
      <c r="AA98" s="53" t="s">
        <v>3066</v>
      </c>
      <c r="AB98" s="54" t="s">
        <v>1920</v>
      </c>
      <c r="AC98" s="53" t="s">
        <v>3067</v>
      </c>
      <c r="AD98" s="54" t="s">
        <v>1920</v>
      </c>
      <c r="AE98" s="53" t="s">
        <v>3068</v>
      </c>
      <c r="AF98" s="54" t="s">
        <v>1920</v>
      </c>
      <c r="AG98" s="53" t="s">
        <v>3069</v>
      </c>
      <c r="AH98" s="54" t="s">
        <v>1920</v>
      </c>
      <c r="AI98" s="53" t="s">
        <v>3070</v>
      </c>
      <c r="AJ98" s="54" t="s">
        <v>1920</v>
      </c>
      <c r="AK98" s="53" t="s">
        <v>2218</v>
      </c>
      <c r="AL98" s="54" t="s">
        <v>1920</v>
      </c>
      <c r="AM98" s="53" t="s">
        <v>3071</v>
      </c>
      <c r="AN98" s="54" t="s">
        <v>1920</v>
      </c>
      <c r="AO98" s="53" t="s">
        <v>3072</v>
      </c>
      <c r="AP98" s="54" t="s">
        <v>1920</v>
      </c>
      <c r="AQ98" s="53" t="s">
        <v>3073</v>
      </c>
      <c r="AR98" s="54" t="s">
        <v>1920</v>
      </c>
      <c r="AS98" s="53" t="s">
        <v>3074</v>
      </c>
      <c r="AT98" s="54" t="s">
        <v>1920</v>
      </c>
      <c r="AU98" s="53" t="s">
        <v>3075</v>
      </c>
      <c r="AV98" s="54" t="s">
        <v>1920</v>
      </c>
      <c r="AW98" s="53"/>
      <c r="AX98" s="54"/>
      <c r="AY98" s="53"/>
      <c r="AZ98" s="54"/>
      <c r="BA98" s="53"/>
      <c r="BB98" s="51"/>
      <c r="BC98" s="53"/>
      <c r="BD98" s="51"/>
      <c r="BE98" s="53"/>
      <c r="BF98" s="51"/>
      <c r="BG98" s="53"/>
      <c r="BH98" s="51"/>
      <c r="BI98" s="53"/>
      <c r="BJ98" s="51"/>
      <c r="BK98" s="53"/>
      <c r="BL98" s="51"/>
      <c r="BM98" s="53"/>
      <c r="BN98" s="51"/>
      <c r="BO98" s="53"/>
      <c r="BP98" s="51"/>
      <c r="BQ98" s="53"/>
      <c r="BR98" s="55"/>
    </row>
    <row r="99" spans="1:70" ht="28.5" customHeight="1">
      <c r="A99" s="56" t="s">
        <v>2219</v>
      </c>
      <c r="B99" s="51" t="str">
        <f t="shared" si="2"/>
        <v>giftcodesbanner/魔力寶貝：復興-bar.jpg</v>
      </c>
      <c r="C99" s="51"/>
      <c r="D99" s="51" t="str">
        <f t="shared" si="3"/>
        <v>https://www.ssbuy.tw/detail_giftcode/dist/giftcodes/魔力寶貝：復興.html</v>
      </c>
      <c r="E99" s="91" t="s">
        <v>3076</v>
      </c>
      <c r="F99" s="103" t="s">
        <v>1710</v>
      </c>
      <c r="G99" s="52" t="s">
        <v>1711</v>
      </c>
      <c r="H99" s="52" t="s">
        <v>1840</v>
      </c>
      <c r="I99" s="51"/>
      <c r="J99" s="91"/>
      <c r="K99" s="92" t="s">
        <v>3077</v>
      </c>
      <c r="L99" s="51" t="s">
        <v>2220</v>
      </c>
      <c r="M99" s="53" t="s">
        <v>1932</v>
      </c>
      <c r="N99" s="54" t="s">
        <v>2221</v>
      </c>
      <c r="O99" s="53" t="s">
        <v>2056</v>
      </c>
      <c r="P99" s="54" t="s">
        <v>3078</v>
      </c>
      <c r="Q99" s="53" t="s">
        <v>1841</v>
      </c>
      <c r="R99" s="54" t="s">
        <v>3079</v>
      </c>
      <c r="S99" s="53" t="s">
        <v>1933</v>
      </c>
      <c r="T99" s="54" t="s">
        <v>2222</v>
      </c>
      <c r="U99" s="53" t="s">
        <v>3080</v>
      </c>
      <c r="V99" s="54" t="s">
        <v>3081</v>
      </c>
      <c r="W99" s="53" t="s">
        <v>2223</v>
      </c>
      <c r="X99" s="54" t="s">
        <v>3082</v>
      </c>
      <c r="Y99" s="53" t="s">
        <v>2224</v>
      </c>
      <c r="Z99" s="54" t="s">
        <v>3083</v>
      </c>
      <c r="AA99" s="53"/>
      <c r="AB99" s="54"/>
      <c r="AC99" s="53"/>
      <c r="AD99" s="54"/>
      <c r="AE99" s="53"/>
      <c r="AF99" s="54"/>
      <c r="AG99" s="53"/>
      <c r="AH99" s="54"/>
      <c r="AI99" s="53"/>
      <c r="AJ99" s="54"/>
      <c r="AK99" s="53"/>
      <c r="AL99" s="54"/>
      <c r="AM99" s="53"/>
      <c r="AN99" s="54"/>
      <c r="AO99" s="53"/>
      <c r="AP99" s="54"/>
      <c r="AQ99" s="53"/>
      <c r="AR99" s="54"/>
      <c r="AS99" s="53"/>
      <c r="AT99" s="54"/>
      <c r="AU99" s="53"/>
      <c r="AV99" s="54"/>
      <c r="AW99" s="53"/>
      <c r="AX99" s="54"/>
      <c r="AY99" s="53"/>
      <c r="AZ99" s="54"/>
      <c r="BA99" s="53"/>
      <c r="BB99" s="51"/>
      <c r="BC99" s="53"/>
      <c r="BD99" s="51"/>
      <c r="BE99" s="53"/>
      <c r="BF99" s="51"/>
      <c r="BG99" s="53"/>
      <c r="BH99" s="51"/>
      <c r="BI99" s="53"/>
      <c r="BJ99" s="51"/>
      <c r="BK99" s="53"/>
      <c r="BL99" s="51"/>
      <c r="BM99" s="53"/>
      <c r="BN99" s="51"/>
      <c r="BO99" s="53"/>
      <c r="BP99" s="51"/>
      <c r="BQ99" s="53"/>
      <c r="BR99" s="55"/>
    </row>
    <row r="100" spans="1:70" ht="28.5" customHeight="1">
      <c r="A100" s="56" t="s">
        <v>2225</v>
      </c>
      <c r="B100" s="51" t="str">
        <f t="shared" si="2"/>
        <v>giftcodesbanner/東京喰種Awakening-bar.jpg</v>
      </c>
      <c r="C100" s="51"/>
      <c r="D100" s="51" t="str">
        <f t="shared" si="3"/>
        <v>https://www.ssbuy.tw/detail_giftcode/dist/giftcodes/東京喰種Awakening.html</v>
      </c>
      <c r="E100" s="91" t="s">
        <v>2226</v>
      </c>
      <c r="F100" s="103" t="s">
        <v>1710</v>
      </c>
      <c r="G100" s="52" t="s">
        <v>1711</v>
      </c>
      <c r="H100" s="52" t="s">
        <v>1840</v>
      </c>
      <c r="I100" s="51"/>
      <c r="J100" s="91"/>
      <c r="K100" s="92" t="s">
        <v>2227</v>
      </c>
      <c r="L100" s="51" t="s">
        <v>2228</v>
      </c>
      <c r="M100" s="53" t="s">
        <v>2229</v>
      </c>
      <c r="N100" s="54" t="s">
        <v>2230</v>
      </c>
      <c r="O100" s="53" t="s">
        <v>3084</v>
      </c>
      <c r="P100" s="54" t="s">
        <v>3085</v>
      </c>
      <c r="Q100" s="53" t="s">
        <v>3086</v>
      </c>
      <c r="R100" s="54" t="s">
        <v>3087</v>
      </c>
      <c r="S100" s="53" t="s">
        <v>2231</v>
      </c>
      <c r="T100" s="54" t="s">
        <v>3088</v>
      </c>
      <c r="U100" s="53" t="s">
        <v>3089</v>
      </c>
      <c r="V100" s="54" t="s">
        <v>2232</v>
      </c>
      <c r="W100" s="53" t="s">
        <v>2233</v>
      </c>
      <c r="X100" s="54" t="s">
        <v>3090</v>
      </c>
      <c r="Y100" s="53" t="s">
        <v>3091</v>
      </c>
      <c r="Z100" s="54" t="s">
        <v>3092</v>
      </c>
      <c r="AA100" s="53" t="s">
        <v>2234</v>
      </c>
      <c r="AB100" s="54" t="s">
        <v>3093</v>
      </c>
      <c r="AC100" s="53" t="s">
        <v>2235</v>
      </c>
      <c r="AD100" s="54" t="s">
        <v>3094</v>
      </c>
      <c r="AE100" s="53" t="s">
        <v>3095</v>
      </c>
      <c r="AF100" s="54" t="s">
        <v>2236</v>
      </c>
      <c r="AG100" s="53" t="s">
        <v>2237</v>
      </c>
      <c r="AH100" s="54" t="s">
        <v>2238</v>
      </c>
      <c r="AI100" s="53" t="s">
        <v>2239</v>
      </c>
      <c r="AJ100" s="54" t="s">
        <v>2240</v>
      </c>
      <c r="AK100" s="53"/>
      <c r="AL100" s="54"/>
      <c r="AM100" s="53"/>
      <c r="AN100" s="54"/>
      <c r="AO100" s="53"/>
      <c r="AP100" s="54"/>
      <c r="AQ100" s="53"/>
      <c r="AR100" s="54"/>
      <c r="AS100" s="53"/>
      <c r="AT100" s="54"/>
      <c r="AU100" s="53"/>
      <c r="AV100" s="54"/>
      <c r="AW100" s="53"/>
      <c r="AX100" s="54"/>
      <c r="AY100" s="53"/>
      <c r="AZ100" s="54"/>
      <c r="BA100" s="53"/>
      <c r="BB100" s="51"/>
      <c r="BC100" s="53"/>
      <c r="BD100" s="51"/>
      <c r="BE100" s="53"/>
      <c r="BF100" s="51"/>
      <c r="BG100" s="53"/>
      <c r="BH100" s="51"/>
      <c r="BI100" s="53"/>
      <c r="BJ100" s="51"/>
      <c r="BK100" s="53"/>
      <c r="BL100" s="51"/>
      <c r="BM100" s="53"/>
      <c r="BN100" s="51"/>
      <c r="BO100" s="53"/>
      <c r="BP100" s="51"/>
      <c r="BQ100" s="53"/>
      <c r="BR100" s="55"/>
    </row>
    <row r="101" spans="1:70" ht="28.5" customHeight="1">
      <c r="A101" s="56" t="s">
        <v>1207</v>
      </c>
      <c r="B101" s="51" t="str">
        <f t="shared" si="2"/>
        <v>giftcodesbanner/晶核-bar.jpg</v>
      </c>
      <c r="C101" s="51"/>
      <c r="D101" s="51" t="str">
        <f t="shared" si="3"/>
        <v>https://www.ssbuy.tw/detail_giftcode/dist/giftcodes/晶核.html</v>
      </c>
      <c r="E101" s="91" t="s">
        <v>2241</v>
      </c>
      <c r="F101" s="103" t="s">
        <v>1710</v>
      </c>
      <c r="G101" s="52" t="s">
        <v>1711</v>
      </c>
      <c r="H101" s="52" t="s">
        <v>1840</v>
      </c>
      <c r="I101" s="51"/>
      <c r="J101" s="91"/>
      <c r="K101" s="92" t="s">
        <v>2242</v>
      </c>
      <c r="L101" s="51" t="s">
        <v>1920</v>
      </c>
      <c r="M101" s="53" t="s">
        <v>3096</v>
      </c>
      <c r="N101" s="54" t="s">
        <v>1920</v>
      </c>
      <c r="O101" s="53" t="s">
        <v>2243</v>
      </c>
      <c r="P101" s="54" t="s">
        <v>1920</v>
      </c>
      <c r="Q101" s="53" t="s">
        <v>3097</v>
      </c>
      <c r="R101" s="54" t="s">
        <v>1920</v>
      </c>
      <c r="S101" s="53" t="s">
        <v>3098</v>
      </c>
      <c r="T101" s="54" t="s">
        <v>1920</v>
      </c>
      <c r="U101" s="53" t="s">
        <v>2244</v>
      </c>
      <c r="V101" s="54" t="s">
        <v>1920</v>
      </c>
      <c r="W101" s="53" t="s">
        <v>2245</v>
      </c>
      <c r="X101" s="54" t="s">
        <v>1920</v>
      </c>
      <c r="Y101" s="53" t="s">
        <v>2246</v>
      </c>
      <c r="Z101" s="54" t="s">
        <v>1920</v>
      </c>
      <c r="AA101" s="53" t="s">
        <v>3099</v>
      </c>
      <c r="AB101" s="54" t="s">
        <v>1920</v>
      </c>
      <c r="AC101" s="53" t="s">
        <v>3100</v>
      </c>
      <c r="AD101" s="54" t="s">
        <v>1920</v>
      </c>
      <c r="AE101" s="53" t="s">
        <v>3101</v>
      </c>
      <c r="AF101" s="54" t="s">
        <v>1920</v>
      </c>
      <c r="AG101" s="53"/>
      <c r="AH101" s="54"/>
      <c r="AI101" s="53"/>
      <c r="AJ101" s="54"/>
      <c r="AK101" s="53"/>
      <c r="AL101" s="54"/>
      <c r="AM101" s="53"/>
      <c r="AN101" s="54"/>
      <c r="AO101" s="53"/>
      <c r="AP101" s="54"/>
      <c r="AQ101" s="53"/>
      <c r="AR101" s="54"/>
      <c r="AS101" s="53"/>
      <c r="AT101" s="54"/>
      <c r="AU101" s="53"/>
      <c r="AV101" s="54"/>
      <c r="AW101" s="53"/>
      <c r="AX101" s="54"/>
      <c r="AY101" s="53"/>
      <c r="AZ101" s="54"/>
      <c r="BA101" s="53"/>
      <c r="BB101" s="51"/>
      <c r="BC101" s="53"/>
      <c r="BD101" s="51"/>
      <c r="BE101" s="53"/>
      <c r="BF101" s="51"/>
      <c r="BG101" s="53"/>
      <c r="BH101" s="51"/>
      <c r="BI101" s="53"/>
      <c r="BJ101" s="51"/>
      <c r="BK101" s="53"/>
      <c r="BL101" s="51"/>
      <c r="BM101" s="53"/>
      <c r="BN101" s="51"/>
      <c r="BO101" s="53"/>
      <c r="BP101" s="51"/>
      <c r="BQ101" s="53"/>
      <c r="BR101" s="55"/>
    </row>
    <row r="102" spans="1:70" ht="28.5" customHeight="1">
      <c r="A102" s="56" t="s">
        <v>1216</v>
      </c>
      <c r="B102" s="51" t="str">
        <f t="shared" si="2"/>
        <v>giftcodesbanner/無盡夢迴-bar.jpg</v>
      </c>
      <c r="C102" s="51"/>
      <c r="D102" s="51" t="str">
        <f t="shared" si="3"/>
        <v>https://www.ssbuy.tw/detail_giftcode/dist/giftcodes/無盡夢迴.html</v>
      </c>
      <c r="E102" s="91" t="s">
        <v>3102</v>
      </c>
      <c r="F102" s="103" t="s">
        <v>1710</v>
      </c>
      <c r="G102" s="52" t="s">
        <v>1711</v>
      </c>
      <c r="H102" s="52" t="s">
        <v>1840</v>
      </c>
      <c r="I102" s="51"/>
      <c r="J102" s="91"/>
      <c r="K102" s="92" t="s">
        <v>2147</v>
      </c>
      <c r="L102" s="51" t="s">
        <v>3103</v>
      </c>
      <c r="M102" s="53" t="s">
        <v>2146</v>
      </c>
      <c r="N102" s="54" t="s">
        <v>2247</v>
      </c>
      <c r="O102" s="53" t="s">
        <v>3104</v>
      </c>
      <c r="P102" s="54" t="s">
        <v>3105</v>
      </c>
      <c r="Q102" s="53" t="s">
        <v>2248</v>
      </c>
      <c r="R102" s="54" t="s">
        <v>2249</v>
      </c>
      <c r="S102" s="53" t="s">
        <v>3106</v>
      </c>
      <c r="T102" s="54" t="s">
        <v>3105</v>
      </c>
      <c r="U102" s="53" t="s">
        <v>2250</v>
      </c>
      <c r="V102" s="54" t="s">
        <v>3107</v>
      </c>
      <c r="W102" s="53"/>
      <c r="X102" s="54"/>
      <c r="Y102" s="53"/>
      <c r="Z102" s="54"/>
      <c r="AA102" s="53"/>
      <c r="AB102" s="54"/>
      <c r="AC102" s="53"/>
      <c r="AD102" s="54"/>
      <c r="AE102" s="53"/>
      <c r="AF102" s="54"/>
      <c r="AG102" s="53"/>
      <c r="AH102" s="54"/>
      <c r="AI102" s="53"/>
      <c r="AJ102" s="54"/>
      <c r="AK102" s="53"/>
      <c r="AL102" s="54"/>
      <c r="AM102" s="53"/>
      <c r="AN102" s="54"/>
      <c r="AO102" s="53"/>
      <c r="AP102" s="54"/>
      <c r="AQ102" s="53"/>
      <c r="AR102" s="54"/>
      <c r="AS102" s="53"/>
      <c r="AT102" s="54"/>
      <c r="AU102" s="53"/>
      <c r="AV102" s="54"/>
      <c r="AW102" s="53"/>
      <c r="AX102" s="54"/>
      <c r="AY102" s="53"/>
      <c r="AZ102" s="54"/>
      <c r="BA102" s="53"/>
      <c r="BB102" s="51"/>
      <c r="BC102" s="53"/>
      <c r="BD102" s="51"/>
      <c r="BE102" s="53"/>
      <c r="BF102" s="51"/>
      <c r="BG102" s="53"/>
      <c r="BH102" s="51"/>
      <c r="BI102" s="53"/>
      <c r="BJ102" s="51"/>
      <c r="BK102" s="53"/>
      <c r="BL102" s="51"/>
      <c r="BM102" s="53"/>
      <c r="BN102" s="51"/>
      <c r="BO102" s="53"/>
      <c r="BP102" s="51"/>
      <c r="BQ102" s="53"/>
      <c r="BR102" s="55"/>
    </row>
    <row r="103" spans="1:70" ht="28.5" customHeight="1">
      <c r="A103" s="67" t="s">
        <v>2251</v>
      </c>
      <c r="B103" s="51" t="str">
        <f t="shared" si="2"/>
        <v>giftcodesbanner/RO仙境傳說：放推冒險團-bar.jpg</v>
      </c>
      <c r="C103" s="51"/>
      <c r="D103" s="51" t="str">
        <f t="shared" si="3"/>
        <v>https://www.ssbuy.tw/detail_giftcode/dist/giftcodes/RO仙境傳說：放推冒險團.html</v>
      </c>
      <c r="E103" s="91" t="s">
        <v>2252</v>
      </c>
      <c r="F103" s="103" t="s">
        <v>1710</v>
      </c>
      <c r="G103" s="52" t="s">
        <v>1711</v>
      </c>
      <c r="H103" s="52" t="s">
        <v>1840</v>
      </c>
      <c r="I103" s="51"/>
      <c r="J103" s="91"/>
      <c r="K103" s="92" t="s">
        <v>2253</v>
      </c>
      <c r="L103" s="51" t="s">
        <v>2254</v>
      </c>
      <c r="M103" s="53" t="s">
        <v>2255</v>
      </c>
      <c r="N103" s="54" t="s">
        <v>3108</v>
      </c>
      <c r="O103" s="53" t="s">
        <v>2256</v>
      </c>
      <c r="P103" s="54" t="s">
        <v>3109</v>
      </c>
      <c r="Q103" s="53" t="s">
        <v>3110</v>
      </c>
      <c r="R103" s="54" t="s">
        <v>2257</v>
      </c>
      <c r="S103" s="53" t="s">
        <v>3111</v>
      </c>
      <c r="T103" s="54" t="s">
        <v>2258</v>
      </c>
      <c r="U103" s="53" t="s">
        <v>2259</v>
      </c>
      <c r="V103" s="54" t="s">
        <v>2260</v>
      </c>
      <c r="W103" s="53" t="s">
        <v>2261</v>
      </c>
      <c r="X103" s="54" t="s">
        <v>3112</v>
      </c>
      <c r="Y103" s="53" t="s">
        <v>3113</v>
      </c>
      <c r="Z103" s="54" t="s">
        <v>2262</v>
      </c>
      <c r="AA103" s="53"/>
      <c r="AB103" s="54"/>
      <c r="AC103" s="53"/>
      <c r="AD103" s="54"/>
      <c r="AE103" s="53"/>
      <c r="AF103" s="54"/>
      <c r="AG103" s="53"/>
      <c r="AH103" s="54"/>
      <c r="AI103" s="53"/>
      <c r="AJ103" s="54"/>
      <c r="AK103" s="53"/>
      <c r="AL103" s="54"/>
      <c r="AM103" s="53"/>
      <c r="AN103" s="54"/>
      <c r="AO103" s="53"/>
      <c r="AP103" s="54"/>
      <c r="AQ103" s="53"/>
      <c r="AR103" s="54"/>
      <c r="AS103" s="53"/>
      <c r="AT103" s="54"/>
      <c r="AU103" s="53"/>
      <c r="AV103" s="54"/>
      <c r="AW103" s="53"/>
      <c r="AX103" s="54"/>
      <c r="AY103" s="53"/>
      <c r="AZ103" s="54"/>
      <c r="BA103" s="53"/>
      <c r="BB103" s="51"/>
      <c r="BC103" s="53"/>
      <c r="BD103" s="51"/>
      <c r="BE103" s="53"/>
      <c r="BF103" s="51"/>
      <c r="BG103" s="53"/>
      <c r="BH103" s="51"/>
      <c r="BI103" s="53"/>
      <c r="BJ103" s="51"/>
      <c r="BK103" s="53"/>
      <c r="BL103" s="51"/>
      <c r="BM103" s="53"/>
      <c r="BN103" s="51"/>
      <c r="BO103" s="53"/>
      <c r="BP103" s="51"/>
      <c r="BQ103" s="53"/>
      <c r="BR103" s="55"/>
    </row>
    <row r="104" spans="1:70" ht="28.5" customHeight="1">
      <c r="A104" s="67" t="s">
        <v>1233</v>
      </c>
      <c r="B104" s="51" t="str">
        <f t="shared" si="2"/>
        <v>giftcodesbanner/英雄刷刷刷-bar.jpg</v>
      </c>
      <c r="C104" s="51"/>
      <c r="D104" s="51" t="str">
        <f t="shared" si="3"/>
        <v>https://www.ssbuy.tw/detail_giftcode/dist/giftcodes/英雄刷刷刷.html</v>
      </c>
      <c r="E104" s="91" t="s">
        <v>2263</v>
      </c>
      <c r="F104" s="103" t="s">
        <v>1710</v>
      </c>
      <c r="G104" s="52" t="s">
        <v>1711</v>
      </c>
      <c r="H104" s="52" t="s">
        <v>1840</v>
      </c>
      <c r="I104" s="51"/>
      <c r="J104" s="91"/>
      <c r="K104" s="92" t="s">
        <v>3114</v>
      </c>
      <c r="L104" s="51" t="s">
        <v>1920</v>
      </c>
      <c r="M104" s="53" t="s">
        <v>2264</v>
      </c>
      <c r="N104" s="54" t="s">
        <v>1920</v>
      </c>
      <c r="O104" s="53" t="s">
        <v>2265</v>
      </c>
      <c r="P104" s="54" t="s">
        <v>1920</v>
      </c>
      <c r="Q104" s="53" t="s">
        <v>3115</v>
      </c>
      <c r="R104" s="54" t="s">
        <v>1920</v>
      </c>
      <c r="S104" s="53" t="s">
        <v>2266</v>
      </c>
      <c r="T104" s="54" t="s">
        <v>1920</v>
      </c>
      <c r="U104" s="53" t="s">
        <v>2267</v>
      </c>
      <c r="V104" s="54" t="s">
        <v>1920</v>
      </c>
      <c r="W104" s="53" t="s">
        <v>2268</v>
      </c>
      <c r="X104" s="54" t="s">
        <v>1920</v>
      </c>
      <c r="Y104" s="53" t="s">
        <v>2269</v>
      </c>
      <c r="Z104" s="54"/>
      <c r="AA104" s="53" t="s">
        <v>2270</v>
      </c>
      <c r="AB104" s="54"/>
      <c r="AC104" s="53" t="s">
        <v>2271</v>
      </c>
      <c r="AD104" s="54"/>
      <c r="AE104" s="53" t="s">
        <v>2272</v>
      </c>
      <c r="AF104" s="54"/>
      <c r="AG104" s="53" t="s">
        <v>2273</v>
      </c>
      <c r="AH104" s="54"/>
      <c r="AI104" s="53" t="s">
        <v>2274</v>
      </c>
      <c r="AJ104" s="54"/>
      <c r="AK104" s="53" t="s">
        <v>2275</v>
      </c>
      <c r="AL104" s="54"/>
      <c r="AM104" s="53" t="s">
        <v>2276</v>
      </c>
      <c r="AN104" s="54"/>
      <c r="AO104" s="53" t="s">
        <v>2277</v>
      </c>
      <c r="AP104" s="54"/>
      <c r="AQ104" s="53" t="s">
        <v>2278</v>
      </c>
      <c r="AR104" s="54"/>
      <c r="AS104" s="53" t="s">
        <v>2279</v>
      </c>
      <c r="AT104" s="54"/>
      <c r="AU104" s="53" t="s">
        <v>2280</v>
      </c>
      <c r="AV104" s="54"/>
      <c r="AW104" s="53" t="s">
        <v>2281</v>
      </c>
      <c r="AX104" s="54"/>
      <c r="AY104" s="53"/>
      <c r="AZ104" s="54"/>
      <c r="BA104" s="53"/>
      <c r="BB104" s="51"/>
      <c r="BC104" s="53"/>
      <c r="BD104" s="51"/>
      <c r="BE104" s="53"/>
      <c r="BF104" s="51"/>
      <c r="BG104" s="53"/>
      <c r="BH104" s="51"/>
      <c r="BI104" s="53"/>
      <c r="BJ104" s="51"/>
      <c r="BK104" s="53"/>
      <c r="BL104" s="51"/>
      <c r="BM104" s="53"/>
      <c r="BN104" s="51"/>
      <c r="BO104" s="53"/>
      <c r="BP104" s="51"/>
      <c r="BQ104" s="53"/>
      <c r="BR104" s="55"/>
    </row>
    <row r="105" spans="1:70" ht="28.5" customHeight="1">
      <c r="A105" s="69" t="s">
        <v>1245</v>
      </c>
      <c r="B105" s="51" t="str">
        <f t="shared" si="2"/>
        <v>giftcodesbanner/萬靈物語-bar.jpg</v>
      </c>
      <c r="C105" s="51"/>
      <c r="D105" s="51" t="str">
        <f t="shared" si="3"/>
        <v>https://www.ssbuy.tw/detail_giftcode/dist/giftcodes/萬靈物語.html</v>
      </c>
      <c r="E105" s="91" t="s">
        <v>3116</v>
      </c>
      <c r="F105" s="103" t="s">
        <v>1710</v>
      </c>
      <c r="G105" s="52" t="s">
        <v>1711</v>
      </c>
      <c r="H105" s="52" t="s">
        <v>1840</v>
      </c>
      <c r="I105" s="51"/>
      <c r="J105" s="91"/>
      <c r="K105" s="92" t="s">
        <v>2282</v>
      </c>
      <c r="L105" s="51" t="s">
        <v>1920</v>
      </c>
      <c r="M105" s="53" t="s">
        <v>2283</v>
      </c>
      <c r="N105" s="54" t="s">
        <v>1920</v>
      </c>
      <c r="O105" s="53" t="s">
        <v>2284</v>
      </c>
      <c r="P105" s="54" t="s">
        <v>1920</v>
      </c>
      <c r="Q105" s="53" t="s">
        <v>2285</v>
      </c>
      <c r="R105" s="54" t="s">
        <v>1920</v>
      </c>
      <c r="S105" s="53" t="s">
        <v>2286</v>
      </c>
      <c r="T105" s="54" t="s">
        <v>1920</v>
      </c>
      <c r="U105" s="53" t="s">
        <v>2287</v>
      </c>
      <c r="V105" s="54" t="s">
        <v>1920</v>
      </c>
      <c r="W105" s="53" t="s">
        <v>2288</v>
      </c>
      <c r="X105" s="54" t="s">
        <v>1920</v>
      </c>
      <c r="Y105" s="53" t="s">
        <v>2289</v>
      </c>
      <c r="Z105" s="54"/>
      <c r="AA105" s="53" t="s">
        <v>2290</v>
      </c>
      <c r="AB105" s="54"/>
      <c r="AC105" s="53" t="s">
        <v>2291</v>
      </c>
      <c r="AD105" s="54"/>
      <c r="AE105" s="53" t="s">
        <v>2292</v>
      </c>
      <c r="AF105" s="54"/>
      <c r="AG105" s="53" t="s">
        <v>2293</v>
      </c>
      <c r="AH105" s="54"/>
      <c r="AI105" s="53" t="s">
        <v>2294</v>
      </c>
      <c r="AJ105" s="54"/>
      <c r="AK105" s="53" t="s">
        <v>2295</v>
      </c>
      <c r="AL105" s="54"/>
      <c r="AM105" s="53" t="s">
        <v>2296</v>
      </c>
      <c r="AN105" s="54"/>
      <c r="AO105" s="53" t="s">
        <v>2297</v>
      </c>
      <c r="AP105" s="54"/>
      <c r="AQ105" s="53" t="s">
        <v>1715</v>
      </c>
      <c r="AR105" s="54"/>
      <c r="AS105" s="53" t="s">
        <v>1782</v>
      </c>
      <c r="AT105" s="54"/>
      <c r="AU105" s="53" t="s">
        <v>2298</v>
      </c>
      <c r="AV105" s="54"/>
      <c r="AW105" s="53" t="s">
        <v>2299</v>
      </c>
      <c r="AX105" s="54"/>
      <c r="AY105" s="53"/>
      <c r="AZ105" s="54"/>
      <c r="BA105" s="53"/>
      <c r="BB105" s="51"/>
      <c r="BC105" s="53"/>
      <c r="BD105" s="51"/>
      <c r="BE105" s="53"/>
      <c r="BF105" s="51"/>
      <c r="BG105" s="53"/>
      <c r="BH105" s="51"/>
      <c r="BI105" s="53"/>
      <c r="BJ105" s="51"/>
      <c r="BK105" s="53"/>
      <c r="BL105" s="51"/>
      <c r="BM105" s="53"/>
      <c r="BN105" s="51"/>
      <c r="BO105" s="53"/>
      <c r="BP105" s="51"/>
      <c r="BQ105" s="53"/>
      <c r="BR105" s="55"/>
    </row>
    <row r="106" spans="1:70" ht="28.5" customHeight="1">
      <c r="A106" s="69" t="s">
        <v>2300</v>
      </c>
      <c r="B106" s="51" t="str">
        <f t="shared" si="2"/>
        <v>giftcodesbanner/斗羅大陸：逆轉時空-bar.jpg</v>
      </c>
      <c r="C106" s="51"/>
      <c r="D106" s="51" t="str">
        <f t="shared" si="3"/>
        <v>https://www.ssbuy.tw/detail_giftcode/dist/giftcodes/斗羅大陸：逆轉時空.html</v>
      </c>
      <c r="E106" s="91" t="s">
        <v>3117</v>
      </c>
      <c r="F106" s="103" t="s">
        <v>1710</v>
      </c>
      <c r="G106" s="52" t="s">
        <v>1711</v>
      </c>
      <c r="H106" s="52" t="s">
        <v>1840</v>
      </c>
      <c r="I106" s="51"/>
      <c r="J106" s="91"/>
      <c r="K106" s="92" t="s">
        <v>3118</v>
      </c>
      <c r="L106" s="51" t="s">
        <v>1920</v>
      </c>
      <c r="M106" s="53" t="s">
        <v>3119</v>
      </c>
      <c r="N106" s="54" t="s">
        <v>1920</v>
      </c>
      <c r="O106" s="53" t="s">
        <v>2301</v>
      </c>
      <c r="P106" s="54" t="s">
        <v>1920</v>
      </c>
      <c r="Q106" s="53" t="s">
        <v>2302</v>
      </c>
      <c r="R106" s="54" t="s">
        <v>1920</v>
      </c>
      <c r="S106" s="53" t="s">
        <v>2303</v>
      </c>
      <c r="T106" s="54" t="s">
        <v>1920</v>
      </c>
      <c r="U106" s="53" t="s">
        <v>2304</v>
      </c>
      <c r="V106" s="54" t="s">
        <v>1920</v>
      </c>
      <c r="W106" s="53" t="s">
        <v>2305</v>
      </c>
      <c r="X106" s="54" t="s">
        <v>1920</v>
      </c>
      <c r="Y106" s="53" t="s">
        <v>3120</v>
      </c>
      <c r="Z106" s="54"/>
      <c r="AA106" s="53" t="s">
        <v>3121</v>
      </c>
      <c r="AB106" s="54"/>
      <c r="AC106" s="53" t="s">
        <v>2306</v>
      </c>
      <c r="AD106" s="54"/>
      <c r="AE106" s="53" t="s">
        <v>3122</v>
      </c>
      <c r="AF106" s="54"/>
      <c r="AG106" s="53"/>
      <c r="AH106" s="54"/>
      <c r="AI106" s="53"/>
      <c r="AJ106" s="54"/>
      <c r="AK106" s="53"/>
      <c r="AL106" s="54"/>
      <c r="AM106" s="53"/>
      <c r="AN106" s="54"/>
      <c r="AO106" s="53"/>
      <c r="AP106" s="54"/>
      <c r="AQ106" s="53"/>
      <c r="AR106" s="54"/>
      <c r="AS106" s="53"/>
      <c r="AT106" s="54"/>
      <c r="AU106" s="53"/>
      <c r="AV106" s="54"/>
      <c r="AW106" s="53"/>
      <c r="AX106" s="54"/>
      <c r="AY106" s="53"/>
      <c r="AZ106" s="54"/>
      <c r="BA106" s="53"/>
      <c r="BB106" s="51"/>
      <c r="BC106" s="53"/>
      <c r="BD106" s="51"/>
      <c r="BE106" s="53"/>
      <c r="BF106" s="51"/>
      <c r="BG106" s="53"/>
      <c r="BH106" s="51"/>
      <c r="BI106" s="53"/>
      <c r="BJ106" s="51"/>
      <c r="BK106" s="53"/>
      <c r="BL106" s="51"/>
      <c r="BM106" s="53"/>
      <c r="BN106" s="51"/>
      <c r="BO106" s="53"/>
      <c r="BP106" s="51"/>
      <c r="BQ106" s="53"/>
      <c r="BR106" s="55"/>
    </row>
    <row r="107" spans="1:70" ht="28.5" customHeight="1">
      <c r="A107" s="69" t="s">
        <v>2307</v>
      </c>
      <c r="B107" s="51" t="str">
        <f t="shared" si="2"/>
        <v>giftcodesbanner/魔靈召喚：保衛戰-bar.jpg</v>
      </c>
      <c r="C107" s="51"/>
      <c r="D107" s="51" t="str">
        <f t="shared" si="3"/>
        <v>https://www.ssbuy.tw/detail_giftcode/dist/giftcodes/魔靈召喚：保衛戰.html</v>
      </c>
      <c r="E107" s="91" t="s">
        <v>3123</v>
      </c>
      <c r="F107" s="103" t="s">
        <v>1710</v>
      </c>
      <c r="G107" s="52" t="s">
        <v>1711</v>
      </c>
      <c r="H107" s="52" t="s">
        <v>1840</v>
      </c>
      <c r="I107" s="51"/>
      <c r="J107" s="91"/>
      <c r="K107" s="92"/>
      <c r="L107" s="51"/>
      <c r="M107" s="53"/>
      <c r="N107" s="54"/>
      <c r="O107" s="53"/>
      <c r="P107" s="54"/>
      <c r="Q107" s="53"/>
      <c r="R107" s="54"/>
      <c r="S107" s="53"/>
      <c r="T107" s="54"/>
      <c r="U107" s="53"/>
      <c r="V107" s="54"/>
      <c r="W107" s="53"/>
      <c r="X107" s="54"/>
      <c r="Y107" s="53"/>
      <c r="Z107" s="54"/>
      <c r="AA107" s="53"/>
      <c r="AB107" s="54"/>
      <c r="AC107" s="53"/>
      <c r="AD107" s="54"/>
      <c r="AE107" s="53"/>
      <c r="AF107" s="54"/>
      <c r="AG107" s="53"/>
      <c r="AH107" s="54"/>
      <c r="AI107" s="53"/>
      <c r="AJ107" s="54"/>
      <c r="AK107" s="53"/>
      <c r="AL107" s="54"/>
      <c r="AM107" s="53"/>
      <c r="AN107" s="54"/>
      <c r="AO107" s="53"/>
      <c r="AP107" s="54"/>
      <c r="AQ107" s="53"/>
      <c r="AR107" s="54"/>
      <c r="AS107" s="53"/>
      <c r="AT107" s="54"/>
      <c r="AU107" s="53"/>
      <c r="AV107" s="54"/>
      <c r="AW107" s="53"/>
      <c r="AX107" s="54"/>
      <c r="AY107" s="53"/>
      <c r="AZ107" s="54"/>
      <c r="BA107" s="53"/>
      <c r="BB107" s="51"/>
      <c r="BC107" s="53"/>
      <c r="BD107" s="51"/>
      <c r="BE107" s="53"/>
      <c r="BF107" s="51"/>
      <c r="BG107" s="53"/>
      <c r="BH107" s="51"/>
      <c r="BI107" s="53"/>
      <c r="BJ107" s="51"/>
      <c r="BK107" s="53"/>
      <c r="BL107" s="51"/>
      <c r="BM107" s="53"/>
      <c r="BN107" s="51"/>
      <c r="BO107" s="53"/>
      <c r="BP107" s="51"/>
      <c r="BQ107" s="53"/>
      <c r="BR107" s="55"/>
    </row>
    <row r="108" spans="1:70" ht="28.5" customHeight="1">
      <c r="A108" s="69" t="s">
        <v>1265</v>
      </c>
      <c r="B108" s="51" t="str">
        <f t="shared" si="2"/>
        <v>giftcodesbanner/潘多蘭島-bar.jpg</v>
      </c>
      <c r="C108" s="51"/>
      <c r="D108" s="51" t="str">
        <f t="shared" si="3"/>
        <v>https://www.ssbuy.tw/detail_giftcode/dist/giftcodes/潘多蘭島.html</v>
      </c>
      <c r="E108" s="91" t="s">
        <v>3124</v>
      </c>
      <c r="F108" s="103" t="s">
        <v>1710</v>
      </c>
      <c r="G108" s="52" t="s">
        <v>1711</v>
      </c>
      <c r="H108" s="52" t="s">
        <v>1840</v>
      </c>
      <c r="I108" s="51"/>
      <c r="J108" s="91"/>
      <c r="K108" s="92" t="s">
        <v>2308</v>
      </c>
      <c r="L108" s="51" t="s">
        <v>1920</v>
      </c>
      <c r="M108" s="53"/>
      <c r="N108" s="54"/>
      <c r="O108" s="53"/>
      <c r="P108" s="54"/>
      <c r="Q108" s="53"/>
      <c r="R108" s="54"/>
      <c r="S108" s="53"/>
      <c r="T108" s="54"/>
      <c r="U108" s="53"/>
      <c r="V108" s="54"/>
      <c r="W108" s="53"/>
      <c r="X108" s="54"/>
      <c r="Y108" s="53"/>
      <c r="Z108" s="54"/>
      <c r="AA108" s="53"/>
      <c r="AB108" s="54"/>
      <c r="AC108" s="53"/>
      <c r="AD108" s="54"/>
      <c r="AE108" s="53"/>
      <c r="AF108" s="54"/>
      <c r="AG108" s="53"/>
      <c r="AH108" s="54"/>
      <c r="AI108" s="53"/>
      <c r="AJ108" s="54"/>
      <c r="AK108" s="53"/>
      <c r="AL108" s="54"/>
      <c r="AM108" s="53"/>
      <c r="AN108" s="54"/>
      <c r="AO108" s="53"/>
      <c r="AP108" s="54"/>
      <c r="AQ108" s="53"/>
      <c r="AR108" s="54"/>
      <c r="AS108" s="53"/>
      <c r="AT108" s="54"/>
      <c r="AU108" s="53"/>
      <c r="AV108" s="54"/>
      <c r="AW108" s="53"/>
      <c r="AX108" s="54"/>
      <c r="AY108" s="53"/>
      <c r="AZ108" s="54"/>
      <c r="BA108" s="53"/>
      <c r="BB108" s="51"/>
      <c r="BC108" s="53"/>
      <c r="BD108" s="51"/>
      <c r="BE108" s="53"/>
      <c r="BF108" s="51"/>
      <c r="BG108" s="53"/>
      <c r="BH108" s="51"/>
      <c r="BI108" s="53"/>
      <c r="BJ108" s="51"/>
      <c r="BK108" s="53"/>
      <c r="BL108" s="51"/>
      <c r="BM108" s="53"/>
      <c r="BN108" s="51"/>
      <c r="BO108" s="53"/>
      <c r="BP108" s="51"/>
      <c r="BQ108" s="53"/>
      <c r="BR108" s="55"/>
    </row>
    <row r="109" spans="1:70" ht="28.5" customHeight="1">
      <c r="A109" s="69" t="s">
        <v>1274</v>
      </c>
      <c r="B109" s="51" t="str">
        <f t="shared" si="2"/>
        <v>giftcodesbanner/電鋸果汁大亂鬥-bar.jpg</v>
      </c>
      <c r="C109" s="51"/>
      <c r="D109" s="51" t="str">
        <f t="shared" si="3"/>
        <v>https://www.ssbuy.tw/detail_giftcode/dist/giftcodes/電鋸果汁大亂鬥.html</v>
      </c>
      <c r="E109" s="91" t="s">
        <v>4588</v>
      </c>
      <c r="F109" s="103" t="s">
        <v>1710</v>
      </c>
      <c r="G109" s="52" t="s">
        <v>1711</v>
      </c>
      <c r="H109" s="52" t="s">
        <v>1840</v>
      </c>
      <c r="I109" s="51"/>
      <c r="J109" s="91"/>
      <c r="K109" s="92" t="s">
        <v>2309</v>
      </c>
      <c r="L109" s="51" t="s">
        <v>1920</v>
      </c>
      <c r="M109" s="53"/>
      <c r="N109" s="54"/>
      <c r="O109" s="53"/>
      <c r="P109" s="54"/>
      <c r="Q109" s="53"/>
      <c r="R109" s="54"/>
      <c r="S109" s="53"/>
      <c r="T109" s="54"/>
      <c r="U109" s="53"/>
      <c r="V109" s="54"/>
      <c r="W109" s="53"/>
      <c r="X109" s="54"/>
      <c r="Y109" s="53"/>
      <c r="Z109" s="54"/>
      <c r="AA109" s="53"/>
      <c r="AB109" s="54"/>
      <c r="AC109" s="53"/>
      <c r="AD109" s="54"/>
      <c r="AE109" s="53"/>
      <c r="AF109" s="54"/>
      <c r="AG109" s="53"/>
      <c r="AH109" s="54"/>
      <c r="AI109" s="53"/>
      <c r="AJ109" s="54"/>
      <c r="AK109" s="53"/>
      <c r="AL109" s="54"/>
      <c r="AM109" s="53"/>
      <c r="AN109" s="54"/>
      <c r="AO109" s="53"/>
      <c r="AP109" s="54"/>
      <c r="AQ109" s="53"/>
      <c r="AR109" s="54"/>
      <c r="AS109" s="53"/>
      <c r="AT109" s="54"/>
      <c r="AU109" s="53"/>
      <c r="AV109" s="54"/>
      <c r="AW109" s="53"/>
      <c r="AX109" s="54"/>
      <c r="AY109" s="53"/>
      <c r="AZ109" s="54"/>
      <c r="BA109" s="53"/>
      <c r="BB109" s="51"/>
      <c r="BC109" s="53"/>
      <c r="BD109" s="51"/>
      <c r="BE109" s="53"/>
      <c r="BF109" s="51"/>
      <c r="BG109" s="53"/>
      <c r="BH109" s="51"/>
      <c r="BI109" s="53"/>
      <c r="BJ109" s="51"/>
      <c r="BK109" s="53"/>
      <c r="BL109" s="51"/>
      <c r="BM109" s="53"/>
      <c r="BN109" s="51"/>
      <c r="BO109" s="53"/>
      <c r="BP109" s="51"/>
      <c r="BQ109" s="53"/>
      <c r="BR109" s="55"/>
    </row>
    <row r="110" spans="1:70" ht="28.5" customHeight="1">
      <c r="A110" s="69" t="s">
        <v>1280</v>
      </c>
      <c r="B110" s="51" t="str">
        <f t="shared" si="2"/>
        <v>giftcodesbanner/風色幻想NeXus-bar.jpg</v>
      </c>
      <c r="C110" s="51"/>
      <c r="D110" s="51" t="str">
        <f t="shared" si="3"/>
        <v>https://www.ssbuy.tw/detail_giftcode/dist/giftcodes/風色幻想NeXus.html</v>
      </c>
      <c r="E110" s="91" t="s">
        <v>3125</v>
      </c>
      <c r="F110" s="103" t="s">
        <v>1710</v>
      </c>
      <c r="G110" s="52" t="s">
        <v>1711</v>
      </c>
      <c r="H110" s="52" t="s">
        <v>1840</v>
      </c>
      <c r="I110" s="51"/>
      <c r="J110" s="91"/>
      <c r="K110" s="92" t="s">
        <v>3126</v>
      </c>
      <c r="L110" s="51" t="s">
        <v>2310</v>
      </c>
      <c r="M110" s="53" t="s">
        <v>2311</v>
      </c>
      <c r="N110" s="54" t="s">
        <v>2312</v>
      </c>
      <c r="O110" s="53" t="s">
        <v>2313</v>
      </c>
      <c r="P110" s="54" t="s">
        <v>2312</v>
      </c>
      <c r="Q110" s="53"/>
      <c r="R110" s="54"/>
      <c r="S110" s="53"/>
      <c r="T110" s="54"/>
      <c r="U110" s="53"/>
      <c r="V110" s="54"/>
      <c r="W110" s="53"/>
      <c r="X110" s="54"/>
      <c r="Y110" s="53"/>
      <c r="Z110" s="54"/>
      <c r="AA110" s="53"/>
      <c r="AB110" s="54"/>
      <c r="AC110" s="53"/>
      <c r="AD110" s="54"/>
      <c r="AE110" s="53"/>
      <c r="AF110" s="54"/>
      <c r="AG110" s="53"/>
      <c r="AH110" s="54"/>
      <c r="AI110" s="53"/>
      <c r="AJ110" s="54"/>
      <c r="AK110" s="53"/>
      <c r="AL110" s="54"/>
      <c r="AM110" s="53"/>
      <c r="AN110" s="54"/>
      <c r="AO110" s="53"/>
      <c r="AP110" s="54"/>
      <c r="AQ110" s="53"/>
      <c r="AR110" s="54"/>
      <c r="AS110" s="53"/>
      <c r="AT110" s="54"/>
      <c r="AU110" s="53"/>
      <c r="AV110" s="54"/>
      <c r="AW110" s="53"/>
      <c r="AX110" s="54"/>
      <c r="AY110" s="53"/>
      <c r="AZ110" s="54"/>
      <c r="BA110" s="53"/>
      <c r="BB110" s="51"/>
      <c r="BC110" s="53"/>
      <c r="BD110" s="51"/>
      <c r="BE110" s="53"/>
      <c r="BF110" s="51"/>
      <c r="BG110" s="53"/>
      <c r="BH110" s="51"/>
      <c r="BI110" s="53"/>
      <c r="BJ110" s="51"/>
      <c r="BK110" s="53"/>
      <c r="BL110" s="51"/>
      <c r="BM110" s="53"/>
      <c r="BN110" s="51"/>
      <c r="BO110" s="53"/>
      <c r="BP110" s="51"/>
      <c r="BQ110" s="53"/>
      <c r="BR110" s="55"/>
    </row>
    <row r="111" spans="1:70" ht="28.5" customHeight="1">
      <c r="A111" s="69" t="s">
        <v>1290</v>
      </c>
      <c r="B111" s="51" t="str">
        <f t="shared" si="2"/>
        <v>giftcodesbanner/星河訣愛-bar.jpg</v>
      </c>
      <c r="C111" s="51"/>
      <c r="D111" s="51" t="str">
        <f t="shared" si="3"/>
        <v>https://www.ssbuy.tw/detail_giftcode/dist/giftcodes/星河訣愛.html</v>
      </c>
      <c r="E111" s="91" t="s">
        <v>2314</v>
      </c>
      <c r="F111" s="103" t="s">
        <v>1710</v>
      </c>
      <c r="G111" s="52" t="s">
        <v>1711</v>
      </c>
      <c r="H111" s="52" t="s">
        <v>1840</v>
      </c>
      <c r="I111" s="51"/>
      <c r="J111" s="91"/>
      <c r="K111" s="92" t="s">
        <v>3127</v>
      </c>
      <c r="L111" s="51" t="s">
        <v>2315</v>
      </c>
      <c r="M111" s="53" t="s">
        <v>3128</v>
      </c>
      <c r="N111" s="54" t="s">
        <v>3129</v>
      </c>
      <c r="O111" s="53" t="s">
        <v>3130</v>
      </c>
      <c r="P111" s="54" t="s">
        <v>2316</v>
      </c>
      <c r="Q111" s="53" t="s">
        <v>3131</v>
      </c>
      <c r="R111" s="54" t="s">
        <v>2317</v>
      </c>
      <c r="S111" s="53" t="s">
        <v>3132</v>
      </c>
      <c r="T111" s="54" t="s">
        <v>3133</v>
      </c>
      <c r="U111" s="53" t="s">
        <v>2141</v>
      </c>
      <c r="V111" s="54" t="s">
        <v>3134</v>
      </c>
      <c r="W111" s="53" t="s">
        <v>2318</v>
      </c>
      <c r="X111" s="54" t="s">
        <v>2319</v>
      </c>
      <c r="Y111" s="53" t="s">
        <v>2308</v>
      </c>
      <c r="Z111" s="54" t="s">
        <v>3135</v>
      </c>
      <c r="AA111" s="53"/>
      <c r="AB111" s="54"/>
      <c r="AC111" s="53"/>
      <c r="AD111" s="54"/>
      <c r="AE111" s="53"/>
      <c r="AF111" s="54"/>
      <c r="AG111" s="53"/>
      <c r="AH111" s="54"/>
      <c r="AI111" s="53"/>
      <c r="AJ111" s="54"/>
      <c r="AK111" s="53"/>
      <c r="AL111" s="54"/>
      <c r="AM111" s="53"/>
      <c r="AN111" s="54"/>
      <c r="AO111" s="53"/>
      <c r="AP111" s="54"/>
      <c r="AQ111" s="53"/>
      <c r="AR111" s="54"/>
      <c r="AS111" s="53"/>
      <c r="AT111" s="54"/>
      <c r="AU111" s="53"/>
      <c r="AV111" s="54"/>
      <c r="AW111" s="53"/>
      <c r="AX111" s="54"/>
      <c r="AY111" s="53"/>
      <c r="AZ111" s="54"/>
      <c r="BA111" s="53"/>
      <c r="BB111" s="51"/>
      <c r="BC111" s="53"/>
      <c r="BD111" s="51"/>
      <c r="BE111" s="53"/>
      <c r="BF111" s="51"/>
      <c r="BG111" s="53"/>
      <c r="BH111" s="51"/>
      <c r="BI111" s="53"/>
      <c r="BJ111" s="51"/>
      <c r="BK111" s="53"/>
      <c r="BL111" s="51"/>
      <c r="BM111" s="53"/>
      <c r="BN111" s="51"/>
      <c r="BO111" s="53"/>
      <c r="BP111" s="51"/>
      <c r="BQ111" s="53"/>
      <c r="BR111" s="55"/>
    </row>
    <row r="112" spans="1:70" ht="28.5" customHeight="1">
      <c r="A112" s="69" t="s">
        <v>3</v>
      </c>
      <c r="B112" s="51" t="str">
        <f t="shared" si="2"/>
        <v>giftcodesbanner/kingshot-bar.jpg</v>
      </c>
      <c r="C112" s="51"/>
      <c r="D112" s="51" t="str">
        <f t="shared" si="3"/>
        <v>https://www.ssbuy.tw/detail_giftcode/dist/giftcodes/kingshot.html</v>
      </c>
      <c r="E112" s="91" t="s">
        <v>2320</v>
      </c>
      <c r="F112" s="103" t="s">
        <v>1710</v>
      </c>
      <c r="G112" s="52" t="s">
        <v>1711</v>
      </c>
      <c r="H112" s="52" t="s">
        <v>1840</v>
      </c>
      <c r="I112" s="51"/>
      <c r="J112" s="91"/>
      <c r="K112" s="92" t="s">
        <v>2321</v>
      </c>
      <c r="L112" s="51" t="s">
        <v>1920</v>
      </c>
      <c r="M112" s="53" t="s">
        <v>2322</v>
      </c>
      <c r="N112" s="54" t="s">
        <v>1920</v>
      </c>
      <c r="O112" s="53" t="s">
        <v>3136</v>
      </c>
      <c r="P112" s="54" t="s">
        <v>1920</v>
      </c>
      <c r="Q112" s="53" t="s">
        <v>2323</v>
      </c>
      <c r="R112" s="54" t="s">
        <v>1920</v>
      </c>
      <c r="S112" s="53" t="s">
        <v>3137</v>
      </c>
      <c r="T112" s="54" t="s">
        <v>1920</v>
      </c>
      <c r="U112" s="53"/>
      <c r="V112" s="54"/>
      <c r="W112" s="53"/>
      <c r="X112" s="54"/>
      <c r="Y112" s="53"/>
      <c r="Z112" s="54"/>
      <c r="AA112" s="53"/>
      <c r="AB112" s="54"/>
      <c r="AC112" s="53"/>
      <c r="AD112" s="54"/>
      <c r="AE112" s="53"/>
      <c r="AF112" s="54"/>
      <c r="AG112" s="53"/>
      <c r="AH112" s="54"/>
      <c r="AI112" s="53"/>
      <c r="AJ112" s="54"/>
      <c r="AK112" s="53"/>
      <c r="AL112" s="54"/>
      <c r="AM112" s="53"/>
      <c r="AN112" s="54"/>
      <c r="AO112" s="53"/>
      <c r="AP112" s="54"/>
      <c r="AQ112" s="53"/>
      <c r="AR112" s="54"/>
      <c r="AS112" s="53"/>
      <c r="AT112" s="54"/>
      <c r="AU112" s="53"/>
      <c r="AV112" s="54"/>
      <c r="AW112" s="53"/>
      <c r="AX112" s="54"/>
      <c r="AY112" s="53"/>
      <c r="AZ112" s="54"/>
      <c r="BA112" s="53"/>
      <c r="BB112" s="51"/>
      <c r="BC112" s="53"/>
      <c r="BD112" s="51"/>
      <c r="BE112" s="53"/>
      <c r="BF112" s="51"/>
      <c r="BG112" s="53"/>
      <c r="BH112" s="51"/>
      <c r="BI112" s="53"/>
      <c r="BJ112" s="51"/>
      <c r="BK112" s="53"/>
      <c r="BL112" s="51"/>
      <c r="BM112" s="53"/>
      <c r="BN112" s="51"/>
      <c r="BO112" s="53"/>
      <c r="BP112" s="51"/>
      <c r="BQ112" s="53"/>
      <c r="BR112" s="55"/>
    </row>
    <row r="113" spans="1:70" ht="28.5" customHeight="1">
      <c r="A113" s="69" t="s">
        <v>1297</v>
      </c>
      <c r="B113" s="51" t="str">
        <f t="shared" si="2"/>
        <v>giftcodesbanner/胡鬧地牢-bar.jpg</v>
      </c>
      <c r="C113" s="51"/>
      <c r="D113" s="51" t="str">
        <f t="shared" si="3"/>
        <v>https://www.ssbuy.tw/detail_giftcode/dist/giftcodes/胡鬧地牢.html</v>
      </c>
      <c r="E113" s="91" t="s">
        <v>3138</v>
      </c>
      <c r="F113" s="103" t="s">
        <v>1710</v>
      </c>
      <c r="G113" s="52" t="s">
        <v>1711</v>
      </c>
      <c r="H113" s="52" t="s">
        <v>1840</v>
      </c>
      <c r="I113" s="51"/>
      <c r="J113" s="91"/>
      <c r="K113" s="92" t="s">
        <v>2324</v>
      </c>
      <c r="L113" s="51" t="s">
        <v>1920</v>
      </c>
      <c r="M113" s="53" t="s">
        <v>2325</v>
      </c>
      <c r="N113" s="54" t="s">
        <v>2326</v>
      </c>
      <c r="O113" s="53" t="s">
        <v>2327</v>
      </c>
      <c r="P113" s="54" t="s">
        <v>2328</v>
      </c>
      <c r="Q113" s="53" t="s">
        <v>2329</v>
      </c>
      <c r="R113" s="64" t="s">
        <v>2330</v>
      </c>
      <c r="S113" s="53" t="s">
        <v>3139</v>
      </c>
      <c r="T113" s="54" t="s">
        <v>2331</v>
      </c>
      <c r="U113" s="53" t="s">
        <v>2332</v>
      </c>
      <c r="V113" s="54" t="s">
        <v>2333</v>
      </c>
      <c r="W113" s="53" t="s">
        <v>3140</v>
      </c>
      <c r="X113" s="54" t="s">
        <v>1920</v>
      </c>
      <c r="Y113" s="53" t="s">
        <v>2334</v>
      </c>
      <c r="Z113" s="54" t="s">
        <v>1920</v>
      </c>
      <c r="AA113" s="53" t="s">
        <v>2335</v>
      </c>
      <c r="AB113" s="54" t="s">
        <v>1920</v>
      </c>
      <c r="AC113" s="53" t="s">
        <v>2336</v>
      </c>
      <c r="AD113" s="54" t="s">
        <v>1920</v>
      </c>
      <c r="AE113" s="53" t="s">
        <v>2337</v>
      </c>
      <c r="AF113" s="54" t="s">
        <v>1920</v>
      </c>
      <c r="AG113" s="53" t="s">
        <v>2338</v>
      </c>
      <c r="AH113" s="54" t="s">
        <v>1920</v>
      </c>
      <c r="AI113" s="53"/>
      <c r="AJ113" s="54"/>
      <c r="AK113" s="53"/>
      <c r="AL113" s="54"/>
      <c r="AM113" s="53"/>
      <c r="AN113" s="54"/>
      <c r="AO113" s="53"/>
      <c r="AP113" s="54"/>
      <c r="AQ113" s="53"/>
      <c r="AR113" s="54"/>
      <c r="AS113" s="53"/>
      <c r="AT113" s="54"/>
      <c r="AU113" s="53"/>
      <c r="AV113" s="54"/>
      <c r="AW113" s="53"/>
      <c r="AX113" s="54"/>
      <c r="AY113" s="53"/>
      <c r="AZ113" s="54"/>
      <c r="BA113" s="53"/>
      <c r="BB113" s="51"/>
      <c r="BC113" s="53"/>
      <c r="BD113" s="51"/>
      <c r="BE113" s="53"/>
      <c r="BF113" s="51"/>
      <c r="BG113" s="53"/>
      <c r="BH113" s="51"/>
      <c r="BI113" s="53"/>
      <c r="BJ113" s="51"/>
      <c r="BK113" s="53"/>
      <c r="BL113" s="51"/>
      <c r="BM113" s="53"/>
      <c r="BN113" s="51"/>
      <c r="BO113" s="53"/>
      <c r="BP113" s="51"/>
      <c r="BQ113" s="53"/>
      <c r="BR113" s="55"/>
    </row>
    <row r="114" spans="1:70" ht="28.5" customHeight="1">
      <c r="A114" s="69" t="s">
        <v>1303</v>
      </c>
      <c r="B114" s="51" t="str">
        <f t="shared" si="2"/>
        <v>giftcodesbanner/小小軍團-重生-bar.jpg</v>
      </c>
      <c r="C114" s="51"/>
      <c r="D114" s="51" t="str">
        <f t="shared" si="3"/>
        <v>https://www.ssbuy.tw/detail_giftcode/dist/giftcodes/小小軍團-重生.html</v>
      </c>
      <c r="E114" s="91" t="s">
        <v>3141</v>
      </c>
      <c r="F114" s="103" t="s">
        <v>1710</v>
      </c>
      <c r="G114" s="52" t="s">
        <v>1711</v>
      </c>
      <c r="H114" s="52" t="s">
        <v>1840</v>
      </c>
      <c r="I114" s="51"/>
      <c r="J114" s="91"/>
      <c r="K114" s="92" t="s">
        <v>2339</v>
      </c>
      <c r="L114" s="51" t="s">
        <v>1920</v>
      </c>
      <c r="M114" s="53" t="s">
        <v>3142</v>
      </c>
      <c r="N114" s="54" t="s">
        <v>2340</v>
      </c>
      <c r="O114" s="53" t="s">
        <v>2341</v>
      </c>
      <c r="P114" s="54" t="s">
        <v>3143</v>
      </c>
      <c r="Q114" s="53" t="s">
        <v>2342</v>
      </c>
      <c r="R114" s="54" t="s">
        <v>2345</v>
      </c>
      <c r="S114" s="53" t="s">
        <v>2343</v>
      </c>
      <c r="T114" s="54" t="s">
        <v>2345</v>
      </c>
      <c r="U114" s="53" t="s">
        <v>2344</v>
      </c>
      <c r="V114" s="54" t="s">
        <v>2345</v>
      </c>
      <c r="W114" s="53" t="s">
        <v>2346</v>
      </c>
      <c r="X114" s="54" t="s">
        <v>2345</v>
      </c>
      <c r="Y114" s="53" t="s">
        <v>2347</v>
      </c>
      <c r="Z114" s="54" t="s">
        <v>2350</v>
      </c>
      <c r="AA114" s="53" t="s">
        <v>2348</v>
      </c>
      <c r="AB114" s="54" t="s">
        <v>2345</v>
      </c>
      <c r="AC114" s="53" t="s">
        <v>2349</v>
      </c>
      <c r="AD114" s="54" t="s">
        <v>2350</v>
      </c>
      <c r="AE114" s="53" t="s">
        <v>2351</v>
      </c>
      <c r="AF114" s="54" t="s">
        <v>2350</v>
      </c>
      <c r="AG114" s="53" t="s">
        <v>2352</v>
      </c>
      <c r="AH114" s="54" t="s">
        <v>2350</v>
      </c>
      <c r="AI114" s="53" t="s">
        <v>2353</v>
      </c>
      <c r="AJ114" s="54" t="s">
        <v>2350</v>
      </c>
      <c r="AK114" s="53"/>
      <c r="AL114" s="54"/>
      <c r="AM114" s="53"/>
      <c r="AN114" s="54"/>
      <c r="AO114" s="53"/>
      <c r="AP114" s="54"/>
      <c r="AQ114" s="53"/>
      <c r="AR114" s="54"/>
      <c r="AS114" s="53"/>
      <c r="AT114" s="54"/>
      <c r="AU114" s="53"/>
      <c r="AV114" s="54"/>
      <c r="AW114" s="53"/>
      <c r="AX114" s="54"/>
      <c r="AY114" s="53"/>
      <c r="AZ114" s="54"/>
      <c r="BA114" s="53"/>
      <c r="BB114" s="51"/>
      <c r="BC114" s="53"/>
      <c r="BD114" s="51"/>
      <c r="BE114" s="53"/>
      <c r="BF114" s="51"/>
      <c r="BG114" s="53"/>
      <c r="BH114" s="51"/>
      <c r="BI114" s="53"/>
      <c r="BJ114" s="51"/>
      <c r="BK114" s="53"/>
      <c r="BL114" s="51"/>
      <c r="BM114" s="53"/>
      <c r="BN114" s="51"/>
      <c r="BO114" s="53"/>
      <c r="BP114" s="51"/>
      <c r="BQ114" s="53"/>
      <c r="BR114" s="55"/>
    </row>
    <row r="115" spans="1:70" ht="28.5" customHeight="1">
      <c r="A115" s="69" t="s">
        <v>1314</v>
      </c>
      <c r="B115" s="51" t="str">
        <f t="shared" si="2"/>
        <v>giftcodesbanner/爪爪遠征-bar.jpg</v>
      </c>
      <c r="C115" s="51"/>
      <c r="D115" s="51" t="str">
        <f t="shared" si="3"/>
        <v>https://www.ssbuy.tw/detail_giftcode/dist/giftcodes/爪爪遠征.html</v>
      </c>
      <c r="E115" s="91" t="s">
        <v>2354</v>
      </c>
      <c r="F115" s="103" t="s">
        <v>1710</v>
      </c>
      <c r="G115" s="52" t="s">
        <v>1711</v>
      </c>
      <c r="H115" s="52" t="s">
        <v>1840</v>
      </c>
      <c r="I115" s="51"/>
      <c r="J115" s="91"/>
      <c r="K115" s="92" t="s">
        <v>2355</v>
      </c>
      <c r="L115" s="51" t="s">
        <v>2355</v>
      </c>
      <c r="M115" s="53"/>
      <c r="N115" s="54"/>
      <c r="O115" s="53"/>
      <c r="P115" s="54"/>
      <c r="Q115" s="53"/>
      <c r="R115" s="54"/>
      <c r="S115" s="53"/>
      <c r="T115" s="54"/>
      <c r="U115" s="53"/>
      <c r="V115" s="54"/>
      <c r="W115" s="53"/>
      <c r="X115" s="54"/>
      <c r="Y115" s="53"/>
      <c r="Z115" s="54"/>
      <c r="AA115" s="53"/>
      <c r="AB115" s="54"/>
      <c r="AC115" s="53"/>
      <c r="AD115" s="54"/>
      <c r="AE115" s="53"/>
      <c r="AF115" s="54"/>
      <c r="AG115" s="53"/>
      <c r="AH115" s="54"/>
      <c r="AI115" s="53"/>
      <c r="AJ115" s="54"/>
      <c r="AK115" s="53"/>
      <c r="AL115" s="54"/>
      <c r="AM115" s="53"/>
      <c r="AN115" s="54"/>
      <c r="AO115" s="53"/>
      <c r="AP115" s="54"/>
      <c r="AQ115" s="53"/>
      <c r="AR115" s="54"/>
      <c r="AS115" s="53"/>
      <c r="AT115" s="54"/>
      <c r="AU115" s="53"/>
      <c r="AV115" s="54"/>
      <c r="AW115" s="53"/>
      <c r="AX115" s="54"/>
      <c r="AY115" s="53"/>
      <c r="AZ115" s="54"/>
      <c r="BA115" s="53"/>
      <c r="BB115" s="51"/>
      <c r="BC115" s="53"/>
      <c r="BD115" s="51"/>
      <c r="BE115" s="53"/>
      <c r="BF115" s="51"/>
      <c r="BG115" s="53"/>
      <c r="BH115" s="51"/>
      <c r="BI115" s="53"/>
      <c r="BJ115" s="51"/>
      <c r="BK115" s="53"/>
      <c r="BL115" s="51"/>
      <c r="BM115" s="53"/>
      <c r="BN115" s="51"/>
      <c r="BO115" s="53"/>
      <c r="BP115" s="51"/>
      <c r="BQ115" s="53"/>
      <c r="BR115" s="55"/>
    </row>
    <row r="116" spans="1:70" ht="28.5" customHeight="1">
      <c r="A116" s="69" t="s">
        <v>1324</v>
      </c>
      <c r="B116" s="51" t="str">
        <f t="shared" si="2"/>
        <v>giftcodesbanner/勇士團團轉-bar.jpg</v>
      </c>
      <c r="C116" s="51"/>
      <c r="D116" s="51" t="str">
        <f t="shared" si="3"/>
        <v>https://www.ssbuy.tw/detail_giftcode/dist/giftcodes/勇士團團轉.html</v>
      </c>
      <c r="E116" s="91" t="s">
        <v>2356</v>
      </c>
      <c r="F116" s="103" t="s">
        <v>1710</v>
      </c>
      <c r="G116" s="52" t="s">
        <v>1711</v>
      </c>
      <c r="H116" s="52" t="s">
        <v>1840</v>
      </c>
      <c r="I116" s="51"/>
      <c r="J116" s="91"/>
      <c r="K116" s="92" t="s">
        <v>2355</v>
      </c>
      <c r="L116" s="51" t="s">
        <v>2355</v>
      </c>
      <c r="M116" s="53"/>
      <c r="N116" s="54"/>
      <c r="O116" s="53"/>
      <c r="P116" s="54"/>
      <c r="Q116" s="53"/>
      <c r="R116" s="54"/>
      <c r="S116" s="53"/>
      <c r="T116" s="54"/>
      <c r="U116" s="53"/>
      <c r="V116" s="54"/>
      <c r="W116" s="53"/>
      <c r="X116" s="54"/>
      <c r="Y116" s="53"/>
      <c r="Z116" s="54"/>
      <c r="AA116" s="53"/>
      <c r="AB116" s="54"/>
      <c r="AC116" s="53"/>
      <c r="AD116" s="54"/>
      <c r="AE116" s="53"/>
      <c r="AF116" s="54"/>
      <c r="AG116" s="53"/>
      <c r="AH116" s="54"/>
      <c r="AI116" s="53"/>
      <c r="AJ116" s="54"/>
      <c r="AK116" s="53"/>
      <c r="AL116" s="54"/>
      <c r="AM116" s="53"/>
      <c r="AN116" s="54"/>
      <c r="AO116" s="53"/>
      <c r="AP116" s="54"/>
      <c r="AQ116" s="53"/>
      <c r="AR116" s="54"/>
      <c r="AS116" s="53"/>
      <c r="AT116" s="54"/>
      <c r="AU116" s="53"/>
      <c r="AV116" s="54"/>
      <c r="AW116" s="53"/>
      <c r="AX116" s="54"/>
      <c r="AY116" s="53"/>
      <c r="AZ116" s="54"/>
      <c r="BA116" s="53"/>
      <c r="BB116" s="51"/>
      <c r="BC116" s="53"/>
      <c r="BD116" s="51"/>
      <c r="BE116" s="53"/>
      <c r="BF116" s="51"/>
      <c r="BG116" s="53"/>
      <c r="BH116" s="51"/>
      <c r="BI116" s="53"/>
      <c r="BJ116" s="51"/>
      <c r="BK116" s="53"/>
      <c r="BL116" s="51"/>
      <c r="BM116" s="53"/>
      <c r="BN116" s="51"/>
      <c r="BO116" s="53"/>
      <c r="BP116" s="51"/>
      <c r="BQ116" s="53"/>
      <c r="BR116" s="55"/>
    </row>
    <row r="117" spans="1:70" ht="28.5" customHeight="1">
      <c r="A117" s="69" t="s">
        <v>1331</v>
      </c>
      <c r="B117" s="51" t="str">
        <f t="shared" si="2"/>
        <v>giftcodesbanner/魁 三國志大戰-bar.jpg</v>
      </c>
      <c r="C117" s="51"/>
      <c r="D117" s="51" t="str">
        <f t="shared" si="3"/>
        <v>https://www.ssbuy.tw/detail_giftcode/dist/giftcodes/魁 三國志大戰.html</v>
      </c>
      <c r="E117" s="91" t="s">
        <v>3144</v>
      </c>
      <c r="F117" s="103" t="s">
        <v>1710</v>
      </c>
      <c r="G117" s="52" t="s">
        <v>1711</v>
      </c>
      <c r="H117" s="52" t="s">
        <v>1840</v>
      </c>
      <c r="I117" s="51"/>
      <c r="J117" s="91"/>
      <c r="K117" s="92" t="s">
        <v>3145</v>
      </c>
      <c r="L117" s="51" t="s">
        <v>2357</v>
      </c>
      <c r="M117" s="53" t="s">
        <v>2358</v>
      </c>
      <c r="N117" s="54" t="s">
        <v>2359</v>
      </c>
      <c r="O117" s="53"/>
      <c r="P117" s="54"/>
      <c r="Q117" s="53"/>
      <c r="R117" s="54"/>
      <c r="S117" s="53"/>
      <c r="T117" s="54"/>
      <c r="U117" s="53"/>
      <c r="V117" s="54"/>
      <c r="W117" s="53"/>
      <c r="X117" s="54"/>
      <c r="Y117" s="53"/>
      <c r="Z117" s="54"/>
      <c r="AA117" s="53"/>
      <c r="AB117" s="54"/>
      <c r="AC117" s="53"/>
      <c r="AD117" s="54"/>
      <c r="AE117" s="53"/>
      <c r="AF117" s="54"/>
      <c r="AG117" s="53"/>
      <c r="AH117" s="54"/>
      <c r="AI117" s="53"/>
      <c r="AJ117" s="54"/>
      <c r="AK117" s="53"/>
      <c r="AL117" s="54"/>
      <c r="AM117" s="53"/>
      <c r="AN117" s="54"/>
      <c r="AO117" s="53"/>
      <c r="AP117" s="54"/>
      <c r="AQ117" s="53"/>
      <c r="AR117" s="54"/>
      <c r="AS117" s="53"/>
      <c r="AT117" s="54"/>
      <c r="AU117" s="53"/>
      <c r="AV117" s="54"/>
      <c r="AW117" s="53"/>
      <c r="AX117" s="54"/>
      <c r="AY117" s="53"/>
      <c r="AZ117" s="54"/>
      <c r="BA117" s="53"/>
      <c r="BB117" s="51"/>
      <c r="BC117" s="53"/>
      <c r="BD117" s="51"/>
      <c r="BE117" s="53"/>
      <c r="BF117" s="51"/>
      <c r="BG117" s="53"/>
      <c r="BH117" s="51"/>
      <c r="BI117" s="53"/>
      <c r="BJ117" s="51"/>
      <c r="BK117" s="53"/>
      <c r="BL117" s="51"/>
      <c r="BM117" s="53"/>
      <c r="BN117" s="51"/>
      <c r="BO117" s="53"/>
      <c r="BP117" s="51"/>
      <c r="BQ117" s="53"/>
      <c r="BR117" s="55"/>
    </row>
    <row r="118" spans="1:70" ht="28.5" customHeight="1">
      <c r="A118" s="69" t="s">
        <v>8</v>
      </c>
      <c r="B118" s="51" t="str">
        <f t="shared" si="2"/>
        <v>giftcodesbanner/tokyo beast-bar.jpg</v>
      </c>
      <c r="C118" s="51"/>
      <c r="D118" s="51" t="str">
        <f t="shared" si="3"/>
        <v>https://www.ssbuy.tw/detail_giftcode/dist/giftcodes/tokyo beast.html</v>
      </c>
      <c r="E118" s="91" t="s">
        <v>2360</v>
      </c>
      <c r="F118" s="103" t="s">
        <v>1710</v>
      </c>
      <c r="G118" s="52" t="s">
        <v>1711</v>
      </c>
      <c r="H118" s="52" t="s">
        <v>1840</v>
      </c>
      <c r="I118" s="51"/>
      <c r="J118" s="91"/>
      <c r="K118" s="92" t="s">
        <v>2355</v>
      </c>
      <c r="L118" s="51" t="s">
        <v>2355</v>
      </c>
      <c r="M118" s="53"/>
      <c r="N118" s="54"/>
      <c r="O118" s="53"/>
      <c r="P118" s="54"/>
      <c r="Q118" s="53"/>
      <c r="R118" s="54"/>
      <c r="S118" s="53"/>
      <c r="T118" s="54"/>
      <c r="U118" s="53"/>
      <c r="V118" s="54"/>
      <c r="W118" s="53"/>
      <c r="X118" s="54"/>
      <c r="Y118" s="53"/>
      <c r="Z118" s="54"/>
      <c r="AA118" s="53"/>
      <c r="AB118" s="54"/>
      <c r="AC118" s="53"/>
      <c r="AD118" s="54"/>
      <c r="AE118" s="53"/>
      <c r="AF118" s="54"/>
      <c r="AG118" s="53"/>
      <c r="AH118" s="54"/>
      <c r="AI118" s="53"/>
      <c r="AJ118" s="54"/>
      <c r="AK118" s="53"/>
      <c r="AL118" s="54"/>
      <c r="AM118" s="53"/>
      <c r="AN118" s="54"/>
      <c r="AO118" s="53"/>
      <c r="AP118" s="54"/>
      <c r="AQ118" s="53"/>
      <c r="AR118" s="54"/>
      <c r="AS118" s="53"/>
      <c r="AT118" s="54"/>
      <c r="AU118" s="53"/>
      <c r="AV118" s="54"/>
      <c r="AW118" s="53"/>
      <c r="AX118" s="54"/>
      <c r="AY118" s="53"/>
      <c r="AZ118" s="54"/>
      <c r="BA118" s="53"/>
      <c r="BB118" s="51"/>
      <c r="BC118" s="53"/>
      <c r="BD118" s="51"/>
      <c r="BE118" s="53"/>
      <c r="BF118" s="51"/>
      <c r="BG118" s="53"/>
      <c r="BH118" s="51"/>
      <c r="BI118" s="53"/>
      <c r="BJ118" s="51"/>
      <c r="BK118" s="53"/>
      <c r="BL118" s="51"/>
      <c r="BM118" s="53"/>
      <c r="BN118" s="51"/>
      <c r="BO118" s="53"/>
      <c r="BP118" s="51"/>
      <c r="BQ118" s="53"/>
      <c r="BR118" s="55"/>
    </row>
    <row r="119" spans="1:70" ht="28.5" customHeight="1">
      <c r="A119" s="56" t="s">
        <v>1351</v>
      </c>
      <c r="B119" s="51" t="str">
        <f t="shared" si="2"/>
        <v>giftcodesbanner/切換英雄：放置型RPG-bar.jpg</v>
      </c>
      <c r="C119" s="51"/>
      <c r="D119" s="51" t="str">
        <f t="shared" si="3"/>
        <v>https://www.ssbuy.tw/detail_giftcode/dist/giftcodes/切換英雄：放置型RPG.html</v>
      </c>
      <c r="E119" s="105" t="s">
        <v>3146</v>
      </c>
      <c r="F119" s="103" t="s">
        <v>1710</v>
      </c>
      <c r="G119" s="52" t="s">
        <v>1711</v>
      </c>
      <c r="H119" s="52" t="s">
        <v>1840</v>
      </c>
      <c r="I119" s="51"/>
      <c r="J119" s="91"/>
      <c r="K119" s="92" t="s">
        <v>2361</v>
      </c>
      <c r="L119" s="51" t="s">
        <v>2362</v>
      </c>
      <c r="M119" s="53" t="s">
        <v>3147</v>
      </c>
      <c r="N119" s="54" t="s">
        <v>3148</v>
      </c>
      <c r="O119" s="65" t="s">
        <v>2363</v>
      </c>
      <c r="P119" s="64" t="s">
        <v>2364</v>
      </c>
      <c r="Q119" s="65" t="s">
        <v>2365</v>
      </c>
      <c r="R119" s="64" t="s">
        <v>2366</v>
      </c>
      <c r="S119" s="65" t="s">
        <v>4589</v>
      </c>
      <c r="T119" s="64" t="s">
        <v>2366</v>
      </c>
      <c r="U119" s="65" t="s">
        <v>4590</v>
      </c>
      <c r="V119" s="64" t="s">
        <v>2367</v>
      </c>
      <c r="W119" s="65" t="s">
        <v>4591</v>
      </c>
      <c r="X119" s="64" t="s">
        <v>2366</v>
      </c>
      <c r="Y119" s="53"/>
      <c r="Z119" s="54"/>
      <c r="AA119" s="53"/>
      <c r="AB119" s="54"/>
      <c r="AC119" s="53"/>
      <c r="AD119" s="54"/>
      <c r="AE119" s="53"/>
      <c r="AF119" s="54"/>
      <c r="AG119" s="53"/>
      <c r="AH119" s="54"/>
      <c r="AI119" s="53"/>
      <c r="AJ119" s="54"/>
      <c r="AK119" s="53"/>
      <c r="AL119" s="54"/>
      <c r="AM119" s="53"/>
      <c r="AN119" s="54"/>
      <c r="AO119" s="53"/>
      <c r="AP119" s="54"/>
      <c r="AQ119" s="53"/>
      <c r="AR119" s="54"/>
      <c r="AS119" s="53"/>
      <c r="AT119" s="54"/>
      <c r="AU119" s="53"/>
      <c r="AV119" s="54"/>
      <c r="AW119" s="53"/>
      <c r="AX119" s="54"/>
      <c r="AY119" s="53"/>
      <c r="AZ119" s="54"/>
      <c r="BA119" s="53"/>
      <c r="BB119" s="51"/>
      <c r="BC119" s="53"/>
      <c r="BD119" s="51"/>
      <c r="BE119" s="53"/>
      <c r="BF119" s="51"/>
      <c r="BG119" s="53"/>
      <c r="BH119" s="51"/>
      <c r="BI119" s="53"/>
      <c r="BJ119" s="51"/>
      <c r="BK119" s="53"/>
      <c r="BL119" s="51"/>
      <c r="BM119" s="53"/>
      <c r="BN119" s="51"/>
      <c r="BO119" s="53"/>
      <c r="BP119" s="51"/>
      <c r="BQ119" s="53"/>
      <c r="BR119" s="55"/>
    </row>
    <row r="120" spans="1:70" ht="28.5" customHeight="1">
      <c r="A120" s="67" t="s">
        <v>1362</v>
      </c>
      <c r="B120" s="51" t="str">
        <f t="shared" si="2"/>
        <v>giftcodesbanner/小死神傳奇-bar.jpg</v>
      </c>
      <c r="C120" s="51"/>
      <c r="D120" s="51" t="str">
        <f t="shared" si="3"/>
        <v>https://www.ssbuy.tw/detail_giftcode/dist/giftcodes/小死神傳奇.html</v>
      </c>
      <c r="E120" s="91" t="s">
        <v>3149</v>
      </c>
      <c r="F120" s="103" t="s">
        <v>1710</v>
      </c>
      <c r="G120" s="52" t="s">
        <v>1711</v>
      </c>
      <c r="H120" s="52" t="s">
        <v>1840</v>
      </c>
      <c r="I120" s="51"/>
      <c r="J120" s="91"/>
      <c r="K120" s="92" t="s">
        <v>2355</v>
      </c>
      <c r="L120" s="51" t="s">
        <v>2355</v>
      </c>
      <c r="M120" s="53"/>
      <c r="N120" s="54"/>
      <c r="O120" s="53"/>
      <c r="P120" s="54"/>
      <c r="Q120" s="53"/>
      <c r="R120" s="54"/>
      <c r="S120" s="53"/>
      <c r="T120" s="54"/>
      <c r="U120" s="53"/>
      <c r="V120" s="54"/>
      <c r="W120" s="53"/>
      <c r="X120" s="54"/>
      <c r="Y120" s="53"/>
      <c r="Z120" s="54"/>
      <c r="AA120" s="53"/>
      <c r="AB120" s="54"/>
      <c r="AC120" s="53"/>
      <c r="AD120" s="54"/>
      <c r="AE120" s="53"/>
      <c r="AF120" s="54"/>
      <c r="AG120" s="53"/>
      <c r="AH120" s="54"/>
      <c r="AI120" s="53"/>
      <c r="AJ120" s="54"/>
      <c r="AK120" s="53"/>
      <c r="AL120" s="54"/>
      <c r="AM120" s="53"/>
      <c r="AN120" s="54"/>
      <c r="AO120" s="53"/>
      <c r="AP120" s="54"/>
      <c r="AQ120" s="53"/>
      <c r="AR120" s="54"/>
      <c r="AS120" s="53"/>
      <c r="AT120" s="54"/>
      <c r="AU120" s="53"/>
      <c r="AV120" s="54"/>
      <c r="AW120" s="53"/>
      <c r="AX120" s="54"/>
      <c r="AY120" s="53"/>
      <c r="AZ120" s="54"/>
      <c r="BA120" s="53"/>
      <c r="BB120" s="51"/>
      <c r="BC120" s="53"/>
      <c r="BD120" s="51"/>
      <c r="BE120" s="53"/>
      <c r="BF120" s="51"/>
      <c r="BG120" s="53"/>
      <c r="BH120" s="51"/>
      <c r="BI120" s="53"/>
      <c r="BJ120" s="51"/>
      <c r="BK120" s="53"/>
      <c r="BL120" s="51"/>
      <c r="BM120" s="53"/>
      <c r="BN120" s="51"/>
      <c r="BO120" s="53"/>
      <c r="BP120" s="51"/>
      <c r="BQ120" s="53"/>
      <c r="BR120" s="55"/>
    </row>
    <row r="121" spans="1:70" ht="28.5" customHeight="1">
      <c r="A121" s="67" t="s">
        <v>3150</v>
      </c>
      <c r="B121" s="51" t="str">
        <f t="shared" si="2"/>
        <v>giftcodesbanner/闇影詩章：凌越世界-bar.jpg</v>
      </c>
      <c r="C121" s="51"/>
      <c r="D121" s="51" t="str">
        <f t="shared" si="3"/>
        <v>https://www.ssbuy.tw/detail_giftcode/dist/giftcodes/闇影詩章：凌越世界.html</v>
      </c>
      <c r="E121" s="105" t="s">
        <v>3151</v>
      </c>
      <c r="F121" s="103" t="s">
        <v>1710</v>
      </c>
      <c r="G121" s="52" t="s">
        <v>1711</v>
      </c>
      <c r="H121" s="52" t="s">
        <v>1840</v>
      </c>
      <c r="I121" s="51"/>
      <c r="J121" s="91"/>
      <c r="K121" s="92" t="s">
        <v>2355</v>
      </c>
      <c r="L121" s="51" t="s">
        <v>3152</v>
      </c>
      <c r="M121" s="53"/>
      <c r="N121" s="54"/>
      <c r="O121" s="53"/>
      <c r="P121" s="54"/>
      <c r="Q121" s="53"/>
      <c r="R121" s="54"/>
      <c r="S121" s="53"/>
      <c r="T121" s="54"/>
      <c r="U121" s="53"/>
      <c r="V121" s="54"/>
      <c r="W121" s="53"/>
      <c r="X121" s="54"/>
      <c r="Y121" s="53"/>
      <c r="Z121" s="54"/>
      <c r="AA121" s="53"/>
      <c r="AB121" s="54"/>
      <c r="AC121" s="53"/>
      <c r="AD121" s="54"/>
      <c r="AE121" s="53"/>
      <c r="AF121" s="54"/>
      <c r="AG121" s="53"/>
      <c r="AH121" s="54"/>
      <c r="AI121" s="53"/>
      <c r="AJ121" s="54"/>
      <c r="AK121" s="53"/>
      <c r="AL121" s="54"/>
      <c r="AM121" s="53"/>
      <c r="AN121" s="54"/>
      <c r="AO121" s="53"/>
      <c r="AP121" s="54"/>
      <c r="AQ121" s="53"/>
      <c r="AR121" s="54"/>
      <c r="AS121" s="53"/>
      <c r="AT121" s="54"/>
      <c r="AU121" s="53"/>
      <c r="AV121" s="54"/>
      <c r="AW121" s="53"/>
      <c r="AX121" s="54"/>
      <c r="AY121" s="53"/>
      <c r="AZ121" s="54"/>
      <c r="BA121" s="53"/>
      <c r="BB121" s="51"/>
      <c r="BC121" s="53"/>
      <c r="BD121" s="51"/>
      <c r="BE121" s="53"/>
      <c r="BF121" s="51"/>
      <c r="BG121" s="53"/>
      <c r="BH121" s="51"/>
      <c r="BI121" s="53"/>
      <c r="BJ121" s="51"/>
      <c r="BK121" s="53"/>
      <c r="BL121" s="51"/>
      <c r="BM121" s="53"/>
      <c r="BN121" s="51"/>
      <c r="BO121" s="53"/>
      <c r="BP121" s="51"/>
      <c r="BQ121" s="53"/>
      <c r="BR121" s="55"/>
    </row>
    <row r="122" spans="1:70" ht="28.5" customHeight="1">
      <c r="A122" s="69" t="s">
        <v>1379</v>
      </c>
      <c r="B122" s="51" t="str">
        <f t="shared" si="2"/>
        <v>giftcodesbanner/雪月風花-bar.jpg</v>
      </c>
      <c r="C122" s="51"/>
      <c r="D122" s="51" t="str">
        <f t="shared" si="3"/>
        <v>https://www.ssbuy.tw/detail_giftcode/dist/giftcodes/雪月風花.html</v>
      </c>
      <c r="E122" s="91" t="s">
        <v>3153</v>
      </c>
      <c r="F122" s="103" t="s">
        <v>1710</v>
      </c>
      <c r="G122" s="52" t="s">
        <v>1711</v>
      </c>
      <c r="H122" s="52" t="s">
        <v>1840</v>
      </c>
      <c r="I122" s="51"/>
      <c r="J122" s="91"/>
      <c r="K122" s="94" t="s">
        <v>2369</v>
      </c>
      <c r="L122" s="66" t="s">
        <v>2370</v>
      </c>
      <c r="M122" s="65" t="s">
        <v>1782</v>
      </c>
      <c r="N122" s="64" t="s">
        <v>2371</v>
      </c>
      <c r="O122" s="65" t="s">
        <v>1714</v>
      </c>
      <c r="P122" s="64" t="s">
        <v>2372</v>
      </c>
      <c r="Q122" s="65" t="s">
        <v>1715</v>
      </c>
      <c r="R122" s="64" t="s">
        <v>2373</v>
      </c>
      <c r="S122" s="65" t="s">
        <v>1820</v>
      </c>
      <c r="T122" s="64" t="s">
        <v>2374</v>
      </c>
      <c r="U122" s="65" t="s">
        <v>2375</v>
      </c>
      <c r="V122" s="64" t="s">
        <v>2376</v>
      </c>
      <c r="W122" s="65" t="s">
        <v>2377</v>
      </c>
      <c r="X122" s="64" t="s">
        <v>2378</v>
      </c>
      <c r="Y122" s="65" t="s">
        <v>2379</v>
      </c>
      <c r="Z122" s="64" t="s">
        <v>2380</v>
      </c>
      <c r="AA122" s="65" t="s">
        <v>2379</v>
      </c>
      <c r="AB122" s="64" t="s">
        <v>2380</v>
      </c>
      <c r="AC122" s="65" t="s">
        <v>2381</v>
      </c>
      <c r="AD122" s="64" t="s">
        <v>2382</v>
      </c>
      <c r="AE122" s="65" t="s">
        <v>2383</v>
      </c>
      <c r="AF122" s="64" t="s">
        <v>2384</v>
      </c>
      <c r="AG122" s="65" t="s">
        <v>2385</v>
      </c>
      <c r="AH122" s="64" t="s">
        <v>2386</v>
      </c>
      <c r="AI122" s="65" t="s">
        <v>2387</v>
      </c>
      <c r="AJ122" s="64" t="s">
        <v>2388</v>
      </c>
      <c r="AK122" s="65" t="s">
        <v>2389</v>
      </c>
      <c r="AL122" s="64" t="s">
        <v>2390</v>
      </c>
      <c r="AM122" s="65" t="s">
        <v>2391</v>
      </c>
      <c r="AN122" s="64" t="s">
        <v>2392</v>
      </c>
      <c r="AO122" s="53"/>
      <c r="AP122" s="54"/>
      <c r="AQ122" s="53"/>
      <c r="AR122" s="54"/>
      <c r="AS122" s="53"/>
      <c r="AT122" s="54"/>
      <c r="AU122" s="53"/>
      <c r="AV122" s="54"/>
      <c r="AW122" s="53"/>
      <c r="AX122" s="54"/>
      <c r="AY122" s="53"/>
      <c r="AZ122" s="54"/>
      <c r="BA122" s="53"/>
      <c r="BB122" s="51"/>
      <c r="BC122" s="53"/>
      <c r="BD122" s="51"/>
      <c r="BE122" s="53"/>
      <c r="BF122" s="51"/>
      <c r="BG122" s="53"/>
      <c r="BH122" s="51"/>
      <c r="BI122" s="53"/>
      <c r="BJ122" s="51"/>
      <c r="BK122" s="53"/>
      <c r="BL122" s="51"/>
      <c r="BM122" s="53"/>
      <c r="BN122" s="51"/>
      <c r="BO122" s="53"/>
      <c r="BP122" s="51"/>
      <c r="BQ122" s="53"/>
      <c r="BR122" s="55"/>
    </row>
    <row r="123" spans="1:70" ht="28.5" customHeight="1">
      <c r="A123" s="69" t="s">
        <v>1381</v>
      </c>
      <c r="B123" s="51" t="str">
        <f t="shared" si="2"/>
        <v>giftcodesbanner/文明帝國：同盟時代-bar.jpg</v>
      </c>
      <c r="C123" s="51"/>
      <c r="D123" s="51" t="str">
        <f t="shared" si="3"/>
        <v>https://www.ssbuy.tw/detail_giftcode/dist/giftcodes/文明帝國：同盟時代.html</v>
      </c>
      <c r="E123" s="91" t="s">
        <v>3154</v>
      </c>
      <c r="F123" s="103" t="s">
        <v>1710</v>
      </c>
      <c r="G123" s="52" t="s">
        <v>1711</v>
      </c>
      <c r="H123" s="52" t="s">
        <v>2518</v>
      </c>
      <c r="I123" s="51"/>
      <c r="J123" s="91"/>
      <c r="K123" s="95" t="s">
        <v>2393</v>
      </c>
      <c r="L123" s="70" t="s">
        <v>2394</v>
      </c>
      <c r="M123" s="63" t="s">
        <v>2395</v>
      </c>
      <c r="N123" s="61" t="s">
        <v>2396</v>
      </c>
      <c r="O123" s="53"/>
      <c r="P123" s="54"/>
      <c r="Q123" s="53"/>
      <c r="R123" s="54"/>
      <c r="S123" s="53"/>
      <c r="T123" s="54"/>
      <c r="U123" s="53"/>
      <c r="V123" s="54"/>
      <c r="W123" s="53"/>
      <c r="X123" s="54"/>
      <c r="Y123" s="53"/>
      <c r="Z123" s="54"/>
      <c r="AA123" s="53"/>
      <c r="AB123" s="54"/>
      <c r="AC123" s="53"/>
      <c r="AD123" s="54"/>
      <c r="AE123" s="53"/>
      <c r="AF123" s="54"/>
      <c r="AG123" s="53"/>
      <c r="AH123" s="54"/>
      <c r="AI123" s="53"/>
      <c r="AJ123" s="54"/>
      <c r="AK123" s="53"/>
      <c r="AL123" s="54"/>
      <c r="AM123" s="53"/>
      <c r="AN123" s="54"/>
      <c r="AO123" s="53"/>
      <c r="AP123" s="54"/>
      <c r="AQ123" s="53"/>
      <c r="AR123" s="54"/>
      <c r="AS123" s="53"/>
      <c r="AT123" s="54"/>
      <c r="AU123" s="53"/>
      <c r="AV123" s="54"/>
      <c r="AW123" s="53"/>
      <c r="AX123" s="54"/>
      <c r="AY123" s="53"/>
      <c r="AZ123" s="54"/>
      <c r="BA123" s="53"/>
      <c r="BB123" s="51"/>
      <c r="BC123" s="53"/>
      <c r="BD123" s="51"/>
      <c r="BE123" s="53"/>
      <c r="BF123" s="51"/>
      <c r="BG123" s="53"/>
      <c r="BH123" s="51"/>
      <c r="BI123" s="53"/>
      <c r="BJ123" s="51"/>
      <c r="BK123" s="53"/>
      <c r="BL123" s="51"/>
      <c r="BM123" s="53"/>
      <c r="BN123" s="51"/>
      <c r="BO123" s="53"/>
      <c r="BP123" s="51"/>
      <c r="BQ123" s="53"/>
      <c r="BR123" s="55"/>
    </row>
    <row r="124" spans="1:70" ht="28.5" customHeight="1">
      <c r="A124" s="69" t="s">
        <v>1383</v>
      </c>
      <c r="B124" s="51" t="str">
        <f t="shared" si="2"/>
        <v>giftcodesbanner/魔法商店大亨-bar.jpg</v>
      </c>
      <c r="C124" s="51"/>
      <c r="D124" s="51" t="str">
        <f t="shared" si="3"/>
        <v>https://www.ssbuy.tw/detail_giftcode/dist/giftcodes/魔法商店大亨.html</v>
      </c>
      <c r="E124" s="91" t="s">
        <v>2397</v>
      </c>
      <c r="F124" s="103" t="s">
        <v>2368</v>
      </c>
      <c r="G124" s="52" t="s">
        <v>1711</v>
      </c>
      <c r="H124" s="52" t="s">
        <v>1840</v>
      </c>
      <c r="I124" s="51"/>
      <c r="J124" s="91"/>
      <c r="K124" s="92" t="s">
        <v>1932</v>
      </c>
      <c r="L124" s="51" t="s">
        <v>2398</v>
      </c>
      <c r="M124" s="53" t="s">
        <v>2056</v>
      </c>
      <c r="N124" s="54" t="s">
        <v>3155</v>
      </c>
      <c r="O124" s="53" t="s">
        <v>1841</v>
      </c>
      <c r="P124" s="54" t="s">
        <v>2399</v>
      </c>
      <c r="Q124" s="53" t="s">
        <v>3156</v>
      </c>
      <c r="R124" s="54" t="s">
        <v>3157</v>
      </c>
      <c r="S124" s="53" t="s">
        <v>2199</v>
      </c>
      <c r="T124" s="54" t="s">
        <v>3158</v>
      </c>
      <c r="U124" s="53" t="s">
        <v>2200</v>
      </c>
      <c r="V124" s="54" t="s">
        <v>3159</v>
      </c>
      <c r="W124" s="53" t="s">
        <v>3160</v>
      </c>
      <c r="X124" s="54" t="s">
        <v>3161</v>
      </c>
      <c r="Y124" s="53"/>
      <c r="Z124" s="54"/>
      <c r="AA124" s="53"/>
      <c r="AB124" s="54"/>
      <c r="AC124" s="53"/>
      <c r="AD124" s="54"/>
      <c r="AE124" s="53"/>
      <c r="AF124" s="54"/>
      <c r="AG124" s="53"/>
      <c r="AH124" s="54"/>
      <c r="AI124" s="53"/>
      <c r="AJ124" s="54"/>
      <c r="AK124" s="53"/>
      <c r="AL124" s="54"/>
      <c r="AM124" s="53"/>
      <c r="AN124" s="54"/>
      <c r="AO124" s="53"/>
      <c r="AP124" s="54"/>
      <c r="AQ124" s="53"/>
      <c r="AR124" s="54"/>
      <c r="AS124" s="53"/>
      <c r="AT124" s="54"/>
      <c r="AU124" s="53"/>
      <c r="AV124" s="54"/>
      <c r="AW124" s="53"/>
      <c r="AX124" s="54"/>
      <c r="AY124" s="53"/>
      <c r="AZ124" s="54"/>
      <c r="BA124" s="53"/>
      <c r="BB124" s="51"/>
      <c r="BC124" s="53"/>
      <c r="BD124" s="51"/>
      <c r="BE124" s="53"/>
      <c r="BF124" s="51"/>
      <c r="BG124" s="53"/>
      <c r="BH124" s="51"/>
      <c r="BI124" s="53"/>
      <c r="BJ124" s="51"/>
      <c r="BK124" s="53"/>
      <c r="BL124" s="51"/>
      <c r="BM124" s="53"/>
      <c r="BN124" s="51"/>
      <c r="BO124" s="53"/>
      <c r="BP124" s="51"/>
      <c r="BQ124" s="53"/>
      <c r="BR124" s="55"/>
    </row>
    <row r="125" spans="1:70" ht="28.5" customHeight="1">
      <c r="A125" s="69" t="s">
        <v>1385</v>
      </c>
      <c r="B125" s="51" t="str">
        <f t="shared" si="2"/>
        <v>giftcodesbanner/新仙劍奇俠傳lite-bar.jpg</v>
      </c>
      <c r="C125" s="51"/>
      <c r="D125" s="51" t="str">
        <f t="shared" si="3"/>
        <v>https://www.ssbuy.tw/detail_giftcode/dist/giftcodes/新仙劍奇俠傳lite.html</v>
      </c>
      <c r="E125" s="91" t="s">
        <v>1386</v>
      </c>
      <c r="F125" s="103" t="s">
        <v>1710</v>
      </c>
      <c r="G125" s="52" t="s">
        <v>1711</v>
      </c>
      <c r="H125" s="52" t="s">
        <v>1840</v>
      </c>
      <c r="I125" s="51"/>
      <c r="J125" s="91"/>
      <c r="K125" s="92" t="s">
        <v>2402</v>
      </c>
      <c r="L125" s="51" t="s">
        <v>1920</v>
      </c>
      <c r="M125" s="53" t="s">
        <v>2403</v>
      </c>
      <c r="N125" s="54" t="s">
        <v>1920</v>
      </c>
      <c r="O125" s="53" t="s">
        <v>2404</v>
      </c>
      <c r="P125" s="54" t="s">
        <v>1920</v>
      </c>
      <c r="Q125" s="53" t="s">
        <v>2405</v>
      </c>
      <c r="R125" s="54" t="s">
        <v>1920</v>
      </c>
      <c r="S125" s="53" t="s">
        <v>2406</v>
      </c>
      <c r="T125" s="54" t="s">
        <v>1920</v>
      </c>
      <c r="U125" s="53" t="s">
        <v>1715</v>
      </c>
      <c r="V125" s="54" t="s">
        <v>1920</v>
      </c>
      <c r="W125" s="53" t="s">
        <v>1714</v>
      </c>
      <c r="X125" s="54" t="s">
        <v>1920</v>
      </c>
      <c r="Y125" s="53" t="s">
        <v>1782</v>
      </c>
      <c r="Z125" s="54" t="s">
        <v>1920</v>
      </c>
      <c r="AA125" s="53" t="s">
        <v>2407</v>
      </c>
      <c r="AB125" s="54" t="s">
        <v>1920</v>
      </c>
      <c r="AC125" s="53" t="s">
        <v>2408</v>
      </c>
      <c r="AD125" s="54" t="s">
        <v>1920</v>
      </c>
      <c r="AE125" s="53" t="s">
        <v>2409</v>
      </c>
      <c r="AF125" s="54" t="s">
        <v>1920</v>
      </c>
      <c r="AG125" s="53" t="s">
        <v>2410</v>
      </c>
      <c r="AH125" s="54" t="s">
        <v>1920</v>
      </c>
      <c r="AI125" s="53" t="s">
        <v>2411</v>
      </c>
      <c r="AJ125" s="54" t="s">
        <v>1920</v>
      </c>
      <c r="AK125" s="53" t="s">
        <v>2412</v>
      </c>
      <c r="AL125" s="54" t="s">
        <v>1920</v>
      </c>
      <c r="AM125" s="53" t="s">
        <v>2407</v>
      </c>
      <c r="AN125" s="54" t="s">
        <v>1920</v>
      </c>
      <c r="AO125" s="53" t="s">
        <v>2413</v>
      </c>
      <c r="AP125" s="54" t="s">
        <v>1920</v>
      </c>
      <c r="AQ125" s="53" t="s">
        <v>2414</v>
      </c>
      <c r="AR125" s="54" t="s">
        <v>1920</v>
      </c>
      <c r="AS125" s="53" t="s">
        <v>2415</v>
      </c>
      <c r="AT125" s="54" t="s">
        <v>1920</v>
      </c>
      <c r="AU125" s="53" t="s">
        <v>2416</v>
      </c>
      <c r="AV125" s="54" t="s">
        <v>1920</v>
      </c>
      <c r="AW125" s="53" t="s">
        <v>2417</v>
      </c>
      <c r="AX125" s="54" t="s">
        <v>1920</v>
      </c>
      <c r="AY125" s="53"/>
      <c r="AZ125" s="54"/>
      <c r="BA125" s="53"/>
      <c r="BB125" s="51"/>
      <c r="BC125" s="53"/>
      <c r="BD125" s="51"/>
      <c r="BE125" s="53"/>
      <c r="BF125" s="51"/>
      <c r="BG125" s="53"/>
      <c r="BH125" s="51"/>
      <c r="BI125" s="53"/>
      <c r="BJ125" s="51"/>
      <c r="BK125" s="53"/>
      <c r="BL125" s="51"/>
      <c r="BM125" s="53"/>
      <c r="BN125" s="51"/>
      <c r="BO125" s="53"/>
      <c r="BP125" s="51"/>
      <c r="BQ125" s="53"/>
      <c r="BR125" s="55"/>
    </row>
    <row r="126" spans="1:70" ht="28.5" customHeight="1">
      <c r="A126" s="69" t="s">
        <v>1387</v>
      </c>
      <c r="B126" s="51" t="str">
        <f>"giftcodesbanner/" &amp; A126 &amp; "-bar.jpg"</f>
        <v>giftcodesbanner/神州M-bar.jpg</v>
      </c>
      <c r="C126" s="51"/>
      <c r="D126" s="51" t="str">
        <f t="shared" si="3"/>
        <v>https://www.ssbuy.tw/detail_giftcode/dist/giftcodes/神州M.html</v>
      </c>
      <c r="E126" s="91" t="s">
        <v>3162</v>
      </c>
      <c r="F126" s="103" t="s">
        <v>1710</v>
      </c>
      <c r="G126" s="52" t="s">
        <v>1711</v>
      </c>
      <c r="H126" s="52" t="s">
        <v>1840</v>
      </c>
      <c r="I126" s="51"/>
      <c r="J126" s="91"/>
      <c r="K126" s="92" t="s">
        <v>2418</v>
      </c>
      <c r="L126" s="51" t="s">
        <v>2418</v>
      </c>
      <c r="M126" s="53" t="s">
        <v>3163</v>
      </c>
      <c r="N126" s="54" t="s">
        <v>2418</v>
      </c>
      <c r="O126" s="53"/>
      <c r="P126" s="54"/>
      <c r="Q126" s="53"/>
      <c r="R126" s="54"/>
      <c r="S126" s="53"/>
      <c r="T126" s="54"/>
      <c r="U126" s="53"/>
      <c r="V126" s="54"/>
      <c r="W126" s="53"/>
      <c r="X126" s="54"/>
      <c r="Y126" s="53"/>
      <c r="Z126" s="54"/>
      <c r="AA126" s="53"/>
      <c r="AB126" s="54"/>
      <c r="AC126" s="53"/>
      <c r="AD126" s="54"/>
      <c r="AE126" s="53"/>
      <c r="AF126" s="54"/>
      <c r="AG126" s="53"/>
      <c r="AH126" s="54"/>
      <c r="AI126" s="53"/>
      <c r="AJ126" s="54"/>
      <c r="AK126" s="53"/>
      <c r="AL126" s="54"/>
      <c r="AM126" s="53"/>
      <c r="AN126" s="54"/>
      <c r="AO126" s="53"/>
      <c r="AP126" s="54"/>
      <c r="AQ126" s="53"/>
      <c r="AR126" s="54"/>
      <c r="AS126" s="53"/>
      <c r="AT126" s="54"/>
      <c r="AU126" s="53"/>
      <c r="AV126" s="54"/>
      <c r="AW126" s="53"/>
      <c r="AX126" s="54"/>
      <c r="AY126" s="53"/>
      <c r="AZ126" s="54"/>
      <c r="BA126" s="53"/>
      <c r="BB126" s="51"/>
      <c r="BC126" s="53"/>
      <c r="BD126" s="51"/>
      <c r="BE126" s="53"/>
      <c r="BF126" s="51"/>
      <c r="BG126" s="53"/>
      <c r="BH126" s="51"/>
      <c r="BI126" s="53"/>
      <c r="BJ126" s="51"/>
      <c r="BK126" s="53"/>
      <c r="BL126" s="51"/>
      <c r="BM126" s="53"/>
      <c r="BN126" s="51"/>
      <c r="BO126" s="53"/>
      <c r="BP126" s="51"/>
      <c r="BQ126" s="53"/>
      <c r="BR126" s="55"/>
    </row>
    <row r="127" spans="1:70" ht="28.5" customHeight="1">
      <c r="A127" s="67" t="s">
        <v>2419</v>
      </c>
      <c r="B127" s="51" t="str">
        <f>"giftcodesbanner/" &amp; A127 &amp; "-bar.jpg"</f>
        <v>giftcodesbanner/英雄傳說：卡卡布三部曲-bar.jpg</v>
      </c>
      <c r="C127" s="51"/>
      <c r="D127" s="51" t="str">
        <f t="shared" si="3"/>
        <v>https://www.ssbuy.tw/detail_giftcode/dist/giftcodes/英雄傳說：卡卡布三部曲.html</v>
      </c>
      <c r="E127" s="91" t="s">
        <v>3164</v>
      </c>
      <c r="F127" s="103" t="s">
        <v>1740</v>
      </c>
      <c r="G127" s="52" t="s">
        <v>1711</v>
      </c>
      <c r="H127" s="52" t="s">
        <v>1840</v>
      </c>
      <c r="I127" s="51"/>
      <c r="J127" s="91"/>
      <c r="K127" s="92" t="s">
        <v>3165</v>
      </c>
      <c r="L127" s="51" t="s">
        <v>1920</v>
      </c>
      <c r="M127" s="53" t="s">
        <v>2420</v>
      </c>
      <c r="N127" s="54" t="s">
        <v>1920</v>
      </c>
      <c r="O127" s="53" t="s">
        <v>2421</v>
      </c>
      <c r="P127" s="54" t="s">
        <v>1920</v>
      </c>
      <c r="Q127" s="53" t="s">
        <v>3166</v>
      </c>
      <c r="R127" s="54" t="s">
        <v>1920</v>
      </c>
      <c r="S127" s="53" t="s">
        <v>3167</v>
      </c>
      <c r="T127" s="54" t="s">
        <v>1920</v>
      </c>
      <c r="U127" s="53" t="s">
        <v>3168</v>
      </c>
      <c r="V127" s="54" t="s">
        <v>1920</v>
      </c>
      <c r="W127" s="53" t="s">
        <v>3169</v>
      </c>
      <c r="X127" s="54" t="s">
        <v>1920</v>
      </c>
      <c r="Y127" s="53" t="s">
        <v>3170</v>
      </c>
      <c r="Z127" s="54" t="s">
        <v>1920</v>
      </c>
      <c r="AA127" s="53" t="s">
        <v>3171</v>
      </c>
      <c r="AB127" s="54" t="s">
        <v>1920</v>
      </c>
      <c r="AC127" s="53" t="s">
        <v>3172</v>
      </c>
      <c r="AD127" s="54" t="s">
        <v>1920</v>
      </c>
      <c r="AE127" s="53" t="s">
        <v>3173</v>
      </c>
      <c r="AF127" s="54" t="s">
        <v>1920</v>
      </c>
      <c r="AG127" s="53" t="s">
        <v>3174</v>
      </c>
      <c r="AH127" s="54" t="s">
        <v>1920</v>
      </c>
      <c r="AI127" s="53" t="s">
        <v>2423</v>
      </c>
      <c r="AJ127" s="54" t="s">
        <v>1920</v>
      </c>
      <c r="AK127" s="53" t="s">
        <v>5022</v>
      </c>
      <c r="AL127" s="54"/>
      <c r="AM127" s="53" t="s">
        <v>5023</v>
      </c>
      <c r="AN127" s="54" t="s">
        <v>5028</v>
      </c>
      <c r="AO127" s="53" t="s">
        <v>5024</v>
      </c>
      <c r="AP127" s="54" t="s">
        <v>5027</v>
      </c>
      <c r="AQ127" s="53" t="s">
        <v>5025</v>
      </c>
      <c r="AR127" s="54" t="s">
        <v>5026</v>
      </c>
      <c r="AS127" s="53"/>
      <c r="AT127" s="54"/>
      <c r="AU127" s="53"/>
      <c r="AV127" s="54"/>
      <c r="AW127" s="53"/>
      <c r="AX127" s="54"/>
      <c r="AY127" s="53"/>
      <c r="AZ127" s="54"/>
      <c r="BA127" s="53"/>
      <c r="BB127" s="51"/>
      <c r="BC127" s="53"/>
      <c r="BD127" s="51"/>
      <c r="BE127" s="53"/>
      <c r="BF127" s="51"/>
      <c r="BG127" s="53"/>
      <c r="BH127" s="51"/>
      <c r="BI127" s="53"/>
      <c r="BJ127" s="51"/>
      <c r="BK127" s="53"/>
      <c r="BL127" s="51"/>
      <c r="BM127" s="53"/>
      <c r="BN127" s="51"/>
      <c r="BO127" s="53"/>
      <c r="BP127" s="51"/>
      <c r="BQ127" s="53"/>
      <c r="BR127" s="55"/>
    </row>
    <row r="128" spans="1:70" ht="28.5" customHeight="1">
      <c r="A128" s="69" t="s">
        <v>57</v>
      </c>
      <c r="B128" s="51" t="str">
        <f t="shared" ref="B128:B134" si="4">"giftcodesbanner/" &amp; A128 &amp; "-bar.jpg"</f>
        <v>giftcodesbanner/胡來英雄-bar.jpg</v>
      </c>
      <c r="C128" s="51"/>
      <c r="D128" s="51" t="str">
        <f t="shared" si="3"/>
        <v>https://www.ssbuy.tw/detail_giftcode/dist/giftcodes/胡來英雄.html</v>
      </c>
      <c r="E128" s="105" t="s">
        <v>3175</v>
      </c>
      <c r="F128" s="103" t="s">
        <v>2437</v>
      </c>
      <c r="G128" s="52" t="s">
        <v>1711</v>
      </c>
      <c r="H128" s="52" t="s">
        <v>2518</v>
      </c>
      <c r="I128" s="51"/>
      <c r="J128" s="91"/>
      <c r="K128" s="92" t="s">
        <v>3176</v>
      </c>
      <c r="L128" s="51" t="s">
        <v>3177</v>
      </c>
      <c r="M128" s="53" t="s">
        <v>3178</v>
      </c>
      <c r="N128" s="54" t="s">
        <v>2424</v>
      </c>
      <c r="O128" s="53" t="s">
        <v>3179</v>
      </c>
      <c r="P128" s="54" t="s">
        <v>3180</v>
      </c>
      <c r="Q128" s="53" t="s">
        <v>3181</v>
      </c>
      <c r="R128" s="54" t="s">
        <v>2425</v>
      </c>
      <c r="S128" s="53" t="s">
        <v>3182</v>
      </c>
      <c r="T128" s="54" t="s">
        <v>3183</v>
      </c>
      <c r="U128" s="53" t="s">
        <v>3184</v>
      </c>
      <c r="V128" s="54" t="s">
        <v>3185</v>
      </c>
      <c r="W128" s="53"/>
      <c r="X128" s="54"/>
      <c r="Y128" s="53"/>
      <c r="Z128" s="54"/>
      <c r="AA128" s="53"/>
      <c r="AB128" s="54"/>
      <c r="AC128" s="53"/>
      <c r="AD128" s="54"/>
      <c r="AE128" s="53"/>
      <c r="AF128" s="54"/>
      <c r="AG128" s="53"/>
      <c r="AH128" s="54"/>
      <c r="AI128" s="53"/>
      <c r="AJ128" s="54"/>
      <c r="AK128" s="53"/>
      <c r="AL128" s="54"/>
      <c r="AM128" s="53"/>
      <c r="AN128" s="54"/>
      <c r="AO128" s="53"/>
      <c r="AP128" s="54"/>
      <c r="AQ128" s="53"/>
      <c r="AR128" s="54"/>
      <c r="AS128" s="53"/>
      <c r="AT128" s="54"/>
      <c r="AU128" s="53"/>
      <c r="AV128" s="54"/>
      <c r="AW128" s="53"/>
      <c r="AX128" s="54"/>
      <c r="AY128" s="53"/>
      <c r="AZ128" s="54"/>
      <c r="BA128" s="53"/>
      <c r="BB128" s="51"/>
      <c r="BC128" s="53"/>
      <c r="BD128" s="51"/>
      <c r="BE128" s="53"/>
      <c r="BF128" s="51"/>
      <c r="BG128" s="53"/>
      <c r="BH128" s="51"/>
      <c r="BI128" s="53"/>
      <c r="BJ128" s="51"/>
      <c r="BK128" s="53"/>
      <c r="BL128" s="51"/>
      <c r="BM128" s="53"/>
      <c r="BN128" s="51"/>
      <c r="BO128" s="53"/>
      <c r="BP128" s="51"/>
      <c r="BQ128" s="53"/>
      <c r="BR128" s="55"/>
    </row>
    <row r="129" spans="1:70" ht="28.5" customHeight="1">
      <c r="A129" s="69" t="s">
        <v>58</v>
      </c>
      <c r="B129" s="51" t="str">
        <f t="shared" si="4"/>
        <v>giftcodesbanner/一天又一天的RPG-bar.jpg</v>
      </c>
      <c r="C129" s="51"/>
      <c r="D129" s="51" t="str">
        <f t="shared" si="3"/>
        <v>https://www.ssbuy.tw/detail_giftcode/dist/giftcodes/一天又一天的RPG.html</v>
      </c>
      <c r="E129" s="91" t="s">
        <v>3186</v>
      </c>
      <c r="F129" s="103" t="s">
        <v>2437</v>
      </c>
      <c r="G129" s="52" t="s">
        <v>1711</v>
      </c>
      <c r="H129" s="52" t="s">
        <v>1840</v>
      </c>
      <c r="I129" s="51"/>
      <c r="J129" s="91"/>
      <c r="K129" s="92" t="s">
        <v>3187</v>
      </c>
      <c r="L129" s="51" t="s">
        <v>1920</v>
      </c>
      <c r="M129" s="53" t="s">
        <v>2426</v>
      </c>
      <c r="N129" s="54" t="s">
        <v>1920</v>
      </c>
      <c r="O129" s="53" t="s">
        <v>3188</v>
      </c>
      <c r="P129" s="54" t="s">
        <v>1920</v>
      </c>
      <c r="Q129" s="53" t="s">
        <v>3189</v>
      </c>
      <c r="R129" s="54" t="s">
        <v>1920</v>
      </c>
      <c r="S129" s="53" t="s">
        <v>3190</v>
      </c>
      <c r="T129" s="54" t="s">
        <v>1920</v>
      </c>
      <c r="U129" s="53" t="s">
        <v>2427</v>
      </c>
      <c r="V129" s="54" t="s">
        <v>1920</v>
      </c>
      <c r="W129" s="53"/>
      <c r="X129" s="54"/>
      <c r="Y129" s="53"/>
      <c r="Z129" s="54"/>
      <c r="AA129" s="53"/>
      <c r="AB129" s="54"/>
      <c r="AC129" s="53"/>
      <c r="AD129" s="54"/>
      <c r="AE129" s="53"/>
      <c r="AF129" s="54"/>
      <c r="AG129" s="53"/>
      <c r="AH129" s="54"/>
      <c r="AI129" s="53"/>
      <c r="AJ129" s="54"/>
      <c r="AK129" s="53"/>
      <c r="AL129" s="54"/>
      <c r="AM129" s="53"/>
      <c r="AN129" s="54"/>
      <c r="AO129" s="53"/>
      <c r="AP129" s="54"/>
      <c r="AQ129" s="53"/>
      <c r="AR129" s="54"/>
      <c r="AS129" s="53"/>
      <c r="AT129" s="54"/>
      <c r="AU129" s="53"/>
      <c r="AV129" s="54"/>
      <c r="AW129" s="53"/>
      <c r="AX129" s="54"/>
      <c r="AY129" s="53"/>
      <c r="AZ129" s="54"/>
      <c r="BA129" s="53"/>
      <c r="BB129" s="51"/>
      <c r="BC129" s="53"/>
      <c r="BD129" s="51"/>
      <c r="BE129" s="53"/>
      <c r="BF129" s="51"/>
      <c r="BG129" s="53"/>
      <c r="BH129" s="51"/>
      <c r="BI129" s="53"/>
      <c r="BJ129" s="51"/>
      <c r="BK129" s="53"/>
      <c r="BL129" s="51"/>
      <c r="BM129" s="53"/>
      <c r="BN129" s="51"/>
      <c r="BO129" s="53"/>
      <c r="BP129" s="51"/>
      <c r="BQ129" s="53"/>
      <c r="BR129" s="55"/>
    </row>
    <row r="130" spans="1:70" ht="28.5" customHeight="1">
      <c r="A130" s="69" t="s">
        <v>59</v>
      </c>
      <c r="B130" s="51" t="str">
        <f t="shared" si="4"/>
        <v>giftcodesbanner/銀與血-bar.jpg</v>
      </c>
      <c r="C130" s="51"/>
      <c r="D130" s="51" t="str">
        <f t="shared" si="3"/>
        <v>https://www.ssbuy.tw/detail_giftcode/dist/giftcodes/銀與血.html</v>
      </c>
      <c r="E130" s="91" t="s">
        <v>2428</v>
      </c>
      <c r="F130" s="103" t="s">
        <v>1710</v>
      </c>
      <c r="G130" s="52" t="s">
        <v>1711</v>
      </c>
      <c r="H130" s="52" t="s">
        <v>1840</v>
      </c>
      <c r="I130" s="51"/>
      <c r="J130" s="91"/>
      <c r="K130" s="92" t="s">
        <v>3191</v>
      </c>
      <c r="L130" s="51" t="s">
        <v>1920</v>
      </c>
      <c r="M130" s="53" t="s">
        <v>2429</v>
      </c>
      <c r="N130" s="54" t="s">
        <v>1920</v>
      </c>
      <c r="O130" s="53" t="s">
        <v>3192</v>
      </c>
      <c r="P130" s="54" t="s">
        <v>1920</v>
      </c>
      <c r="Q130" s="53" t="s">
        <v>3193</v>
      </c>
      <c r="R130" s="54" t="s">
        <v>1920</v>
      </c>
      <c r="S130" s="53" t="s">
        <v>3194</v>
      </c>
      <c r="T130" s="54" t="s">
        <v>1920</v>
      </c>
      <c r="U130" s="53" t="s">
        <v>3195</v>
      </c>
      <c r="V130" s="54" t="s">
        <v>1920</v>
      </c>
      <c r="W130" s="53"/>
      <c r="X130" s="54"/>
      <c r="Y130" s="53"/>
      <c r="Z130" s="54"/>
      <c r="AA130" s="53"/>
      <c r="AB130" s="54"/>
      <c r="AC130" s="53"/>
      <c r="AD130" s="54"/>
      <c r="AE130" s="53"/>
      <c r="AF130" s="54"/>
      <c r="AG130" s="53"/>
      <c r="AH130" s="54"/>
      <c r="AI130" s="53"/>
      <c r="AJ130" s="54"/>
      <c r="AK130" s="53"/>
      <c r="AL130" s="54"/>
      <c r="AM130" s="53"/>
      <c r="AN130" s="54"/>
      <c r="AO130" s="53"/>
      <c r="AP130" s="54"/>
      <c r="AQ130" s="53"/>
      <c r="AR130" s="54"/>
      <c r="AS130" s="53"/>
      <c r="AT130" s="54"/>
      <c r="AU130" s="53"/>
      <c r="AV130" s="54"/>
      <c r="AW130" s="53"/>
      <c r="AX130" s="54"/>
      <c r="AY130" s="53"/>
      <c r="AZ130" s="54"/>
      <c r="BA130" s="53"/>
      <c r="BB130" s="51"/>
      <c r="BC130" s="53"/>
      <c r="BD130" s="51"/>
      <c r="BE130" s="53"/>
      <c r="BF130" s="51"/>
      <c r="BG130" s="53"/>
      <c r="BH130" s="51"/>
      <c r="BI130" s="53"/>
      <c r="BJ130" s="51"/>
      <c r="BK130" s="53"/>
      <c r="BL130" s="51"/>
      <c r="BM130" s="53"/>
      <c r="BN130" s="51"/>
      <c r="BO130" s="53"/>
      <c r="BP130" s="51"/>
      <c r="BQ130" s="53"/>
      <c r="BR130" s="55"/>
    </row>
    <row r="131" spans="1:70" ht="28.5" customHeight="1">
      <c r="A131" s="69" t="s">
        <v>60</v>
      </c>
      <c r="B131" s="51" t="str">
        <f t="shared" si="4"/>
        <v>giftcodesbanner/緋石之心-bar.jpg</v>
      </c>
      <c r="C131" s="51"/>
      <c r="D131" s="51" t="str">
        <f t="shared" ref="D131:D194" si="5">IF(A131="","", "https://www.ssbuy.tw/detail_giftcode/dist/giftcodes/" &amp; IF(ISNUMBER(LEFT(A131,1)*1), "game-", "") &amp; A131 &amp; ".html")</f>
        <v>https://www.ssbuy.tw/detail_giftcode/dist/giftcodes/緋石之心.html</v>
      </c>
      <c r="E131" s="91" t="s">
        <v>3196</v>
      </c>
      <c r="F131" s="103" t="s">
        <v>2507</v>
      </c>
      <c r="G131" s="52" t="s">
        <v>1711</v>
      </c>
      <c r="H131" s="52" t="s">
        <v>1840</v>
      </c>
      <c r="I131" s="51"/>
      <c r="J131" s="91"/>
      <c r="K131" s="92" t="s">
        <v>2430</v>
      </c>
      <c r="L131" s="51" t="s">
        <v>1920</v>
      </c>
      <c r="M131" s="53" t="s">
        <v>1932</v>
      </c>
      <c r="N131" s="54" t="s">
        <v>1920</v>
      </c>
      <c r="O131" s="53"/>
      <c r="P131" s="54"/>
      <c r="Q131" s="53"/>
      <c r="R131" s="54"/>
      <c r="S131" s="53"/>
      <c r="T131" s="54"/>
      <c r="U131" s="53"/>
      <c r="V131" s="54"/>
      <c r="W131" s="53"/>
      <c r="X131" s="54"/>
      <c r="Y131" s="53"/>
      <c r="Z131" s="54"/>
      <c r="AA131" s="53"/>
      <c r="AB131" s="54"/>
      <c r="AC131" s="53"/>
      <c r="AD131" s="54"/>
      <c r="AE131" s="53"/>
      <c r="AF131" s="54"/>
      <c r="AG131" s="53"/>
      <c r="AH131" s="54"/>
      <c r="AI131" s="53"/>
      <c r="AJ131" s="54"/>
      <c r="AK131" s="53"/>
      <c r="AL131" s="54"/>
      <c r="AM131" s="53"/>
      <c r="AN131" s="54"/>
      <c r="AO131" s="53"/>
      <c r="AP131" s="54"/>
      <c r="AQ131" s="53"/>
      <c r="AR131" s="54"/>
      <c r="AS131" s="53"/>
      <c r="AT131" s="54"/>
      <c r="AU131" s="53"/>
      <c r="AV131" s="54"/>
      <c r="AW131" s="53"/>
      <c r="AX131" s="54"/>
      <c r="AY131" s="53"/>
      <c r="AZ131" s="54"/>
      <c r="BA131" s="53"/>
      <c r="BB131" s="51"/>
      <c r="BC131" s="53"/>
      <c r="BD131" s="51"/>
      <c r="BE131" s="53"/>
      <c r="BF131" s="51"/>
      <c r="BG131" s="53"/>
      <c r="BH131" s="51"/>
      <c r="BI131" s="53"/>
      <c r="BJ131" s="51"/>
      <c r="BK131" s="53"/>
      <c r="BL131" s="51"/>
      <c r="BM131" s="53"/>
      <c r="BN131" s="51"/>
      <c r="BO131" s="53"/>
      <c r="BP131" s="51"/>
      <c r="BQ131" s="53"/>
      <c r="BR131" s="55"/>
    </row>
    <row r="132" spans="1:70" ht="28.5" customHeight="1">
      <c r="A132" s="69" t="s">
        <v>2431</v>
      </c>
      <c r="B132" s="51" t="str">
        <f t="shared" si="4"/>
        <v>giftcodesbanner/滔湧少女-bar.jpg</v>
      </c>
      <c r="C132" s="51"/>
      <c r="D132" s="51" t="str">
        <f t="shared" si="5"/>
        <v>https://www.ssbuy.tw/detail_giftcode/dist/giftcodes/滔湧少女.html</v>
      </c>
      <c r="E132" s="91" t="s">
        <v>2432</v>
      </c>
      <c r="F132" s="103" t="s">
        <v>2437</v>
      </c>
      <c r="G132" s="52" t="s">
        <v>1711</v>
      </c>
      <c r="H132" s="52" t="s">
        <v>1840</v>
      </c>
      <c r="I132" s="51"/>
      <c r="J132" s="91"/>
      <c r="K132" s="92" t="s">
        <v>3197</v>
      </c>
      <c r="L132" s="51" t="s">
        <v>1920</v>
      </c>
      <c r="M132" s="53" t="s">
        <v>2433</v>
      </c>
      <c r="N132" s="54" t="s">
        <v>1920</v>
      </c>
      <c r="O132" s="53" t="s">
        <v>2434</v>
      </c>
      <c r="P132" s="54" t="s">
        <v>1920</v>
      </c>
      <c r="Q132" s="53" t="s">
        <v>3198</v>
      </c>
      <c r="R132" s="54" t="s">
        <v>1920</v>
      </c>
      <c r="S132" s="53"/>
      <c r="T132" s="54"/>
      <c r="U132" s="53"/>
      <c r="V132" s="54"/>
      <c r="W132" s="53"/>
      <c r="X132" s="54"/>
      <c r="Y132" s="53"/>
      <c r="Z132" s="54"/>
      <c r="AA132" s="53"/>
      <c r="AB132" s="54"/>
      <c r="AC132" s="53"/>
      <c r="AD132" s="54"/>
      <c r="AE132" s="53"/>
      <c r="AF132" s="54"/>
      <c r="AG132" s="53"/>
      <c r="AH132" s="54"/>
      <c r="AI132" s="53"/>
      <c r="AJ132" s="54"/>
      <c r="AK132" s="53"/>
      <c r="AL132" s="54"/>
      <c r="AM132" s="53"/>
      <c r="AN132" s="54"/>
      <c r="AO132" s="53"/>
      <c r="AP132" s="54"/>
      <c r="AQ132" s="53"/>
      <c r="AR132" s="54"/>
      <c r="AS132" s="53"/>
      <c r="AT132" s="54"/>
      <c r="AU132" s="53"/>
      <c r="AV132" s="54"/>
      <c r="AW132" s="53"/>
      <c r="AX132" s="54"/>
      <c r="AY132" s="53"/>
      <c r="AZ132" s="54"/>
      <c r="BA132" s="53"/>
      <c r="BB132" s="51"/>
      <c r="BC132" s="53"/>
      <c r="BD132" s="51"/>
      <c r="BE132" s="53"/>
      <c r="BF132" s="51"/>
      <c r="BG132" s="53"/>
      <c r="BH132" s="51"/>
      <c r="BI132" s="53"/>
      <c r="BJ132" s="51"/>
      <c r="BK132" s="53"/>
      <c r="BL132" s="51"/>
      <c r="BM132" s="53"/>
      <c r="BN132" s="51"/>
      <c r="BO132" s="53"/>
      <c r="BP132" s="51"/>
      <c r="BQ132" s="53"/>
      <c r="BR132" s="55"/>
    </row>
    <row r="133" spans="1:70" ht="28.5" customHeight="1">
      <c r="A133" s="69" t="s">
        <v>99</v>
      </c>
      <c r="B133" s="51" t="str">
        <f t="shared" si="4"/>
        <v>giftcodesbanner/漫威祕法狂潮-bar.jpg</v>
      </c>
      <c r="C133" s="51"/>
      <c r="D133" s="51" t="str">
        <f t="shared" si="5"/>
        <v>https://www.ssbuy.tw/detail_giftcode/dist/giftcodes/漫威祕法狂潮.html</v>
      </c>
      <c r="E133" s="91" t="s">
        <v>3199</v>
      </c>
      <c r="F133" s="103" t="s">
        <v>2437</v>
      </c>
      <c r="G133" s="52" t="s">
        <v>1711</v>
      </c>
      <c r="H133" s="52" t="s">
        <v>1840</v>
      </c>
      <c r="I133" s="51"/>
      <c r="J133" s="91"/>
      <c r="K133" s="92" t="s">
        <v>2435</v>
      </c>
      <c r="L133" s="51" t="s">
        <v>1920</v>
      </c>
      <c r="M133" s="53"/>
      <c r="N133" s="54"/>
      <c r="O133" s="53"/>
      <c r="P133" s="54"/>
      <c r="Q133" s="53"/>
      <c r="R133" s="54"/>
      <c r="S133" s="53"/>
      <c r="T133" s="54"/>
      <c r="U133" s="53"/>
      <c r="V133" s="54"/>
      <c r="W133" s="53"/>
      <c r="X133" s="54"/>
      <c r="Y133" s="53"/>
      <c r="Z133" s="54"/>
      <c r="AA133" s="53"/>
      <c r="AB133" s="54"/>
      <c r="AC133" s="53"/>
      <c r="AD133" s="54"/>
      <c r="AE133" s="53"/>
      <c r="AF133" s="54"/>
      <c r="AG133" s="53"/>
      <c r="AH133" s="54"/>
      <c r="AI133" s="53"/>
      <c r="AJ133" s="54"/>
      <c r="AK133" s="53"/>
      <c r="AL133" s="54"/>
      <c r="AM133" s="53"/>
      <c r="AN133" s="54"/>
      <c r="AO133" s="53"/>
      <c r="AP133" s="54"/>
      <c r="AQ133" s="53"/>
      <c r="AR133" s="54"/>
      <c r="AS133" s="53"/>
      <c r="AT133" s="54"/>
      <c r="AU133" s="53"/>
      <c r="AV133" s="54"/>
      <c r="AW133" s="53"/>
      <c r="AX133" s="54"/>
      <c r="AY133" s="53"/>
      <c r="AZ133" s="54"/>
      <c r="BA133" s="53"/>
      <c r="BB133" s="51"/>
      <c r="BC133" s="53"/>
      <c r="BD133" s="51"/>
      <c r="BE133" s="53"/>
      <c r="BF133" s="51"/>
      <c r="BG133" s="53"/>
      <c r="BH133" s="51"/>
      <c r="BI133" s="53"/>
      <c r="BJ133" s="51"/>
      <c r="BK133" s="53"/>
      <c r="BL133" s="51"/>
      <c r="BM133" s="53"/>
      <c r="BN133" s="51"/>
      <c r="BO133" s="53"/>
      <c r="BP133" s="51"/>
      <c r="BQ133" s="53"/>
      <c r="BR133" s="55"/>
    </row>
    <row r="134" spans="1:70" ht="28.5" customHeight="1">
      <c r="A134" s="69" t="s">
        <v>100</v>
      </c>
      <c r="B134" s="51" t="str">
        <f t="shared" si="4"/>
        <v>giftcodesbanner/魔教回歸：2D MMORPG-bar.jpg</v>
      </c>
      <c r="C134" s="51"/>
      <c r="D134" s="51" t="str">
        <f t="shared" si="5"/>
        <v>https://www.ssbuy.tw/detail_giftcode/dist/giftcodes/魔教回歸：2D MMORPG.html</v>
      </c>
      <c r="E134" s="105" t="s">
        <v>2436</v>
      </c>
      <c r="F134" s="103" t="s">
        <v>1710</v>
      </c>
      <c r="G134" s="52" t="s">
        <v>1711</v>
      </c>
      <c r="H134" s="52" t="s">
        <v>1840</v>
      </c>
      <c r="I134" s="51"/>
      <c r="J134" s="91"/>
      <c r="K134" s="92" t="s">
        <v>1932</v>
      </c>
      <c r="L134" s="51" t="s">
        <v>1920</v>
      </c>
      <c r="M134" s="53" t="s">
        <v>2056</v>
      </c>
      <c r="N134" s="54" t="s">
        <v>1920</v>
      </c>
      <c r="O134" s="53" t="s">
        <v>1841</v>
      </c>
      <c r="P134" s="54" t="s">
        <v>1920</v>
      </c>
      <c r="Q134" s="53"/>
      <c r="R134" s="54"/>
      <c r="S134" s="53"/>
      <c r="T134" s="54"/>
      <c r="U134" s="53"/>
      <c r="V134" s="54"/>
      <c r="W134" s="53"/>
      <c r="X134" s="54"/>
      <c r="Y134" s="53"/>
      <c r="Z134" s="54"/>
      <c r="AA134" s="53"/>
      <c r="AB134" s="54"/>
      <c r="AC134" s="53"/>
      <c r="AD134" s="54"/>
      <c r="AE134" s="53"/>
      <c r="AF134" s="54"/>
      <c r="AG134" s="53"/>
      <c r="AH134" s="54"/>
      <c r="AI134" s="53"/>
      <c r="AJ134" s="54"/>
      <c r="AK134" s="53"/>
      <c r="AL134" s="54"/>
      <c r="AM134" s="53"/>
      <c r="AN134" s="54"/>
      <c r="AO134" s="53"/>
      <c r="AP134" s="54"/>
      <c r="AQ134" s="53"/>
      <c r="AR134" s="54"/>
      <c r="AS134" s="53"/>
      <c r="AT134" s="54"/>
      <c r="AU134" s="53"/>
      <c r="AV134" s="54"/>
      <c r="AW134" s="53"/>
      <c r="AX134" s="54"/>
      <c r="AY134" s="53"/>
      <c r="AZ134" s="54"/>
      <c r="BA134" s="53"/>
      <c r="BB134" s="51"/>
      <c r="BC134" s="53"/>
      <c r="BD134" s="51"/>
      <c r="BE134" s="53"/>
      <c r="BF134" s="51"/>
      <c r="BG134" s="53"/>
      <c r="BH134" s="51"/>
      <c r="BI134" s="53"/>
      <c r="BJ134" s="51"/>
      <c r="BK134" s="53"/>
      <c r="BL134" s="51"/>
      <c r="BM134" s="53"/>
      <c r="BN134" s="51"/>
      <c r="BO134" s="53"/>
      <c r="BP134" s="51"/>
      <c r="BQ134" s="53"/>
      <c r="BR134" s="55"/>
    </row>
    <row r="135" spans="1:70" ht="28.5" customHeight="1">
      <c r="A135" s="69" t="s">
        <v>122</v>
      </c>
      <c r="B135" s="51"/>
      <c r="C135" s="51" t="str">
        <f>"giftcodesbanner/" &amp; A135 &amp; "-禮包碼.jpg"</f>
        <v>giftcodesbanner/屍戰王朝-禮包碼.jpg</v>
      </c>
      <c r="D135" s="51" t="str">
        <f t="shared" si="5"/>
        <v>https://www.ssbuy.tw/detail_giftcode/dist/giftcodes/屍戰王朝.html</v>
      </c>
      <c r="E135" s="106" t="s">
        <v>3200</v>
      </c>
      <c r="F135" s="103" t="s">
        <v>1710</v>
      </c>
      <c r="G135" s="52" t="s">
        <v>1711</v>
      </c>
      <c r="H135" s="52" t="s">
        <v>1840</v>
      </c>
      <c r="I135" s="51"/>
      <c r="J135" s="91"/>
      <c r="K135" s="94" t="s">
        <v>2438</v>
      </c>
      <c r="L135" s="66" t="s">
        <v>2439</v>
      </c>
      <c r="M135" s="65" t="s">
        <v>2440</v>
      </c>
      <c r="N135" s="64" t="s">
        <v>2441</v>
      </c>
      <c r="O135" s="65" t="s">
        <v>2442</v>
      </c>
      <c r="P135" s="64" t="s">
        <v>2443</v>
      </c>
      <c r="Q135" s="65" t="s">
        <v>2444</v>
      </c>
      <c r="R135" s="64" t="s">
        <v>2445</v>
      </c>
      <c r="S135" s="65" t="s">
        <v>2446</v>
      </c>
      <c r="T135" s="64" t="s">
        <v>2447</v>
      </c>
      <c r="U135" s="65" t="s">
        <v>2448</v>
      </c>
      <c r="V135" s="64" t="s">
        <v>2449</v>
      </c>
      <c r="W135" s="65" t="s">
        <v>1782</v>
      </c>
      <c r="X135" s="64" t="s">
        <v>2450</v>
      </c>
      <c r="Y135" s="65" t="s">
        <v>1714</v>
      </c>
      <c r="Z135" s="64" t="s">
        <v>2451</v>
      </c>
      <c r="AA135" s="65" t="s">
        <v>1715</v>
      </c>
      <c r="AB135" s="64" t="s">
        <v>2452</v>
      </c>
      <c r="AC135" s="65" t="s">
        <v>1783</v>
      </c>
      <c r="AD135" s="64" t="s">
        <v>2453</v>
      </c>
      <c r="AE135" s="65" t="s">
        <v>1784</v>
      </c>
      <c r="AF135" s="64" t="s">
        <v>2454</v>
      </c>
      <c r="AG135" s="65" t="s">
        <v>1785</v>
      </c>
      <c r="AH135" s="64" t="s">
        <v>2455</v>
      </c>
      <c r="AI135" s="53"/>
      <c r="AJ135" s="54"/>
      <c r="AK135" s="53"/>
      <c r="AL135" s="54"/>
      <c r="AM135" s="53"/>
      <c r="AN135" s="54"/>
      <c r="AO135" s="53"/>
      <c r="AP135" s="54"/>
      <c r="AQ135" s="53"/>
      <c r="AR135" s="54"/>
      <c r="AS135" s="53"/>
      <c r="AT135" s="54"/>
      <c r="AU135" s="53"/>
      <c r="AV135" s="54"/>
      <c r="AW135" s="53"/>
      <c r="AX135" s="54"/>
      <c r="AY135" s="53"/>
      <c r="AZ135" s="54"/>
      <c r="BA135" s="53"/>
      <c r="BB135" s="51"/>
      <c r="BC135" s="53"/>
      <c r="BD135" s="51"/>
      <c r="BE135" s="53"/>
      <c r="BF135" s="51"/>
      <c r="BG135" s="53"/>
      <c r="BH135" s="51"/>
      <c r="BI135" s="53"/>
      <c r="BJ135" s="51"/>
      <c r="BK135" s="53"/>
      <c r="BL135" s="51"/>
      <c r="BM135" s="53"/>
      <c r="BN135" s="51"/>
      <c r="BO135" s="53"/>
      <c r="BP135" s="51"/>
      <c r="BQ135" s="53"/>
      <c r="BR135" s="55"/>
    </row>
    <row r="136" spans="1:70" ht="28.5" customHeight="1">
      <c r="A136" s="69" t="s">
        <v>3201</v>
      </c>
      <c r="B136" s="51"/>
      <c r="C136" s="51" t="str">
        <f t="shared" ref="C136:C189" si="6">"giftcodesbanner/" &amp; A136 &amp; "-禮包碼.jpg"</f>
        <v>giftcodesbanner/機甲變變變-禮包碼.jpg</v>
      </c>
      <c r="D136" s="51" t="str">
        <f t="shared" si="5"/>
        <v>https://www.ssbuy.tw/detail_giftcode/dist/giftcodes/機甲變變變.html</v>
      </c>
      <c r="E136" s="106" t="s">
        <v>3202</v>
      </c>
      <c r="F136" s="103" t="s">
        <v>3203</v>
      </c>
      <c r="G136" s="52" t="s">
        <v>1711</v>
      </c>
      <c r="H136" s="52" t="s">
        <v>1840</v>
      </c>
      <c r="I136" s="51"/>
      <c r="J136" s="91"/>
      <c r="K136" s="92" t="s">
        <v>6410</v>
      </c>
      <c r="L136" s="51" t="s">
        <v>3204</v>
      </c>
      <c r="M136" s="53" t="s">
        <v>2456</v>
      </c>
      <c r="N136" s="54" t="s">
        <v>3205</v>
      </c>
      <c r="O136" s="53" t="s">
        <v>2457</v>
      </c>
      <c r="P136" s="54" t="s">
        <v>2458</v>
      </c>
      <c r="Q136" s="53" t="s">
        <v>3206</v>
      </c>
      <c r="R136" s="54" t="s">
        <v>3207</v>
      </c>
      <c r="S136" s="53"/>
      <c r="T136" s="54"/>
      <c r="U136" s="53"/>
      <c r="V136" s="54"/>
      <c r="W136" s="53"/>
      <c r="X136" s="54"/>
      <c r="Y136" s="53"/>
      <c r="Z136" s="54"/>
      <c r="AA136" s="53"/>
      <c r="AB136" s="54"/>
      <c r="AC136" s="53"/>
      <c r="AD136" s="54"/>
      <c r="AE136" s="53"/>
      <c r="AF136" s="54"/>
      <c r="AG136" s="53"/>
      <c r="AH136" s="54"/>
      <c r="AI136" s="53"/>
      <c r="AJ136" s="54"/>
      <c r="AK136" s="53"/>
      <c r="AL136" s="54"/>
      <c r="AM136" s="53"/>
      <c r="AN136" s="54"/>
      <c r="AO136" s="53"/>
      <c r="AP136" s="54"/>
      <c r="AQ136" s="53"/>
      <c r="AR136" s="54"/>
      <c r="AS136" s="53"/>
      <c r="AT136" s="54"/>
      <c r="AU136" s="53"/>
      <c r="AV136" s="54"/>
      <c r="AW136" s="53"/>
      <c r="AX136" s="54"/>
      <c r="AY136" s="53"/>
      <c r="AZ136" s="54"/>
      <c r="BA136" s="53"/>
      <c r="BB136" s="51"/>
      <c r="BC136" s="53"/>
      <c r="BD136" s="51"/>
      <c r="BE136" s="53"/>
      <c r="BF136" s="51"/>
      <c r="BG136" s="53"/>
      <c r="BH136" s="51"/>
      <c r="BI136" s="53"/>
      <c r="BJ136" s="51"/>
      <c r="BK136" s="53"/>
      <c r="BL136" s="51"/>
      <c r="BM136" s="53"/>
      <c r="BN136" s="51"/>
      <c r="BO136" s="53"/>
      <c r="BP136" s="51"/>
      <c r="BQ136" s="53"/>
      <c r="BR136" s="55"/>
    </row>
    <row r="137" spans="1:70" ht="28.5" customHeight="1">
      <c r="A137" s="69" t="s">
        <v>3208</v>
      </c>
      <c r="B137" s="51"/>
      <c r="C137" s="51" t="str">
        <f t="shared" si="6"/>
        <v>giftcodesbanner/狼少女蘭吉-禮包碼.jpg</v>
      </c>
      <c r="D137" s="51" t="str">
        <f t="shared" si="5"/>
        <v>https://www.ssbuy.tw/detail_giftcode/dist/giftcodes/狼少女蘭吉.html</v>
      </c>
      <c r="E137" s="106" t="s">
        <v>3209</v>
      </c>
      <c r="F137" s="103" t="s">
        <v>1710</v>
      </c>
      <c r="G137" s="52" t="s">
        <v>1711</v>
      </c>
      <c r="H137" s="52" t="s">
        <v>1840</v>
      </c>
      <c r="I137" s="51"/>
      <c r="J137" s="91"/>
      <c r="K137" s="92" t="s">
        <v>2459</v>
      </c>
      <c r="L137" s="51" t="s">
        <v>2471</v>
      </c>
      <c r="M137" s="53" t="s">
        <v>2459</v>
      </c>
      <c r="N137" s="54" t="s">
        <v>2471</v>
      </c>
      <c r="O137" s="53"/>
      <c r="P137" s="54"/>
      <c r="Q137" s="53"/>
      <c r="R137" s="54"/>
      <c r="S137" s="53"/>
      <c r="T137" s="54"/>
      <c r="U137" s="53"/>
      <c r="V137" s="54"/>
      <c r="W137" s="53"/>
      <c r="X137" s="54"/>
      <c r="Y137" s="53"/>
      <c r="Z137" s="54"/>
      <c r="AA137" s="53"/>
      <c r="AB137" s="54"/>
      <c r="AC137" s="53"/>
      <c r="AD137" s="54"/>
      <c r="AE137" s="53"/>
      <c r="AF137" s="54"/>
      <c r="AG137" s="53"/>
      <c r="AH137" s="54"/>
      <c r="AI137" s="53"/>
      <c r="AJ137" s="54"/>
      <c r="AK137" s="53"/>
      <c r="AL137" s="54"/>
      <c r="AM137" s="53"/>
      <c r="AN137" s="54"/>
      <c r="AO137" s="53"/>
      <c r="AP137" s="54"/>
      <c r="AQ137" s="53"/>
      <c r="AR137" s="54"/>
      <c r="AS137" s="53"/>
      <c r="AT137" s="54"/>
      <c r="AU137" s="53"/>
      <c r="AV137" s="54"/>
      <c r="AW137" s="53"/>
      <c r="AX137" s="54"/>
      <c r="AY137" s="53"/>
      <c r="AZ137" s="54"/>
      <c r="BA137" s="53"/>
      <c r="BB137" s="51"/>
      <c r="BC137" s="53"/>
      <c r="BD137" s="51"/>
      <c r="BE137" s="53"/>
      <c r="BF137" s="51"/>
      <c r="BG137" s="53"/>
      <c r="BH137" s="51"/>
      <c r="BI137" s="53"/>
      <c r="BJ137" s="51"/>
      <c r="BK137" s="53"/>
      <c r="BL137" s="51"/>
      <c r="BM137" s="53"/>
      <c r="BN137" s="51"/>
      <c r="BO137" s="53"/>
      <c r="BP137" s="51"/>
      <c r="BQ137" s="53"/>
      <c r="BR137" s="55"/>
    </row>
    <row r="138" spans="1:70" ht="28.5" customHeight="1">
      <c r="A138" s="69" t="s">
        <v>3210</v>
      </c>
      <c r="B138" s="51"/>
      <c r="C138" s="51" t="str">
        <f t="shared" si="6"/>
        <v>giftcodesbanner/RO仙境傳說：曙光-禮包碼.jpg</v>
      </c>
      <c r="D138" s="51" t="str">
        <f t="shared" si="5"/>
        <v>https://www.ssbuy.tw/detail_giftcode/dist/giftcodes/RO仙境傳說：曙光.html</v>
      </c>
      <c r="E138" s="106" t="s">
        <v>3211</v>
      </c>
      <c r="F138" s="103" t="s">
        <v>1710</v>
      </c>
      <c r="G138" s="52" t="s">
        <v>1711</v>
      </c>
      <c r="H138" s="52" t="s">
        <v>2505</v>
      </c>
      <c r="I138" s="51"/>
      <c r="J138" s="91"/>
      <c r="K138" s="92" t="s">
        <v>2400</v>
      </c>
      <c r="L138" s="51" t="s">
        <v>1920</v>
      </c>
      <c r="M138" s="53" t="s">
        <v>2200</v>
      </c>
      <c r="N138" s="54" t="s">
        <v>1920</v>
      </c>
      <c r="O138" s="53" t="s">
        <v>2460</v>
      </c>
      <c r="P138" s="54" t="s">
        <v>1920</v>
      </c>
      <c r="Q138" s="53" t="s">
        <v>2461</v>
      </c>
      <c r="R138" s="54" t="s">
        <v>1920</v>
      </c>
      <c r="S138" s="53" t="s">
        <v>2462</v>
      </c>
      <c r="T138" s="54" t="s">
        <v>1920</v>
      </c>
      <c r="U138" s="53" t="s">
        <v>2463</v>
      </c>
      <c r="V138" s="54" t="s">
        <v>1920</v>
      </c>
      <c r="W138" s="53" t="s">
        <v>2464</v>
      </c>
      <c r="X138" s="54" t="s">
        <v>1920</v>
      </c>
      <c r="Y138" s="53" t="s">
        <v>2465</v>
      </c>
      <c r="Z138" s="54" t="s">
        <v>1920</v>
      </c>
      <c r="AA138" s="53" t="s">
        <v>2466</v>
      </c>
      <c r="AB138" s="54" t="s">
        <v>1920</v>
      </c>
      <c r="AC138" s="53" t="s">
        <v>2467</v>
      </c>
      <c r="AD138" s="54" t="s">
        <v>1920</v>
      </c>
      <c r="AE138" s="53" t="s">
        <v>2468</v>
      </c>
      <c r="AF138" s="54" t="s">
        <v>1920</v>
      </c>
      <c r="AG138" s="53" t="s">
        <v>2469</v>
      </c>
      <c r="AH138" s="54" t="s">
        <v>1920</v>
      </c>
      <c r="AI138" s="53" t="s">
        <v>2470</v>
      </c>
      <c r="AJ138" s="54" t="s">
        <v>1920</v>
      </c>
      <c r="AK138" s="53"/>
      <c r="AL138" s="54"/>
      <c r="AM138" s="53"/>
      <c r="AN138" s="54"/>
      <c r="AO138" s="53"/>
      <c r="AP138" s="54"/>
      <c r="AQ138" s="53"/>
      <c r="AR138" s="54"/>
      <c r="AS138" s="53"/>
      <c r="AT138" s="54"/>
      <c r="AU138" s="53"/>
      <c r="AV138" s="54"/>
      <c r="AW138" s="53"/>
      <c r="AX138" s="54"/>
      <c r="AY138" s="53"/>
      <c r="AZ138" s="54"/>
      <c r="BA138" s="53"/>
      <c r="BB138" s="51"/>
      <c r="BC138" s="53"/>
      <c r="BD138" s="51"/>
      <c r="BE138" s="53"/>
      <c r="BF138" s="51"/>
      <c r="BG138" s="53"/>
      <c r="BH138" s="51"/>
      <c r="BI138" s="53"/>
      <c r="BJ138" s="51"/>
      <c r="BK138" s="53"/>
      <c r="BL138" s="51"/>
      <c r="BM138" s="53"/>
      <c r="BN138" s="51"/>
      <c r="BO138" s="53"/>
      <c r="BP138" s="51"/>
      <c r="BQ138" s="53"/>
      <c r="BR138" s="55"/>
    </row>
    <row r="139" spans="1:70" ht="28.5" customHeight="1">
      <c r="A139" s="69" t="s">
        <v>124</v>
      </c>
      <c r="B139" s="51"/>
      <c r="C139" s="51" t="str">
        <f t="shared" si="6"/>
        <v>giftcodesbanner/星曲Ultra-禮包碼.jpg</v>
      </c>
      <c r="D139" s="51" t="str">
        <f t="shared" si="5"/>
        <v>https://www.ssbuy.tw/detail_giftcode/dist/giftcodes/星曲Ultra.html</v>
      </c>
      <c r="E139" s="106" t="s">
        <v>3212</v>
      </c>
      <c r="F139" s="103" t="s">
        <v>1710</v>
      </c>
      <c r="G139" s="52" t="s">
        <v>1711</v>
      </c>
      <c r="H139" s="52" t="s">
        <v>1840</v>
      </c>
      <c r="I139" s="51"/>
      <c r="J139" s="91"/>
      <c r="K139" s="92" t="s">
        <v>2471</v>
      </c>
      <c r="L139" s="51" t="s">
        <v>2459</v>
      </c>
      <c r="M139" s="53" t="s">
        <v>2459</v>
      </c>
      <c r="N139" s="54" t="s">
        <v>2472</v>
      </c>
      <c r="O139" s="53"/>
      <c r="P139" s="54"/>
      <c r="Q139" s="53"/>
      <c r="R139" s="54"/>
      <c r="S139" s="53"/>
      <c r="T139" s="54"/>
      <c r="U139" s="53"/>
      <c r="V139" s="54"/>
      <c r="W139" s="53"/>
      <c r="X139" s="54"/>
      <c r="Y139" s="53"/>
      <c r="Z139" s="54"/>
      <c r="AA139" s="53"/>
      <c r="AB139" s="54"/>
      <c r="AC139" s="53"/>
      <c r="AD139" s="54"/>
      <c r="AE139" s="53"/>
      <c r="AF139" s="54"/>
      <c r="AG139" s="53"/>
      <c r="AH139" s="54"/>
      <c r="AI139" s="53"/>
      <c r="AJ139" s="54"/>
      <c r="AK139" s="53"/>
      <c r="AL139" s="54"/>
      <c r="AM139" s="53"/>
      <c r="AN139" s="54"/>
      <c r="AO139" s="53"/>
      <c r="AP139" s="54"/>
      <c r="AQ139" s="53"/>
      <c r="AR139" s="54"/>
      <c r="AS139" s="53"/>
      <c r="AT139" s="54"/>
      <c r="AU139" s="53"/>
      <c r="AV139" s="54"/>
      <c r="AW139" s="53"/>
      <c r="AX139" s="54"/>
      <c r="AY139" s="53"/>
      <c r="AZ139" s="54"/>
      <c r="BA139" s="53"/>
      <c r="BB139" s="51"/>
      <c r="BC139" s="53"/>
      <c r="BD139" s="51"/>
      <c r="BE139" s="53"/>
      <c r="BF139" s="51"/>
      <c r="BG139" s="53"/>
      <c r="BH139" s="51"/>
      <c r="BI139" s="53"/>
      <c r="BJ139" s="51"/>
      <c r="BK139" s="53"/>
      <c r="BL139" s="51"/>
      <c r="BM139" s="53"/>
      <c r="BN139" s="51"/>
      <c r="BO139" s="53"/>
      <c r="BP139" s="51"/>
      <c r="BQ139" s="53"/>
      <c r="BR139" s="55"/>
    </row>
    <row r="140" spans="1:70" ht="28.5" customHeight="1">
      <c r="A140" s="69" t="s">
        <v>166</v>
      </c>
      <c r="B140" s="51"/>
      <c r="C140" s="51" t="str">
        <f t="shared" si="6"/>
        <v>giftcodesbanner/第七天災-禮包碼.jpg</v>
      </c>
      <c r="D140" s="51" t="str">
        <f t="shared" si="5"/>
        <v>https://www.ssbuy.tw/detail_giftcode/dist/giftcodes/第七天災.html</v>
      </c>
      <c r="E140" s="106" t="s">
        <v>3213</v>
      </c>
      <c r="F140" s="103" t="s">
        <v>1710</v>
      </c>
      <c r="G140" s="52" t="s">
        <v>1711</v>
      </c>
      <c r="H140" s="52" t="s">
        <v>1840</v>
      </c>
      <c r="I140" s="51"/>
      <c r="J140" s="91"/>
      <c r="K140" s="92" t="s">
        <v>3214</v>
      </c>
      <c r="L140" s="51" t="s">
        <v>3215</v>
      </c>
      <c r="M140" s="53" t="s">
        <v>3216</v>
      </c>
      <c r="N140" s="54" t="s">
        <v>3217</v>
      </c>
      <c r="O140" s="53" t="s">
        <v>3218</v>
      </c>
      <c r="P140" s="54" t="s">
        <v>3219</v>
      </c>
      <c r="Q140" s="53" t="s">
        <v>3220</v>
      </c>
      <c r="R140" s="54" t="s">
        <v>3221</v>
      </c>
      <c r="S140" s="53" t="s">
        <v>3222</v>
      </c>
      <c r="T140" s="54" t="s">
        <v>1920</v>
      </c>
      <c r="U140" s="53" t="s">
        <v>2473</v>
      </c>
      <c r="V140" s="54" t="s">
        <v>1920</v>
      </c>
      <c r="W140" s="53" t="s">
        <v>2474</v>
      </c>
      <c r="X140" s="54" t="s">
        <v>1920</v>
      </c>
      <c r="Y140" s="53" t="s">
        <v>2475</v>
      </c>
      <c r="Z140" s="54" t="s">
        <v>1920</v>
      </c>
      <c r="AA140" s="53" t="s">
        <v>1883</v>
      </c>
      <c r="AB140" s="54" t="s">
        <v>1920</v>
      </c>
      <c r="AC140" s="53" t="s">
        <v>2476</v>
      </c>
      <c r="AD140" s="54" t="s">
        <v>1920</v>
      </c>
      <c r="AE140" s="53" t="s">
        <v>2477</v>
      </c>
      <c r="AF140" s="54" t="s">
        <v>1920</v>
      </c>
      <c r="AG140" s="53" t="s">
        <v>2478</v>
      </c>
      <c r="AH140" s="54" t="s">
        <v>1920</v>
      </c>
      <c r="AI140" s="53" t="s">
        <v>2479</v>
      </c>
      <c r="AJ140" s="54" t="s">
        <v>1920</v>
      </c>
      <c r="AK140" s="53" t="s">
        <v>2480</v>
      </c>
      <c r="AL140" s="54" t="s">
        <v>1920</v>
      </c>
      <c r="AM140" s="53" t="s">
        <v>2481</v>
      </c>
      <c r="AN140" s="54" t="s">
        <v>1920</v>
      </c>
      <c r="AO140" s="53" t="s">
        <v>2482</v>
      </c>
      <c r="AP140" s="54" t="s">
        <v>1920</v>
      </c>
      <c r="AQ140" s="53" t="s">
        <v>2483</v>
      </c>
      <c r="AR140" s="54" t="s">
        <v>1920</v>
      </c>
      <c r="AS140" s="53" t="s">
        <v>2484</v>
      </c>
      <c r="AT140" s="54" t="s">
        <v>1920</v>
      </c>
      <c r="AU140" s="53" t="s">
        <v>2485</v>
      </c>
      <c r="AV140" s="54" t="s">
        <v>1920</v>
      </c>
      <c r="AW140" s="53" t="s">
        <v>2486</v>
      </c>
      <c r="AX140" s="54" t="s">
        <v>1920</v>
      </c>
      <c r="AY140" s="53"/>
      <c r="AZ140" s="54"/>
      <c r="BA140" s="53"/>
      <c r="BB140" s="51"/>
      <c r="BC140" s="53"/>
      <c r="BD140" s="51"/>
      <c r="BE140" s="53"/>
      <c r="BF140" s="51"/>
      <c r="BG140" s="53"/>
      <c r="BH140" s="51"/>
      <c r="BI140" s="53"/>
      <c r="BJ140" s="51"/>
      <c r="BK140" s="53"/>
      <c r="BL140" s="51"/>
      <c r="BM140" s="53"/>
      <c r="BN140" s="51"/>
      <c r="BO140" s="53"/>
      <c r="BP140" s="51"/>
      <c r="BQ140" s="53"/>
      <c r="BR140" s="55"/>
    </row>
    <row r="141" spans="1:70" ht="28.5" customHeight="1">
      <c r="A141" s="69" t="s">
        <v>2487</v>
      </c>
      <c r="B141" s="51"/>
      <c r="C141" s="51" t="str">
        <f t="shared" si="6"/>
        <v>giftcodesbanner/百萬神界-禮包碼.jpg</v>
      </c>
      <c r="D141" s="51" t="str">
        <f t="shared" si="5"/>
        <v>https://www.ssbuy.tw/detail_giftcode/dist/giftcodes/百萬神界.html</v>
      </c>
      <c r="E141" s="106" t="s">
        <v>2488</v>
      </c>
      <c r="F141" s="103" t="s">
        <v>1710</v>
      </c>
      <c r="G141" s="52" t="s">
        <v>1711</v>
      </c>
      <c r="H141" s="52" t="s">
        <v>2505</v>
      </c>
      <c r="I141" s="51"/>
      <c r="J141" s="91"/>
      <c r="K141" s="93" t="s">
        <v>2489</v>
      </c>
      <c r="L141" s="52" t="s">
        <v>2490</v>
      </c>
      <c r="M141" s="59" t="s">
        <v>2491</v>
      </c>
      <c r="N141" s="62" t="s">
        <v>2492</v>
      </c>
      <c r="O141" s="59" t="s">
        <v>1714</v>
      </c>
      <c r="P141" s="62" t="s">
        <v>2493</v>
      </c>
      <c r="Q141" s="59" t="s">
        <v>1820</v>
      </c>
      <c r="R141" s="62" t="s">
        <v>2494</v>
      </c>
      <c r="S141" s="59" t="s">
        <v>2495</v>
      </c>
      <c r="T141" s="62" t="s">
        <v>2496</v>
      </c>
      <c r="U141" s="59" t="s">
        <v>2497</v>
      </c>
      <c r="V141" s="62" t="s">
        <v>2498</v>
      </c>
      <c r="W141" s="59" t="s">
        <v>2499</v>
      </c>
      <c r="X141" s="62" t="s">
        <v>2500</v>
      </c>
      <c r="Y141" s="59" t="s">
        <v>2501</v>
      </c>
      <c r="Z141" s="62" t="s">
        <v>2502</v>
      </c>
      <c r="AA141" s="59" t="s">
        <v>2503</v>
      </c>
      <c r="AB141" s="62" t="s">
        <v>2504</v>
      </c>
      <c r="AC141" s="53"/>
      <c r="AD141" s="54"/>
      <c r="AE141" s="53"/>
      <c r="AF141" s="54"/>
      <c r="AG141" s="53"/>
      <c r="AH141" s="54"/>
      <c r="AI141" s="53"/>
      <c r="AJ141" s="54"/>
      <c r="AK141" s="53"/>
      <c r="AL141" s="54"/>
      <c r="AM141" s="53"/>
      <c r="AN141" s="54"/>
      <c r="AO141" s="53"/>
      <c r="AP141" s="54"/>
      <c r="AQ141" s="53"/>
      <c r="AR141" s="54"/>
      <c r="AS141" s="53"/>
      <c r="AT141" s="54"/>
      <c r="AU141" s="53"/>
      <c r="AV141" s="54"/>
      <c r="AW141" s="53"/>
      <c r="AX141" s="54"/>
      <c r="AY141" s="53"/>
      <c r="AZ141" s="54"/>
      <c r="BA141" s="53"/>
      <c r="BB141" s="51"/>
      <c r="BC141" s="53"/>
      <c r="BD141" s="51"/>
      <c r="BE141" s="53"/>
      <c r="BF141" s="51"/>
      <c r="BG141" s="53"/>
      <c r="BH141" s="51"/>
      <c r="BI141" s="53"/>
      <c r="BJ141" s="51"/>
      <c r="BK141" s="53"/>
      <c r="BL141" s="51"/>
      <c r="BM141" s="53"/>
      <c r="BN141" s="51"/>
      <c r="BO141" s="53"/>
      <c r="BP141" s="51"/>
      <c r="BQ141" s="53"/>
      <c r="BR141" s="55"/>
    </row>
    <row r="142" spans="1:70" ht="28.5" customHeight="1">
      <c r="A142" s="69" t="s">
        <v>167</v>
      </c>
      <c r="B142" s="51"/>
      <c r="C142" s="51" t="str">
        <f t="shared" si="6"/>
        <v>giftcodesbanner/Dark war-禮包碼.jpg</v>
      </c>
      <c r="D142" s="51" t="str">
        <f t="shared" si="5"/>
        <v>https://www.ssbuy.tw/detail_giftcode/dist/giftcodes/Dark war.html</v>
      </c>
      <c r="E142" s="106" t="s">
        <v>3223</v>
      </c>
      <c r="F142" s="103" t="s">
        <v>1710</v>
      </c>
      <c r="G142" s="52" t="s">
        <v>1711</v>
      </c>
      <c r="H142" s="52" t="s">
        <v>2505</v>
      </c>
      <c r="I142" s="51"/>
      <c r="J142" s="91"/>
      <c r="K142" s="92" t="s">
        <v>2459</v>
      </c>
      <c r="L142" s="51" t="s">
        <v>2459</v>
      </c>
      <c r="M142" s="53" t="s">
        <v>2472</v>
      </c>
      <c r="N142" s="54" t="s">
        <v>2459</v>
      </c>
      <c r="O142" s="53"/>
      <c r="P142" s="54"/>
      <c r="Q142" s="53"/>
      <c r="R142" s="54"/>
      <c r="S142" s="53"/>
      <c r="T142" s="54"/>
      <c r="U142" s="53"/>
      <c r="V142" s="54"/>
      <c r="W142" s="53"/>
      <c r="X142" s="54"/>
      <c r="Y142" s="53"/>
      <c r="Z142" s="54"/>
      <c r="AA142" s="53"/>
      <c r="AB142" s="54"/>
      <c r="AC142" s="53"/>
      <c r="AD142" s="54"/>
      <c r="AE142" s="53"/>
      <c r="AF142" s="54"/>
      <c r="AG142" s="53"/>
      <c r="AH142" s="54"/>
      <c r="AI142" s="53"/>
      <c r="AJ142" s="54"/>
      <c r="AK142" s="53"/>
      <c r="AL142" s="54"/>
      <c r="AM142" s="53"/>
      <c r="AN142" s="54"/>
      <c r="AO142" s="53"/>
      <c r="AP142" s="54"/>
      <c r="AQ142" s="53"/>
      <c r="AR142" s="54"/>
      <c r="AS142" s="53"/>
      <c r="AT142" s="54"/>
      <c r="AU142" s="53"/>
      <c r="AV142" s="54"/>
      <c r="AW142" s="53"/>
      <c r="AX142" s="54"/>
      <c r="AY142" s="53"/>
      <c r="AZ142" s="54"/>
      <c r="BA142" s="53"/>
      <c r="BB142" s="51"/>
      <c r="BC142" s="53"/>
      <c r="BD142" s="51"/>
      <c r="BE142" s="53"/>
      <c r="BF142" s="51"/>
      <c r="BG142" s="53"/>
      <c r="BH142" s="51"/>
      <c r="BI142" s="53"/>
      <c r="BJ142" s="51"/>
      <c r="BK142" s="53"/>
      <c r="BL142" s="51"/>
      <c r="BM142" s="53"/>
      <c r="BN142" s="51"/>
      <c r="BO142" s="53"/>
      <c r="BP142" s="51"/>
      <c r="BQ142" s="53"/>
      <c r="BR142" s="55"/>
    </row>
    <row r="143" spans="1:70" ht="28.5" customHeight="1">
      <c r="A143" s="56" t="s">
        <v>2506</v>
      </c>
      <c r="B143" s="51"/>
      <c r="C143" s="51" t="str">
        <f t="shared" si="6"/>
        <v>giftcodesbanner/美男惡徒-禮包碼.jpg</v>
      </c>
      <c r="D143" s="51" t="str">
        <f t="shared" si="5"/>
        <v>https://www.ssbuy.tw/detail_giftcode/dist/giftcodes/美男惡徒.html</v>
      </c>
      <c r="E143" s="105" t="s">
        <v>3224</v>
      </c>
      <c r="F143" s="103" t="s">
        <v>1710</v>
      </c>
      <c r="G143" s="52" t="s">
        <v>1711</v>
      </c>
      <c r="H143" s="52" t="s">
        <v>1840</v>
      </c>
      <c r="I143" s="51"/>
      <c r="J143" s="91"/>
      <c r="K143" s="92" t="s">
        <v>2508</v>
      </c>
      <c r="L143" s="51" t="s">
        <v>3225</v>
      </c>
      <c r="M143" s="53" t="s">
        <v>2509</v>
      </c>
      <c r="N143" s="54" t="s">
        <v>3226</v>
      </c>
      <c r="O143" s="53" t="s">
        <v>2510</v>
      </c>
      <c r="P143" s="54" t="s">
        <v>2511</v>
      </c>
      <c r="Q143" s="53" t="s">
        <v>3227</v>
      </c>
      <c r="R143" s="54" t="s">
        <v>3228</v>
      </c>
      <c r="S143" s="53"/>
      <c r="T143" s="54"/>
      <c r="U143" s="53"/>
      <c r="V143" s="54"/>
      <c r="W143" s="53"/>
      <c r="X143" s="54"/>
      <c r="Y143" s="53"/>
      <c r="Z143" s="54"/>
      <c r="AA143" s="53"/>
      <c r="AB143" s="54"/>
      <c r="AC143" s="53"/>
      <c r="AD143" s="54"/>
      <c r="AE143" s="53"/>
      <c r="AF143" s="54"/>
      <c r="AG143" s="53"/>
      <c r="AH143" s="54"/>
      <c r="AI143" s="53"/>
      <c r="AJ143" s="54"/>
      <c r="AK143" s="53"/>
      <c r="AL143" s="54"/>
      <c r="AM143" s="53"/>
      <c r="AN143" s="54"/>
      <c r="AO143" s="53"/>
      <c r="AP143" s="54"/>
      <c r="AQ143" s="53"/>
      <c r="AR143" s="54"/>
      <c r="AS143" s="53"/>
      <c r="AT143" s="54"/>
      <c r="AU143" s="53"/>
      <c r="AV143" s="54"/>
      <c r="AW143" s="53"/>
      <c r="AX143" s="54"/>
      <c r="AY143" s="53"/>
      <c r="AZ143" s="54"/>
      <c r="BA143" s="53"/>
      <c r="BB143" s="51"/>
      <c r="BC143" s="53"/>
      <c r="BD143" s="51"/>
      <c r="BE143" s="53"/>
      <c r="BF143" s="51"/>
      <c r="BG143" s="53"/>
      <c r="BH143" s="51"/>
      <c r="BI143" s="53"/>
      <c r="BJ143" s="51"/>
      <c r="BK143" s="53"/>
      <c r="BL143" s="51"/>
      <c r="BM143" s="53"/>
      <c r="BN143" s="51"/>
      <c r="BO143" s="53"/>
      <c r="BP143" s="51"/>
      <c r="BQ143" s="53"/>
      <c r="BR143" s="55"/>
    </row>
    <row r="144" spans="1:70" ht="28.5" customHeight="1">
      <c r="A144" s="67" t="s">
        <v>197</v>
      </c>
      <c r="B144" s="51"/>
      <c r="C144" s="51" t="str">
        <f t="shared" si="6"/>
        <v>giftcodesbanner/三國冰河時代-禮包碼.jpg</v>
      </c>
      <c r="D144" s="51" t="str">
        <f t="shared" si="5"/>
        <v>https://www.ssbuy.tw/detail_giftcode/dist/giftcodes/三國冰河時代.html</v>
      </c>
      <c r="E144" s="91" t="s">
        <v>3229</v>
      </c>
      <c r="F144" s="103" t="s">
        <v>1710</v>
      </c>
      <c r="G144" s="52" t="s">
        <v>1711</v>
      </c>
      <c r="H144" s="52" t="s">
        <v>1840</v>
      </c>
      <c r="I144" s="51"/>
      <c r="J144" s="91"/>
      <c r="K144" s="92" t="s">
        <v>3230</v>
      </c>
      <c r="L144" s="51" t="s">
        <v>1920</v>
      </c>
      <c r="M144" s="53" t="s">
        <v>3231</v>
      </c>
      <c r="N144" s="54" t="s">
        <v>1920</v>
      </c>
      <c r="O144" s="53" t="s">
        <v>2512</v>
      </c>
      <c r="P144" s="54" t="s">
        <v>1920</v>
      </c>
      <c r="Q144" s="53" t="s">
        <v>3232</v>
      </c>
      <c r="R144" s="54" t="s">
        <v>1920</v>
      </c>
      <c r="S144" s="53" t="s">
        <v>2513</v>
      </c>
      <c r="T144" s="54" t="s">
        <v>1920</v>
      </c>
      <c r="U144" s="53" t="s">
        <v>2514</v>
      </c>
      <c r="V144" s="54" t="s">
        <v>1920</v>
      </c>
      <c r="W144" s="53" t="s">
        <v>2515</v>
      </c>
      <c r="X144" s="54" t="s">
        <v>1920</v>
      </c>
      <c r="Y144" s="53" t="s">
        <v>2516</v>
      </c>
      <c r="Z144" s="54" t="s">
        <v>1920</v>
      </c>
      <c r="AA144" s="53"/>
      <c r="AB144" s="54"/>
      <c r="AC144" s="53"/>
      <c r="AD144" s="54"/>
      <c r="AE144" s="53"/>
      <c r="AF144" s="54"/>
      <c r="AG144" s="53"/>
      <c r="AH144" s="54"/>
      <c r="AI144" s="53"/>
      <c r="AJ144" s="54"/>
      <c r="AK144" s="53"/>
      <c r="AL144" s="54"/>
      <c r="AM144" s="53"/>
      <c r="AN144" s="54"/>
      <c r="AO144" s="53"/>
      <c r="AP144" s="54"/>
      <c r="AQ144" s="53"/>
      <c r="AR144" s="54"/>
      <c r="AS144" s="53"/>
      <c r="AT144" s="54"/>
      <c r="AU144" s="53"/>
      <c r="AV144" s="54"/>
      <c r="AW144" s="53"/>
      <c r="AX144" s="54"/>
      <c r="AY144" s="53"/>
      <c r="AZ144" s="54"/>
      <c r="BA144" s="53"/>
      <c r="BB144" s="51"/>
      <c r="BC144" s="53"/>
      <c r="BD144" s="51"/>
      <c r="BE144" s="53"/>
      <c r="BF144" s="51"/>
      <c r="BG144" s="53"/>
      <c r="BH144" s="51"/>
      <c r="BI144" s="53"/>
      <c r="BJ144" s="51"/>
      <c r="BK144" s="53"/>
      <c r="BL144" s="51"/>
      <c r="BM144" s="53"/>
      <c r="BN144" s="51"/>
      <c r="BO144" s="53"/>
      <c r="BP144" s="51"/>
      <c r="BQ144" s="53"/>
      <c r="BR144" s="55"/>
    </row>
    <row r="145" spans="1:70" ht="28.5" customHeight="1">
      <c r="A145" s="69" t="s">
        <v>198</v>
      </c>
      <c r="B145" s="51"/>
      <c r="C145" s="51" t="str">
        <f t="shared" si="6"/>
        <v>giftcodesbanner/暗黑崛起-禮包碼.jpg</v>
      </c>
      <c r="D145" s="51" t="str">
        <f t="shared" si="5"/>
        <v>https://www.ssbuy.tw/detail_giftcode/dist/giftcodes/暗黑崛起.html</v>
      </c>
      <c r="E145" s="105" t="s">
        <v>2517</v>
      </c>
      <c r="F145" s="103" t="s">
        <v>2437</v>
      </c>
      <c r="G145" s="52" t="s">
        <v>1711</v>
      </c>
      <c r="H145" s="52" t="s">
        <v>1840</v>
      </c>
      <c r="I145" s="51"/>
      <c r="J145" s="91"/>
      <c r="K145" s="92" t="s">
        <v>3233</v>
      </c>
      <c r="L145" s="51" t="s">
        <v>1920</v>
      </c>
      <c r="M145" s="53"/>
      <c r="N145" s="54"/>
      <c r="O145" s="53"/>
      <c r="P145" s="54"/>
      <c r="Q145" s="53"/>
      <c r="R145" s="54"/>
      <c r="S145" s="53"/>
      <c r="T145" s="54"/>
      <c r="U145" s="53"/>
      <c r="V145" s="54"/>
      <c r="W145" s="53"/>
      <c r="X145" s="54"/>
      <c r="Y145" s="53"/>
      <c r="Z145" s="54"/>
      <c r="AA145" s="53"/>
      <c r="AB145" s="54"/>
      <c r="AC145" s="53"/>
      <c r="AD145" s="54"/>
      <c r="AE145" s="53"/>
      <c r="AF145" s="54"/>
      <c r="AG145" s="53"/>
      <c r="AH145" s="54"/>
      <c r="AI145" s="53"/>
      <c r="AJ145" s="54"/>
      <c r="AK145" s="53"/>
      <c r="AL145" s="54"/>
      <c r="AM145" s="53"/>
      <c r="AN145" s="54"/>
      <c r="AO145" s="53"/>
      <c r="AP145" s="54"/>
      <c r="AQ145" s="53"/>
      <c r="AR145" s="54"/>
      <c r="AS145" s="53"/>
      <c r="AT145" s="54"/>
      <c r="AU145" s="53"/>
      <c r="AV145" s="54"/>
      <c r="AW145" s="53"/>
      <c r="AX145" s="54"/>
      <c r="AY145" s="53"/>
      <c r="AZ145" s="54"/>
      <c r="BA145" s="53"/>
      <c r="BB145" s="51"/>
      <c r="BC145" s="53"/>
      <c r="BD145" s="51"/>
      <c r="BE145" s="53"/>
      <c r="BF145" s="51"/>
      <c r="BG145" s="53"/>
      <c r="BH145" s="51"/>
      <c r="BI145" s="53"/>
      <c r="BJ145" s="51"/>
      <c r="BK145" s="53"/>
      <c r="BL145" s="51"/>
      <c r="BM145" s="53"/>
      <c r="BN145" s="51"/>
      <c r="BO145" s="53"/>
      <c r="BP145" s="51"/>
      <c r="BQ145" s="53"/>
      <c r="BR145" s="55"/>
    </row>
    <row r="146" spans="1:70" ht="28.5" customHeight="1">
      <c r="A146" s="69" t="s">
        <v>199</v>
      </c>
      <c r="B146" s="51"/>
      <c r="C146" s="51" t="str">
        <f t="shared" si="6"/>
        <v>giftcodesbanner/轉生魔劍士養成：策略放置RPG-禮包碼.jpg</v>
      </c>
      <c r="D146" s="51" t="str">
        <f t="shared" si="5"/>
        <v>https://www.ssbuy.tw/detail_giftcode/dist/giftcodes/轉生魔劍士養成：策略放置RPG.html</v>
      </c>
      <c r="E146" s="105" t="s">
        <v>3234</v>
      </c>
      <c r="F146" s="103" t="s">
        <v>1710</v>
      </c>
      <c r="G146" s="52" t="s">
        <v>1711</v>
      </c>
      <c r="H146" s="52" t="s">
        <v>2505</v>
      </c>
      <c r="I146" s="51"/>
      <c r="J146" s="91"/>
      <c r="K146" s="92" t="s">
        <v>2459</v>
      </c>
      <c r="L146" s="51" t="s">
        <v>3235</v>
      </c>
      <c r="M146" s="53" t="s">
        <v>2459</v>
      </c>
      <c r="N146" s="54" t="s">
        <v>2459</v>
      </c>
      <c r="O146" s="53"/>
      <c r="P146" s="54"/>
      <c r="Q146" s="53"/>
      <c r="R146" s="54"/>
      <c r="S146" s="53"/>
      <c r="T146" s="54"/>
      <c r="U146" s="53"/>
      <c r="V146" s="54"/>
      <c r="W146" s="53"/>
      <c r="X146" s="54"/>
      <c r="Y146" s="53"/>
      <c r="Z146" s="54"/>
      <c r="AA146" s="53"/>
      <c r="AB146" s="54"/>
      <c r="AC146" s="53"/>
      <c r="AD146" s="54"/>
      <c r="AE146" s="53"/>
      <c r="AF146" s="54"/>
      <c r="AG146" s="53"/>
      <c r="AH146" s="54"/>
      <c r="AI146" s="53"/>
      <c r="AJ146" s="54"/>
      <c r="AK146" s="53"/>
      <c r="AL146" s="54"/>
      <c r="AM146" s="53"/>
      <c r="AN146" s="54"/>
      <c r="AO146" s="53"/>
      <c r="AP146" s="54"/>
      <c r="AQ146" s="53"/>
      <c r="AR146" s="54"/>
      <c r="AS146" s="53"/>
      <c r="AT146" s="54"/>
      <c r="AU146" s="53"/>
      <c r="AV146" s="54"/>
      <c r="AW146" s="53"/>
      <c r="AX146" s="54"/>
      <c r="AY146" s="53"/>
      <c r="AZ146" s="54"/>
      <c r="BA146" s="53"/>
      <c r="BB146" s="51"/>
      <c r="BC146" s="53"/>
      <c r="BD146" s="51"/>
      <c r="BE146" s="53"/>
      <c r="BF146" s="51"/>
      <c r="BG146" s="53"/>
      <c r="BH146" s="51"/>
      <c r="BI146" s="53"/>
      <c r="BJ146" s="51"/>
      <c r="BK146" s="53"/>
      <c r="BL146" s="51"/>
      <c r="BM146" s="53"/>
      <c r="BN146" s="51"/>
      <c r="BO146" s="53"/>
      <c r="BP146" s="51"/>
      <c r="BQ146" s="53"/>
      <c r="BR146" s="55"/>
    </row>
    <row r="147" spans="1:70" ht="28.5" customHeight="1">
      <c r="A147" s="67" t="s">
        <v>3236</v>
      </c>
      <c r="B147" s="51"/>
      <c r="C147" s="51" t="str">
        <f t="shared" si="6"/>
        <v>giftcodesbanner/極速漂移：3V3-禮包碼.jpg</v>
      </c>
      <c r="D147" s="51" t="str">
        <f t="shared" si="5"/>
        <v>https://www.ssbuy.tw/detail_giftcode/dist/giftcodes/極速漂移：3V3.html</v>
      </c>
      <c r="E147" s="91" t="s">
        <v>3237</v>
      </c>
      <c r="F147" s="103" t="s">
        <v>1710</v>
      </c>
      <c r="G147" s="52" t="s">
        <v>1711</v>
      </c>
      <c r="H147" s="52" t="s">
        <v>1840</v>
      </c>
      <c r="I147" s="51"/>
      <c r="J147" s="91"/>
      <c r="K147" s="92" t="s">
        <v>2472</v>
      </c>
      <c r="L147" s="51" t="s">
        <v>3235</v>
      </c>
      <c r="M147" s="53" t="s">
        <v>2459</v>
      </c>
      <c r="N147" s="54" t="s">
        <v>2471</v>
      </c>
      <c r="O147" s="53"/>
      <c r="P147" s="54"/>
      <c r="Q147" s="53"/>
      <c r="R147" s="54"/>
      <c r="S147" s="53"/>
      <c r="T147" s="54"/>
      <c r="U147" s="53"/>
      <c r="V147" s="54"/>
      <c r="W147" s="53"/>
      <c r="X147" s="54"/>
      <c r="Y147" s="53"/>
      <c r="Z147" s="54"/>
      <c r="AA147" s="53"/>
      <c r="AB147" s="54"/>
      <c r="AC147" s="53"/>
      <c r="AD147" s="54"/>
      <c r="AE147" s="53"/>
      <c r="AF147" s="54"/>
      <c r="AG147" s="53"/>
      <c r="AH147" s="54"/>
      <c r="AI147" s="53"/>
      <c r="AJ147" s="54"/>
      <c r="AK147" s="53"/>
      <c r="AL147" s="54"/>
      <c r="AM147" s="53"/>
      <c r="AN147" s="54"/>
      <c r="AO147" s="53"/>
      <c r="AP147" s="54"/>
      <c r="AQ147" s="53"/>
      <c r="AR147" s="54"/>
      <c r="AS147" s="53"/>
      <c r="AT147" s="54"/>
      <c r="AU147" s="53"/>
      <c r="AV147" s="54"/>
      <c r="AW147" s="53"/>
      <c r="AX147" s="54"/>
      <c r="AY147" s="53"/>
      <c r="AZ147" s="54"/>
      <c r="BA147" s="53"/>
      <c r="BB147" s="51"/>
      <c r="BC147" s="53"/>
      <c r="BD147" s="51"/>
      <c r="BE147" s="53"/>
      <c r="BF147" s="51"/>
      <c r="BG147" s="53"/>
      <c r="BH147" s="51"/>
      <c r="BI147" s="53"/>
      <c r="BJ147" s="51"/>
      <c r="BK147" s="53"/>
      <c r="BL147" s="51"/>
      <c r="BM147" s="53"/>
      <c r="BN147" s="51"/>
      <c r="BO147" s="53"/>
      <c r="BP147" s="51"/>
      <c r="BQ147" s="53"/>
      <c r="BR147" s="55"/>
    </row>
    <row r="148" spans="1:70" ht="28.5" customHeight="1">
      <c r="A148" s="69" t="s">
        <v>228</v>
      </c>
      <c r="B148" s="51"/>
      <c r="C148" s="51" t="str">
        <f t="shared" si="6"/>
        <v>giftcodesbanner/斗羅大陸：獵魂世界-禮包碼.jpg</v>
      </c>
      <c r="D148" s="51" t="str">
        <f t="shared" si="5"/>
        <v>https://www.ssbuy.tw/detail_giftcode/dist/giftcodes/斗羅大陸：獵魂世界.html</v>
      </c>
      <c r="E148" s="105" t="s">
        <v>3238</v>
      </c>
      <c r="F148" s="103" t="s">
        <v>3203</v>
      </c>
      <c r="G148" s="52" t="s">
        <v>1711</v>
      </c>
      <c r="H148" s="52" t="s">
        <v>1840</v>
      </c>
      <c r="I148" s="51"/>
      <c r="J148" s="91"/>
      <c r="K148" s="92" t="s">
        <v>3239</v>
      </c>
      <c r="L148" s="51" t="s">
        <v>1920</v>
      </c>
      <c r="M148" s="53" t="s">
        <v>3240</v>
      </c>
      <c r="N148" s="54" t="s">
        <v>1920</v>
      </c>
      <c r="O148" s="53" t="s">
        <v>3241</v>
      </c>
      <c r="P148" s="54" t="s">
        <v>1920</v>
      </c>
      <c r="Q148" s="53" t="s">
        <v>3242</v>
      </c>
      <c r="R148" s="54" t="s">
        <v>1920</v>
      </c>
      <c r="S148" s="53" t="s">
        <v>3243</v>
      </c>
      <c r="T148" s="54" t="s">
        <v>1920</v>
      </c>
      <c r="U148" s="53" t="s">
        <v>2519</v>
      </c>
      <c r="V148" s="54" t="s">
        <v>1920</v>
      </c>
      <c r="W148" s="53" t="s">
        <v>3244</v>
      </c>
      <c r="X148" s="54" t="s">
        <v>1920</v>
      </c>
      <c r="Y148" s="53" t="s">
        <v>3245</v>
      </c>
      <c r="Z148" s="54" t="s">
        <v>1920</v>
      </c>
      <c r="AA148" s="53" t="s">
        <v>2520</v>
      </c>
      <c r="AB148" s="54" t="s">
        <v>1920</v>
      </c>
      <c r="AC148" s="53" t="s">
        <v>3246</v>
      </c>
      <c r="AD148" s="54" t="s">
        <v>1920</v>
      </c>
      <c r="AE148" s="53" t="s">
        <v>3247</v>
      </c>
      <c r="AF148" s="54" t="s">
        <v>1920</v>
      </c>
      <c r="AG148" s="53" t="s">
        <v>4405</v>
      </c>
      <c r="AH148" s="54" t="s">
        <v>1920</v>
      </c>
      <c r="AI148" s="53"/>
      <c r="AJ148" s="54"/>
      <c r="AK148" s="53"/>
      <c r="AL148" s="54"/>
      <c r="AM148" s="53"/>
      <c r="AN148" s="54"/>
      <c r="AO148" s="53"/>
      <c r="AP148" s="54"/>
      <c r="AQ148" s="53"/>
      <c r="AR148" s="54"/>
      <c r="AS148" s="53"/>
      <c r="AT148" s="54"/>
      <c r="AU148" s="53"/>
      <c r="AV148" s="54"/>
      <c r="AW148" s="53"/>
      <c r="AX148" s="54"/>
      <c r="AY148" s="53"/>
      <c r="AZ148" s="54"/>
      <c r="BA148" s="53"/>
      <c r="BB148" s="51"/>
      <c r="BC148" s="53"/>
      <c r="BD148" s="51"/>
      <c r="BE148" s="53"/>
      <c r="BF148" s="51"/>
      <c r="BG148" s="53"/>
      <c r="BH148" s="51"/>
      <c r="BI148" s="53"/>
      <c r="BJ148" s="51"/>
      <c r="BK148" s="53"/>
      <c r="BL148" s="51"/>
      <c r="BM148" s="53"/>
      <c r="BN148" s="51"/>
      <c r="BO148" s="53"/>
      <c r="BP148" s="51"/>
      <c r="BQ148" s="53"/>
      <c r="BR148" s="55"/>
    </row>
    <row r="149" spans="1:70" ht="28.5" customHeight="1">
      <c r="A149" s="69" t="s">
        <v>229</v>
      </c>
      <c r="B149" s="51"/>
      <c r="C149" s="51" t="str">
        <f t="shared" si="6"/>
        <v>giftcodesbanner/指點兵兵-禮包碼.jpg</v>
      </c>
      <c r="D149" s="51" t="str">
        <f t="shared" si="5"/>
        <v>https://www.ssbuy.tw/detail_giftcode/dist/giftcodes/指點兵兵.html</v>
      </c>
      <c r="E149" s="105" t="s">
        <v>3248</v>
      </c>
      <c r="F149" s="103" t="s">
        <v>2437</v>
      </c>
      <c r="G149" s="52" t="s">
        <v>1711</v>
      </c>
      <c r="H149" s="52" t="s">
        <v>1840</v>
      </c>
      <c r="I149" s="51"/>
      <c r="J149" s="91"/>
      <c r="K149" s="92" t="s">
        <v>3216</v>
      </c>
      <c r="L149" s="51" t="s">
        <v>1920</v>
      </c>
      <c r="M149" s="53" t="s">
        <v>2056</v>
      </c>
      <c r="N149" s="54" t="s">
        <v>1920</v>
      </c>
      <c r="O149" s="53" t="s">
        <v>3249</v>
      </c>
      <c r="P149" s="54" t="s">
        <v>1920</v>
      </c>
      <c r="Q149" s="53" t="s">
        <v>1933</v>
      </c>
      <c r="R149" s="54" t="s">
        <v>1920</v>
      </c>
      <c r="S149" s="53" t="s">
        <v>2521</v>
      </c>
      <c r="T149" s="54" t="s">
        <v>1920</v>
      </c>
      <c r="U149" s="53"/>
      <c r="V149" s="54"/>
      <c r="W149" s="53"/>
      <c r="X149" s="54"/>
      <c r="Y149" s="53"/>
      <c r="Z149" s="54"/>
      <c r="AA149" s="53"/>
      <c r="AB149" s="54"/>
      <c r="AC149" s="53"/>
      <c r="AD149" s="54"/>
      <c r="AE149" s="53"/>
      <c r="AF149" s="54"/>
      <c r="AG149" s="53"/>
      <c r="AH149" s="54"/>
      <c r="AI149" s="53"/>
      <c r="AJ149" s="54"/>
      <c r="AK149" s="53"/>
      <c r="AL149" s="54"/>
      <c r="AM149" s="53"/>
      <c r="AN149" s="54"/>
      <c r="AO149" s="53"/>
      <c r="AP149" s="54"/>
      <c r="AQ149" s="53"/>
      <c r="AR149" s="54"/>
      <c r="AS149" s="53"/>
      <c r="AT149" s="54"/>
      <c r="AU149" s="53"/>
      <c r="AV149" s="54"/>
      <c r="AW149" s="53"/>
      <c r="AX149" s="54"/>
      <c r="AY149" s="53"/>
      <c r="AZ149" s="54"/>
      <c r="BA149" s="53"/>
      <c r="BB149" s="51"/>
      <c r="BC149" s="53"/>
      <c r="BD149" s="51"/>
      <c r="BE149" s="53"/>
      <c r="BF149" s="51"/>
      <c r="BG149" s="53"/>
      <c r="BH149" s="51"/>
      <c r="BI149" s="53"/>
      <c r="BJ149" s="51"/>
      <c r="BK149" s="53"/>
      <c r="BL149" s="51"/>
      <c r="BM149" s="53"/>
      <c r="BN149" s="51"/>
      <c r="BO149" s="53"/>
      <c r="BP149" s="51"/>
      <c r="BQ149" s="53"/>
      <c r="BR149" s="55"/>
    </row>
    <row r="150" spans="1:70" ht="28.5" customHeight="1">
      <c r="A150" s="69" t="s">
        <v>241</v>
      </c>
      <c r="B150" s="51"/>
      <c r="C150" s="51" t="str">
        <f t="shared" si="6"/>
        <v>giftcodesbanner/變身傳奇-禮包碼.jpg</v>
      </c>
      <c r="D150" s="51" t="str">
        <f t="shared" si="5"/>
        <v>https://www.ssbuy.tw/detail_giftcode/dist/giftcodes/變身傳奇.html</v>
      </c>
      <c r="E150" s="91" t="s">
        <v>2522</v>
      </c>
      <c r="F150" s="103" t="s">
        <v>1710</v>
      </c>
      <c r="G150" s="52" t="s">
        <v>1711</v>
      </c>
      <c r="H150" s="52" t="s">
        <v>1840</v>
      </c>
      <c r="I150" s="51"/>
      <c r="J150" s="91"/>
      <c r="K150" s="92" t="s">
        <v>7998</v>
      </c>
      <c r="L150" s="51"/>
      <c r="M150" s="53" t="s">
        <v>7999</v>
      </c>
      <c r="N150" s="54"/>
      <c r="O150" s="53" t="s">
        <v>8000</v>
      </c>
      <c r="P150" s="54"/>
      <c r="Q150" s="53" t="s">
        <v>8001</v>
      </c>
      <c r="R150" s="54"/>
      <c r="S150" s="53" t="s">
        <v>8002</v>
      </c>
      <c r="T150" s="54"/>
      <c r="U150" s="53" t="s">
        <v>8003</v>
      </c>
      <c r="V150" s="54"/>
      <c r="W150" s="53" t="s">
        <v>8004</v>
      </c>
      <c r="X150" s="54"/>
      <c r="Y150" s="53" t="s">
        <v>8005</v>
      </c>
      <c r="Z150" s="54"/>
      <c r="AA150" s="53" t="s">
        <v>8006</v>
      </c>
      <c r="AB150" s="54"/>
      <c r="AC150" s="53"/>
      <c r="AD150" s="54"/>
      <c r="AE150" s="53"/>
      <c r="AF150" s="54"/>
      <c r="AG150" s="53"/>
      <c r="AH150" s="54"/>
      <c r="AI150" s="53"/>
      <c r="AJ150" s="54"/>
      <c r="AK150" s="53"/>
      <c r="AL150" s="54"/>
      <c r="AM150" s="53"/>
      <c r="AN150" s="54"/>
      <c r="AO150" s="53"/>
      <c r="AP150" s="54"/>
      <c r="AQ150" s="53"/>
      <c r="AR150" s="54"/>
      <c r="AS150" s="53"/>
      <c r="AT150" s="54"/>
      <c r="AU150" s="53"/>
      <c r="AV150" s="54"/>
      <c r="AW150" s="53"/>
      <c r="AX150" s="54"/>
      <c r="AY150" s="53"/>
      <c r="AZ150" s="54"/>
      <c r="BA150" s="53"/>
      <c r="BB150" s="51"/>
      <c r="BC150" s="53"/>
      <c r="BD150" s="51"/>
      <c r="BE150" s="53"/>
      <c r="BF150" s="51"/>
      <c r="BG150" s="53"/>
      <c r="BH150" s="51"/>
      <c r="BI150" s="53"/>
      <c r="BJ150" s="51"/>
      <c r="BK150" s="53"/>
      <c r="BL150" s="51"/>
      <c r="BM150" s="53"/>
      <c r="BN150" s="51"/>
      <c r="BO150" s="53"/>
      <c r="BP150" s="51"/>
      <c r="BQ150" s="53"/>
      <c r="BR150" s="55"/>
    </row>
    <row r="151" spans="1:70" ht="28.5" customHeight="1">
      <c r="A151" s="69" t="s">
        <v>242</v>
      </c>
      <c r="B151" s="51"/>
      <c r="C151" s="51" t="str">
        <f t="shared" si="6"/>
        <v>giftcodesbanner/Blue eyes：公會大師-禮包碼.jpg</v>
      </c>
      <c r="D151" s="51" t="str">
        <f t="shared" si="5"/>
        <v>https://www.ssbuy.tw/detail_giftcode/dist/giftcodes/Blue eyes：公會大師.html</v>
      </c>
      <c r="E151" s="105" t="s">
        <v>3250</v>
      </c>
      <c r="F151" s="103" t="s">
        <v>3251</v>
      </c>
      <c r="G151" s="52" t="s">
        <v>3252</v>
      </c>
      <c r="H151" s="52" t="s">
        <v>3253</v>
      </c>
      <c r="I151" s="51" t="s">
        <v>2523</v>
      </c>
      <c r="J151" s="91" t="s">
        <v>2524</v>
      </c>
      <c r="K151" s="93" t="s">
        <v>3254</v>
      </c>
      <c r="L151" s="52" t="s">
        <v>3255</v>
      </c>
      <c r="M151" s="59"/>
      <c r="N151" s="62"/>
      <c r="O151" s="59"/>
      <c r="P151" s="62"/>
      <c r="Q151" s="59"/>
      <c r="R151" s="62"/>
      <c r="S151" s="59"/>
      <c r="T151" s="62"/>
      <c r="U151" s="59"/>
      <c r="V151" s="62"/>
      <c r="W151" s="59"/>
      <c r="X151" s="62"/>
      <c r="Y151" s="59"/>
      <c r="Z151" s="62"/>
      <c r="AA151" s="59"/>
      <c r="AB151" s="62"/>
      <c r="AC151" s="53"/>
      <c r="AD151" s="54"/>
      <c r="AE151" s="53"/>
      <c r="AF151" s="54"/>
      <c r="AG151" s="53"/>
      <c r="AH151" s="54"/>
      <c r="AI151" s="53"/>
      <c r="AJ151" s="54"/>
      <c r="AK151" s="53"/>
      <c r="AL151" s="54"/>
      <c r="AM151" s="53"/>
      <c r="AN151" s="54"/>
      <c r="AO151" s="53"/>
      <c r="AP151" s="54"/>
      <c r="AQ151" s="53"/>
      <c r="AR151" s="54"/>
      <c r="AS151" s="53"/>
      <c r="AT151" s="54"/>
      <c r="AU151" s="53"/>
      <c r="AV151" s="54"/>
      <c r="AW151" s="53"/>
      <c r="AX151" s="54"/>
      <c r="AY151" s="53"/>
      <c r="AZ151" s="54"/>
      <c r="BA151" s="53"/>
      <c r="BB151" s="51"/>
      <c r="BC151" s="53"/>
      <c r="BD151" s="51"/>
      <c r="BE151" s="53"/>
      <c r="BF151" s="51"/>
      <c r="BG151" s="53"/>
      <c r="BH151" s="51"/>
      <c r="BI151" s="53"/>
      <c r="BJ151" s="51"/>
      <c r="BK151" s="53"/>
      <c r="BL151" s="51"/>
      <c r="BM151" s="53"/>
      <c r="BN151" s="51"/>
      <c r="BO151" s="53"/>
      <c r="BP151" s="51"/>
      <c r="BQ151" s="53"/>
      <c r="BR151" s="55"/>
    </row>
    <row r="152" spans="1:70" ht="28.5" customHeight="1">
      <c r="A152" s="67" t="s">
        <v>2525</v>
      </c>
      <c r="B152" s="51"/>
      <c r="C152" s="51" t="str">
        <f t="shared" si="6"/>
        <v>giftcodesbanner/杖劍傳說：坎斯汀之約-禮包碼.jpg</v>
      </c>
      <c r="D152" s="51" t="str">
        <f t="shared" si="5"/>
        <v>https://www.ssbuy.tw/detail_giftcode/dist/giftcodes/杖劍傳說：坎斯汀之約.html</v>
      </c>
      <c r="E152" s="105" t="s">
        <v>3256</v>
      </c>
      <c r="F152" s="107" t="s">
        <v>2526</v>
      </c>
      <c r="G152" s="51" t="s">
        <v>2527</v>
      </c>
      <c r="H152" s="51" t="s">
        <v>3257</v>
      </c>
      <c r="I152" s="51" t="s">
        <v>3258</v>
      </c>
      <c r="J152" s="91"/>
      <c r="K152" s="92" t="s">
        <v>3259</v>
      </c>
      <c r="L152" s="51" t="s">
        <v>3260</v>
      </c>
      <c r="M152" s="53" t="s">
        <v>3261</v>
      </c>
      <c r="N152" s="54" t="s">
        <v>3262</v>
      </c>
      <c r="O152" s="53" t="s">
        <v>3263</v>
      </c>
      <c r="P152" s="54" t="s">
        <v>3264</v>
      </c>
      <c r="Q152" s="53" t="s">
        <v>3265</v>
      </c>
      <c r="R152" s="54" t="s">
        <v>3266</v>
      </c>
      <c r="S152" s="53" t="s">
        <v>2528</v>
      </c>
      <c r="T152" s="54" t="s">
        <v>3267</v>
      </c>
      <c r="U152" s="53" t="s">
        <v>3268</v>
      </c>
      <c r="V152" s="54" t="s">
        <v>3269</v>
      </c>
      <c r="W152" s="53" t="s">
        <v>2529</v>
      </c>
      <c r="X152" s="54" t="s">
        <v>2530</v>
      </c>
      <c r="Y152" s="53" t="s">
        <v>3270</v>
      </c>
      <c r="Z152" s="54" t="s">
        <v>2531</v>
      </c>
      <c r="AA152" s="53" t="s">
        <v>3271</v>
      </c>
      <c r="AB152" s="54" t="s">
        <v>3272</v>
      </c>
      <c r="AC152" s="53" t="s">
        <v>3273</v>
      </c>
      <c r="AD152" s="54" t="s">
        <v>3272</v>
      </c>
      <c r="AE152" s="53"/>
      <c r="AF152" s="54"/>
      <c r="AG152" s="53"/>
      <c r="AH152" s="54"/>
      <c r="AI152" s="53"/>
      <c r="AJ152" s="54"/>
      <c r="AK152" s="53"/>
      <c r="AL152" s="54"/>
      <c r="AM152" s="53"/>
      <c r="AN152" s="54"/>
      <c r="AO152" s="53"/>
      <c r="AP152" s="54"/>
      <c r="AQ152" s="53"/>
      <c r="AR152" s="54"/>
      <c r="AS152" s="53"/>
      <c r="AT152" s="54"/>
      <c r="AU152" s="53"/>
      <c r="AV152" s="54"/>
      <c r="AW152" s="53"/>
      <c r="AX152" s="54"/>
      <c r="AY152" s="53"/>
      <c r="AZ152" s="54"/>
      <c r="BA152" s="53"/>
      <c r="BB152" s="51"/>
      <c r="BC152" s="53"/>
      <c r="BD152" s="51"/>
      <c r="BE152" s="53"/>
      <c r="BF152" s="51"/>
      <c r="BG152" s="53"/>
      <c r="BH152" s="51"/>
      <c r="BI152" s="53"/>
      <c r="BJ152" s="51"/>
      <c r="BK152" s="53"/>
      <c r="BL152" s="51"/>
      <c r="BM152" s="53"/>
      <c r="BN152" s="51"/>
      <c r="BO152" s="53"/>
      <c r="BP152" s="51"/>
      <c r="BQ152" s="53"/>
      <c r="BR152" s="55"/>
    </row>
    <row r="153" spans="1:70" ht="28.5" customHeight="1">
      <c r="A153" s="67" t="s">
        <v>3274</v>
      </c>
      <c r="B153" s="51"/>
      <c r="C153" s="51" t="str">
        <f t="shared" si="6"/>
        <v>giftcodesbanner/超級海戰：紀元崛起-禮包碼.jpg</v>
      </c>
      <c r="D153" s="51" t="str">
        <f t="shared" si="5"/>
        <v>https://www.ssbuy.tw/detail_giftcode/dist/giftcodes/超級海戰：紀元崛起.html</v>
      </c>
      <c r="E153" s="105" t="s">
        <v>3275</v>
      </c>
      <c r="F153" s="107" t="s">
        <v>2532</v>
      </c>
      <c r="G153" s="51" t="s">
        <v>2533</v>
      </c>
      <c r="H153" s="51" t="s">
        <v>3276</v>
      </c>
      <c r="I153" s="51"/>
      <c r="J153" s="91"/>
      <c r="K153" s="92" t="s">
        <v>1933</v>
      </c>
      <c r="L153" s="51" t="s">
        <v>3277</v>
      </c>
      <c r="M153" s="53" t="s">
        <v>3278</v>
      </c>
      <c r="N153" s="54" t="s">
        <v>2534</v>
      </c>
      <c r="O153" s="53" t="s">
        <v>3279</v>
      </c>
      <c r="P153" s="54" t="s">
        <v>3280</v>
      </c>
      <c r="Q153" s="53" t="s">
        <v>3281</v>
      </c>
      <c r="R153" s="54" t="s">
        <v>3282</v>
      </c>
      <c r="S153" s="53"/>
      <c r="T153" s="54"/>
      <c r="U153" s="53"/>
      <c r="V153" s="54"/>
      <c r="W153" s="53"/>
      <c r="X153" s="54"/>
      <c r="Y153" s="53"/>
      <c r="Z153" s="54"/>
      <c r="AA153" s="53"/>
      <c r="AB153" s="54"/>
      <c r="AC153" s="53"/>
      <c r="AD153" s="54"/>
      <c r="AE153" s="53"/>
      <c r="AF153" s="54"/>
      <c r="AG153" s="53"/>
      <c r="AH153" s="54"/>
      <c r="AI153" s="53"/>
      <c r="AJ153" s="54"/>
      <c r="AK153" s="53"/>
      <c r="AL153" s="54"/>
      <c r="AM153" s="53"/>
      <c r="AN153" s="54"/>
      <c r="AO153" s="53"/>
      <c r="AP153" s="54"/>
      <c r="AQ153" s="53"/>
      <c r="AR153" s="54"/>
      <c r="AS153" s="53"/>
      <c r="AT153" s="54"/>
      <c r="AU153" s="53"/>
      <c r="AV153" s="54"/>
      <c r="AW153" s="53"/>
      <c r="AX153" s="54"/>
      <c r="AY153" s="53"/>
      <c r="AZ153" s="54"/>
      <c r="BA153" s="53"/>
      <c r="BB153" s="51"/>
      <c r="BC153" s="53"/>
      <c r="BD153" s="51"/>
      <c r="BE153" s="53"/>
      <c r="BF153" s="51"/>
      <c r="BG153" s="53"/>
      <c r="BH153" s="51"/>
      <c r="BI153" s="53"/>
      <c r="BJ153" s="51"/>
      <c r="BK153" s="53"/>
      <c r="BL153" s="51"/>
      <c r="BM153" s="53"/>
      <c r="BN153" s="51"/>
      <c r="BO153" s="53"/>
      <c r="BP153" s="51"/>
      <c r="BQ153" s="53"/>
      <c r="BR153" s="55"/>
    </row>
    <row r="154" spans="1:70" ht="28.5" customHeight="1">
      <c r="A154" s="67" t="s">
        <v>2535</v>
      </c>
      <c r="B154" s="51"/>
      <c r="C154" s="51" t="str">
        <f t="shared" si="6"/>
        <v>giftcodesbanner/進擊的惡魔團-禮包碼.jpg</v>
      </c>
      <c r="D154" s="51" t="str">
        <f t="shared" si="5"/>
        <v>https://www.ssbuy.tw/detail_giftcode/dist/giftcodes/進擊的惡魔團.html</v>
      </c>
      <c r="E154" s="105" t="s">
        <v>3283</v>
      </c>
      <c r="F154" s="107" t="s">
        <v>3284</v>
      </c>
      <c r="G154" s="51" t="s">
        <v>3285</v>
      </c>
      <c r="H154" s="51" t="s">
        <v>3286</v>
      </c>
      <c r="I154" s="51" t="s">
        <v>3287</v>
      </c>
      <c r="J154" s="91"/>
      <c r="K154" s="92" t="s">
        <v>3288</v>
      </c>
      <c r="L154" s="51" t="s">
        <v>2536</v>
      </c>
      <c r="M154" s="53" t="s">
        <v>3289</v>
      </c>
      <c r="N154" s="54" t="s">
        <v>3290</v>
      </c>
      <c r="O154" s="53" t="s">
        <v>3291</v>
      </c>
      <c r="P154" s="54" t="s">
        <v>3292</v>
      </c>
      <c r="Q154" s="53" t="s">
        <v>2537</v>
      </c>
      <c r="R154" s="54" t="s">
        <v>2538</v>
      </c>
      <c r="S154" s="53" t="s">
        <v>3293</v>
      </c>
      <c r="T154" s="54" t="s">
        <v>3294</v>
      </c>
      <c r="U154" s="53"/>
      <c r="V154" s="54"/>
      <c r="W154" s="53"/>
      <c r="X154" s="54"/>
      <c r="Y154" s="53"/>
      <c r="Z154" s="54"/>
      <c r="AA154" s="53"/>
      <c r="AB154" s="54"/>
      <c r="AC154" s="53"/>
      <c r="AD154" s="54"/>
      <c r="AE154" s="53"/>
      <c r="AF154" s="54"/>
      <c r="AG154" s="53"/>
      <c r="AH154" s="54"/>
      <c r="AI154" s="53"/>
      <c r="AJ154" s="54"/>
      <c r="AK154" s="53"/>
      <c r="AL154" s="54"/>
      <c r="AM154" s="53"/>
      <c r="AN154" s="54"/>
      <c r="AO154" s="53"/>
      <c r="AP154" s="54"/>
      <c r="AQ154" s="53"/>
      <c r="AR154" s="54"/>
      <c r="AS154" s="53"/>
      <c r="AT154" s="54"/>
      <c r="AU154" s="53"/>
      <c r="AV154" s="54"/>
      <c r="AW154" s="53"/>
      <c r="AX154" s="54"/>
      <c r="AY154" s="53"/>
      <c r="AZ154" s="54"/>
      <c r="BA154" s="53"/>
      <c r="BB154" s="51"/>
      <c r="BC154" s="53"/>
      <c r="BD154" s="51"/>
      <c r="BE154" s="53"/>
      <c r="BF154" s="51"/>
      <c r="BG154" s="53"/>
      <c r="BH154" s="51"/>
      <c r="BI154" s="53"/>
      <c r="BJ154" s="51"/>
      <c r="BK154" s="53"/>
      <c r="BL154" s="51"/>
      <c r="BM154" s="53"/>
      <c r="BN154" s="51"/>
      <c r="BO154" s="53"/>
      <c r="BP154" s="51"/>
      <c r="BQ154" s="53"/>
      <c r="BR154" s="55"/>
    </row>
    <row r="155" spans="1:70" ht="28.5" customHeight="1">
      <c r="A155" s="69" t="s">
        <v>3295</v>
      </c>
      <c r="B155" s="51"/>
      <c r="C155" s="51" t="str">
        <f t="shared" si="6"/>
        <v>giftcodesbanner/蝕影：緋之契-禮包碼.jpg</v>
      </c>
      <c r="D155" s="51" t="str">
        <f t="shared" si="5"/>
        <v>https://www.ssbuy.tw/detail_giftcode/dist/giftcodes/蝕影：緋之契.html</v>
      </c>
      <c r="E155" s="91" t="s">
        <v>3296</v>
      </c>
      <c r="F155" s="107" t="s">
        <v>3297</v>
      </c>
      <c r="G155" s="51" t="s">
        <v>2539</v>
      </c>
      <c r="H155" s="51" t="s">
        <v>3298</v>
      </c>
      <c r="I155" s="51"/>
      <c r="J155" s="91"/>
      <c r="K155" s="93" t="s">
        <v>2540</v>
      </c>
      <c r="L155" s="52" t="s">
        <v>2541</v>
      </c>
      <c r="M155" s="59" t="s">
        <v>1783</v>
      </c>
      <c r="N155" s="62" t="s">
        <v>2542</v>
      </c>
      <c r="O155" s="59" t="s">
        <v>1782</v>
      </c>
      <c r="P155" s="62" t="s">
        <v>2543</v>
      </c>
      <c r="Q155" s="59" t="s">
        <v>1715</v>
      </c>
      <c r="R155" s="62" t="s">
        <v>2544</v>
      </c>
      <c r="S155" s="53"/>
      <c r="T155" s="54"/>
      <c r="U155" s="53"/>
      <c r="V155" s="54"/>
      <c r="W155" s="53"/>
      <c r="X155" s="54"/>
      <c r="Y155" s="53"/>
      <c r="Z155" s="54"/>
      <c r="AA155" s="53"/>
      <c r="AB155" s="54"/>
      <c r="AC155" s="53"/>
      <c r="AD155" s="54"/>
      <c r="AE155" s="53"/>
      <c r="AF155" s="54"/>
      <c r="AG155" s="53"/>
      <c r="AH155" s="54"/>
      <c r="AI155" s="53"/>
      <c r="AJ155" s="54"/>
      <c r="AK155" s="53"/>
      <c r="AL155" s="54"/>
      <c r="AM155" s="53"/>
      <c r="AN155" s="54"/>
      <c r="AO155" s="53"/>
      <c r="AP155" s="54"/>
      <c r="AQ155" s="53"/>
      <c r="AR155" s="54"/>
      <c r="AS155" s="53"/>
      <c r="AT155" s="54"/>
      <c r="AU155" s="53"/>
      <c r="AV155" s="54"/>
      <c r="AW155" s="53"/>
      <c r="AX155" s="54"/>
      <c r="AY155" s="53"/>
      <c r="AZ155" s="54"/>
      <c r="BA155" s="53"/>
      <c r="BB155" s="51"/>
      <c r="BC155" s="53"/>
      <c r="BD155" s="51"/>
      <c r="BE155" s="53"/>
      <c r="BF155" s="51"/>
      <c r="BG155" s="53"/>
      <c r="BH155" s="51"/>
      <c r="BI155" s="53"/>
      <c r="BJ155" s="51"/>
      <c r="BK155" s="53"/>
      <c r="BL155" s="51"/>
      <c r="BM155" s="53"/>
      <c r="BN155" s="51"/>
      <c r="BO155" s="53"/>
      <c r="BP155" s="51"/>
      <c r="BQ155" s="53"/>
      <c r="BR155" s="55"/>
    </row>
    <row r="156" spans="1:70" ht="28.5" customHeight="1">
      <c r="A156" s="69" t="s">
        <v>305</v>
      </c>
      <c r="B156" s="51"/>
      <c r="C156" s="51" t="str">
        <f t="shared" si="6"/>
        <v>giftcodesbanner/RO：Crush-禮包碼.jpg</v>
      </c>
      <c r="D156" s="51" t="str">
        <f t="shared" si="5"/>
        <v>https://www.ssbuy.tw/detail_giftcode/dist/giftcodes/RO：Crush.html</v>
      </c>
      <c r="E156" s="91" t="s">
        <v>3299</v>
      </c>
      <c r="F156" s="107" t="s">
        <v>3300</v>
      </c>
      <c r="G156" s="51" t="s">
        <v>3301</v>
      </c>
      <c r="H156" s="51" t="s">
        <v>3302</v>
      </c>
      <c r="I156" s="51"/>
      <c r="J156" s="91"/>
      <c r="K156" s="92" t="s">
        <v>3303</v>
      </c>
      <c r="L156" s="51" t="s">
        <v>3304</v>
      </c>
      <c r="M156" s="53" t="s">
        <v>4406</v>
      </c>
      <c r="N156" s="54"/>
      <c r="O156" s="53" t="s">
        <v>4407</v>
      </c>
      <c r="P156" s="54"/>
      <c r="Q156" s="53" t="s">
        <v>4408</v>
      </c>
      <c r="R156" s="54"/>
      <c r="S156" s="53" t="s">
        <v>4409</v>
      </c>
      <c r="T156" s="54"/>
      <c r="U156" s="53" t="s">
        <v>4410</v>
      </c>
      <c r="V156" s="54"/>
      <c r="W156" s="53" t="s">
        <v>4411</v>
      </c>
      <c r="X156" s="54"/>
      <c r="Y156" s="53" t="s">
        <v>4796</v>
      </c>
      <c r="Z156" s="54"/>
      <c r="AA156" s="53"/>
      <c r="AB156" s="54"/>
      <c r="AC156" s="53"/>
      <c r="AD156" s="54"/>
      <c r="AE156" s="53"/>
      <c r="AF156" s="54"/>
      <c r="AG156" s="53"/>
      <c r="AH156" s="54"/>
      <c r="AI156" s="53"/>
      <c r="AJ156" s="54"/>
      <c r="AK156" s="53"/>
      <c r="AL156" s="54"/>
      <c r="AM156" s="53"/>
      <c r="AN156" s="54"/>
      <c r="AO156" s="53"/>
      <c r="AP156" s="54"/>
      <c r="AQ156" s="53"/>
      <c r="AR156" s="54"/>
      <c r="AS156" s="53"/>
      <c r="AT156" s="54"/>
      <c r="AU156" s="53"/>
      <c r="AV156" s="54"/>
      <c r="AW156" s="53"/>
      <c r="AX156" s="54"/>
      <c r="AY156" s="53"/>
      <c r="AZ156" s="54"/>
      <c r="BA156" s="53"/>
      <c r="BB156" s="51"/>
      <c r="BC156" s="53"/>
      <c r="BD156" s="51"/>
      <c r="BE156" s="53"/>
      <c r="BF156" s="51"/>
      <c r="BG156" s="53"/>
      <c r="BH156" s="51"/>
      <c r="BI156" s="53"/>
      <c r="BJ156" s="51"/>
      <c r="BK156" s="53"/>
      <c r="BL156" s="51"/>
      <c r="BM156" s="53"/>
      <c r="BN156" s="51"/>
      <c r="BO156" s="53"/>
      <c r="BP156" s="51"/>
      <c r="BQ156" s="53"/>
      <c r="BR156" s="55"/>
    </row>
    <row r="157" spans="1:70" ht="28.5" customHeight="1">
      <c r="A157" s="69" t="s">
        <v>323</v>
      </c>
      <c r="B157" s="51"/>
      <c r="C157" s="51" t="str">
        <f t="shared" si="6"/>
        <v>giftcodesbanner/溯回青空-禮包碼.jpg</v>
      </c>
      <c r="D157" s="51" t="str">
        <f t="shared" si="5"/>
        <v>https://www.ssbuy.tw/detail_giftcode/dist/giftcodes/溯回青空.html</v>
      </c>
      <c r="E157" s="108" t="s">
        <v>2545</v>
      </c>
      <c r="F157" s="107" t="s">
        <v>2546</v>
      </c>
      <c r="G157" s="71" t="s">
        <v>2547</v>
      </c>
      <c r="H157" s="51"/>
      <c r="I157" s="51"/>
      <c r="J157" s="91"/>
      <c r="K157" s="92" t="s">
        <v>3305</v>
      </c>
      <c r="L157" s="51" t="s">
        <v>3306</v>
      </c>
      <c r="M157" s="53" t="s">
        <v>3307</v>
      </c>
      <c r="N157" s="54" t="s">
        <v>3308</v>
      </c>
      <c r="O157" s="53" t="s">
        <v>3309</v>
      </c>
      <c r="P157" s="54" t="s">
        <v>3310</v>
      </c>
      <c r="Q157" s="53"/>
      <c r="R157" s="54"/>
      <c r="S157" s="53"/>
      <c r="T157" s="54"/>
      <c r="U157" s="53"/>
      <c r="V157" s="54"/>
      <c r="W157" s="53"/>
      <c r="X157" s="54"/>
      <c r="Y157" s="53"/>
      <c r="Z157" s="54"/>
      <c r="AA157" s="53"/>
      <c r="AB157" s="54"/>
      <c r="AC157" s="53"/>
      <c r="AD157" s="54"/>
      <c r="AE157" s="53"/>
      <c r="AF157" s="54"/>
      <c r="AG157" s="53"/>
      <c r="AH157" s="54"/>
      <c r="AI157" s="53"/>
      <c r="AJ157" s="54"/>
      <c r="AK157" s="53"/>
      <c r="AL157" s="54"/>
      <c r="AM157" s="53"/>
      <c r="AN157" s="54"/>
      <c r="AO157" s="53"/>
      <c r="AP157" s="54"/>
      <c r="AQ157" s="53"/>
      <c r="AR157" s="54"/>
      <c r="AS157" s="53"/>
      <c r="AT157" s="54"/>
      <c r="AU157" s="53"/>
      <c r="AV157" s="54"/>
      <c r="AW157" s="53"/>
      <c r="AX157" s="54"/>
      <c r="AY157" s="53"/>
      <c r="AZ157" s="54"/>
      <c r="BA157" s="53"/>
      <c r="BB157" s="51"/>
      <c r="BC157" s="53"/>
      <c r="BD157" s="51"/>
      <c r="BE157" s="53"/>
      <c r="BF157" s="51"/>
      <c r="BG157" s="53"/>
      <c r="BH157" s="51"/>
      <c r="BI157" s="53"/>
      <c r="BJ157" s="51"/>
      <c r="BK157" s="53"/>
      <c r="BL157" s="51"/>
      <c r="BM157" s="53"/>
      <c r="BN157" s="51"/>
      <c r="BO157" s="53"/>
      <c r="BP157" s="51"/>
      <c r="BQ157" s="53"/>
      <c r="BR157" s="55"/>
    </row>
    <row r="158" spans="1:70" ht="28.5" customHeight="1">
      <c r="A158" s="69" t="s">
        <v>324</v>
      </c>
      <c r="B158" s="51"/>
      <c r="C158" s="51" t="str">
        <f t="shared" si="6"/>
        <v>giftcodesbanner/蒼之啟示錄-禮包碼.jpg</v>
      </c>
      <c r="D158" s="51" t="str">
        <f t="shared" si="5"/>
        <v>https://www.ssbuy.tw/detail_giftcode/dist/giftcodes/蒼之啟示錄.html</v>
      </c>
      <c r="E158" s="108" t="s">
        <v>3311</v>
      </c>
      <c r="F158" s="107" t="s">
        <v>2459</v>
      </c>
      <c r="G158" s="51" t="s">
        <v>2459</v>
      </c>
      <c r="H158" s="51" t="s">
        <v>2459</v>
      </c>
      <c r="I158" s="51"/>
      <c r="J158" s="91"/>
      <c r="K158" s="92" t="s">
        <v>2459</v>
      </c>
      <c r="L158" s="51" t="s">
        <v>2459</v>
      </c>
      <c r="M158" s="53" t="s">
        <v>3235</v>
      </c>
      <c r="N158" s="54" t="s">
        <v>2471</v>
      </c>
      <c r="O158" s="53"/>
      <c r="P158" s="54"/>
      <c r="Q158" s="53"/>
      <c r="R158" s="54"/>
      <c r="S158" s="53"/>
      <c r="T158" s="54"/>
      <c r="U158" s="53"/>
      <c r="V158" s="54"/>
      <c r="W158" s="53"/>
      <c r="X158" s="54"/>
      <c r="Y158" s="53"/>
      <c r="Z158" s="54"/>
      <c r="AA158" s="53"/>
      <c r="AB158" s="54"/>
      <c r="AC158" s="53"/>
      <c r="AD158" s="54"/>
      <c r="AE158" s="53"/>
      <c r="AF158" s="54"/>
      <c r="AG158" s="53"/>
      <c r="AH158" s="54"/>
      <c r="AI158" s="53"/>
      <c r="AJ158" s="54"/>
      <c r="AK158" s="53"/>
      <c r="AL158" s="54"/>
      <c r="AM158" s="53"/>
      <c r="AN158" s="54"/>
      <c r="AO158" s="53"/>
      <c r="AP158" s="54"/>
      <c r="AQ158" s="53"/>
      <c r="AR158" s="54"/>
      <c r="AS158" s="53"/>
      <c r="AT158" s="54"/>
      <c r="AU158" s="53"/>
      <c r="AV158" s="54"/>
      <c r="AW158" s="53"/>
      <c r="AX158" s="54"/>
      <c r="AY158" s="53"/>
      <c r="AZ158" s="54"/>
      <c r="BA158" s="53"/>
      <c r="BB158" s="51"/>
      <c r="BC158" s="53"/>
      <c r="BD158" s="51"/>
      <c r="BE158" s="53"/>
      <c r="BF158" s="51"/>
      <c r="BG158" s="53"/>
      <c r="BH158" s="51"/>
      <c r="BI158" s="53"/>
      <c r="BJ158" s="51"/>
      <c r="BK158" s="53"/>
      <c r="BL158" s="51"/>
      <c r="BM158" s="53"/>
      <c r="BN158" s="51"/>
      <c r="BO158" s="53"/>
      <c r="BP158" s="51"/>
      <c r="BQ158" s="53"/>
      <c r="BR158" s="55"/>
    </row>
    <row r="159" spans="1:70" ht="28.5" customHeight="1">
      <c r="A159" s="69" t="s">
        <v>325</v>
      </c>
      <c r="B159" s="51"/>
      <c r="C159" s="51" t="str">
        <f t="shared" si="6"/>
        <v>giftcodesbanner/第六絕區-禮包碼.jpg</v>
      </c>
      <c r="D159" s="51" t="str">
        <f t="shared" si="5"/>
        <v>https://www.ssbuy.tw/detail_giftcode/dist/giftcodes/第六絕區.html</v>
      </c>
      <c r="E159" s="108" t="s">
        <v>3312</v>
      </c>
      <c r="F159" s="107" t="s">
        <v>3313</v>
      </c>
      <c r="G159" s="51" t="s">
        <v>3314</v>
      </c>
      <c r="H159" s="51" t="s">
        <v>2548</v>
      </c>
      <c r="I159" s="51" t="s">
        <v>3315</v>
      </c>
      <c r="J159" s="91"/>
      <c r="K159" s="92" t="s">
        <v>3316</v>
      </c>
      <c r="L159" s="51" t="s">
        <v>3317</v>
      </c>
      <c r="M159" s="53" t="s">
        <v>3318</v>
      </c>
      <c r="N159" s="54" t="s">
        <v>3319</v>
      </c>
      <c r="O159" s="53"/>
      <c r="P159" s="54"/>
      <c r="Q159" s="53"/>
      <c r="R159" s="54"/>
      <c r="S159" s="53"/>
      <c r="T159" s="54"/>
      <c r="U159" s="53"/>
      <c r="V159" s="54"/>
      <c r="W159" s="53"/>
      <c r="X159" s="54"/>
      <c r="Y159" s="53"/>
      <c r="Z159" s="54"/>
      <c r="AA159" s="53"/>
      <c r="AB159" s="54"/>
      <c r="AC159" s="53"/>
      <c r="AD159" s="54"/>
      <c r="AE159" s="53"/>
      <c r="AF159" s="54"/>
      <c r="AG159" s="53"/>
      <c r="AH159" s="54"/>
      <c r="AI159" s="53"/>
      <c r="AJ159" s="54"/>
      <c r="AK159" s="53"/>
      <c r="AL159" s="54"/>
      <c r="AM159" s="53"/>
      <c r="AN159" s="54"/>
      <c r="AO159" s="53"/>
      <c r="AP159" s="54"/>
      <c r="AQ159" s="53"/>
      <c r="AR159" s="54"/>
      <c r="AS159" s="53"/>
      <c r="AT159" s="54"/>
      <c r="AU159" s="53"/>
      <c r="AV159" s="54"/>
      <c r="AW159" s="53"/>
      <c r="AX159" s="54"/>
      <c r="AY159" s="53"/>
      <c r="AZ159" s="54"/>
      <c r="BA159" s="53"/>
      <c r="BB159" s="51"/>
      <c r="BC159" s="53"/>
      <c r="BD159" s="51"/>
      <c r="BE159" s="53"/>
      <c r="BF159" s="51"/>
      <c r="BG159" s="53"/>
      <c r="BH159" s="51"/>
      <c r="BI159" s="53"/>
      <c r="BJ159" s="51"/>
      <c r="BK159" s="53"/>
      <c r="BL159" s="51"/>
      <c r="BM159" s="53"/>
      <c r="BN159" s="51"/>
      <c r="BO159" s="53"/>
      <c r="BP159" s="51"/>
      <c r="BQ159" s="53"/>
      <c r="BR159" s="55"/>
    </row>
    <row r="160" spans="1:70" ht="28.5" customHeight="1">
      <c r="A160" s="69" t="s">
        <v>3320</v>
      </c>
      <c r="B160" s="51"/>
      <c r="C160" s="51" t="str">
        <f t="shared" si="6"/>
        <v>giftcodesbanner/MO.CO-禮包碼.jpg</v>
      </c>
      <c r="D160" s="51" t="str">
        <f t="shared" si="5"/>
        <v>https://www.ssbuy.tw/detail_giftcode/dist/giftcodes/MO.CO.html</v>
      </c>
      <c r="E160" s="108" t="s">
        <v>3321</v>
      </c>
      <c r="F160" s="107" t="s">
        <v>2459</v>
      </c>
      <c r="G160" s="51" t="s">
        <v>2459</v>
      </c>
      <c r="H160" s="51" t="s">
        <v>2459</v>
      </c>
      <c r="I160" s="51"/>
      <c r="J160" s="91"/>
      <c r="K160" s="92" t="s">
        <v>2459</v>
      </c>
      <c r="L160" s="51" t="s">
        <v>2459</v>
      </c>
      <c r="M160" s="53" t="s">
        <v>2459</v>
      </c>
      <c r="N160" s="54" t="s">
        <v>2459</v>
      </c>
      <c r="O160" s="53"/>
      <c r="P160" s="54"/>
      <c r="Q160" s="53"/>
      <c r="R160" s="54"/>
      <c r="S160" s="53"/>
      <c r="T160" s="54"/>
      <c r="U160" s="53"/>
      <c r="V160" s="54"/>
      <c r="W160" s="53"/>
      <c r="X160" s="54"/>
      <c r="Y160" s="53"/>
      <c r="Z160" s="54"/>
      <c r="AA160" s="53"/>
      <c r="AB160" s="54"/>
      <c r="AC160" s="53"/>
      <c r="AD160" s="54"/>
      <c r="AE160" s="53"/>
      <c r="AF160" s="54"/>
      <c r="AG160" s="53"/>
      <c r="AH160" s="54"/>
      <c r="AI160" s="53"/>
      <c r="AJ160" s="54"/>
      <c r="AK160" s="53"/>
      <c r="AL160" s="54"/>
      <c r="AM160" s="53"/>
      <c r="AN160" s="54"/>
      <c r="AO160" s="53"/>
      <c r="AP160" s="54"/>
      <c r="AQ160" s="53"/>
      <c r="AR160" s="54"/>
      <c r="AS160" s="53"/>
      <c r="AT160" s="54"/>
      <c r="AU160" s="53"/>
      <c r="AV160" s="54"/>
      <c r="AW160" s="53"/>
      <c r="AX160" s="54"/>
      <c r="AY160" s="53"/>
      <c r="AZ160" s="54"/>
      <c r="BA160" s="53"/>
      <c r="BB160" s="51"/>
      <c r="BC160" s="53"/>
      <c r="BD160" s="51"/>
      <c r="BE160" s="53"/>
      <c r="BF160" s="51"/>
      <c r="BG160" s="53"/>
      <c r="BH160" s="51"/>
      <c r="BI160" s="53"/>
      <c r="BJ160" s="51"/>
      <c r="BK160" s="53"/>
      <c r="BL160" s="51"/>
      <c r="BM160" s="53"/>
      <c r="BN160" s="51"/>
      <c r="BO160" s="53"/>
      <c r="BP160" s="51"/>
      <c r="BQ160" s="53"/>
      <c r="BR160" s="55"/>
    </row>
    <row r="161" spans="1:70" ht="28.5" customHeight="1">
      <c r="A161" s="69" t="s">
        <v>326</v>
      </c>
      <c r="B161" s="51"/>
      <c r="C161" s="51" t="str">
        <f t="shared" si="6"/>
        <v>giftcodesbanner/幻世三國：一騎當千-禮包碼.jpg</v>
      </c>
      <c r="D161" s="51" t="str">
        <f t="shared" si="5"/>
        <v>https://www.ssbuy.tw/detail_giftcode/dist/giftcodes/幻世三國：一騎當千.html</v>
      </c>
      <c r="E161" s="108" t="s">
        <v>2549</v>
      </c>
      <c r="F161" s="107" t="s">
        <v>2459</v>
      </c>
      <c r="G161" s="51" t="s">
        <v>2459</v>
      </c>
      <c r="H161" s="51" t="s">
        <v>2459</v>
      </c>
      <c r="I161" s="51"/>
      <c r="J161" s="91"/>
      <c r="K161" s="92" t="s">
        <v>2471</v>
      </c>
      <c r="L161" s="51" t="s">
        <v>2459</v>
      </c>
      <c r="M161" s="53" t="s">
        <v>2459</v>
      </c>
      <c r="N161" s="54" t="s">
        <v>2459</v>
      </c>
      <c r="O161" s="53"/>
      <c r="P161" s="54"/>
      <c r="Q161" s="53"/>
      <c r="R161" s="54"/>
      <c r="S161" s="53"/>
      <c r="T161" s="54"/>
      <c r="U161" s="53"/>
      <c r="V161" s="54"/>
      <c r="W161" s="53"/>
      <c r="X161" s="54"/>
      <c r="Y161" s="53"/>
      <c r="Z161" s="54"/>
      <c r="AA161" s="53"/>
      <c r="AB161" s="54"/>
      <c r="AC161" s="53"/>
      <c r="AD161" s="54"/>
      <c r="AE161" s="53"/>
      <c r="AF161" s="54"/>
      <c r="AG161" s="53"/>
      <c r="AH161" s="54"/>
      <c r="AI161" s="53"/>
      <c r="AJ161" s="54"/>
      <c r="AK161" s="53"/>
      <c r="AL161" s="54"/>
      <c r="AM161" s="53"/>
      <c r="AN161" s="54"/>
      <c r="AO161" s="53"/>
      <c r="AP161" s="54"/>
      <c r="AQ161" s="53"/>
      <c r="AR161" s="54"/>
      <c r="AS161" s="53"/>
      <c r="AT161" s="54"/>
      <c r="AU161" s="53"/>
      <c r="AV161" s="54"/>
      <c r="AW161" s="53"/>
      <c r="AX161" s="54"/>
      <c r="AY161" s="53"/>
      <c r="AZ161" s="54"/>
      <c r="BA161" s="53"/>
      <c r="BB161" s="51"/>
      <c r="BC161" s="53"/>
      <c r="BD161" s="51"/>
      <c r="BE161" s="53"/>
      <c r="BF161" s="51"/>
      <c r="BG161" s="53"/>
      <c r="BH161" s="51"/>
      <c r="BI161" s="53"/>
      <c r="BJ161" s="51"/>
      <c r="BK161" s="53"/>
      <c r="BL161" s="51"/>
      <c r="BM161" s="53"/>
      <c r="BN161" s="51"/>
      <c r="BO161" s="53"/>
      <c r="BP161" s="51"/>
      <c r="BQ161" s="53"/>
      <c r="BR161" s="55"/>
    </row>
    <row r="162" spans="1:70" ht="28.5" customHeight="1">
      <c r="A162" s="69" t="s">
        <v>1448</v>
      </c>
      <c r="B162" s="51"/>
      <c r="C162" s="51" t="str">
        <f t="shared" si="6"/>
        <v>giftcodesbanner/小兵立大功-禮包碼.jpg</v>
      </c>
      <c r="D162" s="51" t="str">
        <f t="shared" si="5"/>
        <v>https://www.ssbuy.tw/detail_giftcode/dist/giftcodes/小兵立大功.html</v>
      </c>
      <c r="E162" s="108" t="s">
        <v>3322</v>
      </c>
      <c r="F162" s="107" t="s">
        <v>2471</v>
      </c>
      <c r="G162" s="51" t="s">
        <v>2459</v>
      </c>
      <c r="H162" s="51" t="s">
        <v>2459</v>
      </c>
      <c r="I162" s="51" t="s">
        <v>2459</v>
      </c>
      <c r="J162" s="91"/>
      <c r="K162" s="92" t="s">
        <v>2471</v>
      </c>
      <c r="L162" s="51" t="s">
        <v>2459</v>
      </c>
      <c r="M162" s="53" t="s">
        <v>2471</v>
      </c>
      <c r="N162" s="54" t="s">
        <v>3235</v>
      </c>
      <c r="O162" s="53"/>
      <c r="P162" s="54"/>
      <c r="Q162" s="53"/>
      <c r="R162" s="54"/>
      <c r="S162" s="53"/>
      <c r="T162" s="54"/>
      <c r="U162" s="53"/>
      <c r="V162" s="54"/>
      <c r="W162" s="53"/>
      <c r="X162" s="54"/>
      <c r="Y162" s="53"/>
      <c r="Z162" s="54"/>
      <c r="AA162" s="53"/>
      <c r="AB162" s="54"/>
      <c r="AC162" s="53"/>
      <c r="AD162" s="54"/>
      <c r="AE162" s="53"/>
      <c r="AF162" s="54"/>
      <c r="AG162" s="53"/>
      <c r="AH162" s="54"/>
      <c r="AI162" s="53"/>
      <c r="AJ162" s="54"/>
      <c r="AK162" s="53"/>
      <c r="AL162" s="54"/>
      <c r="AM162" s="53"/>
      <c r="AN162" s="54"/>
      <c r="AO162" s="53"/>
      <c r="AP162" s="54"/>
      <c r="AQ162" s="53"/>
      <c r="AR162" s="54"/>
      <c r="AS162" s="53"/>
      <c r="AT162" s="54"/>
      <c r="AU162" s="53"/>
      <c r="AV162" s="54"/>
      <c r="AW162" s="53"/>
      <c r="AX162" s="54"/>
      <c r="AY162" s="53"/>
      <c r="AZ162" s="54"/>
      <c r="BA162" s="53"/>
      <c r="BB162" s="51"/>
      <c r="BC162" s="53"/>
      <c r="BD162" s="51"/>
      <c r="BE162" s="53"/>
      <c r="BF162" s="51"/>
      <c r="BG162" s="53"/>
      <c r="BH162" s="51"/>
      <c r="BI162" s="53"/>
      <c r="BJ162" s="51"/>
      <c r="BK162" s="53"/>
      <c r="BL162" s="51"/>
      <c r="BM162" s="53"/>
      <c r="BN162" s="51"/>
      <c r="BO162" s="53"/>
      <c r="BP162" s="51"/>
      <c r="BQ162" s="53"/>
      <c r="BR162" s="55"/>
    </row>
    <row r="163" spans="1:70" ht="28.5" customHeight="1">
      <c r="A163" s="69" t="s">
        <v>1449</v>
      </c>
      <c r="B163" s="51"/>
      <c r="C163" s="51" t="str">
        <f t="shared" si="6"/>
        <v>giftcodesbanner/像素全明星-禮包碼.jpg</v>
      </c>
      <c r="D163" s="51" t="str">
        <f t="shared" si="5"/>
        <v>https://www.ssbuy.tw/detail_giftcode/dist/giftcodes/像素全明星.html</v>
      </c>
      <c r="E163" s="108" t="s">
        <v>2550</v>
      </c>
      <c r="F163" s="107" t="s">
        <v>2459</v>
      </c>
      <c r="G163" s="51" t="s">
        <v>2471</v>
      </c>
      <c r="H163" s="51" t="s">
        <v>2459</v>
      </c>
      <c r="I163" s="51" t="s">
        <v>2471</v>
      </c>
      <c r="J163" s="91"/>
      <c r="K163" s="92" t="s">
        <v>2459</v>
      </c>
      <c r="L163" s="51" t="s">
        <v>3235</v>
      </c>
      <c r="M163" s="53" t="s">
        <v>2459</v>
      </c>
      <c r="N163" s="54" t="s">
        <v>2459</v>
      </c>
      <c r="O163" s="53"/>
      <c r="P163" s="54"/>
      <c r="Q163" s="53"/>
      <c r="R163" s="54"/>
      <c r="S163" s="53"/>
      <c r="T163" s="54"/>
      <c r="U163" s="53"/>
      <c r="V163" s="54"/>
      <c r="W163" s="53"/>
      <c r="X163" s="54"/>
      <c r="Y163" s="53"/>
      <c r="Z163" s="54"/>
      <c r="AA163" s="53"/>
      <c r="AB163" s="54"/>
      <c r="AC163" s="53"/>
      <c r="AD163" s="54"/>
      <c r="AE163" s="53"/>
      <c r="AF163" s="54"/>
      <c r="AG163" s="53"/>
      <c r="AH163" s="54"/>
      <c r="AI163" s="53"/>
      <c r="AJ163" s="54"/>
      <c r="AK163" s="53"/>
      <c r="AL163" s="54"/>
      <c r="AM163" s="53"/>
      <c r="AN163" s="54"/>
      <c r="AO163" s="53"/>
      <c r="AP163" s="54"/>
      <c r="AQ163" s="53"/>
      <c r="AR163" s="54"/>
      <c r="AS163" s="53"/>
      <c r="AT163" s="54"/>
      <c r="AU163" s="53"/>
      <c r="AV163" s="54"/>
      <c r="AW163" s="53"/>
      <c r="AX163" s="54"/>
      <c r="AY163" s="53"/>
      <c r="AZ163" s="54"/>
      <c r="BA163" s="53"/>
      <c r="BB163" s="51"/>
      <c r="BC163" s="53"/>
      <c r="BD163" s="51"/>
      <c r="BE163" s="53"/>
      <c r="BF163" s="51"/>
      <c r="BG163" s="53"/>
      <c r="BH163" s="51"/>
      <c r="BI163" s="53"/>
      <c r="BJ163" s="51"/>
      <c r="BK163" s="53"/>
      <c r="BL163" s="51"/>
      <c r="BM163" s="53"/>
      <c r="BN163" s="51"/>
      <c r="BO163" s="53"/>
      <c r="BP163" s="51"/>
      <c r="BQ163" s="53"/>
      <c r="BR163" s="55"/>
    </row>
    <row r="164" spans="1:70" ht="28.5" customHeight="1">
      <c r="A164" s="69" t="s">
        <v>1464</v>
      </c>
      <c r="B164" s="51"/>
      <c r="C164" s="51" t="str">
        <f t="shared" si="6"/>
        <v>giftcodesbanner/浣熊傳說-禮包碼.jpg</v>
      </c>
      <c r="D164" s="51" t="str">
        <f t="shared" si="5"/>
        <v>https://www.ssbuy.tw/detail_giftcode/dist/giftcodes/浣熊傳說.html</v>
      </c>
      <c r="E164" s="105" t="s">
        <v>2551</v>
      </c>
      <c r="F164" s="107" t="s">
        <v>3323</v>
      </c>
      <c r="G164" s="51" t="s">
        <v>3324</v>
      </c>
      <c r="H164" s="51" t="s">
        <v>3325</v>
      </c>
      <c r="I164" s="51"/>
      <c r="J164" s="91"/>
      <c r="K164" s="92" t="s">
        <v>2552</v>
      </c>
      <c r="L164" s="51" t="s">
        <v>3326</v>
      </c>
      <c r="M164" s="53" t="s">
        <v>3327</v>
      </c>
      <c r="N164" s="54" t="s">
        <v>2553</v>
      </c>
      <c r="O164" s="53" t="s">
        <v>3328</v>
      </c>
      <c r="P164" s="54" t="s">
        <v>3329</v>
      </c>
      <c r="Q164" s="53" t="s">
        <v>2141</v>
      </c>
      <c r="R164" s="54" t="s">
        <v>3330</v>
      </c>
      <c r="S164" s="53"/>
      <c r="T164" s="54"/>
      <c r="U164" s="53"/>
      <c r="V164" s="54"/>
      <c r="W164" s="53"/>
      <c r="X164" s="54"/>
      <c r="Y164" s="53"/>
      <c r="Z164" s="54"/>
      <c r="AA164" s="53"/>
      <c r="AB164" s="54"/>
      <c r="AC164" s="53"/>
      <c r="AD164" s="54"/>
      <c r="AE164" s="53"/>
      <c r="AF164" s="54"/>
      <c r="AG164" s="53"/>
      <c r="AH164" s="54"/>
      <c r="AI164" s="53"/>
      <c r="AJ164" s="54"/>
      <c r="AK164" s="53"/>
      <c r="AL164" s="54"/>
      <c r="AM164" s="53"/>
      <c r="AN164" s="54"/>
      <c r="AO164" s="53"/>
      <c r="AP164" s="54"/>
      <c r="AQ164" s="53"/>
      <c r="AR164" s="54"/>
      <c r="AS164" s="53"/>
      <c r="AT164" s="54"/>
      <c r="AU164" s="53"/>
      <c r="AV164" s="54"/>
      <c r="AW164" s="53"/>
      <c r="AX164" s="54"/>
      <c r="AY164" s="53"/>
      <c r="AZ164" s="54"/>
      <c r="BA164" s="53"/>
      <c r="BB164" s="51"/>
      <c r="BC164" s="53"/>
      <c r="BD164" s="51"/>
      <c r="BE164" s="53"/>
      <c r="BF164" s="51"/>
      <c r="BG164" s="53"/>
      <c r="BH164" s="51"/>
      <c r="BI164" s="53"/>
      <c r="BJ164" s="51"/>
      <c r="BK164" s="53"/>
      <c r="BL164" s="51"/>
      <c r="BM164" s="53"/>
      <c r="BN164" s="51"/>
      <c r="BO164" s="53"/>
      <c r="BP164" s="51"/>
      <c r="BQ164" s="53"/>
      <c r="BR164" s="55"/>
    </row>
    <row r="165" spans="1:70" ht="28.5" customHeight="1">
      <c r="A165" s="69" t="s">
        <v>1465</v>
      </c>
      <c r="B165" s="51"/>
      <c r="C165" s="51" t="str">
        <f t="shared" si="6"/>
        <v>giftcodesbanner/勇者格鬥城-禮包碼.jpg</v>
      </c>
      <c r="D165" s="51" t="str">
        <f t="shared" si="5"/>
        <v>https://www.ssbuy.tw/detail_giftcode/dist/giftcodes/勇者格鬥城.html</v>
      </c>
      <c r="E165" s="105" t="s">
        <v>3331</v>
      </c>
      <c r="F165" s="107" t="s">
        <v>2459</v>
      </c>
      <c r="G165" s="51" t="s">
        <v>3235</v>
      </c>
      <c r="H165" s="51" t="s">
        <v>2459</v>
      </c>
      <c r="I165" s="51" t="s">
        <v>2459</v>
      </c>
      <c r="J165" s="91"/>
      <c r="K165" s="92" t="s">
        <v>2471</v>
      </c>
      <c r="L165" s="51" t="s">
        <v>2459</v>
      </c>
      <c r="M165" s="53" t="s">
        <v>2459</v>
      </c>
      <c r="N165" s="54" t="s">
        <v>2472</v>
      </c>
      <c r="O165" s="53"/>
      <c r="P165" s="54"/>
      <c r="Q165" s="53"/>
      <c r="R165" s="54"/>
      <c r="S165" s="53"/>
      <c r="T165" s="54"/>
      <c r="U165" s="53"/>
      <c r="V165" s="54"/>
      <c r="W165" s="53"/>
      <c r="X165" s="54"/>
      <c r="Y165" s="53"/>
      <c r="Z165" s="54"/>
      <c r="AA165" s="53"/>
      <c r="AB165" s="54"/>
      <c r="AC165" s="53"/>
      <c r="AD165" s="54"/>
      <c r="AE165" s="53"/>
      <c r="AF165" s="54"/>
      <c r="AG165" s="53"/>
      <c r="AH165" s="54"/>
      <c r="AI165" s="53"/>
      <c r="AJ165" s="54"/>
      <c r="AK165" s="53"/>
      <c r="AL165" s="54"/>
      <c r="AM165" s="53"/>
      <c r="AN165" s="54"/>
      <c r="AO165" s="53"/>
      <c r="AP165" s="54"/>
      <c r="AQ165" s="53"/>
      <c r="AR165" s="54"/>
      <c r="AS165" s="53"/>
      <c r="AT165" s="54"/>
      <c r="AU165" s="53"/>
      <c r="AV165" s="54"/>
      <c r="AW165" s="53"/>
      <c r="AX165" s="54"/>
      <c r="AY165" s="53"/>
      <c r="AZ165" s="54"/>
      <c r="BA165" s="53"/>
      <c r="BB165" s="51"/>
      <c r="BC165" s="53"/>
      <c r="BD165" s="51"/>
      <c r="BE165" s="53"/>
      <c r="BF165" s="51"/>
      <c r="BG165" s="53"/>
      <c r="BH165" s="51"/>
      <c r="BI165" s="53"/>
      <c r="BJ165" s="51"/>
      <c r="BK165" s="53"/>
      <c r="BL165" s="51"/>
      <c r="BM165" s="53"/>
      <c r="BN165" s="51"/>
      <c r="BO165" s="53"/>
      <c r="BP165" s="51"/>
      <c r="BQ165" s="53"/>
      <c r="BR165" s="55"/>
    </row>
    <row r="166" spans="1:70" ht="28.5" customHeight="1">
      <c r="A166" s="69" t="s">
        <v>3332</v>
      </c>
      <c r="B166" s="51"/>
      <c r="C166" s="51" t="str">
        <f t="shared" si="6"/>
        <v>giftcodesbanner/龐寶：背包英雄們-禮包碼.jpg</v>
      </c>
      <c r="D166" s="51" t="str">
        <f t="shared" si="5"/>
        <v>https://www.ssbuy.tw/detail_giftcode/dist/giftcodes/龐寶：背包英雄們.html</v>
      </c>
      <c r="E166" s="105" t="s">
        <v>2554</v>
      </c>
      <c r="F166" s="107" t="s">
        <v>2459</v>
      </c>
      <c r="G166" s="51" t="s">
        <v>2471</v>
      </c>
      <c r="H166" s="51" t="s">
        <v>2459</v>
      </c>
      <c r="I166" s="51" t="s">
        <v>2459</v>
      </c>
      <c r="J166" s="91"/>
      <c r="K166" s="92" t="s">
        <v>2471</v>
      </c>
      <c r="L166" s="51" t="s">
        <v>2459</v>
      </c>
      <c r="M166" s="53" t="s">
        <v>2459</v>
      </c>
      <c r="N166" s="54" t="s">
        <v>2471</v>
      </c>
      <c r="O166" s="53"/>
      <c r="P166" s="54"/>
      <c r="Q166" s="53"/>
      <c r="R166" s="54"/>
      <c r="S166" s="53"/>
      <c r="T166" s="54"/>
      <c r="U166" s="53"/>
      <c r="V166" s="54"/>
      <c r="W166" s="53"/>
      <c r="X166" s="54"/>
      <c r="Y166" s="53"/>
      <c r="Z166" s="54"/>
      <c r="AA166" s="53"/>
      <c r="AB166" s="54"/>
      <c r="AC166" s="53"/>
      <c r="AD166" s="54"/>
      <c r="AE166" s="53"/>
      <c r="AF166" s="54"/>
      <c r="AG166" s="53"/>
      <c r="AH166" s="54"/>
      <c r="AI166" s="53"/>
      <c r="AJ166" s="54"/>
      <c r="AK166" s="53"/>
      <c r="AL166" s="54"/>
      <c r="AM166" s="53"/>
      <c r="AN166" s="54"/>
      <c r="AO166" s="53"/>
      <c r="AP166" s="54"/>
      <c r="AQ166" s="53"/>
      <c r="AR166" s="54"/>
      <c r="AS166" s="53"/>
      <c r="AT166" s="54"/>
      <c r="AU166" s="53"/>
      <c r="AV166" s="54"/>
      <c r="AW166" s="53"/>
      <c r="AX166" s="54"/>
      <c r="AY166" s="53"/>
      <c r="AZ166" s="54"/>
      <c r="BA166" s="53"/>
      <c r="BB166" s="51"/>
      <c r="BC166" s="53"/>
      <c r="BD166" s="51"/>
      <c r="BE166" s="53"/>
      <c r="BF166" s="51"/>
      <c r="BG166" s="53"/>
      <c r="BH166" s="51"/>
      <c r="BI166" s="53"/>
      <c r="BJ166" s="51"/>
      <c r="BK166" s="53"/>
      <c r="BL166" s="51"/>
      <c r="BM166" s="53"/>
      <c r="BN166" s="51"/>
      <c r="BO166" s="53"/>
      <c r="BP166" s="51"/>
      <c r="BQ166" s="53"/>
      <c r="BR166" s="55"/>
    </row>
    <row r="167" spans="1:70" ht="28.5" customHeight="1">
      <c r="A167" s="69" t="s">
        <v>1473</v>
      </c>
      <c r="B167" s="51"/>
      <c r="C167" s="51" t="str">
        <f t="shared" si="6"/>
        <v>giftcodesbanner/星耀球會-禮包碼.jpg</v>
      </c>
      <c r="D167" s="51" t="str">
        <f t="shared" si="5"/>
        <v>https://www.ssbuy.tw/detail_giftcode/dist/giftcodes/星耀球會.html</v>
      </c>
      <c r="E167" s="105" t="s">
        <v>2555</v>
      </c>
      <c r="F167" s="107" t="s">
        <v>2556</v>
      </c>
      <c r="G167" s="51" t="s">
        <v>3333</v>
      </c>
      <c r="H167" s="51" t="s">
        <v>2557</v>
      </c>
      <c r="I167" s="51"/>
      <c r="J167" s="91"/>
      <c r="K167" s="92" t="s">
        <v>3334</v>
      </c>
      <c r="L167" s="51" t="s">
        <v>3335</v>
      </c>
      <c r="M167" s="53" t="s">
        <v>3336</v>
      </c>
      <c r="N167" s="54" t="s">
        <v>2558</v>
      </c>
      <c r="O167" s="53" t="s">
        <v>3337</v>
      </c>
      <c r="P167" s="54" t="s">
        <v>3338</v>
      </c>
      <c r="Q167" s="53" t="s">
        <v>3339</v>
      </c>
      <c r="R167" s="54" t="s">
        <v>3340</v>
      </c>
      <c r="S167" s="53"/>
      <c r="T167" s="54"/>
      <c r="U167" s="53"/>
      <c r="V167" s="54"/>
      <c r="W167" s="53"/>
      <c r="X167" s="54"/>
      <c r="Y167" s="53"/>
      <c r="Z167" s="54"/>
      <c r="AA167" s="53"/>
      <c r="AB167" s="54"/>
      <c r="AC167" s="53"/>
      <c r="AD167" s="54"/>
      <c r="AE167" s="53"/>
      <c r="AF167" s="54"/>
      <c r="AG167" s="53"/>
      <c r="AH167" s="54"/>
      <c r="AI167" s="53"/>
      <c r="AJ167" s="54"/>
      <c r="AK167" s="53"/>
      <c r="AL167" s="54"/>
      <c r="AM167" s="53"/>
      <c r="AN167" s="54"/>
      <c r="AO167" s="53"/>
      <c r="AP167" s="54"/>
      <c r="AQ167" s="53"/>
      <c r="AR167" s="54"/>
      <c r="AS167" s="53"/>
      <c r="AT167" s="54"/>
      <c r="AU167" s="53"/>
      <c r="AV167" s="54"/>
      <c r="AW167" s="53"/>
      <c r="AX167" s="54"/>
      <c r="AY167" s="53"/>
      <c r="AZ167" s="54"/>
      <c r="BA167" s="53"/>
      <c r="BB167" s="51"/>
      <c r="BC167" s="53"/>
      <c r="BD167" s="51"/>
      <c r="BE167" s="53"/>
      <c r="BF167" s="51"/>
      <c r="BG167" s="53"/>
      <c r="BH167" s="51"/>
      <c r="BI167" s="53"/>
      <c r="BJ167" s="51"/>
      <c r="BK167" s="53"/>
      <c r="BL167" s="51"/>
      <c r="BM167" s="53"/>
      <c r="BN167" s="51"/>
      <c r="BO167" s="53"/>
      <c r="BP167" s="51"/>
      <c r="BQ167" s="53"/>
      <c r="BR167" s="55"/>
    </row>
    <row r="168" spans="1:70" ht="28.5" customHeight="1">
      <c r="A168" s="67" t="s">
        <v>1485</v>
      </c>
      <c r="B168" s="51"/>
      <c r="C168" s="51" t="str">
        <f t="shared" si="6"/>
        <v>giftcodesbanner/東方幻想ECLIPSE-禮包碼.jpg</v>
      </c>
      <c r="D168" s="51" t="str">
        <f t="shared" si="5"/>
        <v>https://www.ssbuy.tw/detail_giftcode/dist/giftcodes/東方幻想ECLIPSE.html</v>
      </c>
      <c r="E168" s="91" t="s">
        <v>3341</v>
      </c>
      <c r="F168" s="107" t="s">
        <v>3342</v>
      </c>
      <c r="G168" s="51" t="s">
        <v>2559</v>
      </c>
      <c r="H168" s="51" t="s">
        <v>3343</v>
      </c>
      <c r="I168" s="51"/>
      <c r="J168" s="91"/>
      <c r="K168" s="92" t="s">
        <v>3344</v>
      </c>
      <c r="L168" s="51" t="s">
        <v>2560</v>
      </c>
      <c r="M168" s="53" t="s">
        <v>2561</v>
      </c>
      <c r="N168" s="54" t="s">
        <v>3345</v>
      </c>
      <c r="O168" s="53"/>
      <c r="P168" s="54"/>
      <c r="Q168" s="53"/>
      <c r="R168" s="54"/>
      <c r="S168" s="53"/>
      <c r="T168" s="54"/>
      <c r="U168" s="53"/>
      <c r="V168" s="54"/>
      <c r="W168" s="53"/>
      <c r="X168" s="54"/>
      <c r="Y168" s="53"/>
      <c r="Z168" s="54"/>
      <c r="AA168" s="53"/>
      <c r="AB168" s="54"/>
      <c r="AC168" s="53"/>
      <c r="AD168" s="54"/>
      <c r="AE168" s="53"/>
      <c r="AF168" s="54"/>
      <c r="AG168" s="53"/>
      <c r="AH168" s="54"/>
      <c r="AI168" s="53"/>
      <c r="AJ168" s="54"/>
      <c r="AK168" s="53"/>
      <c r="AL168" s="54"/>
      <c r="AM168" s="53"/>
      <c r="AN168" s="54"/>
      <c r="AO168" s="53"/>
      <c r="AP168" s="54"/>
      <c r="AQ168" s="53"/>
      <c r="AR168" s="54"/>
      <c r="AS168" s="53"/>
      <c r="AT168" s="54"/>
      <c r="AU168" s="53"/>
      <c r="AV168" s="54"/>
      <c r="AW168" s="53"/>
      <c r="AX168" s="54"/>
      <c r="AY168" s="53"/>
      <c r="AZ168" s="54"/>
      <c r="BA168" s="53"/>
      <c r="BB168" s="51"/>
      <c r="BC168" s="53"/>
      <c r="BD168" s="51"/>
      <c r="BE168" s="53"/>
      <c r="BF168" s="51"/>
      <c r="BG168" s="53"/>
      <c r="BH168" s="51"/>
      <c r="BI168" s="53"/>
      <c r="BJ168" s="51"/>
      <c r="BK168" s="53"/>
      <c r="BL168" s="51"/>
      <c r="BM168" s="53"/>
      <c r="BN168" s="51"/>
      <c r="BO168" s="53"/>
      <c r="BP168" s="51"/>
      <c r="BQ168" s="53"/>
      <c r="BR168" s="55"/>
    </row>
    <row r="169" spans="1:70" ht="28.5" customHeight="1">
      <c r="A169" s="69" t="s">
        <v>1495</v>
      </c>
      <c r="B169" s="51"/>
      <c r="C169" s="51" t="str">
        <f t="shared" si="6"/>
        <v>giftcodesbanner/世紀帝國M-禮包碼.jpg</v>
      </c>
      <c r="D169" s="51" t="str">
        <f t="shared" si="5"/>
        <v>https://www.ssbuy.tw/detail_giftcode/dist/giftcodes/世紀帝國M.html</v>
      </c>
      <c r="E169" s="91" t="s">
        <v>2562</v>
      </c>
      <c r="F169" s="107" t="s">
        <v>3346</v>
      </c>
      <c r="G169" s="51" t="s">
        <v>3347</v>
      </c>
      <c r="H169" s="51" t="s">
        <v>2563</v>
      </c>
      <c r="I169" s="51"/>
      <c r="J169" s="91"/>
      <c r="K169" s="92" t="s">
        <v>3348</v>
      </c>
      <c r="L169" s="51" t="s">
        <v>2564</v>
      </c>
      <c r="M169" s="53" t="s">
        <v>2565</v>
      </c>
      <c r="N169" s="54" t="s">
        <v>2566</v>
      </c>
      <c r="O169" s="53" t="s">
        <v>3349</v>
      </c>
      <c r="P169" s="54" t="s">
        <v>3350</v>
      </c>
      <c r="Q169" s="53" t="s">
        <v>3351</v>
      </c>
      <c r="R169" s="54" t="s">
        <v>3352</v>
      </c>
      <c r="S169" s="53" t="s">
        <v>3353</v>
      </c>
      <c r="T169" s="54" t="s">
        <v>2566</v>
      </c>
      <c r="U169" s="53" t="s">
        <v>2567</v>
      </c>
      <c r="V169" s="54" t="s">
        <v>2566</v>
      </c>
      <c r="W169" s="53" t="s">
        <v>2568</v>
      </c>
      <c r="X169" s="54" t="s">
        <v>2569</v>
      </c>
      <c r="Y169" s="53" t="s">
        <v>3354</v>
      </c>
      <c r="Z169" s="54" t="s">
        <v>3355</v>
      </c>
      <c r="AA169" s="53" t="s">
        <v>3356</v>
      </c>
      <c r="AB169" s="54" t="s">
        <v>2570</v>
      </c>
      <c r="AC169" s="53" t="s">
        <v>2571</v>
      </c>
      <c r="AD169" s="54" t="s">
        <v>3357</v>
      </c>
      <c r="AE169" s="53" t="s">
        <v>3358</v>
      </c>
      <c r="AF169" s="54" t="s">
        <v>3355</v>
      </c>
      <c r="AG169" s="53" t="s">
        <v>3359</v>
      </c>
      <c r="AH169" s="54" t="s">
        <v>2570</v>
      </c>
      <c r="AI169" s="53" t="s">
        <v>3360</v>
      </c>
      <c r="AJ169" s="54" t="s">
        <v>2570</v>
      </c>
      <c r="AK169" s="53" t="s">
        <v>3361</v>
      </c>
      <c r="AL169" s="54" t="s">
        <v>3362</v>
      </c>
      <c r="AM169" s="53"/>
      <c r="AN169" s="54"/>
      <c r="AO169" s="53"/>
      <c r="AP169" s="54"/>
      <c r="AQ169" s="53"/>
      <c r="AR169" s="54"/>
      <c r="AS169" s="53"/>
      <c r="AT169" s="54"/>
      <c r="AU169" s="53"/>
      <c r="AV169" s="54"/>
      <c r="AW169" s="53"/>
      <c r="AX169" s="54"/>
      <c r="AY169" s="53"/>
      <c r="AZ169" s="54"/>
      <c r="BA169" s="53"/>
      <c r="BB169" s="51"/>
      <c r="BC169" s="53"/>
      <c r="BD169" s="51"/>
      <c r="BE169" s="53"/>
      <c r="BF169" s="51"/>
      <c r="BG169" s="53"/>
      <c r="BH169" s="51"/>
      <c r="BI169" s="53"/>
      <c r="BJ169" s="51"/>
      <c r="BK169" s="53"/>
      <c r="BL169" s="51"/>
      <c r="BM169" s="53"/>
      <c r="BN169" s="51"/>
      <c r="BO169" s="53"/>
      <c r="BP169" s="51"/>
      <c r="BQ169" s="53"/>
      <c r="BR169" s="55"/>
    </row>
    <row r="170" spans="1:70" ht="28.5" customHeight="1">
      <c r="A170" s="69" t="s">
        <v>1496</v>
      </c>
      <c r="B170" s="51"/>
      <c r="C170" s="51" t="str">
        <f t="shared" si="6"/>
        <v>giftcodesbanner/歐啦!守得豬-禮包碼.jpg</v>
      </c>
      <c r="D170" s="51" t="str">
        <f t="shared" si="5"/>
        <v>https://www.ssbuy.tw/detail_giftcode/dist/giftcodes/歐啦!守得豬.html</v>
      </c>
      <c r="E170" s="91" t="s">
        <v>3363</v>
      </c>
      <c r="F170" s="107" t="s">
        <v>3364</v>
      </c>
      <c r="G170" s="51" t="s">
        <v>2572</v>
      </c>
      <c r="H170" s="51" t="s">
        <v>2573</v>
      </c>
      <c r="I170" s="51"/>
      <c r="J170" s="91"/>
      <c r="K170" s="92" t="s">
        <v>3365</v>
      </c>
      <c r="L170" s="51" t="s">
        <v>3366</v>
      </c>
      <c r="M170" s="53" t="s">
        <v>2574</v>
      </c>
      <c r="N170" s="54" t="s">
        <v>3367</v>
      </c>
      <c r="O170" s="53" t="s">
        <v>2575</v>
      </c>
      <c r="P170" s="54" t="s">
        <v>2576</v>
      </c>
      <c r="Q170" s="53" t="s">
        <v>2401</v>
      </c>
      <c r="R170" s="54" t="s">
        <v>3368</v>
      </c>
      <c r="S170" s="53" t="s">
        <v>2200</v>
      </c>
      <c r="T170" s="54" t="s">
        <v>2577</v>
      </c>
      <c r="U170" s="53" t="s">
        <v>2400</v>
      </c>
      <c r="V170" s="54" t="s">
        <v>2578</v>
      </c>
      <c r="W170" s="53"/>
      <c r="X170" s="54"/>
      <c r="Y170" s="53"/>
      <c r="Z170" s="54"/>
      <c r="AA170" s="53"/>
      <c r="AB170" s="54"/>
      <c r="AC170" s="53"/>
      <c r="AD170" s="54"/>
      <c r="AE170" s="53"/>
      <c r="AF170" s="54"/>
      <c r="AG170" s="53"/>
      <c r="AH170" s="54"/>
      <c r="AI170" s="53"/>
      <c r="AJ170" s="54"/>
      <c r="AK170" s="53"/>
      <c r="AL170" s="54"/>
      <c r="AM170" s="53"/>
      <c r="AN170" s="54"/>
      <c r="AO170" s="53"/>
      <c r="AP170" s="54"/>
      <c r="AQ170" s="53"/>
      <c r="AR170" s="54"/>
      <c r="AS170" s="53"/>
      <c r="AT170" s="54"/>
      <c r="AU170" s="53"/>
      <c r="AV170" s="54"/>
      <c r="AW170" s="53"/>
      <c r="AX170" s="54"/>
      <c r="AY170" s="53"/>
      <c r="AZ170" s="54"/>
      <c r="BA170" s="53"/>
      <c r="BB170" s="51"/>
      <c r="BC170" s="53"/>
      <c r="BD170" s="51"/>
      <c r="BE170" s="53"/>
      <c r="BF170" s="51"/>
      <c r="BG170" s="53"/>
      <c r="BH170" s="51"/>
      <c r="BI170" s="53"/>
      <c r="BJ170" s="51"/>
      <c r="BK170" s="53"/>
      <c r="BL170" s="51"/>
      <c r="BM170" s="53"/>
      <c r="BN170" s="51"/>
      <c r="BO170" s="53"/>
      <c r="BP170" s="51"/>
      <c r="BQ170" s="53"/>
      <c r="BR170" s="55"/>
    </row>
    <row r="171" spans="1:70" ht="28.5" customHeight="1">
      <c r="A171" s="69" t="s">
        <v>3369</v>
      </c>
      <c r="B171" s="51"/>
      <c r="C171" s="51" t="str">
        <f t="shared" si="6"/>
        <v>giftcodesbanner/18櫻花幕府-禮包碼.jpg</v>
      </c>
      <c r="D171" s="51" t="str">
        <f t="shared" si="5"/>
        <v>https://www.ssbuy.tw/detail_giftcode/dist/giftcodes/game-18櫻花幕府.html</v>
      </c>
      <c r="E171" s="105" t="s">
        <v>2579</v>
      </c>
      <c r="F171" s="107" t="s">
        <v>2580</v>
      </c>
      <c r="G171" s="51" t="s">
        <v>3370</v>
      </c>
      <c r="H171" s="51" t="s">
        <v>2597</v>
      </c>
      <c r="I171" s="51"/>
      <c r="J171" s="91"/>
      <c r="K171" s="92" t="s">
        <v>3371</v>
      </c>
      <c r="L171" s="51" t="s">
        <v>3372</v>
      </c>
      <c r="M171" s="53" t="s">
        <v>3373</v>
      </c>
      <c r="N171" s="54" t="s">
        <v>3374</v>
      </c>
      <c r="O171" s="53"/>
      <c r="P171" s="54"/>
      <c r="Q171" s="53"/>
      <c r="R171" s="54"/>
      <c r="S171" s="53"/>
      <c r="T171" s="54"/>
      <c r="U171" s="53"/>
      <c r="V171" s="54"/>
      <c r="W171" s="53"/>
      <c r="X171" s="54"/>
      <c r="Y171" s="53"/>
      <c r="Z171" s="54"/>
      <c r="AA171" s="53"/>
      <c r="AB171" s="54"/>
      <c r="AC171" s="53"/>
      <c r="AD171" s="54"/>
      <c r="AE171" s="53"/>
      <c r="AF171" s="54"/>
      <c r="AG171" s="53"/>
      <c r="AH171" s="54"/>
      <c r="AI171" s="53"/>
      <c r="AJ171" s="54"/>
      <c r="AK171" s="53"/>
      <c r="AL171" s="54"/>
      <c r="AM171" s="53"/>
      <c r="AN171" s="54"/>
      <c r="AO171" s="53"/>
      <c r="AP171" s="54"/>
      <c r="AQ171" s="53"/>
      <c r="AR171" s="54"/>
      <c r="AS171" s="53"/>
      <c r="AT171" s="54"/>
      <c r="AU171" s="53"/>
      <c r="AV171" s="54"/>
      <c r="AW171" s="53"/>
      <c r="AX171" s="54"/>
      <c r="AY171" s="53"/>
      <c r="AZ171" s="54"/>
      <c r="BA171" s="53"/>
      <c r="BB171" s="51"/>
      <c r="BC171" s="53"/>
      <c r="BD171" s="51"/>
      <c r="BE171" s="53"/>
      <c r="BF171" s="51"/>
      <c r="BG171" s="53"/>
      <c r="BH171" s="51"/>
      <c r="BI171" s="53"/>
      <c r="BJ171" s="51"/>
      <c r="BK171" s="53"/>
      <c r="BL171" s="51"/>
      <c r="BM171" s="53"/>
      <c r="BN171" s="51"/>
      <c r="BO171" s="53"/>
      <c r="BP171" s="51"/>
      <c r="BQ171" s="53"/>
      <c r="BR171" s="55"/>
    </row>
    <row r="172" spans="1:70" ht="28.5" customHeight="1">
      <c r="A172" s="69" t="s">
        <v>2581</v>
      </c>
      <c r="B172" s="51"/>
      <c r="C172" s="51" t="str">
        <f t="shared" si="6"/>
        <v>giftcodesbanner/大武道-禮包碼.jpg</v>
      </c>
      <c r="D172" s="51" t="str">
        <f t="shared" si="5"/>
        <v>https://www.ssbuy.tw/detail_giftcode/dist/giftcodes/大武道.html</v>
      </c>
      <c r="E172" s="105" t="s">
        <v>1526</v>
      </c>
      <c r="F172" s="107" t="s">
        <v>2580</v>
      </c>
      <c r="G172" s="51" t="s">
        <v>3375</v>
      </c>
      <c r="H172" s="51" t="s">
        <v>3376</v>
      </c>
      <c r="I172" s="51"/>
      <c r="J172" s="91"/>
      <c r="K172" s="93" t="s">
        <v>2582</v>
      </c>
      <c r="L172" s="52" t="s">
        <v>2583</v>
      </c>
      <c r="M172" s="59" t="s">
        <v>2584</v>
      </c>
      <c r="N172" s="62" t="s">
        <v>2585</v>
      </c>
      <c r="O172" s="59" t="s">
        <v>2586</v>
      </c>
      <c r="P172" s="62" t="s">
        <v>2583</v>
      </c>
      <c r="Q172" s="59" t="s">
        <v>2587</v>
      </c>
      <c r="R172" s="62" t="s">
        <v>2585</v>
      </c>
      <c r="S172" s="59" t="s">
        <v>2588</v>
      </c>
      <c r="T172" s="62" t="s">
        <v>2583</v>
      </c>
      <c r="U172" s="59" t="s">
        <v>2589</v>
      </c>
      <c r="V172" s="62" t="s">
        <v>2585</v>
      </c>
      <c r="W172" s="59" t="s">
        <v>2590</v>
      </c>
      <c r="X172" s="62" t="s">
        <v>2583</v>
      </c>
      <c r="Y172" s="53" t="s">
        <v>2591</v>
      </c>
      <c r="Z172" s="54" t="s">
        <v>2592</v>
      </c>
      <c r="AA172" s="53" t="s">
        <v>3377</v>
      </c>
      <c r="AB172" s="54" t="s">
        <v>3378</v>
      </c>
      <c r="AC172" s="53" t="s">
        <v>3379</v>
      </c>
      <c r="AD172" s="54" t="s">
        <v>2593</v>
      </c>
      <c r="AE172" s="53" t="s">
        <v>2594</v>
      </c>
      <c r="AF172" s="54" t="s">
        <v>2595</v>
      </c>
      <c r="AG172" s="53"/>
      <c r="AH172" s="54"/>
      <c r="AI172" s="53"/>
      <c r="AJ172" s="54"/>
      <c r="AK172" s="53"/>
      <c r="AL172" s="54"/>
      <c r="AM172" s="53"/>
      <c r="AN172" s="54"/>
      <c r="AO172" s="53"/>
      <c r="AP172" s="54"/>
      <c r="AQ172" s="53"/>
      <c r="AR172" s="54"/>
      <c r="AS172" s="53"/>
      <c r="AT172" s="54"/>
      <c r="AU172" s="53"/>
      <c r="AV172" s="54"/>
      <c r="AW172" s="53"/>
      <c r="AX172" s="54"/>
      <c r="AY172" s="53"/>
      <c r="AZ172" s="54"/>
      <c r="BA172" s="53"/>
      <c r="BB172" s="51"/>
      <c r="BC172" s="53"/>
      <c r="BD172" s="51"/>
      <c r="BE172" s="53"/>
      <c r="BF172" s="51"/>
      <c r="BG172" s="53"/>
      <c r="BH172" s="51"/>
      <c r="BI172" s="53"/>
      <c r="BJ172" s="51"/>
      <c r="BK172" s="53"/>
      <c r="BL172" s="51"/>
      <c r="BM172" s="53"/>
      <c r="BN172" s="51"/>
      <c r="BO172" s="53"/>
      <c r="BP172" s="51"/>
      <c r="BQ172" s="53"/>
      <c r="BR172" s="55"/>
    </row>
    <row r="173" spans="1:70" ht="28.5" customHeight="1">
      <c r="A173" s="72" t="s">
        <v>4584</v>
      </c>
      <c r="B173" s="51"/>
      <c r="C173" s="51" t="str">
        <f t="shared" si="6"/>
        <v>giftcodesbanner/奇蹟MU：暴走之翼-禮包碼.jpg</v>
      </c>
      <c r="D173" s="51" t="str">
        <f t="shared" si="5"/>
        <v>https://www.ssbuy.tw/detail_giftcode/dist/giftcodes/奇蹟MU：暴走之翼.html</v>
      </c>
      <c r="E173" s="108" t="s">
        <v>4585</v>
      </c>
      <c r="F173" s="107" t="s">
        <v>2596</v>
      </c>
      <c r="G173" s="51" t="s">
        <v>3380</v>
      </c>
      <c r="H173" s="51" t="s">
        <v>2597</v>
      </c>
      <c r="I173" s="51" t="s">
        <v>2598</v>
      </c>
      <c r="J173" s="91"/>
      <c r="K173" s="92" t="s">
        <v>3216</v>
      </c>
      <c r="L173" s="51" t="s">
        <v>3381</v>
      </c>
      <c r="M173" s="53" t="s">
        <v>3382</v>
      </c>
      <c r="N173" s="54" t="s">
        <v>3383</v>
      </c>
      <c r="O173" s="53" t="s">
        <v>1933</v>
      </c>
      <c r="P173" s="54" t="s">
        <v>3384</v>
      </c>
      <c r="Q173" s="53" t="s">
        <v>3385</v>
      </c>
      <c r="R173" s="54" t="s">
        <v>2600</v>
      </c>
      <c r="S173" s="53" t="s">
        <v>3386</v>
      </c>
      <c r="T173" s="54" t="s">
        <v>3387</v>
      </c>
      <c r="U173" s="53" t="s">
        <v>3388</v>
      </c>
      <c r="V173" s="54" t="s">
        <v>3389</v>
      </c>
      <c r="W173" s="53" t="s">
        <v>2599</v>
      </c>
      <c r="X173" s="54" t="s">
        <v>2600</v>
      </c>
      <c r="Y173" s="53" t="s">
        <v>2601</v>
      </c>
      <c r="Z173" s="54" t="s">
        <v>3390</v>
      </c>
      <c r="AA173" s="53" t="s">
        <v>3391</v>
      </c>
      <c r="AB173" s="54" t="s">
        <v>3392</v>
      </c>
      <c r="AC173" s="53"/>
      <c r="AD173" s="54"/>
      <c r="AE173" s="53"/>
      <c r="AF173" s="54"/>
      <c r="AG173" s="53"/>
      <c r="AH173" s="54"/>
      <c r="AI173" s="53"/>
      <c r="AJ173" s="54"/>
      <c r="AK173" s="53"/>
      <c r="AL173" s="54"/>
      <c r="AM173" s="53"/>
      <c r="AN173" s="54"/>
      <c r="AO173" s="53"/>
      <c r="AP173" s="54"/>
      <c r="AQ173" s="53"/>
      <c r="AR173" s="54"/>
      <c r="AS173" s="53"/>
      <c r="AT173" s="54"/>
      <c r="AU173" s="53"/>
      <c r="AV173" s="54"/>
      <c r="AW173" s="53"/>
      <c r="AX173" s="54"/>
      <c r="AY173" s="53"/>
      <c r="AZ173" s="54"/>
      <c r="BA173" s="53"/>
      <c r="BB173" s="51"/>
      <c r="BC173" s="53"/>
      <c r="BD173" s="51"/>
      <c r="BE173" s="53"/>
      <c r="BF173" s="51"/>
      <c r="BG173" s="53"/>
      <c r="BH173" s="51"/>
      <c r="BI173" s="53"/>
      <c r="BJ173" s="51"/>
      <c r="BK173" s="53"/>
      <c r="BL173" s="51"/>
      <c r="BM173" s="53"/>
      <c r="BN173" s="51"/>
      <c r="BO173" s="53"/>
      <c r="BP173" s="51"/>
      <c r="BQ173" s="53"/>
      <c r="BR173" s="55"/>
    </row>
    <row r="174" spans="1:70" ht="28.5" customHeight="1">
      <c r="A174" s="73" t="s">
        <v>2602</v>
      </c>
      <c r="B174" s="51"/>
      <c r="C174" s="51" t="str">
        <f t="shared" si="6"/>
        <v>giftcodesbanner/劍太傳說：新的開始-禮包碼.jpg</v>
      </c>
      <c r="D174" s="51" t="str">
        <f t="shared" si="5"/>
        <v>https://www.ssbuy.tw/detail_giftcode/dist/giftcodes/劍太傳說：新的開始.html</v>
      </c>
      <c r="E174" s="91" t="s">
        <v>2603</v>
      </c>
      <c r="F174" s="107" t="s">
        <v>3393</v>
      </c>
      <c r="G174" s="51" t="s">
        <v>3394</v>
      </c>
      <c r="H174" s="51" t="s">
        <v>3395</v>
      </c>
      <c r="I174" s="51" t="s">
        <v>3396</v>
      </c>
      <c r="J174" s="91"/>
      <c r="K174" s="92" t="s">
        <v>3397</v>
      </c>
      <c r="L174" s="51" t="s">
        <v>2604</v>
      </c>
      <c r="M174" s="53" t="s">
        <v>3398</v>
      </c>
      <c r="N174" s="54" t="s">
        <v>2604</v>
      </c>
      <c r="O174" s="53" t="s">
        <v>2605</v>
      </c>
      <c r="P174" s="54" t="s">
        <v>2604</v>
      </c>
      <c r="Q174" s="53" t="s">
        <v>3399</v>
      </c>
      <c r="R174" s="54" t="s">
        <v>3400</v>
      </c>
      <c r="S174" s="53"/>
      <c r="T174" s="54"/>
      <c r="U174" s="53"/>
      <c r="V174" s="54"/>
      <c r="W174" s="53"/>
      <c r="X174" s="54"/>
      <c r="Y174" s="53"/>
      <c r="Z174" s="54"/>
      <c r="AA174" s="53"/>
      <c r="AB174" s="54"/>
      <c r="AC174" s="53"/>
      <c r="AD174" s="54"/>
      <c r="AE174" s="53"/>
      <c r="AF174" s="54"/>
      <c r="AG174" s="53"/>
      <c r="AH174" s="54"/>
      <c r="AI174" s="53"/>
      <c r="AJ174" s="54"/>
      <c r="AK174" s="53"/>
      <c r="AL174" s="54"/>
      <c r="AM174" s="53"/>
      <c r="AN174" s="54"/>
      <c r="AO174" s="53"/>
      <c r="AP174" s="54"/>
      <c r="AQ174" s="53"/>
      <c r="AR174" s="54"/>
      <c r="AS174" s="53"/>
      <c r="AT174" s="54"/>
      <c r="AU174" s="53"/>
      <c r="AV174" s="54"/>
      <c r="AW174" s="53"/>
      <c r="AX174" s="54"/>
      <c r="AY174" s="53"/>
      <c r="AZ174" s="54"/>
      <c r="BA174" s="53"/>
      <c r="BB174" s="51"/>
      <c r="BC174" s="53"/>
      <c r="BD174" s="51"/>
      <c r="BE174" s="53"/>
      <c r="BF174" s="51"/>
      <c r="BG174" s="53"/>
      <c r="BH174" s="51"/>
      <c r="BI174" s="53"/>
      <c r="BJ174" s="51"/>
      <c r="BK174" s="53"/>
      <c r="BL174" s="51"/>
      <c r="BM174" s="53"/>
      <c r="BN174" s="51"/>
      <c r="BO174" s="53"/>
      <c r="BP174" s="51"/>
      <c r="BQ174" s="53"/>
      <c r="BR174" s="55"/>
    </row>
    <row r="175" spans="1:70" ht="28.5" customHeight="1">
      <c r="A175" s="73" t="s">
        <v>3401</v>
      </c>
      <c r="B175" s="51"/>
      <c r="C175" s="51" t="str">
        <f t="shared" si="6"/>
        <v>giftcodesbanner/三國。群英燎原-禮包碼.jpg</v>
      </c>
      <c r="D175" s="51" t="str">
        <f t="shared" si="5"/>
        <v>https://www.ssbuy.tw/detail_giftcode/dist/giftcodes/三國。群英燎原.html</v>
      </c>
      <c r="E175" s="91" t="s">
        <v>3402</v>
      </c>
      <c r="F175" s="107" t="s">
        <v>3403</v>
      </c>
      <c r="G175" s="51" t="s">
        <v>3404</v>
      </c>
      <c r="H175" s="51" t="s">
        <v>3405</v>
      </c>
      <c r="I175" s="51" t="s">
        <v>2606</v>
      </c>
      <c r="J175" s="91"/>
      <c r="K175" s="92" t="s">
        <v>2607</v>
      </c>
      <c r="L175" s="51" t="s">
        <v>3406</v>
      </c>
      <c r="M175" s="53" t="s">
        <v>3407</v>
      </c>
      <c r="N175" s="54" t="s">
        <v>3408</v>
      </c>
      <c r="O175" s="53" t="s">
        <v>3409</v>
      </c>
      <c r="P175" s="54" t="s">
        <v>3410</v>
      </c>
      <c r="Q175" s="53" t="s">
        <v>2608</v>
      </c>
      <c r="R175" s="54" t="s">
        <v>3411</v>
      </c>
      <c r="S175" s="53"/>
      <c r="T175" s="54"/>
      <c r="U175" s="53"/>
      <c r="V175" s="54"/>
      <c r="W175" s="53"/>
      <c r="X175" s="54"/>
      <c r="Y175" s="53"/>
      <c r="Z175" s="54"/>
      <c r="AA175" s="53"/>
      <c r="AB175" s="54"/>
      <c r="AC175" s="53"/>
      <c r="AD175" s="54"/>
      <c r="AE175" s="53"/>
      <c r="AF175" s="54"/>
      <c r="AG175" s="53"/>
      <c r="AH175" s="54"/>
      <c r="AI175" s="53"/>
      <c r="AJ175" s="54"/>
      <c r="AK175" s="53"/>
      <c r="AL175" s="54"/>
      <c r="AM175" s="53"/>
      <c r="AN175" s="54"/>
      <c r="AO175" s="53"/>
      <c r="AP175" s="54"/>
      <c r="AQ175" s="53"/>
      <c r="AR175" s="54"/>
      <c r="AS175" s="53"/>
      <c r="AT175" s="54"/>
      <c r="AU175" s="53"/>
      <c r="AV175" s="54"/>
      <c r="AW175" s="53"/>
      <c r="AX175" s="54"/>
      <c r="AY175" s="53"/>
      <c r="AZ175" s="54"/>
      <c r="BA175" s="53"/>
      <c r="BB175" s="51"/>
      <c r="BC175" s="53"/>
      <c r="BD175" s="51"/>
      <c r="BE175" s="53"/>
      <c r="BF175" s="51"/>
      <c r="BG175" s="53"/>
      <c r="BH175" s="51"/>
      <c r="BI175" s="53"/>
      <c r="BJ175" s="51"/>
      <c r="BK175" s="53"/>
      <c r="BL175" s="51"/>
      <c r="BM175" s="53"/>
      <c r="BN175" s="51"/>
      <c r="BO175" s="53"/>
      <c r="BP175" s="51"/>
      <c r="BQ175" s="53"/>
      <c r="BR175" s="55"/>
    </row>
    <row r="176" spans="1:70" ht="28.5" customHeight="1">
      <c r="A176" s="73" t="s">
        <v>1532</v>
      </c>
      <c r="B176" s="51"/>
      <c r="C176" s="51" t="str">
        <f t="shared" si="6"/>
        <v>giftcodesbanner/Final War：寒霜前線-禮包碼.jpg</v>
      </c>
      <c r="D176" s="51" t="str">
        <f t="shared" si="5"/>
        <v>https://www.ssbuy.tw/detail_giftcode/dist/giftcodes/Final War：寒霜前線.html</v>
      </c>
      <c r="E176" s="91" t="s">
        <v>2609</v>
      </c>
      <c r="F176" s="107" t="s">
        <v>2459</v>
      </c>
      <c r="G176" s="51" t="s">
        <v>2459</v>
      </c>
      <c r="H176" s="51"/>
      <c r="I176" s="51"/>
      <c r="J176" s="91"/>
      <c r="K176" s="92" t="s">
        <v>2459</v>
      </c>
      <c r="L176" s="51" t="s">
        <v>3235</v>
      </c>
      <c r="M176" s="53" t="s">
        <v>2459</v>
      </c>
      <c r="N176" s="54" t="s">
        <v>2459</v>
      </c>
      <c r="O176" s="53" t="s">
        <v>2459</v>
      </c>
      <c r="P176" s="54" t="s">
        <v>2459</v>
      </c>
      <c r="Q176" s="53"/>
      <c r="R176" s="54"/>
      <c r="S176" s="53"/>
      <c r="T176" s="54"/>
      <c r="U176" s="53"/>
      <c r="V176" s="54"/>
      <c r="W176" s="53"/>
      <c r="X176" s="54"/>
      <c r="Y176" s="53"/>
      <c r="Z176" s="54"/>
      <c r="AA176" s="53"/>
      <c r="AB176" s="54"/>
      <c r="AC176" s="53"/>
      <c r="AD176" s="54"/>
      <c r="AE176" s="53"/>
      <c r="AF176" s="54"/>
      <c r="AG176" s="53"/>
      <c r="AH176" s="54"/>
      <c r="AI176" s="53"/>
      <c r="AJ176" s="54"/>
      <c r="AK176" s="53"/>
      <c r="AL176" s="54"/>
      <c r="AM176" s="53"/>
      <c r="AN176" s="54"/>
      <c r="AO176" s="53"/>
      <c r="AP176" s="54"/>
      <c r="AQ176" s="53"/>
      <c r="AR176" s="54"/>
      <c r="AS176" s="53"/>
      <c r="AT176" s="54"/>
      <c r="AU176" s="53"/>
      <c r="AV176" s="54"/>
      <c r="AW176" s="53"/>
      <c r="AX176" s="54"/>
      <c r="AY176" s="53"/>
      <c r="AZ176" s="54"/>
      <c r="BA176" s="53"/>
      <c r="BB176" s="51"/>
      <c r="BC176" s="53"/>
      <c r="BD176" s="51"/>
      <c r="BE176" s="53"/>
      <c r="BF176" s="51"/>
      <c r="BG176" s="53"/>
      <c r="BH176" s="51"/>
      <c r="BI176" s="53"/>
      <c r="BJ176" s="51"/>
      <c r="BK176" s="53"/>
      <c r="BL176" s="51"/>
      <c r="BM176" s="53"/>
      <c r="BN176" s="51"/>
      <c r="BO176" s="53"/>
      <c r="BP176" s="51"/>
      <c r="BQ176" s="53"/>
      <c r="BR176" s="55"/>
    </row>
    <row r="177" spans="1:70" ht="28.5" customHeight="1">
      <c r="A177" s="73" t="s">
        <v>2610</v>
      </c>
      <c r="B177" s="51"/>
      <c r="C177" s="51" t="str">
        <f t="shared" si="6"/>
        <v>giftcodesbanner/黑夜獵人-禮包碼.jpg</v>
      </c>
      <c r="D177" s="51" t="str">
        <f t="shared" si="5"/>
        <v>https://www.ssbuy.tw/detail_giftcode/dist/giftcodes/黑夜獵人.html</v>
      </c>
      <c r="E177" s="91" t="s">
        <v>3412</v>
      </c>
      <c r="F177" s="107" t="s">
        <v>2611</v>
      </c>
      <c r="G177" s="51" t="s">
        <v>3413</v>
      </c>
      <c r="H177" s="51" t="s">
        <v>3414</v>
      </c>
      <c r="I177" s="51" t="s">
        <v>2612</v>
      </c>
      <c r="J177" s="91"/>
      <c r="K177" s="92" t="s">
        <v>3235</v>
      </c>
      <c r="L177" s="51" t="s">
        <v>2459</v>
      </c>
      <c r="M177" s="53" t="s">
        <v>2471</v>
      </c>
      <c r="N177" s="54" t="s">
        <v>3235</v>
      </c>
      <c r="O177" s="53" t="s">
        <v>2459</v>
      </c>
      <c r="P177" s="54" t="s">
        <v>2471</v>
      </c>
      <c r="Q177" s="53"/>
      <c r="R177" s="54"/>
      <c r="S177" s="53"/>
      <c r="T177" s="54"/>
      <c r="U177" s="53"/>
      <c r="V177" s="54"/>
      <c r="W177" s="53"/>
      <c r="X177" s="54"/>
      <c r="Y177" s="53"/>
      <c r="Z177" s="54"/>
      <c r="AA177" s="53"/>
      <c r="AB177" s="54"/>
      <c r="AC177" s="53"/>
      <c r="AD177" s="54"/>
      <c r="AE177" s="53"/>
      <c r="AF177" s="54"/>
      <c r="AG177" s="53"/>
      <c r="AH177" s="54"/>
      <c r="AI177" s="53"/>
      <c r="AJ177" s="54"/>
      <c r="AK177" s="53"/>
      <c r="AL177" s="54"/>
      <c r="AM177" s="53"/>
      <c r="AN177" s="54"/>
      <c r="AO177" s="53"/>
      <c r="AP177" s="54"/>
      <c r="AQ177" s="53"/>
      <c r="AR177" s="54"/>
      <c r="AS177" s="53"/>
      <c r="AT177" s="54"/>
      <c r="AU177" s="53"/>
      <c r="AV177" s="54"/>
      <c r="AW177" s="53"/>
      <c r="AX177" s="54"/>
      <c r="AY177" s="53"/>
      <c r="AZ177" s="54"/>
      <c r="BA177" s="53"/>
      <c r="BB177" s="51"/>
      <c r="BC177" s="53"/>
      <c r="BD177" s="51"/>
      <c r="BE177" s="53"/>
      <c r="BF177" s="51"/>
      <c r="BG177" s="53"/>
      <c r="BH177" s="51"/>
      <c r="BI177" s="53"/>
      <c r="BJ177" s="51"/>
      <c r="BK177" s="53"/>
      <c r="BL177" s="51"/>
      <c r="BM177" s="53"/>
      <c r="BN177" s="51"/>
      <c r="BO177" s="53"/>
      <c r="BP177" s="51"/>
      <c r="BQ177" s="53"/>
      <c r="BR177" s="55"/>
    </row>
    <row r="178" spans="1:70" ht="28.5" customHeight="1">
      <c r="A178" s="50" t="s">
        <v>3415</v>
      </c>
      <c r="B178" s="51"/>
      <c r="C178" s="51" t="str">
        <f t="shared" si="6"/>
        <v>giftcodesbanner/魔法黯道-禮包碼.jpg</v>
      </c>
      <c r="D178" s="51" t="str">
        <f t="shared" si="5"/>
        <v>https://www.ssbuy.tw/detail_giftcode/dist/giftcodes/魔法黯道.html</v>
      </c>
      <c r="E178" s="96" t="s">
        <v>3998</v>
      </c>
      <c r="F178" s="107" t="s">
        <v>2613</v>
      </c>
      <c r="G178" s="51" t="s">
        <v>3416</v>
      </c>
      <c r="H178" s="51" t="s">
        <v>3417</v>
      </c>
      <c r="I178" s="51"/>
      <c r="J178" s="91"/>
      <c r="K178" s="92" t="s">
        <v>2614</v>
      </c>
      <c r="L178" s="51" t="s">
        <v>3418</v>
      </c>
      <c r="M178" s="53" t="s">
        <v>3419</v>
      </c>
      <c r="N178" s="54" t="s">
        <v>2615</v>
      </c>
      <c r="O178" s="53" t="s">
        <v>3420</v>
      </c>
      <c r="P178" s="54" t="s">
        <v>3421</v>
      </c>
      <c r="Q178" s="53" t="s">
        <v>3422</v>
      </c>
      <c r="R178" s="54" t="s">
        <v>3423</v>
      </c>
      <c r="S178" s="53" t="s">
        <v>3424</v>
      </c>
      <c r="T178" s="54" t="s">
        <v>1920</v>
      </c>
      <c r="U178" s="53"/>
      <c r="V178" s="54"/>
      <c r="W178" s="53"/>
      <c r="X178" s="54"/>
      <c r="Y178" s="53"/>
      <c r="Z178" s="54"/>
      <c r="AA178" s="53"/>
      <c r="AB178" s="54"/>
      <c r="AC178" s="53"/>
      <c r="AD178" s="54"/>
      <c r="AE178" s="53"/>
      <c r="AF178" s="54"/>
      <c r="AG178" s="53"/>
      <c r="AH178" s="54"/>
      <c r="AI178" s="53"/>
      <c r="AJ178" s="54"/>
      <c r="AK178" s="53"/>
      <c r="AL178" s="54"/>
      <c r="AM178" s="53"/>
      <c r="AN178" s="54"/>
      <c r="AO178" s="53"/>
      <c r="AP178" s="54"/>
      <c r="AQ178" s="53"/>
      <c r="AR178" s="54"/>
      <c r="AS178" s="53"/>
      <c r="AT178" s="54"/>
      <c r="AU178" s="53"/>
      <c r="AV178" s="54"/>
      <c r="AW178" s="53"/>
      <c r="AX178" s="54"/>
      <c r="AY178" s="53"/>
      <c r="AZ178" s="54"/>
      <c r="BA178" s="53"/>
      <c r="BB178" s="51"/>
      <c r="BC178" s="53"/>
      <c r="BD178" s="51"/>
      <c r="BE178" s="53"/>
      <c r="BF178" s="51"/>
      <c r="BG178" s="53"/>
      <c r="BH178" s="51"/>
      <c r="BI178" s="53"/>
      <c r="BJ178" s="51"/>
      <c r="BK178" s="53"/>
      <c r="BL178" s="51"/>
      <c r="BM178" s="53"/>
      <c r="BN178" s="51"/>
      <c r="BO178" s="53"/>
      <c r="BP178" s="51"/>
      <c r="BQ178" s="53"/>
      <c r="BR178" s="55"/>
    </row>
    <row r="179" spans="1:70" ht="28.5" customHeight="1">
      <c r="A179" s="67" t="s">
        <v>3425</v>
      </c>
      <c r="B179" s="51"/>
      <c r="C179" s="51" t="str">
        <f t="shared" si="6"/>
        <v>giftcodesbanner/神代紀事-禮包碼.jpg</v>
      </c>
      <c r="D179" s="51" t="str">
        <f t="shared" si="5"/>
        <v>https://www.ssbuy.tw/detail_giftcode/dist/giftcodes/神代紀事.html</v>
      </c>
      <c r="E179" s="91" t="s">
        <v>3426</v>
      </c>
      <c r="F179" s="107" t="s">
        <v>2459</v>
      </c>
      <c r="G179" s="51" t="s">
        <v>2471</v>
      </c>
      <c r="H179" s="51" t="s">
        <v>2471</v>
      </c>
      <c r="I179" s="51" t="s">
        <v>2459</v>
      </c>
      <c r="J179" s="91"/>
      <c r="K179" s="92" t="s">
        <v>2459</v>
      </c>
      <c r="L179" s="51" t="s">
        <v>2471</v>
      </c>
      <c r="M179" s="53" t="s">
        <v>2471</v>
      </c>
      <c r="N179" s="54" t="s">
        <v>2459</v>
      </c>
      <c r="O179" s="53"/>
      <c r="P179" s="54"/>
      <c r="Q179" s="53"/>
      <c r="R179" s="54"/>
      <c r="S179" s="53"/>
      <c r="T179" s="54"/>
      <c r="U179" s="53"/>
      <c r="V179" s="54"/>
      <c r="W179" s="53"/>
      <c r="X179" s="54"/>
      <c r="Y179" s="53"/>
      <c r="Z179" s="54"/>
      <c r="AA179" s="53"/>
      <c r="AB179" s="54"/>
      <c r="AC179" s="53"/>
      <c r="AD179" s="54"/>
      <c r="AE179" s="53"/>
      <c r="AF179" s="54"/>
      <c r="AG179" s="53"/>
      <c r="AH179" s="54"/>
      <c r="AI179" s="53"/>
      <c r="AJ179" s="54"/>
      <c r="AK179" s="53"/>
      <c r="AL179" s="54"/>
      <c r="AM179" s="53"/>
      <c r="AN179" s="54"/>
      <c r="AO179" s="53"/>
      <c r="AP179" s="54"/>
      <c r="AQ179" s="53"/>
      <c r="AR179" s="54"/>
      <c r="AS179" s="53"/>
      <c r="AT179" s="54"/>
      <c r="AU179" s="53"/>
      <c r="AV179" s="54"/>
      <c r="AW179" s="53"/>
      <c r="AX179" s="54"/>
      <c r="AY179" s="53"/>
      <c r="AZ179" s="54"/>
      <c r="BA179" s="53"/>
      <c r="BB179" s="51"/>
      <c r="BC179" s="53"/>
      <c r="BD179" s="51"/>
      <c r="BE179" s="53"/>
      <c r="BF179" s="51"/>
      <c r="BG179" s="53"/>
      <c r="BH179" s="51"/>
      <c r="BI179" s="53"/>
      <c r="BJ179" s="51"/>
      <c r="BK179" s="53"/>
      <c r="BL179" s="51"/>
      <c r="BM179" s="53"/>
      <c r="BN179" s="51"/>
      <c r="BO179" s="53"/>
      <c r="BP179" s="51"/>
      <c r="BQ179" s="53"/>
      <c r="BR179" s="55"/>
    </row>
    <row r="180" spans="1:70" ht="28.5" customHeight="1">
      <c r="A180" s="50" t="s">
        <v>3427</v>
      </c>
      <c r="B180" s="51"/>
      <c r="C180" s="51" t="str">
        <f t="shared" si="6"/>
        <v>giftcodesbanner/天命國度-禮包碼.jpg</v>
      </c>
      <c r="D180" s="51" t="str">
        <f t="shared" si="5"/>
        <v>https://www.ssbuy.tw/detail_giftcode/dist/giftcodes/天命國度.html</v>
      </c>
      <c r="E180" s="91" t="s">
        <v>3428</v>
      </c>
      <c r="F180" s="107" t="s">
        <v>3429</v>
      </c>
      <c r="G180" s="51" t="s">
        <v>3430</v>
      </c>
      <c r="H180" s="51" t="s">
        <v>3431</v>
      </c>
      <c r="I180" s="51" t="s">
        <v>2616</v>
      </c>
      <c r="J180" s="91"/>
      <c r="K180" s="92" t="s">
        <v>3432</v>
      </c>
      <c r="L180" s="51" t="s">
        <v>3433</v>
      </c>
      <c r="M180" s="53"/>
      <c r="N180" s="54"/>
      <c r="O180" s="53"/>
      <c r="P180" s="54"/>
      <c r="Q180" s="53"/>
      <c r="R180" s="54"/>
      <c r="S180" s="53"/>
      <c r="T180" s="54"/>
      <c r="U180" s="53"/>
      <c r="V180" s="54"/>
      <c r="W180" s="53"/>
      <c r="X180" s="54"/>
      <c r="Y180" s="53"/>
      <c r="Z180" s="54"/>
      <c r="AA180" s="53"/>
      <c r="AB180" s="54"/>
      <c r="AC180" s="53"/>
      <c r="AD180" s="54"/>
      <c r="AE180" s="53"/>
      <c r="AF180" s="54"/>
      <c r="AG180" s="53"/>
      <c r="AH180" s="54"/>
      <c r="AI180" s="53"/>
      <c r="AJ180" s="54"/>
      <c r="AK180" s="53"/>
      <c r="AL180" s="54"/>
      <c r="AM180" s="53"/>
      <c r="AN180" s="54"/>
      <c r="AO180" s="53"/>
      <c r="AP180" s="54"/>
      <c r="AQ180" s="53"/>
      <c r="AR180" s="54"/>
      <c r="AS180" s="53"/>
      <c r="AT180" s="54"/>
      <c r="AU180" s="53"/>
      <c r="AV180" s="54"/>
      <c r="AW180" s="53"/>
      <c r="AX180" s="54"/>
      <c r="AY180" s="53"/>
      <c r="AZ180" s="54"/>
      <c r="BA180" s="53"/>
      <c r="BB180" s="51"/>
      <c r="BC180" s="53"/>
      <c r="BD180" s="51"/>
      <c r="BE180" s="53"/>
      <c r="BF180" s="51"/>
      <c r="BG180" s="53"/>
      <c r="BH180" s="51"/>
      <c r="BI180" s="53"/>
      <c r="BJ180" s="51"/>
      <c r="BK180" s="53"/>
      <c r="BL180" s="51"/>
      <c r="BM180" s="53"/>
      <c r="BN180" s="51"/>
      <c r="BO180" s="53"/>
      <c r="BP180" s="51"/>
      <c r="BQ180" s="53"/>
      <c r="BR180" s="55"/>
    </row>
    <row r="181" spans="1:70" ht="28.5" customHeight="1">
      <c r="A181" s="72" t="s">
        <v>1592</v>
      </c>
      <c r="B181" s="51"/>
      <c r="C181" s="51" t="str">
        <f t="shared" si="6"/>
        <v>giftcodesbanner/戰國武士道-禮包碼.jpg</v>
      </c>
      <c r="D181" s="51" t="str">
        <f t="shared" si="5"/>
        <v>https://www.ssbuy.tw/detail_giftcode/dist/giftcodes/戰國武士道.html</v>
      </c>
      <c r="E181" s="108" t="s">
        <v>3434</v>
      </c>
      <c r="F181" s="107" t="s">
        <v>2459</v>
      </c>
      <c r="G181" s="51" t="s">
        <v>2459</v>
      </c>
      <c r="H181" s="51"/>
      <c r="I181" s="51"/>
      <c r="J181" s="91"/>
      <c r="K181" s="92" t="s">
        <v>2617</v>
      </c>
      <c r="L181" s="51" t="s">
        <v>3435</v>
      </c>
      <c r="M181" s="53"/>
      <c r="N181" s="54"/>
      <c r="O181" s="53"/>
      <c r="P181" s="54"/>
      <c r="Q181" s="53"/>
      <c r="R181" s="54"/>
      <c r="S181" s="53"/>
      <c r="T181" s="54"/>
      <c r="U181" s="53"/>
      <c r="V181" s="54"/>
      <c r="W181" s="53"/>
      <c r="X181" s="54"/>
      <c r="Y181" s="53"/>
      <c r="Z181" s="54"/>
      <c r="AA181" s="53"/>
      <c r="AB181" s="54"/>
      <c r="AC181" s="53"/>
      <c r="AD181" s="54"/>
      <c r="AE181" s="53"/>
      <c r="AF181" s="54"/>
      <c r="AG181" s="53"/>
      <c r="AH181" s="54"/>
      <c r="AI181" s="53"/>
      <c r="AJ181" s="54"/>
      <c r="AK181" s="53"/>
      <c r="AL181" s="54"/>
      <c r="AM181" s="53"/>
      <c r="AN181" s="54"/>
      <c r="AO181" s="53"/>
      <c r="AP181" s="54"/>
      <c r="AQ181" s="53"/>
      <c r="AR181" s="54"/>
      <c r="AS181" s="53"/>
      <c r="AT181" s="54"/>
      <c r="AU181" s="53"/>
      <c r="AV181" s="54"/>
      <c r="AW181" s="53"/>
      <c r="AX181" s="54"/>
      <c r="AY181" s="53"/>
      <c r="AZ181" s="54"/>
      <c r="BA181" s="53"/>
      <c r="BB181" s="51"/>
      <c r="BC181" s="53"/>
      <c r="BD181" s="51"/>
      <c r="BE181" s="53"/>
      <c r="BF181" s="51"/>
      <c r="BG181" s="53"/>
      <c r="BH181" s="51"/>
      <c r="BI181" s="53"/>
      <c r="BJ181" s="51"/>
      <c r="BK181" s="53"/>
      <c r="BL181" s="51"/>
      <c r="BM181" s="53"/>
      <c r="BN181" s="51"/>
      <c r="BO181" s="53"/>
      <c r="BP181" s="51"/>
      <c r="BQ181" s="53"/>
      <c r="BR181" s="55"/>
    </row>
    <row r="182" spans="1:70" ht="28.5" customHeight="1">
      <c r="A182" s="72" t="s">
        <v>1597</v>
      </c>
      <c r="B182" s="51"/>
      <c r="C182" s="51" t="str">
        <f t="shared" si="6"/>
        <v>giftcodesbanner/超蝦大作戰-禮包碼.jpg</v>
      </c>
      <c r="D182" s="51" t="str">
        <f t="shared" si="5"/>
        <v>https://www.ssbuy.tw/detail_giftcode/dist/giftcodes/超蝦大作戰.html</v>
      </c>
      <c r="E182" s="96" t="s">
        <v>4586</v>
      </c>
      <c r="F182" s="107" t="s">
        <v>3436</v>
      </c>
      <c r="G182" s="51" t="s">
        <v>3437</v>
      </c>
      <c r="H182" s="51" t="s">
        <v>2618</v>
      </c>
      <c r="I182" s="51"/>
      <c r="J182" s="91"/>
      <c r="K182" s="92" t="s">
        <v>3438</v>
      </c>
      <c r="L182" s="51" t="s">
        <v>3439</v>
      </c>
      <c r="M182" s="53" t="s">
        <v>3440</v>
      </c>
      <c r="N182" s="54" t="s">
        <v>2619</v>
      </c>
      <c r="O182" s="53" t="s">
        <v>3441</v>
      </c>
      <c r="P182" s="54" t="s">
        <v>3442</v>
      </c>
      <c r="Q182" s="68" t="s">
        <v>2620</v>
      </c>
      <c r="R182" s="54" t="s">
        <v>2621</v>
      </c>
      <c r="S182" s="68" t="s">
        <v>3443</v>
      </c>
      <c r="T182" s="54" t="s">
        <v>3444</v>
      </c>
      <c r="U182" s="53"/>
      <c r="V182" s="54"/>
      <c r="W182" s="53"/>
      <c r="X182" s="54"/>
      <c r="Y182" s="53"/>
      <c r="Z182" s="54"/>
      <c r="AA182" s="53"/>
      <c r="AB182" s="54"/>
      <c r="AC182" s="53"/>
      <c r="AD182" s="54"/>
      <c r="AE182" s="53"/>
      <c r="AF182" s="54"/>
      <c r="AG182" s="53"/>
      <c r="AH182" s="54"/>
      <c r="AI182" s="53"/>
      <c r="AJ182" s="54"/>
      <c r="AK182" s="53"/>
      <c r="AL182" s="54"/>
      <c r="AM182" s="53"/>
      <c r="AN182" s="54"/>
      <c r="AO182" s="53"/>
      <c r="AP182" s="54"/>
      <c r="AQ182" s="53"/>
      <c r="AR182" s="54"/>
      <c r="AS182" s="53"/>
      <c r="AT182" s="54"/>
      <c r="AU182" s="53"/>
      <c r="AV182" s="54"/>
      <c r="AW182" s="53"/>
      <c r="AX182" s="54"/>
      <c r="AY182" s="53"/>
      <c r="AZ182" s="54"/>
      <c r="BA182" s="53"/>
      <c r="BB182" s="51"/>
      <c r="BC182" s="53"/>
      <c r="BD182" s="51"/>
      <c r="BE182" s="53"/>
      <c r="BF182" s="51"/>
      <c r="BG182" s="53"/>
      <c r="BH182" s="51"/>
      <c r="BI182" s="53"/>
      <c r="BJ182" s="51"/>
      <c r="BK182" s="53"/>
      <c r="BL182" s="51"/>
      <c r="BM182" s="53"/>
      <c r="BN182" s="51"/>
      <c r="BO182" s="53"/>
      <c r="BP182" s="51"/>
      <c r="BQ182" s="53"/>
      <c r="BR182" s="55"/>
    </row>
    <row r="183" spans="1:70" ht="28.5" customHeight="1">
      <c r="A183" s="72" t="s">
        <v>1622</v>
      </c>
      <c r="B183" s="51"/>
      <c r="C183" s="51" t="str">
        <f t="shared" si="6"/>
        <v>giftcodesbanner/真妖獸!廢柴要修仙-禮包碼.jpg</v>
      </c>
      <c r="D183" s="51" t="str">
        <f t="shared" si="5"/>
        <v>https://www.ssbuy.tw/detail_giftcode/dist/giftcodes/真妖獸!廢柴要修仙.html</v>
      </c>
      <c r="E183" s="91" t="s">
        <v>3445</v>
      </c>
      <c r="F183" s="107" t="s">
        <v>2622</v>
      </c>
      <c r="G183" s="51" t="s">
        <v>3446</v>
      </c>
      <c r="H183" s="51" t="s">
        <v>2623</v>
      </c>
      <c r="I183" s="51" t="s">
        <v>3447</v>
      </c>
      <c r="J183" s="91" t="s">
        <v>3448</v>
      </c>
      <c r="K183" s="92" t="s">
        <v>3216</v>
      </c>
      <c r="L183" s="51" t="s">
        <v>3449</v>
      </c>
      <c r="M183" s="53" t="s">
        <v>2056</v>
      </c>
      <c r="N183" s="54" t="s">
        <v>3450</v>
      </c>
      <c r="O183" s="53" t="s">
        <v>3382</v>
      </c>
      <c r="P183" s="54" t="s">
        <v>3451</v>
      </c>
      <c r="Q183" s="53" t="s">
        <v>3452</v>
      </c>
      <c r="R183" s="54" t="s">
        <v>2624</v>
      </c>
      <c r="S183" s="53" t="s">
        <v>2199</v>
      </c>
      <c r="T183" s="54" t="s">
        <v>3453</v>
      </c>
      <c r="U183" s="53" t="s">
        <v>2200</v>
      </c>
      <c r="V183" s="54" t="s">
        <v>3454</v>
      </c>
      <c r="W183" s="53" t="s">
        <v>3455</v>
      </c>
      <c r="X183" s="54" t="s">
        <v>3456</v>
      </c>
      <c r="Y183" s="53"/>
      <c r="Z183" s="54"/>
      <c r="AA183" s="53"/>
      <c r="AB183" s="54"/>
      <c r="AC183" s="53"/>
      <c r="AD183" s="54"/>
      <c r="AE183" s="53"/>
      <c r="AF183" s="54"/>
      <c r="AG183" s="53"/>
      <c r="AH183" s="54"/>
      <c r="AI183" s="53"/>
      <c r="AJ183" s="54"/>
      <c r="AK183" s="53"/>
      <c r="AL183" s="54"/>
      <c r="AM183" s="53"/>
      <c r="AN183" s="54"/>
      <c r="AO183" s="53"/>
      <c r="AP183" s="54"/>
      <c r="AQ183" s="53"/>
      <c r="AR183" s="54"/>
      <c r="AS183" s="53"/>
      <c r="AT183" s="54"/>
      <c r="AU183" s="53"/>
      <c r="AV183" s="54"/>
      <c r="AW183" s="53"/>
      <c r="AX183" s="54"/>
      <c r="AY183" s="53"/>
      <c r="AZ183" s="54"/>
      <c r="BA183" s="53"/>
      <c r="BB183" s="51"/>
      <c r="BC183" s="53"/>
      <c r="BD183" s="51"/>
      <c r="BE183" s="53"/>
      <c r="BF183" s="51"/>
      <c r="BG183" s="53"/>
      <c r="BH183" s="51"/>
      <c r="BI183" s="53"/>
      <c r="BJ183" s="51"/>
      <c r="BK183" s="53"/>
      <c r="BL183" s="51"/>
      <c r="BM183" s="53"/>
      <c r="BN183" s="51"/>
      <c r="BO183" s="53"/>
      <c r="BP183" s="51"/>
      <c r="BQ183" s="53"/>
      <c r="BR183" s="55"/>
    </row>
    <row r="184" spans="1:70" ht="28.5" customHeight="1">
      <c r="A184" s="67" t="s">
        <v>2625</v>
      </c>
      <c r="B184" s="51"/>
      <c r="C184" s="51" t="str">
        <f t="shared" si="6"/>
        <v>giftcodesbanner/三國志Thrones-禮包碼.jpg</v>
      </c>
      <c r="D184" s="51" t="str">
        <f t="shared" si="5"/>
        <v>https://www.ssbuy.tw/detail_giftcode/dist/giftcodes/三國志Thrones.html</v>
      </c>
      <c r="E184" s="96" t="s">
        <v>4587</v>
      </c>
      <c r="F184" s="107" t="s">
        <v>2622</v>
      </c>
      <c r="G184" s="51" t="s">
        <v>3457</v>
      </c>
      <c r="H184" s="51" t="s">
        <v>3458</v>
      </c>
      <c r="I184" s="51" t="s">
        <v>2626</v>
      </c>
      <c r="J184" s="91"/>
      <c r="K184" s="92" t="s">
        <v>2627</v>
      </c>
      <c r="L184" s="51" t="s">
        <v>3459</v>
      </c>
      <c r="M184" s="53"/>
      <c r="N184" s="54"/>
      <c r="O184" s="53"/>
      <c r="P184" s="54"/>
      <c r="Q184" s="53"/>
      <c r="R184" s="54"/>
      <c r="S184" s="53"/>
      <c r="T184" s="54"/>
      <c r="U184" s="53"/>
      <c r="V184" s="54"/>
      <c r="W184" s="53"/>
      <c r="X184" s="54"/>
      <c r="Y184" s="53"/>
      <c r="Z184" s="54"/>
      <c r="AA184" s="53"/>
      <c r="AB184" s="54"/>
      <c r="AC184" s="53"/>
      <c r="AD184" s="54"/>
      <c r="AE184" s="53"/>
      <c r="AF184" s="54"/>
      <c r="AG184" s="53"/>
      <c r="AH184" s="54"/>
      <c r="AI184" s="53"/>
      <c r="AJ184" s="54"/>
      <c r="AK184" s="53"/>
      <c r="AL184" s="54"/>
      <c r="AM184" s="53"/>
      <c r="AN184" s="54"/>
      <c r="AO184" s="53"/>
      <c r="AP184" s="54"/>
      <c r="AQ184" s="53"/>
      <c r="AR184" s="54"/>
      <c r="AS184" s="53"/>
      <c r="AT184" s="54"/>
      <c r="AU184" s="53"/>
      <c r="AV184" s="54"/>
      <c r="AW184" s="53"/>
      <c r="AX184" s="54"/>
      <c r="AY184" s="53"/>
      <c r="AZ184" s="54"/>
      <c r="BA184" s="53"/>
      <c r="BB184" s="51"/>
      <c r="BC184" s="53"/>
      <c r="BD184" s="51"/>
      <c r="BE184" s="53"/>
      <c r="BF184" s="51"/>
      <c r="BG184" s="53"/>
      <c r="BH184" s="51"/>
      <c r="BI184" s="53"/>
      <c r="BJ184" s="51"/>
      <c r="BK184" s="53"/>
      <c r="BL184" s="51"/>
      <c r="BM184" s="53"/>
      <c r="BN184" s="51"/>
      <c r="BO184" s="53"/>
      <c r="BP184" s="51"/>
      <c r="BQ184" s="53"/>
      <c r="BR184" s="55"/>
    </row>
    <row r="185" spans="1:70" ht="28.5" customHeight="1">
      <c r="A185" s="67" t="s">
        <v>3460</v>
      </c>
      <c r="B185" s="51"/>
      <c r="C185" s="51" t="str">
        <f t="shared" si="6"/>
        <v>giftcodesbanner/英勇之地-禮包碼.jpg</v>
      </c>
      <c r="D185" s="51" t="str">
        <f t="shared" si="5"/>
        <v>https://www.ssbuy.tw/detail_giftcode/dist/giftcodes/英勇之地.html</v>
      </c>
      <c r="E185" s="105" t="s">
        <v>3461</v>
      </c>
      <c r="F185" s="107" t="s">
        <v>3462</v>
      </c>
      <c r="G185" s="51" t="s">
        <v>3463</v>
      </c>
      <c r="H185" s="51" t="s">
        <v>3464</v>
      </c>
      <c r="I185" s="51" t="s">
        <v>2623</v>
      </c>
      <c r="J185" s="91" t="s">
        <v>3465</v>
      </c>
      <c r="K185" s="92" t="s">
        <v>2628</v>
      </c>
      <c r="L185" s="51" t="s">
        <v>2629</v>
      </c>
      <c r="M185" s="53" t="s">
        <v>3466</v>
      </c>
      <c r="N185" s="54" t="s">
        <v>2630</v>
      </c>
      <c r="O185" s="53" t="s">
        <v>3650</v>
      </c>
      <c r="P185" s="54" t="s">
        <v>3651</v>
      </c>
      <c r="Q185" s="53" t="s">
        <v>4838</v>
      </c>
      <c r="R185" s="54"/>
      <c r="S185" s="53" t="s">
        <v>4839</v>
      </c>
      <c r="T185" s="54"/>
      <c r="U185" s="53" t="s">
        <v>4840</v>
      </c>
      <c r="V185" s="54"/>
      <c r="W185" s="53" t="s">
        <v>4841</v>
      </c>
      <c r="X185" s="54"/>
      <c r="Y185" s="53" t="s">
        <v>4842</v>
      </c>
      <c r="Z185" s="54"/>
      <c r="AA185" s="53" t="s">
        <v>4843</v>
      </c>
      <c r="AB185" s="54"/>
      <c r="AC185" s="53" t="s">
        <v>4844</v>
      </c>
      <c r="AD185" s="54"/>
      <c r="AE185" s="53" t="s">
        <v>4845</v>
      </c>
      <c r="AF185" s="54"/>
      <c r="AG185" s="53" t="s">
        <v>4846</v>
      </c>
      <c r="AH185" s="54"/>
      <c r="AI185" s="53"/>
      <c r="AJ185" s="54"/>
      <c r="AK185" s="53"/>
      <c r="AL185" s="54"/>
      <c r="AM185" s="53"/>
      <c r="AN185" s="54"/>
      <c r="AO185" s="53"/>
      <c r="AP185" s="54"/>
      <c r="AQ185" s="53"/>
      <c r="AR185" s="54"/>
      <c r="AS185" s="53"/>
      <c r="AT185" s="54"/>
      <c r="AU185" s="53"/>
      <c r="AV185" s="54"/>
      <c r="AW185" s="53"/>
      <c r="AX185" s="54"/>
      <c r="AY185" s="53"/>
      <c r="AZ185" s="54"/>
      <c r="BA185" s="53"/>
      <c r="BB185" s="51"/>
      <c r="BC185" s="53"/>
      <c r="BD185" s="51"/>
      <c r="BE185" s="53"/>
      <c r="BF185" s="51"/>
      <c r="BG185" s="53"/>
      <c r="BH185" s="51"/>
      <c r="BI185" s="53"/>
      <c r="BJ185" s="51"/>
      <c r="BK185" s="53"/>
      <c r="BL185" s="51"/>
      <c r="BM185" s="53"/>
      <c r="BN185" s="51"/>
      <c r="BO185" s="53"/>
      <c r="BP185" s="51"/>
      <c r="BQ185" s="53"/>
      <c r="BR185" s="55"/>
    </row>
    <row r="186" spans="1:70" ht="28.5" customHeight="1">
      <c r="A186" s="73" t="s">
        <v>2631</v>
      </c>
      <c r="B186" s="51"/>
      <c r="C186" s="51" t="str">
        <f t="shared" si="6"/>
        <v>giftcodesbanner/未鑑定勇者團-禮包碼.jpg</v>
      </c>
      <c r="D186" s="51" t="str">
        <f t="shared" si="5"/>
        <v>https://www.ssbuy.tw/detail_giftcode/dist/giftcodes/未鑑定勇者團.html</v>
      </c>
      <c r="E186" s="96" t="s">
        <v>4001</v>
      </c>
      <c r="F186" s="107" t="s">
        <v>3467</v>
      </c>
      <c r="G186" s="51" t="s">
        <v>3468</v>
      </c>
      <c r="H186" s="51" t="s">
        <v>2632</v>
      </c>
      <c r="I186" s="51" t="s">
        <v>3469</v>
      </c>
      <c r="J186" s="91"/>
      <c r="K186" s="92" t="s">
        <v>2633</v>
      </c>
      <c r="L186" s="51" t="s">
        <v>3470</v>
      </c>
      <c r="M186" s="53" t="s">
        <v>3471</v>
      </c>
      <c r="N186" s="54" t="s">
        <v>3472</v>
      </c>
      <c r="O186" s="53"/>
      <c r="P186" s="54"/>
      <c r="Q186" s="53"/>
      <c r="R186" s="54"/>
      <c r="S186" s="53"/>
      <c r="T186" s="54"/>
      <c r="U186" s="53"/>
      <c r="V186" s="54"/>
      <c r="W186" s="53"/>
      <c r="X186" s="54"/>
      <c r="Y186" s="53"/>
      <c r="Z186" s="54"/>
      <c r="AA186" s="53"/>
      <c r="AB186" s="54"/>
      <c r="AC186" s="53"/>
      <c r="AD186" s="54"/>
      <c r="AE186" s="53"/>
      <c r="AF186" s="54"/>
      <c r="AG186" s="53"/>
      <c r="AH186" s="54"/>
      <c r="AI186" s="53"/>
      <c r="AJ186" s="54"/>
      <c r="AK186" s="53"/>
      <c r="AL186" s="54"/>
      <c r="AM186" s="53"/>
      <c r="AN186" s="54"/>
      <c r="AO186" s="53"/>
      <c r="AP186" s="54"/>
      <c r="AQ186" s="53"/>
      <c r="AR186" s="54"/>
      <c r="AS186" s="53"/>
      <c r="AT186" s="54"/>
      <c r="AU186" s="53"/>
      <c r="AV186" s="54"/>
      <c r="AW186" s="53"/>
      <c r="AX186" s="54"/>
      <c r="AY186" s="53"/>
      <c r="AZ186" s="54"/>
      <c r="BA186" s="53"/>
      <c r="BB186" s="51"/>
      <c r="BC186" s="53"/>
      <c r="BD186" s="51"/>
      <c r="BE186" s="53"/>
      <c r="BF186" s="51"/>
      <c r="BG186" s="53"/>
      <c r="BH186" s="51"/>
      <c r="BI186" s="53"/>
      <c r="BJ186" s="51"/>
      <c r="BK186" s="53"/>
      <c r="BL186" s="51"/>
      <c r="BM186" s="53"/>
      <c r="BN186" s="51"/>
      <c r="BO186" s="53"/>
      <c r="BP186" s="51"/>
      <c r="BQ186" s="53"/>
      <c r="BR186" s="55"/>
    </row>
    <row r="187" spans="1:70" ht="28.5" customHeight="1">
      <c r="A187" s="73" t="s">
        <v>2634</v>
      </c>
      <c r="B187" s="51"/>
      <c r="C187" s="51" t="str">
        <f t="shared" si="6"/>
        <v>giftcodesbanner/戰靈異聞社-禮包碼.jpg</v>
      </c>
      <c r="D187" s="51" t="str">
        <f t="shared" si="5"/>
        <v>https://www.ssbuy.tw/detail_giftcode/dist/giftcodes/戰靈異聞社.html</v>
      </c>
      <c r="E187" s="96" t="s">
        <v>4002</v>
      </c>
      <c r="F187" s="107" t="s">
        <v>3473</v>
      </c>
      <c r="G187" s="51" t="s">
        <v>3474</v>
      </c>
      <c r="H187" s="51" t="s">
        <v>3475</v>
      </c>
      <c r="I187" s="51"/>
      <c r="J187" s="91"/>
      <c r="K187" s="92" t="s">
        <v>2635</v>
      </c>
      <c r="L187" s="51" t="s">
        <v>3476</v>
      </c>
      <c r="M187" s="53" t="s">
        <v>3477</v>
      </c>
      <c r="N187" s="54" t="s">
        <v>3478</v>
      </c>
      <c r="O187" s="53" t="s">
        <v>3479</v>
      </c>
      <c r="P187" s="54" t="s">
        <v>3480</v>
      </c>
      <c r="Q187" s="53" t="s">
        <v>3481</v>
      </c>
      <c r="R187" s="60" t="s">
        <v>3482</v>
      </c>
      <c r="S187" s="53" t="s">
        <v>2636</v>
      </c>
      <c r="T187" s="60" t="s">
        <v>3483</v>
      </c>
      <c r="U187" s="53"/>
      <c r="V187" s="54"/>
      <c r="W187" s="53"/>
      <c r="X187" s="54"/>
      <c r="Y187" s="53"/>
      <c r="Z187" s="54"/>
      <c r="AA187" s="53"/>
      <c r="AB187" s="54"/>
      <c r="AC187" s="53"/>
      <c r="AD187" s="54"/>
      <c r="AE187" s="53"/>
      <c r="AF187" s="54"/>
      <c r="AG187" s="53"/>
      <c r="AH187" s="54"/>
      <c r="AI187" s="53"/>
      <c r="AJ187" s="54"/>
      <c r="AK187" s="53"/>
      <c r="AL187" s="54"/>
      <c r="AM187" s="53"/>
      <c r="AN187" s="54"/>
      <c r="AO187" s="53"/>
      <c r="AP187" s="54"/>
      <c r="AQ187" s="53"/>
      <c r="AR187" s="54"/>
      <c r="AS187" s="53"/>
      <c r="AT187" s="54"/>
      <c r="AU187" s="53"/>
      <c r="AV187" s="54"/>
      <c r="AW187" s="53"/>
      <c r="AX187" s="54"/>
      <c r="AY187" s="53"/>
      <c r="AZ187" s="54"/>
      <c r="BA187" s="53"/>
      <c r="BB187" s="51"/>
      <c r="BC187" s="53"/>
      <c r="BD187" s="51"/>
      <c r="BE187" s="53"/>
      <c r="BF187" s="51"/>
      <c r="BG187" s="53"/>
      <c r="BH187" s="51"/>
      <c r="BI187" s="53"/>
      <c r="BJ187" s="51"/>
      <c r="BK187" s="53"/>
      <c r="BL187" s="51"/>
      <c r="BM187" s="53"/>
      <c r="BN187" s="51"/>
      <c r="BO187" s="53"/>
      <c r="BP187" s="51"/>
      <c r="BQ187" s="53"/>
      <c r="BR187" s="55"/>
    </row>
    <row r="188" spans="1:70" ht="28.5" customHeight="1">
      <c r="A188" s="67" t="s">
        <v>3484</v>
      </c>
      <c r="B188" s="51"/>
      <c r="C188" s="51" t="str">
        <f t="shared" si="6"/>
        <v>giftcodesbanner/見習骷髏王-禮包碼.jpg</v>
      </c>
      <c r="D188" s="51" t="str">
        <f t="shared" si="5"/>
        <v>https://www.ssbuy.tw/detail_giftcode/dist/giftcodes/見習骷髏王.html</v>
      </c>
      <c r="E188" s="96" t="s">
        <v>2637</v>
      </c>
      <c r="F188" s="107" t="s">
        <v>3485</v>
      </c>
      <c r="G188" s="51" t="s">
        <v>2638</v>
      </c>
      <c r="H188" s="51"/>
      <c r="I188" s="51"/>
      <c r="J188" s="91"/>
      <c r="K188" s="92" t="s">
        <v>3486</v>
      </c>
      <c r="L188" s="51" t="s">
        <v>2638</v>
      </c>
      <c r="M188" s="53" t="s">
        <v>2638</v>
      </c>
      <c r="N188" s="54" t="s">
        <v>2638</v>
      </c>
      <c r="O188" s="53" t="s">
        <v>3485</v>
      </c>
      <c r="P188" s="54" t="s">
        <v>2638</v>
      </c>
      <c r="Q188" s="53"/>
      <c r="R188" s="54"/>
      <c r="S188" s="53"/>
      <c r="T188" s="54"/>
      <c r="U188" s="53"/>
      <c r="V188" s="54"/>
      <c r="W188" s="53"/>
      <c r="X188" s="54"/>
      <c r="Y188" s="53"/>
      <c r="Z188" s="54"/>
      <c r="AA188" s="53"/>
      <c r="AB188" s="54"/>
      <c r="AC188" s="53"/>
      <c r="AD188" s="54"/>
      <c r="AE188" s="53"/>
      <c r="AF188" s="54"/>
      <c r="AG188" s="53"/>
      <c r="AH188" s="54"/>
      <c r="AI188" s="53"/>
      <c r="AJ188" s="54"/>
      <c r="AK188" s="53"/>
      <c r="AL188" s="54"/>
      <c r="AM188" s="53"/>
      <c r="AN188" s="54"/>
      <c r="AO188" s="53"/>
      <c r="AP188" s="54"/>
      <c r="AQ188" s="53"/>
      <c r="AR188" s="54"/>
      <c r="AS188" s="53"/>
      <c r="AT188" s="54"/>
      <c r="AU188" s="53"/>
      <c r="AV188" s="54"/>
      <c r="AW188" s="53"/>
      <c r="AX188" s="54"/>
      <c r="AY188" s="53"/>
      <c r="AZ188" s="54"/>
      <c r="BA188" s="53"/>
      <c r="BB188" s="51"/>
      <c r="BC188" s="53"/>
      <c r="BD188" s="51"/>
      <c r="BE188" s="53"/>
      <c r="BF188" s="51"/>
      <c r="BG188" s="53"/>
      <c r="BH188" s="51"/>
      <c r="BI188" s="53"/>
      <c r="BJ188" s="51"/>
      <c r="BK188" s="53"/>
      <c r="BL188" s="51"/>
      <c r="BM188" s="53"/>
      <c r="BN188" s="51"/>
      <c r="BO188" s="53"/>
      <c r="BP188" s="51"/>
      <c r="BQ188" s="53"/>
      <c r="BR188" s="55"/>
    </row>
    <row r="189" spans="1:70" ht="28.5" customHeight="1">
      <c r="A189" s="67" t="s">
        <v>2639</v>
      </c>
      <c r="B189" s="51"/>
      <c r="C189" s="51" t="str">
        <f t="shared" si="6"/>
        <v>giftcodesbanner/全明星無雙-禮包碼.jpg</v>
      </c>
      <c r="D189" s="51" t="str">
        <f t="shared" si="5"/>
        <v>https://www.ssbuy.tw/detail_giftcode/dist/giftcodes/全明星無雙.html</v>
      </c>
      <c r="E189" s="91" t="s">
        <v>3487</v>
      </c>
      <c r="F189" s="107" t="s">
        <v>3488</v>
      </c>
      <c r="G189" s="51" t="s">
        <v>3503</v>
      </c>
      <c r="H189" s="51" t="s">
        <v>2623</v>
      </c>
      <c r="I189" s="51" t="s">
        <v>2640</v>
      </c>
      <c r="J189" s="91"/>
      <c r="K189" s="92" t="s">
        <v>3489</v>
      </c>
      <c r="L189" s="51" t="s">
        <v>3490</v>
      </c>
      <c r="M189" s="53"/>
      <c r="N189" s="54"/>
      <c r="O189" s="53"/>
      <c r="P189" s="54"/>
      <c r="Q189" s="53"/>
      <c r="R189" s="54"/>
      <c r="S189" s="53"/>
      <c r="T189" s="54"/>
      <c r="U189" s="53"/>
      <c r="V189" s="54"/>
      <c r="W189" s="53"/>
      <c r="X189" s="54"/>
      <c r="Y189" s="53"/>
      <c r="Z189" s="54"/>
      <c r="AA189" s="53"/>
      <c r="AB189" s="54"/>
      <c r="AC189" s="53"/>
      <c r="AD189" s="54"/>
      <c r="AE189" s="53"/>
      <c r="AF189" s="54"/>
      <c r="AG189" s="53"/>
      <c r="AH189" s="54"/>
      <c r="AI189" s="53"/>
      <c r="AJ189" s="54"/>
      <c r="AK189" s="53"/>
      <c r="AL189" s="54"/>
      <c r="AM189" s="53"/>
      <c r="AN189" s="54"/>
      <c r="AO189" s="53"/>
      <c r="AP189" s="54"/>
      <c r="AQ189" s="53"/>
      <c r="AR189" s="54"/>
      <c r="AS189" s="53"/>
      <c r="AT189" s="54"/>
      <c r="AU189" s="53"/>
      <c r="AV189" s="54"/>
      <c r="AW189" s="53"/>
      <c r="AX189" s="54"/>
      <c r="AY189" s="53"/>
      <c r="AZ189" s="54"/>
      <c r="BA189" s="53"/>
      <c r="BB189" s="51"/>
      <c r="BC189" s="53"/>
      <c r="BD189" s="51"/>
      <c r="BE189" s="53"/>
      <c r="BF189" s="51"/>
      <c r="BG189" s="53"/>
      <c r="BH189" s="51"/>
      <c r="BI189" s="53"/>
      <c r="BJ189" s="51"/>
      <c r="BK189" s="53"/>
      <c r="BL189" s="51"/>
      <c r="BM189" s="53"/>
      <c r="BN189" s="51"/>
      <c r="BO189" s="53"/>
      <c r="BP189" s="51"/>
      <c r="BQ189" s="53"/>
      <c r="BR189" s="55"/>
    </row>
    <row r="190" spans="1:70" ht="28.5" customHeight="1">
      <c r="A190" s="67" t="str">
        <f>games!A190</f>
        <v>伊瑟</v>
      </c>
      <c r="B190" s="51"/>
      <c r="C190" s="51" t="str">
        <f>IF(A190="","", "giftcodesbanner/" &amp; A190 &amp; "-禮包碼.jpg")</f>
        <v>giftcodesbanner/伊瑟-禮包碼.jpg</v>
      </c>
      <c r="D190" s="51" t="str">
        <f t="shared" si="5"/>
        <v>https://www.ssbuy.tw/detail_giftcode/dist/giftcodes/伊瑟.html</v>
      </c>
      <c r="E190" s="91"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07" t="s">
        <v>3498</v>
      </c>
      <c r="G190" s="51" t="s">
        <v>3499</v>
      </c>
      <c r="H190" s="51"/>
      <c r="I190" s="51"/>
      <c r="J190" s="91"/>
      <c r="K190" s="92" t="s">
        <v>4592</v>
      </c>
      <c r="L190" s="51"/>
      <c r="M190" s="53" t="s">
        <v>4593</v>
      </c>
      <c r="N190" s="54"/>
      <c r="O190" s="53" t="s">
        <v>4594</v>
      </c>
      <c r="P190" s="54"/>
      <c r="Q190" s="53" t="s">
        <v>4595</v>
      </c>
      <c r="R190" s="54"/>
      <c r="S190" s="53" t="s">
        <v>4596</v>
      </c>
      <c r="T190" s="54"/>
      <c r="U190" s="53" t="s">
        <v>4597</v>
      </c>
      <c r="V190" s="54"/>
      <c r="W190" s="53" t="s">
        <v>4598</v>
      </c>
      <c r="X190" s="54"/>
      <c r="Y190" s="53" t="s">
        <v>4599</v>
      </c>
      <c r="Z190" s="54"/>
      <c r="AA190" s="53" t="s">
        <v>4600</v>
      </c>
      <c r="AB190" s="54"/>
      <c r="AC190" s="53" t="s">
        <v>4601</v>
      </c>
      <c r="AD190" s="54"/>
      <c r="AE190" s="53" t="s">
        <v>4602</v>
      </c>
      <c r="AF190" s="54"/>
      <c r="AG190" s="53" t="s">
        <v>4848</v>
      </c>
      <c r="AH190" s="54"/>
      <c r="AI190" s="53" t="s">
        <v>4849</v>
      </c>
      <c r="AJ190" s="54"/>
      <c r="AK190" s="53" t="s">
        <v>4850</v>
      </c>
      <c r="AL190" s="54"/>
      <c r="AM190" s="53" t="s">
        <v>5702</v>
      </c>
      <c r="AN190" s="54" t="s">
        <v>5703</v>
      </c>
      <c r="AO190" s="53" t="s">
        <v>5692</v>
      </c>
      <c r="AP190" s="54" t="s">
        <v>5693</v>
      </c>
      <c r="AQ190" s="53" t="s">
        <v>5694</v>
      </c>
      <c r="AR190" s="54" t="s">
        <v>5695</v>
      </c>
      <c r="AS190" s="53" t="s">
        <v>5696</v>
      </c>
      <c r="AT190" s="54" t="s">
        <v>5697</v>
      </c>
      <c r="AU190" s="53" t="s">
        <v>5698</v>
      </c>
      <c r="AV190" s="54" t="s">
        <v>5699</v>
      </c>
      <c r="AW190" s="53" t="s">
        <v>5700</v>
      </c>
      <c r="AX190" s="54" t="s">
        <v>5701</v>
      </c>
      <c r="AY190" s="53"/>
      <c r="AZ190" s="54"/>
      <c r="BA190" s="53"/>
      <c r="BB190" s="51"/>
      <c r="BC190" s="53"/>
      <c r="BD190" s="51"/>
      <c r="BE190" s="53"/>
      <c r="BF190" s="51"/>
      <c r="BG190" s="53"/>
      <c r="BH190" s="51"/>
      <c r="BI190" s="53"/>
      <c r="BJ190" s="51"/>
      <c r="BK190" s="53"/>
      <c r="BL190" s="51"/>
      <c r="BM190" s="53"/>
      <c r="BN190" s="51"/>
      <c r="BO190" s="53"/>
      <c r="BP190" s="51"/>
      <c r="BQ190" s="53"/>
      <c r="BR190" s="55"/>
    </row>
    <row r="191" spans="1:70" ht="28.5" customHeight="1">
      <c r="A191" s="67" t="str">
        <f>IF(games!A191="", "", games!A191)</f>
        <v>手刀搶英雄</v>
      </c>
      <c r="B191" s="51"/>
      <c r="C191" s="51" t="str">
        <f t="shared" ref="C191:C252" si="7">IF(A191="","", "giftcodesbanner/" &amp; A191 &amp; "-禮包碼.jpg")</f>
        <v>giftcodesbanner/手刀搶英雄-禮包碼.jpg</v>
      </c>
      <c r="D191" s="51" t="str">
        <f t="shared" si="5"/>
        <v>https://www.ssbuy.tw/detail_giftcode/dist/giftcodes/手刀搶英雄.html</v>
      </c>
      <c r="E191" s="91"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07" t="s">
        <v>3502</v>
      </c>
      <c r="G191" s="51" t="s">
        <v>3504</v>
      </c>
      <c r="H191" s="51" t="s">
        <v>2623</v>
      </c>
      <c r="I191" s="51"/>
      <c r="J191" s="91"/>
      <c r="K191" s="92" t="s">
        <v>3517</v>
      </c>
      <c r="L191" s="51" t="s">
        <v>3521</v>
      </c>
      <c r="M191" s="53" t="s">
        <v>3518</v>
      </c>
      <c r="N191" s="54" t="s">
        <v>3522</v>
      </c>
      <c r="O191" s="53" t="s">
        <v>3519</v>
      </c>
      <c r="P191" s="54" t="s">
        <v>3520</v>
      </c>
      <c r="Q191" s="53"/>
      <c r="R191" s="54"/>
      <c r="S191" s="53"/>
      <c r="T191" s="54"/>
      <c r="U191" s="53"/>
      <c r="V191" s="54"/>
      <c r="W191" s="53"/>
      <c r="X191" s="54"/>
      <c r="Y191" s="53"/>
      <c r="Z191" s="54"/>
      <c r="AA191" s="53"/>
      <c r="AB191" s="54"/>
      <c r="AC191" s="53"/>
      <c r="AD191" s="54"/>
      <c r="AE191" s="53"/>
      <c r="AF191" s="54"/>
      <c r="AG191" s="53"/>
      <c r="AH191" s="54"/>
      <c r="AI191" s="53"/>
      <c r="AJ191" s="54"/>
      <c r="AK191" s="53"/>
      <c r="AL191" s="54"/>
      <c r="AM191" s="53"/>
      <c r="AN191" s="54"/>
      <c r="AO191" s="53"/>
      <c r="AP191" s="54"/>
      <c r="AQ191" s="53"/>
      <c r="AR191" s="54"/>
      <c r="AS191" s="53"/>
      <c r="AT191" s="54"/>
      <c r="AU191" s="53"/>
      <c r="AV191" s="54"/>
      <c r="AW191" s="53"/>
      <c r="AX191" s="54"/>
      <c r="AY191" s="53"/>
      <c r="AZ191" s="54"/>
      <c r="BA191" s="53"/>
      <c r="BB191" s="51"/>
      <c r="BC191" s="53"/>
      <c r="BD191" s="51"/>
      <c r="BE191" s="53"/>
      <c r="BF191" s="51"/>
      <c r="BG191" s="53"/>
      <c r="BH191" s="51"/>
      <c r="BI191" s="53"/>
      <c r="BJ191" s="51"/>
      <c r="BK191" s="53"/>
      <c r="BL191" s="51"/>
      <c r="BM191" s="53"/>
      <c r="BN191" s="51"/>
      <c r="BO191" s="53"/>
      <c r="BP191" s="51"/>
      <c r="BQ191" s="53"/>
      <c r="BR191" s="55"/>
    </row>
    <row r="192" spans="1:70" ht="28.5" customHeight="1">
      <c r="A192" s="67" t="str">
        <f>IF(games!A192="", "", games!A192)</f>
        <v>荒野亂鬥</v>
      </c>
      <c r="B192" s="51"/>
      <c r="C192" s="51" t="str">
        <f t="shared" si="7"/>
        <v>giftcodesbanner/荒野亂鬥-禮包碼.jpg</v>
      </c>
      <c r="D192" s="51" t="str">
        <f t="shared" si="5"/>
        <v>https://www.ssbuy.tw/detail_giftcode/dist/giftcodes/荒野亂鬥.html</v>
      </c>
      <c r="E192" s="91"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2" t="s">
        <v>3486</v>
      </c>
      <c r="G192" s="51" t="s">
        <v>2638</v>
      </c>
      <c r="H192" s="53" t="s">
        <v>2638</v>
      </c>
      <c r="I192" s="51" t="s">
        <v>2638</v>
      </c>
      <c r="J192" s="91"/>
      <c r="K192" s="92" t="s">
        <v>3486</v>
      </c>
      <c r="L192" s="51" t="s">
        <v>2638</v>
      </c>
      <c r="M192" s="53" t="s">
        <v>2638</v>
      </c>
      <c r="N192" s="54" t="s">
        <v>2638</v>
      </c>
      <c r="O192" s="53"/>
      <c r="P192" s="54"/>
      <c r="Q192" s="53"/>
      <c r="R192" s="54"/>
      <c r="S192" s="53"/>
      <c r="T192" s="54"/>
      <c r="U192" s="53"/>
      <c r="V192" s="54"/>
      <c r="W192" s="53"/>
      <c r="X192" s="54"/>
      <c r="Y192" s="53"/>
      <c r="Z192" s="54"/>
      <c r="AA192" s="53"/>
      <c r="AB192" s="54"/>
      <c r="AC192" s="53"/>
      <c r="AD192" s="54"/>
      <c r="AE192" s="53"/>
      <c r="AF192" s="54"/>
      <c r="AG192" s="53"/>
      <c r="AH192" s="54"/>
      <c r="AI192" s="53"/>
      <c r="AJ192" s="54"/>
      <c r="AK192" s="53"/>
      <c r="AL192" s="54"/>
      <c r="AM192" s="53"/>
      <c r="AN192" s="54"/>
      <c r="AO192" s="53"/>
      <c r="AP192" s="54"/>
      <c r="AQ192" s="53"/>
      <c r="AR192" s="54"/>
      <c r="AS192" s="53"/>
      <c r="AT192" s="54"/>
      <c r="AU192" s="53"/>
      <c r="AV192" s="54"/>
      <c r="AW192" s="53"/>
      <c r="AX192" s="54"/>
      <c r="AY192" s="53"/>
      <c r="AZ192" s="54"/>
      <c r="BA192" s="53"/>
      <c r="BB192" s="51"/>
      <c r="BC192" s="53"/>
      <c r="BD192" s="51"/>
      <c r="BE192" s="53"/>
      <c r="BF192" s="51"/>
      <c r="BG192" s="53"/>
      <c r="BH192" s="51"/>
      <c r="BI192" s="53"/>
      <c r="BJ192" s="51"/>
      <c r="BK192" s="53"/>
      <c r="BL192" s="51"/>
      <c r="BM192" s="53"/>
      <c r="BN192" s="51"/>
      <c r="BO192" s="53"/>
      <c r="BP192" s="51"/>
      <c r="BQ192" s="53"/>
      <c r="BR192" s="55"/>
    </row>
    <row r="193" spans="1:70" ht="28.5" customHeight="1">
      <c r="A193" s="67" t="str">
        <f>IF(games!A193="", "", games!A193)</f>
        <v>遺忘之劍</v>
      </c>
      <c r="B193" s="51"/>
      <c r="C193" s="51" t="str">
        <f t="shared" si="7"/>
        <v>giftcodesbanner/遺忘之劍-禮包碼.jpg</v>
      </c>
      <c r="D193" s="51" t="str">
        <f t="shared" si="5"/>
        <v>https://www.ssbuy.tw/detail_giftcode/dist/giftcodes/遺忘之劍.html</v>
      </c>
      <c r="E193" s="91"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07" t="s">
        <v>3538</v>
      </c>
      <c r="G193" s="51" t="s">
        <v>3539</v>
      </c>
      <c r="H193" s="51" t="s">
        <v>3540</v>
      </c>
      <c r="I193" s="51" t="s">
        <v>2623</v>
      </c>
      <c r="J193" s="91"/>
      <c r="K193" s="92" t="s">
        <v>3541</v>
      </c>
      <c r="L193" s="51" t="s">
        <v>3549</v>
      </c>
      <c r="M193" s="53" t="s">
        <v>3542</v>
      </c>
      <c r="N193" s="54" t="s">
        <v>3550</v>
      </c>
      <c r="O193" s="53" t="s">
        <v>3543</v>
      </c>
      <c r="P193" s="60" t="s">
        <v>3546</v>
      </c>
      <c r="Q193" s="53" t="s">
        <v>3544</v>
      </c>
      <c r="R193" s="60" t="s">
        <v>3547</v>
      </c>
      <c r="S193" s="53" t="s">
        <v>3545</v>
      </c>
      <c r="T193" s="60" t="s">
        <v>3548</v>
      </c>
      <c r="U193" s="53"/>
      <c r="V193" s="54"/>
      <c r="W193" s="53"/>
      <c r="X193" s="54"/>
      <c r="Y193" s="53"/>
      <c r="Z193" s="54"/>
      <c r="AA193" s="53"/>
      <c r="AB193" s="54"/>
      <c r="AC193" s="53"/>
      <c r="AD193" s="54"/>
      <c r="AE193" s="53"/>
      <c r="AF193" s="54"/>
      <c r="AG193" s="53"/>
      <c r="AH193" s="54"/>
      <c r="AI193" s="53"/>
      <c r="AJ193" s="54"/>
      <c r="AK193" s="53"/>
      <c r="AL193" s="54"/>
      <c r="AM193" s="53"/>
      <c r="AN193" s="54"/>
      <c r="AO193" s="53"/>
      <c r="AP193" s="54"/>
      <c r="AQ193" s="53"/>
      <c r="AR193" s="54"/>
      <c r="AS193" s="53"/>
      <c r="AT193" s="54"/>
      <c r="AU193" s="53"/>
      <c r="AV193" s="54"/>
      <c r="AW193" s="53"/>
      <c r="AX193" s="54"/>
      <c r="AY193" s="53"/>
      <c r="AZ193" s="54"/>
      <c r="BA193" s="53"/>
      <c r="BB193" s="51"/>
      <c r="BC193" s="53"/>
      <c r="BD193" s="51"/>
      <c r="BE193" s="53"/>
      <c r="BF193" s="51"/>
      <c r="BG193" s="53"/>
      <c r="BH193" s="51"/>
      <c r="BI193" s="53"/>
      <c r="BJ193" s="51"/>
      <c r="BK193" s="53"/>
      <c r="BL193" s="51"/>
      <c r="BM193" s="53"/>
      <c r="BN193" s="51"/>
      <c r="BO193" s="53"/>
      <c r="BP193" s="51"/>
      <c r="BQ193" s="53"/>
      <c r="BR193" s="55"/>
    </row>
    <row r="194" spans="1:70" ht="28.5" customHeight="1">
      <c r="A194" s="67" t="str">
        <f>IF(games!A194="", "", games!A194)</f>
        <v>破壞突擊隊</v>
      </c>
      <c r="B194" s="51"/>
      <c r="C194" s="51" t="str">
        <f t="shared" si="7"/>
        <v>giftcodesbanner/破壞突擊隊-禮包碼.jpg</v>
      </c>
      <c r="D194" s="51" t="str">
        <f t="shared" si="5"/>
        <v>https://www.ssbuy.tw/detail_giftcode/dist/giftcodes/破壞突擊隊.html</v>
      </c>
      <c r="E194" s="91"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2" t="s">
        <v>3486</v>
      </c>
      <c r="G194" s="51" t="s">
        <v>2638</v>
      </c>
      <c r="H194" s="53" t="s">
        <v>2638</v>
      </c>
      <c r="I194" s="51" t="s">
        <v>2638</v>
      </c>
      <c r="J194" s="91"/>
      <c r="K194" s="92" t="s">
        <v>3486</v>
      </c>
      <c r="L194" s="51" t="s">
        <v>2638</v>
      </c>
      <c r="M194" s="53" t="s">
        <v>2638</v>
      </c>
      <c r="N194" s="54" t="s">
        <v>2638</v>
      </c>
      <c r="O194" s="53"/>
      <c r="P194" s="54"/>
      <c r="Q194" s="53"/>
      <c r="R194" s="54"/>
      <c r="S194" s="53"/>
      <c r="T194" s="54"/>
      <c r="U194" s="53"/>
      <c r="V194" s="54"/>
      <c r="W194" s="53"/>
      <c r="X194" s="54"/>
      <c r="Y194" s="53"/>
      <c r="Z194" s="54"/>
      <c r="AA194" s="53"/>
      <c r="AB194" s="54"/>
      <c r="AC194" s="53"/>
      <c r="AD194" s="54"/>
      <c r="AE194" s="53"/>
      <c r="AF194" s="54"/>
      <c r="AG194" s="53"/>
      <c r="AH194" s="54"/>
      <c r="AI194" s="53"/>
      <c r="AJ194" s="54"/>
      <c r="AK194" s="53"/>
      <c r="AL194" s="54"/>
      <c r="AM194" s="53"/>
      <c r="AN194" s="54"/>
      <c r="AO194" s="53"/>
      <c r="AP194" s="54"/>
      <c r="AQ194" s="53"/>
      <c r="AR194" s="54"/>
      <c r="AS194" s="53"/>
      <c r="AT194" s="54"/>
      <c r="AU194" s="53"/>
      <c r="AV194" s="54"/>
      <c r="AW194" s="53"/>
      <c r="AX194" s="54"/>
      <c r="AY194" s="53"/>
      <c r="AZ194" s="54"/>
      <c r="BA194" s="53"/>
      <c r="BB194" s="51"/>
      <c r="BC194" s="53"/>
      <c r="BD194" s="51"/>
      <c r="BE194" s="53"/>
      <c r="BF194" s="51"/>
      <c r="BG194" s="53"/>
      <c r="BH194" s="51"/>
      <c r="BI194" s="53"/>
      <c r="BJ194" s="51"/>
      <c r="BK194" s="53"/>
      <c r="BL194" s="51"/>
      <c r="BM194" s="53"/>
      <c r="BN194" s="51"/>
      <c r="BO194" s="53"/>
      <c r="BP194" s="51"/>
      <c r="BQ194" s="53"/>
      <c r="BR194" s="55"/>
    </row>
    <row r="195" spans="1:70" ht="28.5" customHeight="1">
      <c r="A195" s="67" t="str">
        <f>IF(games!A195="", "", games!A195)</f>
        <v>月兔茶屋：悠閒之旅</v>
      </c>
      <c r="B195" s="51"/>
      <c r="C195" s="51" t="str">
        <f t="shared" si="7"/>
        <v>giftcodesbanner/月兔茶屋：悠閒之旅-禮包碼.jpg</v>
      </c>
      <c r="D195" s="51" t="str">
        <f t="shared" ref="D195:D258" si="8">IF(A195="","", "https://www.ssbuy.tw/detail_giftcode/dist/giftcodes/" &amp; IF(ISNUMBER(LEFT(A195,1)*1), "game-", "") &amp; A195 &amp; ".html")</f>
        <v>https://www.ssbuy.tw/detail_giftcode/dist/giftcodes/月兔茶屋：悠閒之旅.html</v>
      </c>
      <c r="E195" s="91"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2" t="s">
        <v>3486</v>
      </c>
      <c r="G195" s="51" t="s">
        <v>2638</v>
      </c>
      <c r="H195" s="53" t="s">
        <v>2638</v>
      </c>
      <c r="I195" s="51" t="s">
        <v>2638</v>
      </c>
      <c r="J195" s="91"/>
      <c r="K195" s="92" t="s">
        <v>3486</v>
      </c>
      <c r="L195" s="51" t="s">
        <v>2638</v>
      </c>
      <c r="M195" s="53" t="s">
        <v>2638</v>
      </c>
      <c r="N195" s="54" t="s">
        <v>2638</v>
      </c>
      <c r="O195" s="53"/>
      <c r="P195" s="54"/>
      <c r="Q195" s="53"/>
      <c r="R195" s="54"/>
      <c r="S195" s="53"/>
      <c r="T195" s="54"/>
      <c r="U195" s="53"/>
      <c r="V195" s="54"/>
      <c r="W195" s="53"/>
      <c r="X195" s="54"/>
      <c r="Y195" s="53"/>
      <c r="Z195" s="54"/>
      <c r="AA195" s="53"/>
      <c r="AB195" s="54"/>
      <c r="AC195" s="53"/>
      <c r="AD195" s="54"/>
      <c r="AE195" s="53"/>
      <c r="AF195" s="54"/>
      <c r="AG195" s="53"/>
      <c r="AH195" s="54"/>
      <c r="AI195" s="53"/>
      <c r="AJ195" s="54"/>
      <c r="AK195" s="53"/>
      <c r="AL195" s="54"/>
      <c r="AM195" s="53"/>
      <c r="AN195" s="54"/>
      <c r="AO195" s="53"/>
      <c r="AP195" s="54"/>
      <c r="AQ195" s="53"/>
      <c r="AR195" s="54"/>
      <c r="AS195" s="53"/>
      <c r="AT195" s="54"/>
      <c r="AU195" s="53"/>
      <c r="AV195" s="54"/>
      <c r="AW195" s="53"/>
      <c r="AX195" s="54"/>
      <c r="AY195" s="53"/>
      <c r="AZ195" s="54"/>
      <c r="BA195" s="53"/>
      <c r="BB195" s="51"/>
      <c r="BC195" s="53"/>
      <c r="BD195" s="51"/>
      <c r="BE195" s="53"/>
      <c r="BF195" s="51"/>
      <c r="BG195" s="53"/>
      <c r="BH195" s="51"/>
      <c r="BI195" s="53"/>
      <c r="BJ195" s="51"/>
      <c r="BK195" s="53"/>
      <c r="BL195" s="51"/>
      <c r="BM195" s="53"/>
      <c r="BN195" s="51"/>
      <c r="BO195" s="53"/>
      <c r="BP195" s="51"/>
      <c r="BQ195" s="53"/>
      <c r="BR195" s="55"/>
    </row>
    <row r="196" spans="1:70" ht="28.5" customHeight="1">
      <c r="A196" s="67" t="str">
        <f>IF(games!A196="", "", games!A196)</f>
        <v>吞食天地 虛擬世界</v>
      </c>
      <c r="B196" s="51"/>
      <c r="C196" s="51" t="str">
        <f t="shared" si="7"/>
        <v>giftcodesbanner/吞食天地 虛擬世界-禮包碼.jpg</v>
      </c>
      <c r="D196" s="51" t="str">
        <f t="shared" si="8"/>
        <v>https://www.ssbuy.tw/detail_giftcode/dist/giftcodes/吞食天地 虛擬世界.html</v>
      </c>
      <c r="E196" s="91"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07" t="s">
        <v>3584</v>
      </c>
      <c r="G196" s="51" t="s">
        <v>3585</v>
      </c>
      <c r="H196" s="51" t="s">
        <v>2623</v>
      </c>
      <c r="I196" s="51" t="s">
        <v>3586</v>
      </c>
      <c r="J196" s="91"/>
      <c r="K196" s="92" t="s">
        <v>3582</v>
      </c>
      <c r="L196" s="51" t="s">
        <v>3583</v>
      </c>
      <c r="M196" s="53"/>
      <c r="N196" s="54"/>
      <c r="O196" s="53"/>
      <c r="P196" s="54"/>
      <c r="Q196" s="53"/>
      <c r="R196" s="54"/>
      <c r="S196" s="53"/>
      <c r="T196" s="54"/>
      <c r="U196" s="53"/>
      <c r="V196" s="54"/>
      <c r="W196" s="53"/>
      <c r="X196" s="54"/>
      <c r="Y196" s="53"/>
      <c r="Z196" s="54"/>
      <c r="AA196" s="53"/>
      <c r="AB196" s="54"/>
      <c r="AC196" s="53"/>
      <c r="AD196" s="54"/>
      <c r="AE196" s="53"/>
      <c r="AF196" s="54"/>
      <c r="AG196" s="53"/>
      <c r="AH196" s="54"/>
      <c r="AI196" s="53"/>
      <c r="AJ196" s="54"/>
      <c r="AK196" s="53"/>
      <c r="AL196" s="54"/>
      <c r="AM196" s="53"/>
      <c r="AN196" s="54"/>
      <c r="AO196" s="53"/>
      <c r="AP196" s="54"/>
      <c r="AQ196" s="53"/>
      <c r="AR196" s="54"/>
      <c r="AS196" s="53"/>
      <c r="AT196" s="54"/>
      <c r="AU196" s="53"/>
      <c r="AV196" s="54"/>
      <c r="AW196" s="53"/>
      <c r="AX196" s="54"/>
      <c r="AY196" s="53"/>
      <c r="AZ196" s="54"/>
      <c r="BA196" s="53"/>
      <c r="BB196" s="51"/>
      <c r="BC196" s="53"/>
      <c r="BD196" s="51"/>
      <c r="BE196" s="53"/>
      <c r="BF196" s="51"/>
      <c r="BG196" s="53"/>
      <c r="BH196" s="51"/>
      <c r="BI196" s="53"/>
      <c r="BJ196" s="51"/>
      <c r="BK196" s="53"/>
      <c r="BL196" s="51"/>
      <c r="BM196" s="53"/>
      <c r="BN196" s="51"/>
      <c r="BO196" s="53"/>
      <c r="BP196" s="51"/>
      <c r="BQ196" s="53"/>
      <c r="BR196" s="55"/>
    </row>
    <row r="197" spans="1:70" ht="28.5" customHeight="1">
      <c r="A197" s="67" t="str">
        <f>IF(games!A197="", "", games!A197)</f>
        <v>封神：蒼嵐契約</v>
      </c>
      <c r="B197" s="51"/>
      <c r="C197" s="51" t="str">
        <f t="shared" si="7"/>
        <v>giftcodesbanner/封神：蒼嵐契約-禮包碼.jpg</v>
      </c>
      <c r="D197" s="51" t="str">
        <f t="shared" si="8"/>
        <v>https://www.ssbuy.tw/detail_giftcode/dist/giftcodes/封神：蒼嵐契約.html</v>
      </c>
      <c r="E197" s="91"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07" t="s">
        <v>3612</v>
      </c>
      <c r="G197" s="51" t="s">
        <v>3613</v>
      </c>
      <c r="H197" s="51" t="s">
        <v>2623</v>
      </c>
      <c r="I197" s="51" t="s">
        <v>3614</v>
      </c>
      <c r="J197" s="91"/>
      <c r="K197" s="92" t="s">
        <v>1933</v>
      </c>
      <c r="L197" s="51" t="s">
        <v>3611</v>
      </c>
      <c r="M197" s="53" t="s">
        <v>3600</v>
      </c>
      <c r="N197" s="54" t="s">
        <v>3601</v>
      </c>
      <c r="O197" s="53" t="s">
        <v>3602</v>
      </c>
      <c r="P197" s="54" t="s">
        <v>3603</v>
      </c>
      <c r="Q197" s="53" t="s">
        <v>1932</v>
      </c>
      <c r="R197" s="54" t="s">
        <v>3604</v>
      </c>
      <c r="S197" s="53" t="s">
        <v>2401</v>
      </c>
      <c r="T197" s="54" t="s">
        <v>3610</v>
      </c>
      <c r="U197" s="53" t="s">
        <v>3607</v>
      </c>
      <c r="V197" s="54" t="s">
        <v>3604</v>
      </c>
      <c r="W197" s="53" t="s">
        <v>3608</v>
      </c>
      <c r="X197" s="54" t="s">
        <v>3609</v>
      </c>
      <c r="Y197" s="53" t="s">
        <v>3605</v>
      </c>
      <c r="Z197" s="54" t="s">
        <v>3606</v>
      </c>
      <c r="AA197" s="53"/>
      <c r="AB197" s="54"/>
      <c r="AC197" s="53"/>
      <c r="AD197" s="54"/>
      <c r="AE197" s="53"/>
      <c r="AF197" s="54"/>
      <c r="AG197" s="53"/>
      <c r="AH197" s="54"/>
      <c r="AI197" s="53"/>
      <c r="AJ197" s="54"/>
      <c r="AK197" s="53"/>
      <c r="AL197" s="54"/>
      <c r="AM197" s="53"/>
      <c r="AN197" s="54"/>
      <c r="AO197" s="53"/>
      <c r="AP197" s="54"/>
      <c r="AQ197" s="53"/>
      <c r="AR197" s="54"/>
      <c r="AS197" s="53"/>
      <c r="AT197" s="54"/>
      <c r="AU197" s="53"/>
      <c r="AV197" s="54"/>
      <c r="AW197" s="53"/>
      <c r="AX197" s="54"/>
      <c r="AY197" s="53"/>
      <c r="AZ197" s="54"/>
      <c r="BA197" s="53"/>
      <c r="BB197" s="51"/>
      <c r="BC197" s="53"/>
      <c r="BD197" s="51"/>
      <c r="BE197" s="53"/>
      <c r="BF197" s="51"/>
      <c r="BG197" s="53"/>
      <c r="BH197" s="51"/>
      <c r="BI197" s="53"/>
      <c r="BJ197" s="51"/>
      <c r="BK197" s="53"/>
      <c r="BL197" s="51"/>
      <c r="BM197" s="53"/>
      <c r="BN197" s="51"/>
      <c r="BO197" s="53"/>
      <c r="BP197" s="51"/>
      <c r="BQ197" s="53"/>
      <c r="BR197" s="55"/>
    </row>
    <row r="198" spans="1:70" ht="28.5" customHeight="1">
      <c r="A198" s="67" t="str">
        <f>IF(games!A198="", "", games!A198)</f>
        <v>Gear Fight!</v>
      </c>
      <c r="B198" s="51"/>
      <c r="C198" s="51" t="str">
        <f t="shared" si="7"/>
        <v>giftcodesbanner/Gear Fight!-禮包碼.jpg</v>
      </c>
      <c r="D198" s="51" t="str">
        <f t="shared" si="8"/>
        <v>https://www.ssbuy.tw/detail_giftcode/dist/giftcodes/Gear Fight!.html</v>
      </c>
      <c r="E198" s="91"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2" t="s">
        <v>2638</v>
      </c>
      <c r="G198" s="51" t="s">
        <v>2638</v>
      </c>
      <c r="H198" s="53" t="s">
        <v>2638</v>
      </c>
      <c r="I198" s="51" t="s">
        <v>2638</v>
      </c>
      <c r="J198" s="91"/>
      <c r="K198" s="92" t="s">
        <v>2638</v>
      </c>
      <c r="L198" s="51" t="s">
        <v>2638</v>
      </c>
      <c r="M198" s="53" t="s">
        <v>2638</v>
      </c>
      <c r="N198" s="54" t="s">
        <v>2638</v>
      </c>
      <c r="O198" s="53"/>
      <c r="P198" s="54"/>
      <c r="Q198" s="53"/>
      <c r="R198" s="54"/>
      <c r="S198" s="53"/>
      <c r="T198" s="54"/>
      <c r="U198" s="53"/>
      <c r="V198" s="54"/>
      <c r="W198" s="53"/>
      <c r="X198" s="54"/>
      <c r="Y198" s="53"/>
      <c r="Z198" s="54"/>
      <c r="AA198" s="53"/>
      <c r="AB198" s="54"/>
      <c r="AC198" s="53"/>
      <c r="AD198" s="54"/>
      <c r="AE198" s="53"/>
      <c r="AF198" s="54"/>
      <c r="AG198" s="53"/>
      <c r="AH198" s="54"/>
      <c r="AI198" s="53"/>
      <c r="AJ198" s="54"/>
      <c r="AK198" s="53"/>
      <c r="AL198" s="54"/>
      <c r="AM198" s="53"/>
      <c r="AN198" s="54"/>
      <c r="AO198" s="53"/>
      <c r="AP198" s="54"/>
      <c r="AQ198" s="53"/>
      <c r="AR198" s="54"/>
      <c r="AS198" s="53"/>
      <c r="AT198" s="54"/>
      <c r="AU198" s="53"/>
      <c r="AV198" s="54"/>
      <c r="AW198" s="53"/>
      <c r="AX198" s="54"/>
      <c r="AY198" s="53"/>
      <c r="AZ198" s="54"/>
      <c r="BA198" s="53"/>
      <c r="BB198" s="51"/>
      <c r="BC198" s="53"/>
      <c r="BD198" s="51"/>
      <c r="BE198" s="53"/>
      <c r="BF198" s="51"/>
      <c r="BG198" s="53"/>
      <c r="BH198" s="51"/>
      <c r="BI198" s="53"/>
      <c r="BJ198" s="51"/>
      <c r="BK198" s="53"/>
      <c r="BL198" s="51"/>
      <c r="BM198" s="53"/>
      <c r="BN198" s="51"/>
      <c r="BO198" s="53"/>
      <c r="BP198" s="51"/>
      <c r="BQ198" s="53"/>
      <c r="BR198" s="55"/>
    </row>
    <row r="199" spans="1:70" ht="28.5" customHeight="1">
      <c r="A199" s="67" t="str">
        <f>IF(games!A199="", "", games!A199)</f>
        <v>救世者之樹 M</v>
      </c>
      <c r="B199" s="51"/>
      <c r="C199" s="51" t="str">
        <f t="shared" si="7"/>
        <v>giftcodesbanner/救世者之樹 M-禮包碼.jpg</v>
      </c>
      <c r="D199" s="51" t="str">
        <f t="shared" si="8"/>
        <v>https://www.ssbuy.tw/detail_giftcode/dist/giftcodes/救世者之樹 M.html</v>
      </c>
      <c r="E199" s="91"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07" t="s">
        <v>3637</v>
      </c>
      <c r="G199" s="51" t="s">
        <v>3638</v>
      </c>
      <c r="H199" s="51" t="s">
        <v>2623</v>
      </c>
      <c r="I199" s="51" t="s">
        <v>3639</v>
      </c>
      <c r="J199" s="91"/>
      <c r="K199" s="92" t="s">
        <v>3635</v>
      </c>
      <c r="L199" s="51" t="s">
        <v>3636</v>
      </c>
      <c r="M199" s="53" t="s">
        <v>3649</v>
      </c>
      <c r="N199" s="54" t="s">
        <v>3636</v>
      </c>
      <c r="O199" s="68" t="s">
        <v>3654</v>
      </c>
      <c r="P199" s="54" t="s">
        <v>3636</v>
      </c>
      <c r="Q199" s="68" t="s">
        <v>3652</v>
      </c>
      <c r="R199" s="54" t="s">
        <v>3636</v>
      </c>
      <c r="S199" s="53" t="s">
        <v>3653</v>
      </c>
      <c r="T199" s="54" t="s">
        <v>3636</v>
      </c>
      <c r="U199" s="53" t="s">
        <v>3655</v>
      </c>
      <c r="V199" s="54" t="s">
        <v>3636</v>
      </c>
      <c r="W199" s="53" t="s">
        <v>3656</v>
      </c>
      <c r="X199" s="54" t="s">
        <v>3636</v>
      </c>
      <c r="Y199" s="53" t="s">
        <v>3657</v>
      </c>
      <c r="Z199" s="54" t="s">
        <v>3636</v>
      </c>
      <c r="AA199" s="53"/>
      <c r="AB199" s="54"/>
      <c r="AC199" s="53"/>
      <c r="AD199" s="54"/>
      <c r="AE199" s="53"/>
      <c r="AF199" s="54"/>
      <c r="AG199" s="53"/>
      <c r="AH199" s="54"/>
      <c r="AI199" s="53"/>
      <c r="AJ199" s="54"/>
      <c r="AK199" s="53"/>
      <c r="AL199" s="54"/>
      <c r="AM199" s="53"/>
      <c r="AN199" s="54"/>
      <c r="AO199" s="53"/>
      <c r="AP199" s="54"/>
      <c r="AQ199" s="53"/>
      <c r="AR199" s="54"/>
      <c r="AS199" s="53"/>
      <c r="AT199" s="54"/>
      <c r="AU199" s="53"/>
      <c r="AV199" s="54"/>
      <c r="AW199" s="53"/>
      <c r="AX199" s="54"/>
      <c r="AY199" s="53"/>
      <c r="AZ199" s="54"/>
      <c r="BA199" s="53"/>
      <c r="BB199" s="51"/>
      <c r="BC199" s="53"/>
      <c r="BD199" s="51"/>
      <c r="BE199" s="53"/>
      <c r="BF199" s="51"/>
      <c r="BG199" s="53"/>
      <c r="BH199" s="51"/>
      <c r="BI199" s="53"/>
      <c r="BJ199" s="51"/>
      <c r="BK199" s="53"/>
      <c r="BL199" s="51"/>
      <c r="BM199" s="53"/>
      <c r="BN199" s="51"/>
      <c r="BO199" s="53"/>
      <c r="BP199" s="51"/>
      <c r="BQ199" s="53"/>
      <c r="BR199" s="55"/>
    </row>
    <row r="200" spans="1:70" ht="28.5" customHeight="1">
      <c r="A200" s="67" t="str">
        <f>IF(games!A200="", "", games!A200)</f>
        <v>勝利女神：妮姬</v>
      </c>
      <c r="B200" s="51"/>
      <c r="C200" s="51" t="str">
        <f t="shared" si="7"/>
        <v>giftcodesbanner/勝利女神：妮姬-禮包碼.jpg</v>
      </c>
      <c r="D200" s="51" t="str">
        <f t="shared" si="8"/>
        <v>https://www.ssbuy.tw/detail_giftcode/dist/giftcodes/勝利女神：妮姬.html</v>
      </c>
      <c r="E200" s="91"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07" t="s">
        <v>3733</v>
      </c>
      <c r="G200" s="51" t="s">
        <v>3734</v>
      </c>
      <c r="H200" s="51" t="s">
        <v>3735</v>
      </c>
      <c r="I200" s="51" t="s">
        <v>2623</v>
      </c>
      <c r="J200" s="91" t="s">
        <v>3736</v>
      </c>
      <c r="K200" s="92" t="s">
        <v>3729</v>
      </c>
      <c r="L200" s="51" t="s">
        <v>3731</v>
      </c>
      <c r="M200" s="53" t="s">
        <v>3730</v>
      </c>
      <c r="N200" s="54" t="s">
        <v>3732</v>
      </c>
      <c r="O200" s="53"/>
      <c r="P200" s="54"/>
      <c r="Q200" s="53"/>
      <c r="R200" s="54"/>
      <c r="S200" s="53"/>
      <c r="T200" s="54"/>
      <c r="U200" s="53"/>
      <c r="V200" s="54"/>
      <c r="W200" s="53"/>
      <c r="X200" s="54"/>
      <c r="Y200" s="53"/>
      <c r="Z200" s="54"/>
      <c r="AA200" s="53"/>
      <c r="AB200" s="54"/>
      <c r="AC200" s="53"/>
      <c r="AD200" s="54"/>
      <c r="AE200" s="53"/>
      <c r="AF200" s="54"/>
      <c r="AG200" s="53"/>
      <c r="AH200" s="54"/>
      <c r="AI200" s="53"/>
      <c r="AJ200" s="54"/>
      <c r="AK200" s="53"/>
      <c r="AL200" s="54"/>
      <c r="AM200" s="53"/>
      <c r="AN200" s="54"/>
      <c r="AO200" s="53"/>
      <c r="AP200" s="54"/>
      <c r="AQ200" s="53"/>
      <c r="AR200" s="54"/>
      <c r="AS200" s="53"/>
      <c r="AT200" s="54"/>
      <c r="AU200" s="53"/>
      <c r="AV200" s="54"/>
      <c r="AW200" s="53"/>
      <c r="AX200" s="54"/>
      <c r="AY200" s="53"/>
      <c r="AZ200" s="54"/>
      <c r="BA200" s="53"/>
      <c r="BB200" s="51"/>
      <c r="BC200" s="53"/>
      <c r="BD200" s="51"/>
      <c r="BE200" s="53"/>
      <c r="BF200" s="51"/>
      <c r="BG200" s="53"/>
      <c r="BH200" s="51"/>
      <c r="BI200" s="53"/>
      <c r="BJ200" s="51"/>
      <c r="BK200" s="53"/>
      <c r="BL200" s="51"/>
      <c r="BM200" s="53"/>
      <c r="BN200" s="51"/>
      <c r="BO200" s="53"/>
      <c r="BP200" s="51"/>
      <c r="BQ200" s="53"/>
      <c r="BR200" s="55"/>
    </row>
    <row r="201" spans="1:70" ht="28.5" customHeight="1">
      <c r="A201" s="67" t="str">
        <f>IF(games!A201="", "", games!A201)</f>
        <v>野龍小隊</v>
      </c>
      <c r="B201" s="51"/>
      <c r="C201" s="51" t="str">
        <f t="shared" si="7"/>
        <v>giftcodesbanner/野龍小隊-禮包碼.jpg</v>
      </c>
      <c r="D201" s="51" t="str">
        <f t="shared" si="8"/>
        <v>https://www.ssbuy.tw/detail_giftcode/dist/giftcodes/野龍小隊.html</v>
      </c>
      <c r="E201" s="91"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2" t="s">
        <v>2638</v>
      </c>
      <c r="G201" s="51" t="s">
        <v>2638</v>
      </c>
      <c r="H201" s="53" t="s">
        <v>2638</v>
      </c>
      <c r="I201" s="51" t="s">
        <v>2638</v>
      </c>
      <c r="J201" s="91"/>
      <c r="K201" s="92" t="s">
        <v>2638</v>
      </c>
      <c r="L201" s="51" t="s">
        <v>2638</v>
      </c>
      <c r="M201" s="53" t="s">
        <v>2638</v>
      </c>
      <c r="N201" s="54" t="s">
        <v>2638</v>
      </c>
      <c r="O201" s="53"/>
      <c r="P201" s="54"/>
      <c r="Q201" s="53"/>
      <c r="R201" s="54"/>
      <c r="S201" s="53"/>
      <c r="T201" s="54"/>
      <c r="U201" s="53"/>
      <c r="V201" s="54"/>
      <c r="W201" s="53"/>
      <c r="X201" s="54"/>
      <c r="Y201" s="53"/>
      <c r="Z201" s="54"/>
      <c r="AA201" s="53"/>
      <c r="AB201" s="54"/>
      <c r="AC201" s="53"/>
      <c r="AD201" s="54"/>
      <c r="AE201" s="53"/>
      <c r="AF201" s="54"/>
      <c r="AG201" s="53"/>
      <c r="AH201" s="54"/>
      <c r="AI201" s="53"/>
      <c r="AJ201" s="54"/>
      <c r="AK201" s="53"/>
      <c r="AL201" s="54"/>
      <c r="AM201" s="53"/>
      <c r="AN201" s="54"/>
      <c r="AO201" s="53"/>
      <c r="AP201" s="54"/>
      <c r="AQ201" s="53"/>
      <c r="AR201" s="54"/>
      <c r="AS201" s="53"/>
      <c r="AT201" s="54"/>
      <c r="AU201" s="53"/>
      <c r="AV201" s="54"/>
      <c r="AW201" s="53"/>
      <c r="AX201" s="54"/>
      <c r="AY201" s="53"/>
      <c r="AZ201" s="54"/>
      <c r="BA201" s="53"/>
      <c r="BB201" s="51"/>
      <c r="BC201" s="53"/>
      <c r="BD201" s="51"/>
      <c r="BE201" s="53"/>
      <c r="BF201" s="51"/>
      <c r="BG201" s="53"/>
      <c r="BH201" s="51"/>
      <c r="BI201" s="53"/>
      <c r="BJ201" s="51"/>
      <c r="BK201" s="53"/>
      <c r="BL201" s="51"/>
      <c r="BM201" s="53"/>
      <c r="BN201" s="51"/>
      <c r="BO201" s="53"/>
      <c r="BP201" s="51"/>
      <c r="BQ201" s="53"/>
      <c r="BR201" s="55"/>
    </row>
    <row r="202" spans="1:70" ht="28.5" customHeight="1">
      <c r="A202" s="67" t="str">
        <f>IF(games!A202="", "", games!A202)</f>
        <v>BangBang殭屍：避難所戰爭</v>
      </c>
      <c r="B202" s="51"/>
      <c r="C202" s="51" t="str">
        <f t="shared" si="7"/>
        <v>giftcodesbanner/BangBang殭屍：避難所戰爭-禮包碼.jpg</v>
      </c>
      <c r="D202" s="51" t="str">
        <f t="shared" si="8"/>
        <v>https://www.ssbuy.tw/detail_giftcode/dist/giftcodes/BangBang殭屍：避難所戰爭.html</v>
      </c>
      <c r="E202" s="91"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2" t="s">
        <v>2638</v>
      </c>
      <c r="G202" s="51" t="s">
        <v>2638</v>
      </c>
      <c r="H202" s="53" t="s">
        <v>2638</v>
      </c>
      <c r="I202" s="51" t="s">
        <v>2638</v>
      </c>
      <c r="J202" s="91"/>
      <c r="K202" s="92" t="s">
        <v>2638</v>
      </c>
      <c r="L202" s="51" t="s">
        <v>2638</v>
      </c>
      <c r="M202" s="53" t="s">
        <v>2638</v>
      </c>
      <c r="N202" s="54" t="s">
        <v>2638</v>
      </c>
      <c r="O202" s="53"/>
      <c r="P202" s="54"/>
      <c r="Q202" s="53"/>
      <c r="R202" s="54"/>
      <c r="S202" s="53"/>
      <c r="T202" s="54"/>
      <c r="U202" s="53"/>
      <c r="V202" s="54"/>
      <c r="W202" s="53"/>
      <c r="X202" s="54"/>
      <c r="Y202" s="53"/>
      <c r="Z202" s="54"/>
      <c r="AA202" s="53"/>
      <c r="AB202" s="54"/>
      <c r="AC202" s="53"/>
      <c r="AD202" s="54"/>
      <c r="AE202" s="53"/>
      <c r="AF202" s="54"/>
      <c r="AG202" s="53"/>
      <c r="AH202" s="54"/>
      <c r="AI202" s="53"/>
      <c r="AJ202" s="54"/>
      <c r="AK202" s="53"/>
      <c r="AL202" s="54"/>
      <c r="AM202" s="53"/>
      <c r="AN202" s="54"/>
      <c r="AO202" s="53"/>
      <c r="AP202" s="54"/>
      <c r="AQ202" s="53"/>
      <c r="AR202" s="54"/>
      <c r="AS202" s="53"/>
      <c r="AT202" s="54"/>
      <c r="AU202" s="53"/>
      <c r="AV202" s="54"/>
      <c r="AW202" s="53"/>
      <c r="AX202" s="54"/>
      <c r="AY202" s="53"/>
      <c r="AZ202" s="54"/>
      <c r="BA202" s="53"/>
      <c r="BB202" s="51"/>
      <c r="BC202" s="53"/>
      <c r="BD202" s="51"/>
      <c r="BE202" s="53"/>
      <c r="BF202" s="51"/>
      <c r="BG202" s="53"/>
      <c r="BH202" s="51"/>
      <c r="BI202" s="53"/>
      <c r="BJ202" s="51"/>
      <c r="BK202" s="53"/>
      <c r="BL202" s="51"/>
      <c r="BM202" s="53"/>
      <c r="BN202" s="51"/>
      <c r="BO202" s="53"/>
      <c r="BP202" s="51"/>
      <c r="BQ202" s="53"/>
      <c r="BR202" s="55"/>
    </row>
    <row r="203" spans="1:70" ht="28.5" customHeight="1">
      <c r="A203" s="67" t="str">
        <f>IF(games!A203="", "", games!A203)</f>
        <v>主公超會閃</v>
      </c>
      <c r="B203" s="51"/>
      <c r="C203" s="51" t="str">
        <f t="shared" si="7"/>
        <v>giftcodesbanner/主公超會閃-禮包碼.jpg</v>
      </c>
      <c r="D203" s="51" t="str">
        <f t="shared" si="8"/>
        <v>https://www.ssbuy.tw/detail_giftcode/dist/giftcodes/主公超會閃.html</v>
      </c>
      <c r="E203" s="91"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07" t="s">
        <v>3751</v>
      </c>
      <c r="G203" s="51" t="s">
        <v>3752</v>
      </c>
      <c r="H203" s="51" t="s">
        <v>2623</v>
      </c>
      <c r="I203" s="51" t="s">
        <v>3753</v>
      </c>
      <c r="J203" s="91"/>
      <c r="K203" s="92" t="s">
        <v>3737</v>
      </c>
      <c r="L203" s="51" t="s">
        <v>3738</v>
      </c>
      <c r="M203" s="53" t="s">
        <v>3739</v>
      </c>
      <c r="N203" s="54" t="s">
        <v>3740</v>
      </c>
      <c r="O203" s="53" t="s">
        <v>3741</v>
      </c>
      <c r="P203" s="54" t="s">
        <v>3742</v>
      </c>
      <c r="Q203" s="53" t="s">
        <v>3743</v>
      </c>
      <c r="R203" s="54" t="s">
        <v>3744</v>
      </c>
      <c r="S203" s="53" t="s">
        <v>3745</v>
      </c>
      <c r="T203" s="54" t="s">
        <v>3746</v>
      </c>
      <c r="U203" s="53" t="s">
        <v>3747</v>
      </c>
      <c r="V203" s="54" t="s">
        <v>3744</v>
      </c>
      <c r="W203" s="53" t="s">
        <v>3748</v>
      </c>
      <c r="X203" s="54" t="s">
        <v>3749</v>
      </c>
      <c r="Y203" s="53" t="s">
        <v>3750</v>
      </c>
      <c r="Z203" s="54" t="s">
        <v>3744</v>
      </c>
      <c r="AA203" s="53"/>
      <c r="AB203" s="54"/>
      <c r="AC203" s="53"/>
      <c r="AD203" s="54"/>
      <c r="AE203" s="53"/>
      <c r="AF203" s="54"/>
      <c r="AG203" s="53"/>
      <c r="AH203" s="54"/>
      <c r="AI203" s="53"/>
      <c r="AJ203" s="54"/>
      <c r="AK203" s="53"/>
      <c r="AL203" s="54"/>
      <c r="AM203" s="53"/>
      <c r="AN203" s="54"/>
      <c r="AO203" s="53"/>
      <c r="AP203" s="54"/>
      <c r="AQ203" s="53"/>
      <c r="AR203" s="54"/>
      <c r="AS203" s="53"/>
      <c r="AT203" s="54"/>
      <c r="AU203" s="53"/>
      <c r="AV203" s="54"/>
      <c r="AW203" s="53"/>
      <c r="AX203" s="54"/>
      <c r="AY203" s="53"/>
      <c r="AZ203" s="54"/>
      <c r="BA203" s="53"/>
      <c r="BB203" s="51"/>
      <c r="BC203" s="53"/>
      <c r="BD203" s="51"/>
      <c r="BE203" s="53"/>
      <c r="BF203" s="51"/>
      <c r="BG203" s="53"/>
      <c r="BH203" s="51"/>
      <c r="BI203" s="53"/>
      <c r="BJ203" s="51"/>
      <c r="BK203" s="53"/>
      <c r="BL203" s="51"/>
      <c r="BM203" s="53"/>
      <c r="BN203" s="51"/>
      <c r="BO203" s="53"/>
      <c r="BP203" s="51"/>
      <c r="BQ203" s="53"/>
      <c r="BR203" s="55"/>
    </row>
    <row r="204" spans="1:70" ht="28.5" customHeight="1">
      <c r="A204" s="67" t="str">
        <f>IF(games!A204="", "", games!A204)</f>
        <v>小兵來支援</v>
      </c>
      <c r="B204" s="51"/>
      <c r="C204" s="51" t="str">
        <f t="shared" si="7"/>
        <v>giftcodesbanner/小兵來支援-禮包碼.jpg</v>
      </c>
      <c r="D204" s="51" t="str">
        <f t="shared" si="8"/>
        <v>https://www.ssbuy.tw/detail_giftcode/dist/giftcodes/小兵來支援.html</v>
      </c>
      <c r="E204" s="91"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07"/>
      <c r="G204" s="51"/>
      <c r="H204" s="51"/>
      <c r="I204" s="51"/>
      <c r="J204" s="91"/>
      <c r="K204" s="92" t="s">
        <v>3754</v>
      </c>
      <c r="L204" s="51" t="s">
        <v>3756</v>
      </c>
      <c r="M204" s="53" t="s">
        <v>3755</v>
      </c>
      <c r="N204" s="54" t="s">
        <v>3761</v>
      </c>
      <c r="O204" s="53" t="s">
        <v>3757</v>
      </c>
      <c r="P204" s="54" t="s">
        <v>3759</v>
      </c>
      <c r="Q204" s="53" t="s">
        <v>3758</v>
      </c>
      <c r="R204" s="54" t="s">
        <v>3760</v>
      </c>
      <c r="S204" s="53" t="s">
        <v>3762</v>
      </c>
      <c r="T204" s="54" t="s">
        <v>3764</v>
      </c>
      <c r="U204" s="53" t="s">
        <v>3763</v>
      </c>
      <c r="V204" s="54" t="s">
        <v>3765</v>
      </c>
      <c r="W204" s="53" t="s">
        <v>3766</v>
      </c>
      <c r="X204" s="54" t="s">
        <v>3768</v>
      </c>
      <c r="Y204" s="53" t="s">
        <v>3767</v>
      </c>
      <c r="Z204" s="54" t="s">
        <v>3771</v>
      </c>
      <c r="AA204" s="53" t="s">
        <v>3769</v>
      </c>
      <c r="AB204" s="54" t="s">
        <v>3773</v>
      </c>
      <c r="AC204" s="53" t="s">
        <v>3770</v>
      </c>
      <c r="AD204" s="54" t="s">
        <v>3772</v>
      </c>
      <c r="AE204" s="53" t="s">
        <v>3774</v>
      </c>
      <c r="AF204" s="54" t="s">
        <v>3776</v>
      </c>
      <c r="AG204" s="53" t="s">
        <v>3775</v>
      </c>
      <c r="AH204" s="54" t="s">
        <v>3778</v>
      </c>
      <c r="AI204" s="53" t="s">
        <v>3779</v>
      </c>
      <c r="AJ204" s="54" t="s">
        <v>3782</v>
      </c>
      <c r="AK204" s="53" t="s">
        <v>3777</v>
      </c>
      <c r="AL204" s="54" t="s">
        <v>3781</v>
      </c>
      <c r="AM204" s="53" t="s">
        <v>3783</v>
      </c>
      <c r="AN204" s="54" t="s">
        <v>3784</v>
      </c>
      <c r="AO204" s="53" t="s">
        <v>3780</v>
      </c>
      <c r="AP204" s="54" t="s">
        <v>3785</v>
      </c>
      <c r="AQ204" s="53" t="s">
        <v>3786</v>
      </c>
      <c r="AR204" s="54" t="s">
        <v>3791</v>
      </c>
      <c r="AS204" s="53" t="s">
        <v>3787</v>
      </c>
      <c r="AT204" s="54" t="s">
        <v>3788</v>
      </c>
      <c r="AU204" s="53" t="s">
        <v>3789</v>
      </c>
      <c r="AV204" s="54" t="s">
        <v>3792</v>
      </c>
      <c r="AW204" s="53" t="s">
        <v>3790</v>
      </c>
      <c r="AX204" s="54" t="s">
        <v>3793</v>
      </c>
      <c r="AY204" s="53"/>
      <c r="AZ204" s="54"/>
      <c r="BA204" s="53"/>
      <c r="BB204" s="51"/>
      <c r="BC204" s="53"/>
      <c r="BD204" s="51"/>
      <c r="BE204" s="53"/>
      <c r="BF204" s="51"/>
      <c r="BG204" s="53"/>
      <c r="BH204" s="51"/>
      <c r="BI204" s="53"/>
      <c r="BJ204" s="51"/>
      <c r="BK204" s="53"/>
      <c r="BL204" s="51"/>
      <c r="BM204" s="53"/>
      <c r="BN204" s="51"/>
      <c r="BO204" s="53"/>
      <c r="BP204" s="51"/>
      <c r="BQ204" s="53"/>
      <c r="BR204" s="55"/>
    </row>
    <row r="205" spans="1:70" ht="28.5" customHeight="1">
      <c r="A205" s="67" t="str">
        <f>IF(games!A205="", "", games!A205)</f>
        <v>姆姆鬥惡龍</v>
      </c>
      <c r="B205" s="51"/>
      <c r="C205" s="51" t="str">
        <f t="shared" si="7"/>
        <v>giftcodesbanner/姆姆鬥惡龍-禮包碼.jpg</v>
      </c>
      <c r="D205" s="51" t="str">
        <f t="shared" si="8"/>
        <v>https://www.ssbuy.tw/detail_giftcode/dist/giftcodes/姆姆鬥惡龍.html</v>
      </c>
      <c r="E205" s="91"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2" t="s">
        <v>2638</v>
      </c>
      <c r="G205" s="51" t="s">
        <v>2638</v>
      </c>
      <c r="H205" s="53" t="s">
        <v>2638</v>
      </c>
      <c r="I205" s="51" t="s">
        <v>2638</v>
      </c>
      <c r="J205" s="91"/>
      <c r="K205" s="92" t="s">
        <v>2638</v>
      </c>
      <c r="L205" s="51" t="s">
        <v>2638</v>
      </c>
      <c r="M205" s="53" t="s">
        <v>2638</v>
      </c>
      <c r="N205" s="54" t="s">
        <v>2638</v>
      </c>
      <c r="O205" s="53"/>
      <c r="P205" s="54"/>
      <c r="Q205" s="53"/>
      <c r="R205" s="54"/>
      <c r="S205" s="53"/>
      <c r="T205" s="54"/>
      <c r="U205" s="53"/>
      <c r="V205" s="54"/>
      <c r="W205" s="53"/>
      <c r="X205" s="54"/>
      <c r="Y205" s="53"/>
      <c r="Z205" s="54"/>
      <c r="AA205" s="53"/>
      <c r="AB205" s="54"/>
      <c r="AC205" s="53"/>
      <c r="AD205" s="54"/>
      <c r="AE205" s="53"/>
      <c r="AF205" s="54"/>
      <c r="AG205" s="53"/>
      <c r="AH205" s="54"/>
      <c r="AI205" s="53"/>
      <c r="AJ205" s="54"/>
      <c r="AK205" s="53"/>
      <c r="AL205" s="54"/>
      <c r="AM205" s="53"/>
      <c r="AN205" s="54"/>
      <c r="AO205" s="53"/>
      <c r="AP205" s="54"/>
      <c r="AQ205" s="53"/>
      <c r="AR205" s="54"/>
      <c r="AS205" s="53"/>
      <c r="AT205" s="54"/>
      <c r="AU205" s="53"/>
      <c r="AV205" s="54"/>
      <c r="AW205" s="53"/>
      <c r="AX205" s="54"/>
      <c r="AY205" s="53"/>
      <c r="AZ205" s="54"/>
      <c r="BA205" s="53"/>
      <c r="BB205" s="51"/>
      <c r="BC205" s="53"/>
      <c r="BD205" s="51"/>
      <c r="BE205" s="53"/>
      <c r="BF205" s="51"/>
      <c r="BG205" s="53"/>
      <c r="BH205" s="51"/>
      <c r="BI205" s="53"/>
      <c r="BJ205" s="51"/>
      <c r="BK205" s="53"/>
      <c r="BL205" s="51"/>
      <c r="BM205" s="53"/>
      <c r="BN205" s="51"/>
      <c r="BO205" s="53"/>
      <c r="BP205" s="51"/>
      <c r="BQ205" s="53"/>
      <c r="BR205" s="55"/>
    </row>
    <row r="206" spans="1:70" ht="28.5" customHeight="1">
      <c r="A206" s="67" t="str">
        <f>IF(games!A206="", "", games!A206)</f>
        <v>發條特攻隊</v>
      </c>
      <c r="B206" s="51"/>
      <c r="C206" s="51" t="str">
        <f t="shared" si="7"/>
        <v>giftcodesbanner/發條特攻隊-禮包碼.jpg</v>
      </c>
      <c r="D206" s="51" t="str">
        <f t="shared" si="8"/>
        <v>https://www.ssbuy.tw/detail_giftcode/dist/giftcodes/發條特攻隊.html</v>
      </c>
      <c r="E206" s="91"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07" t="s">
        <v>3794</v>
      </c>
      <c r="G206" s="51" t="s">
        <v>3795</v>
      </c>
      <c r="H206" s="51" t="s">
        <v>2623</v>
      </c>
      <c r="I206" s="51" t="s">
        <v>3753</v>
      </c>
      <c r="J206" s="91"/>
      <c r="K206" s="92" t="s">
        <v>4779</v>
      </c>
      <c r="L206" s="51" t="s">
        <v>4780</v>
      </c>
      <c r="M206" s="53" t="s">
        <v>4781</v>
      </c>
      <c r="N206" s="54" t="s">
        <v>4782</v>
      </c>
      <c r="O206" s="53" t="s">
        <v>4783</v>
      </c>
      <c r="P206" s="54" t="s">
        <v>4784</v>
      </c>
      <c r="Q206" s="53" t="s">
        <v>4785</v>
      </c>
      <c r="R206" s="60" t="s">
        <v>4786</v>
      </c>
      <c r="S206" s="53" t="s">
        <v>4787</v>
      </c>
      <c r="T206" s="54" t="s">
        <v>4788</v>
      </c>
      <c r="U206" s="53" t="s">
        <v>4789</v>
      </c>
      <c r="V206" s="54" t="s">
        <v>4790</v>
      </c>
      <c r="W206" s="53" t="s">
        <v>4791</v>
      </c>
      <c r="X206" s="75" t="s">
        <v>4793</v>
      </c>
      <c r="Y206" s="53" t="s">
        <v>4794</v>
      </c>
      <c r="Z206" s="54" t="s">
        <v>4795</v>
      </c>
      <c r="AA206" s="53"/>
      <c r="AB206" s="54"/>
      <c r="AC206" s="53"/>
      <c r="AD206" s="54"/>
      <c r="AE206" s="53"/>
      <c r="AF206" s="54"/>
      <c r="AG206" s="53"/>
      <c r="AH206" s="54"/>
      <c r="AI206" s="53"/>
      <c r="AJ206" s="54"/>
      <c r="AK206" s="53"/>
      <c r="AL206" s="54"/>
      <c r="AM206" s="53"/>
      <c r="AN206" s="54"/>
      <c r="AO206" s="53"/>
      <c r="AP206" s="54"/>
      <c r="AQ206" s="53"/>
      <c r="AR206" s="54"/>
      <c r="AS206" s="53"/>
      <c r="AT206" s="54"/>
      <c r="AU206" s="53"/>
      <c r="AV206" s="54"/>
      <c r="AW206" s="53"/>
      <c r="AX206" s="54"/>
      <c r="AY206" s="53"/>
      <c r="AZ206" s="54"/>
      <c r="BA206" s="53"/>
      <c r="BB206" s="51"/>
      <c r="BC206" s="53"/>
      <c r="BD206" s="51"/>
      <c r="BE206" s="53"/>
      <c r="BF206" s="51"/>
      <c r="BG206" s="53"/>
      <c r="BH206" s="51"/>
      <c r="BI206" s="53"/>
      <c r="BJ206" s="51"/>
      <c r="BK206" s="53"/>
      <c r="BL206" s="51"/>
      <c r="BM206" s="53"/>
      <c r="BN206" s="51"/>
      <c r="BO206" s="53"/>
      <c r="BP206" s="51"/>
      <c r="BQ206" s="53"/>
      <c r="BR206" s="55"/>
    </row>
    <row r="207" spans="1:70" ht="28.5" customHeight="1">
      <c r="A207" s="67" t="str">
        <f>IF(games!A207="", "", games!A207)</f>
        <v>天命：群星</v>
      </c>
      <c r="B207" s="51"/>
      <c r="C207" s="51" t="str">
        <f t="shared" si="7"/>
        <v>giftcodesbanner/天命：群星-禮包碼.jpg</v>
      </c>
      <c r="D207" s="51" t="str">
        <f t="shared" si="8"/>
        <v>https://www.ssbuy.tw/detail_giftcode/dist/giftcodes/天命：群星.html</v>
      </c>
      <c r="E207" s="91"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07" t="s">
        <v>3751</v>
      </c>
      <c r="G207" s="51" t="s">
        <v>3752</v>
      </c>
      <c r="H207" s="51" t="s">
        <v>2623</v>
      </c>
      <c r="I207" s="51" t="s">
        <v>3753</v>
      </c>
      <c r="J207" s="91"/>
      <c r="K207" s="92" t="s">
        <v>2638</v>
      </c>
      <c r="L207" s="51" t="s">
        <v>2638</v>
      </c>
      <c r="M207" s="53" t="s">
        <v>2638</v>
      </c>
      <c r="N207" s="54" t="s">
        <v>2638</v>
      </c>
      <c r="O207" s="53"/>
      <c r="P207" s="54"/>
      <c r="Q207" s="53"/>
      <c r="R207" s="54"/>
      <c r="S207" s="53"/>
      <c r="T207" s="54"/>
      <c r="U207" s="53"/>
      <c r="V207" s="54"/>
      <c r="W207" s="53"/>
      <c r="X207" s="54"/>
      <c r="Y207" s="53"/>
      <c r="Z207" s="54"/>
      <c r="AA207" s="53"/>
      <c r="AB207" s="54"/>
      <c r="AC207" s="53"/>
      <c r="AD207" s="54"/>
      <c r="AE207" s="53"/>
      <c r="AF207" s="54"/>
      <c r="AG207" s="53"/>
      <c r="AH207" s="54"/>
      <c r="AI207" s="53"/>
      <c r="AJ207" s="54"/>
      <c r="AK207" s="53"/>
      <c r="AL207" s="54"/>
      <c r="AM207" s="53"/>
      <c r="AN207" s="54"/>
      <c r="AO207" s="53"/>
      <c r="AP207" s="54"/>
      <c r="AQ207" s="53"/>
      <c r="AR207" s="54"/>
      <c r="AS207" s="53"/>
      <c r="AT207" s="54"/>
      <c r="AU207" s="53"/>
      <c r="AV207" s="54"/>
      <c r="AW207" s="53"/>
      <c r="AX207" s="54"/>
      <c r="AY207" s="53"/>
      <c r="AZ207" s="54"/>
      <c r="BA207" s="53"/>
      <c r="BB207" s="51"/>
      <c r="BC207" s="53"/>
      <c r="BD207" s="51"/>
      <c r="BE207" s="53"/>
      <c r="BF207" s="51"/>
      <c r="BG207" s="53"/>
      <c r="BH207" s="51"/>
      <c r="BI207" s="53"/>
      <c r="BJ207" s="51"/>
      <c r="BK207" s="53"/>
      <c r="BL207" s="51"/>
      <c r="BM207" s="53"/>
      <c r="BN207" s="51"/>
      <c r="BO207" s="53"/>
      <c r="BP207" s="51"/>
      <c r="BQ207" s="53"/>
      <c r="BR207" s="55"/>
    </row>
    <row r="208" spans="1:70" ht="28.5" customHeight="1">
      <c r="A208" s="67" t="str">
        <f>IF(games!A208="", "", games!A208)</f>
        <v>血影雙生</v>
      </c>
      <c r="B208" s="51"/>
      <c r="C208" s="51" t="str">
        <f t="shared" si="7"/>
        <v>giftcodesbanner/血影雙生-禮包碼.jpg</v>
      </c>
      <c r="D208" s="51" t="str">
        <f t="shared" si="8"/>
        <v>https://www.ssbuy.tw/detail_giftcode/dist/giftcodes/血影雙生.html</v>
      </c>
      <c r="E208" s="91"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2" t="s">
        <v>3819</v>
      </c>
      <c r="G208" s="51" t="s">
        <v>3820</v>
      </c>
      <c r="H208" s="53" t="s">
        <v>3821</v>
      </c>
      <c r="I208" s="51" t="s">
        <v>2623</v>
      </c>
      <c r="J208" s="91" t="s">
        <v>3822</v>
      </c>
      <c r="K208" s="92" t="s">
        <v>3845</v>
      </c>
      <c r="L208" s="51" t="s">
        <v>3853</v>
      </c>
      <c r="M208" s="53" t="s">
        <v>3846</v>
      </c>
      <c r="N208" s="54" t="s">
        <v>3854</v>
      </c>
      <c r="O208" s="53" t="s">
        <v>3847</v>
      </c>
      <c r="P208" s="54" t="s">
        <v>3855</v>
      </c>
      <c r="Q208" s="53" t="s">
        <v>3848</v>
      </c>
      <c r="R208" s="54" t="s">
        <v>3856</v>
      </c>
      <c r="S208" s="53" t="s">
        <v>3849</v>
      </c>
      <c r="T208" s="54" t="s">
        <v>3857</v>
      </c>
      <c r="U208" s="53" t="s">
        <v>3850</v>
      </c>
      <c r="V208" s="54" t="s">
        <v>4792</v>
      </c>
      <c r="W208" s="53" t="s">
        <v>3851</v>
      </c>
      <c r="X208" s="54" t="s">
        <v>3858</v>
      </c>
      <c r="Y208" s="53" t="s">
        <v>3852</v>
      </c>
      <c r="Z208" s="54" t="s">
        <v>3859</v>
      </c>
      <c r="AA208" s="53" t="s">
        <v>3608</v>
      </c>
      <c r="AB208" s="54" t="s">
        <v>3860</v>
      </c>
      <c r="AC208" s="53"/>
      <c r="AD208" s="54"/>
      <c r="AE208" s="53"/>
      <c r="AF208" s="54"/>
      <c r="AG208" s="53"/>
      <c r="AH208" s="54"/>
      <c r="AI208" s="53"/>
      <c r="AJ208" s="54"/>
      <c r="AK208" s="53"/>
      <c r="AL208" s="54"/>
      <c r="AM208" s="53"/>
      <c r="AN208" s="54"/>
      <c r="AO208" s="53"/>
      <c r="AP208" s="54"/>
      <c r="AQ208" s="53"/>
      <c r="AR208" s="54"/>
      <c r="AS208" s="53"/>
      <c r="AT208" s="54"/>
      <c r="AU208" s="53"/>
      <c r="AV208" s="54"/>
      <c r="AW208" s="53"/>
      <c r="AX208" s="54"/>
      <c r="AY208" s="53"/>
      <c r="AZ208" s="54"/>
      <c r="BA208" s="53"/>
      <c r="BB208" s="51"/>
      <c r="BC208" s="53"/>
      <c r="BD208" s="51"/>
      <c r="BE208" s="53"/>
      <c r="BF208" s="51"/>
      <c r="BG208" s="53"/>
      <c r="BH208" s="51"/>
      <c r="BI208" s="53"/>
      <c r="BJ208" s="51"/>
      <c r="BK208" s="53"/>
      <c r="BL208" s="51"/>
      <c r="BM208" s="53"/>
      <c r="BN208" s="51"/>
      <c r="BO208" s="53"/>
      <c r="BP208" s="51"/>
      <c r="BQ208" s="53"/>
      <c r="BR208" s="55"/>
    </row>
    <row r="209" spans="1:70" ht="28.5" customHeight="1">
      <c r="A209" s="67" t="str">
        <f>IF(games!A209="", "", games!A209)</f>
        <v>我的勇者外傳</v>
      </c>
      <c r="B209" s="51"/>
      <c r="C209" s="51" t="str">
        <f t="shared" si="7"/>
        <v>giftcodesbanner/我的勇者外傳-禮包碼.jpg</v>
      </c>
      <c r="D209" s="51" t="str">
        <f t="shared" si="8"/>
        <v>https://www.ssbuy.tw/detail_giftcode/dist/giftcodes/我的勇者外傳.html</v>
      </c>
      <c r="E209" s="91"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07" t="s">
        <v>3751</v>
      </c>
      <c r="G209" s="51" t="s">
        <v>3752</v>
      </c>
      <c r="H209" s="51" t="s">
        <v>2623</v>
      </c>
      <c r="I209" s="51" t="s">
        <v>3753</v>
      </c>
      <c r="J209" s="91"/>
      <c r="K209" s="92" t="s">
        <v>3810</v>
      </c>
      <c r="L209" s="58" t="s">
        <v>3812</v>
      </c>
      <c r="M209" s="53" t="s">
        <v>3811</v>
      </c>
      <c r="N209" s="54" t="s">
        <v>3813</v>
      </c>
      <c r="O209" s="53" t="s">
        <v>3861</v>
      </c>
      <c r="P209" s="54" t="s">
        <v>3862</v>
      </c>
      <c r="Q209" s="53" t="s">
        <v>3863</v>
      </c>
      <c r="R209" s="54" t="s">
        <v>3864</v>
      </c>
      <c r="S209" s="53"/>
      <c r="T209" s="54"/>
      <c r="U209" s="53"/>
      <c r="V209" s="54"/>
      <c r="W209" s="53"/>
      <c r="X209" s="54"/>
      <c r="Y209" s="53"/>
      <c r="Z209" s="54"/>
      <c r="AA209" s="53"/>
      <c r="AB209" s="54"/>
      <c r="AC209" s="53"/>
      <c r="AD209" s="54"/>
      <c r="AE209" s="53"/>
      <c r="AF209" s="54"/>
      <c r="AG209" s="53"/>
      <c r="AH209" s="54"/>
      <c r="AI209" s="53"/>
      <c r="AJ209" s="54"/>
      <c r="AK209" s="53"/>
      <c r="AL209" s="54"/>
      <c r="AM209" s="53"/>
      <c r="AN209" s="54"/>
      <c r="AO209" s="53"/>
      <c r="AP209" s="54"/>
      <c r="AQ209" s="53"/>
      <c r="AR209" s="54"/>
      <c r="AS209" s="53"/>
      <c r="AT209" s="54"/>
      <c r="AU209" s="53"/>
      <c r="AV209" s="54"/>
      <c r="AW209" s="53"/>
      <c r="AX209" s="54"/>
      <c r="AY209" s="53"/>
      <c r="AZ209" s="54"/>
      <c r="BA209" s="53"/>
      <c r="BB209" s="51"/>
      <c r="BC209" s="53"/>
      <c r="BD209" s="51"/>
      <c r="BE209" s="53"/>
      <c r="BF209" s="51"/>
      <c r="BG209" s="53"/>
      <c r="BH209" s="51"/>
      <c r="BI209" s="53"/>
      <c r="BJ209" s="51"/>
      <c r="BK209" s="53"/>
      <c r="BL209" s="51"/>
      <c r="BM209" s="53"/>
      <c r="BN209" s="51"/>
      <c r="BO209" s="53"/>
      <c r="BP209" s="51"/>
      <c r="BQ209" s="53"/>
      <c r="BR209" s="55"/>
    </row>
    <row r="210" spans="1:70" ht="28.5" customHeight="1">
      <c r="A210" s="67" t="str">
        <f>IF(games!A210="", "", games!A210)</f>
        <v>女神契約：異世界遠征隊</v>
      </c>
      <c r="B210" s="51"/>
      <c r="C210" s="51" t="str">
        <f t="shared" si="7"/>
        <v>giftcodesbanner/女神契約：異世界遠征隊-禮包碼.jpg</v>
      </c>
      <c r="D210" s="51" t="str">
        <f t="shared" si="8"/>
        <v>https://www.ssbuy.tw/detail_giftcode/dist/giftcodes/女神契約：異世界遠征隊.html</v>
      </c>
      <c r="E210" s="91"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2" t="s">
        <v>3814</v>
      </c>
      <c r="G210" s="51" t="s">
        <v>3815</v>
      </c>
      <c r="H210" s="53" t="s">
        <v>3816</v>
      </c>
      <c r="I210" s="51" t="s">
        <v>3817</v>
      </c>
      <c r="J210" s="91" t="s">
        <v>3818</v>
      </c>
      <c r="K210" s="92" t="s">
        <v>3865</v>
      </c>
      <c r="L210" s="51" t="s">
        <v>3866</v>
      </c>
      <c r="M210" s="53"/>
      <c r="N210" s="54"/>
      <c r="O210" s="53"/>
      <c r="P210" s="54"/>
      <c r="Q210" s="53"/>
      <c r="R210" s="54"/>
      <c r="S210" s="53"/>
      <c r="T210" s="54"/>
      <c r="U210" s="53"/>
      <c r="V210" s="54"/>
      <c r="W210" s="53"/>
      <c r="X210" s="54"/>
      <c r="Y210" s="53"/>
      <c r="Z210" s="54"/>
      <c r="AA210" s="53"/>
      <c r="AB210" s="54"/>
      <c r="AC210" s="53"/>
      <c r="AD210" s="54"/>
      <c r="AE210" s="53"/>
      <c r="AF210" s="54"/>
      <c r="AG210" s="53"/>
      <c r="AH210" s="54"/>
      <c r="AI210" s="53"/>
      <c r="AJ210" s="54"/>
      <c r="AK210" s="53"/>
      <c r="AL210" s="54"/>
      <c r="AM210" s="53"/>
      <c r="AN210" s="54"/>
      <c r="AO210" s="53"/>
      <c r="AP210" s="54"/>
      <c r="AQ210" s="53"/>
      <c r="AR210" s="54"/>
      <c r="AS210" s="53"/>
      <c r="AT210" s="54"/>
      <c r="AU210" s="53"/>
      <c r="AV210" s="54"/>
      <c r="AW210" s="53"/>
      <c r="AX210" s="54"/>
      <c r="AY210" s="53"/>
      <c r="AZ210" s="54"/>
      <c r="BA210" s="53"/>
      <c r="BB210" s="51"/>
      <c r="BC210" s="53"/>
      <c r="BD210" s="51"/>
      <c r="BE210" s="53"/>
      <c r="BF210" s="51"/>
      <c r="BG210" s="53"/>
      <c r="BH210" s="51"/>
      <c r="BI210" s="53"/>
      <c r="BJ210" s="51"/>
      <c r="BK210" s="53"/>
      <c r="BL210" s="51"/>
      <c r="BM210" s="53"/>
      <c r="BN210" s="51"/>
      <c r="BO210" s="53"/>
      <c r="BP210" s="51"/>
      <c r="BQ210" s="53"/>
      <c r="BR210" s="55"/>
    </row>
    <row r="211" spans="1:70" ht="28.5" customHeight="1">
      <c r="A211" s="67" t="str">
        <f>IF(games!A211="", "", games!A211)</f>
        <v>Pixel Starships 2</v>
      </c>
      <c r="B211" s="51"/>
      <c r="C211" s="51" t="str">
        <f t="shared" si="7"/>
        <v>giftcodesbanner/Pixel Starships 2-禮包碼.jpg</v>
      </c>
      <c r="D211" s="51" t="str">
        <f t="shared" si="8"/>
        <v>https://www.ssbuy.tw/detail_giftcode/dist/giftcodes/Pixel Starships 2.html</v>
      </c>
      <c r="E211" s="91"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2" t="s">
        <v>2638</v>
      </c>
      <c r="G211" s="51" t="s">
        <v>2638</v>
      </c>
      <c r="H211" s="51"/>
      <c r="I211" s="51"/>
      <c r="J211" s="91"/>
      <c r="K211" s="92" t="s">
        <v>2638</v>
      </c>
      <c r="L211" s="51" t="s">
        <v>2638</v>
      </c>
      <c r="M211" s="53"/>
      <c r="N211" s="54"/>
      <c r="O211" s="53"/>
      <c r="P211" s="54"/>
      <c r="Q211" s="53"/>
      <c r="R211" s="54"/>
      <c r="S211" s="53"/>
      <c r="T211" s="54"/>
      <c r="U211" s="53"/>
      <c r="V211" s="54"/>
      <c r="W211" s="53"/>
      <c r="X211" s="54"/>
      <c r="Y211" s="53"/>
      <c r="Z211" s="54"/>
      <c r="AA211" s="53"/>
      <c r="AB211" s="54"/>
      <c r="AC211" s="53"/>
      <c r="AD211" s="54"/>
      <c r="AE211" s="53"/>
      <c r="AF211" s="54"/>
      <c r="AG211" s="53"/>
      <c r="AH211" s="54"/>
      <c r="AI211" s="53"/>
      <c r="AJ211" s="54"/>
      <c r="AK211" s="53"/>
      <c r="AL211" s="54"/>
      <c r="AM211" s="53"/>
      <c r="AN211" s="54"/>
      <c r="AO211" s="53"/>
      <c r="AP211" s="54"/>
      <c r="AQ211" s="53"/>
      <c r="AR211" s="54"/>
      <c r="AS211" s="53"/>
      <c r="AT211" s="54"/>
      <c r="AU211" s="53"/>
      <c r="AV211" s="54"/>
      <c r="AW211" s="53"/>
      <c r="AX211" s="54"/>
      <c r="AY211" s="53"/>
      <c r="AZ211" s="54"/>
      <c r="BA211" s="53"/>
      <c r="BB211" s="51"/>
      <c r="BC211" s="53"/>
      <c r="BD211" s="51"/>
      <c r="BE211" s="53"/>
      <c r="BF211" s="51"/>
      <c r="BG211" s="53"/>
      <c r="BH211" s="51"/>
      <c r="BI211" s="53"/>
      <c r="BJ211" s="51"/>
      <c r="BK211" s="53"/>
      <c r="BL211" s="51"/>
      <c r="BM211" s="53"/>
      <c r="BN211" s="51"/>
      <c r="BO211" s="53"/>
      <c r="BP211" s="51"/>
      <c r="BQ211" s="53"/>
      <c r="BR211" s="55"/>
    </row>
    <row r="212" spans="1:70" ht="28.5" customHeight="1">
      <c r="A212" s="67" t="str">
        <f>IF(games!A212="", "", games!A212)</f>
        <v>升級村莊大作戰</v>
      </c>
      <c r="B212" s="51"/>
      <c r="C212" s="51" t="str">
        <f t="shared" si="7"/>
        <v>giftcodesbanner/升級村莊大作戰-禮包碼.jpg</v>
      </c>
      <c r="D212" s="51" t="str">
        <f t="shared" si="8"/>
        <v>https://www.ssbuy.tw/detail_giftcode/dist/giftcodes/升級村莊大作戰.html</v>
      </c>
      <c r="E212" s="91"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2" t="s">
        <v>2638</v>
      </c>
      <c r="G212" s="51" t="s">
        <v>2638</v>
      </c>
      <c r="H212" s="51"/>
      <c r="I212" s="51"/>
      <c r="J212" s="91"/>
      <c r="K212" s="92" t="s">
        <v>2638</v>
      </c>
      <c r="L212" s="51" t="s">
        <v>2638</v>
      </c>
      <c r="M212" s="53"/>
      <c r="N212" s="54"/>
      <c r="O212" s="53"/>
      <c r="P212" s="54"/>
      <c r="Q212" s="53"/>
      <c r="R212" s="54"/>
      <c r="S212" s="53"/>
      <c r="T212" s="54"/>
      <c r="U212" s="53"/>
      <c r="V212" s="54"/>
      <c r="W212" s="53"/>
      <c r="X212" s="54"/>
      <c r="Y212" s="53"/>
      <c r="Z212" s="54"/>
      <c r="AA212" s="53"/>
      <c r="AB212" s="54"/>
      <c r="AC212" s="53"/>
      <c r="AD212" s="54"/>
      <c r="AE212" s="53"/>
      <c r="AF212" s="54"/>
      <c r="AG212" s="53"/>
      <c r="AH212" s="54"/>
      <c r="AI212" s="53"/>
      <c r="AJ212" s="54"/>
      <c r="AK212" s="53"/>
      <c r="AL212" s="54"/>
      <c r="AM212" s="53"/>
      <c r="AN212" s="54"/>
      <c r="AO212" s="53"/>
      <c r="AP212" s="54"/>
      <c r="AQ212" s="53"/>
      <c r="AR212" s="54"/>
      <c r="AS212" s="53"/>
      <c r="AT212" s="54"/>
      <c r="AU212" s="53"/>
      <c r="AV212" s="54"/>
      <c r="AW212" s="53"/>
      <c r="AX212" s="54"/>
      <c r="AY212" s="53"/>
      <c r="AZ212" s="54"/>
      <c r="BA212" s="53"/>
      <c r="BB212" s="51"/>
      <c r="BC212" s="53"/>
      <c r="BD212" s="51"/>
      <c r="BE212" s="53"/>
      <c r="BF212" s="51"/>
      <c r="BG212" s="53"/>
      <c r="BH212" s="51"/>
      <c r="BI212" s="53"/>
      <c r="BJ212" s="51"/>
      <c r="BK212" s="53"/>
      <c r="BL212" s="51"/>
      <c r="BM212" s="53"/>
      <c r="BN212" s="51"/>
      <c r="BO212" s="53"/>
      <c r="BP212" s="51"/>
      <c r="BQ212" s="53"/>
      <c r="BR212" s="55"/>
    </row>
    <row r="213" spans="1:70" ht="28.5" customHeight="1">
      <c r="A213" s="67" t="str">
        <f>IF(games!A213="", "", games!A213)</f>
        <v>新月同行</v>
      </c>
      <c r="B213" s="51"/>
      <c r="C213" s="51" t="str">
        <f t="shared" si="7"/>
        <v>giftcodesbanner/新月同行-禮包碼.jpg</v>
      </c>
      <c r="D213" s="51" t="str">
        <f t="shared" si="8"/>
        <v>https://www.ssbuy.tw/detail_giftcode/dist/giftcodes/新月同行.html</v>
      </c>
      <c r="E213" s="91"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2" t="s">
        <v>2638</v>
      </c>
      <c r="G213" s="51" t="s">
        <v>2638</v>
      </c>
      <c r="H213" s="51"/>
      <c r="I213" s="51"/>
      <c r="J213" s="91"/>
      <c r="K213" s="92" t="s">
        <v>2638</v>
      </c>
      <c r="L213" s="51" t="s">
        <v>2638</v>
      </c>
      <c r="M213" s="53"/>
      <c r="N213" s="54"/>
      <c r="O213" s="53"/>
      <c r="P213" s="54"/>
      <c r="Q213" s="53"/>
      <c r="R213" s="54"/>
      <c r="S213" s="53"/>
      <c r="T213" s="54"/>
      <c r="U213" s="53"/>
      <c r="V213" s="54"/>
      <c r="W213" s="53"/>
      <c r="X213" s="54"/>
      <c r="Y213" s="53"/>
      <c r="Z213" s="54"/>
      <c r="AA213" s="53"/>
      <c r="AB213" s="54"/>
      <c r="AC213" s="53"/>
      <c r="AD213" s="54"/>
      <c r="AE213" s="53"/>
      <c r="AF213" s="54"/>
      <c r="AG213" s="53"/>
      <c r="AH213" s="54"/>
      <c r="AI213" s="53"/>
      <c r="AJ213" s="54"/>
      <c r="AK213" s="53"/>
      <c r="AL213" s="54"/>
      <c r="AM213" s="53"/>
      <c r="AN213" s="54"/>
      <c r="AO213" s="53"/>
      <c r="AP213" s="54"/>
      <c r="AQ213" s="53"/>
      <c r="AR213" s="54"/>
      <c r="AS213" s="53"/>
      <c r="AT213" s="54"/>
      <c r="AU213" s="53"/>
      <c r="AV213" s="54"/>
      <c r="AW213" s="53"/>
      <c r="AX213" s="54"/>
      <c r="AY213" s="53"/>
      <c r="AZ213" s="54"/>
      <c r="BA213" s="53"/>
      <c r="BB213" s="51"/>
      <c r="BC213" s="53"/>
      <c r="BD213" s="51"/>
      <c r="BE213" s="53"/>
      <c r="BF213" s="51"/>
      <c r="BG213" s="53"/>
      <c r="BH213" s="51"/>
      <c r="BI213" s="53"/>
      <c r="BJ213" s="51"/>
      <c r="BK213" s="53"/>
      <c r="BL213" s="51"/>
      <c r="BM213" s="53"/>
      <c r="BN213" s="51"/>
      <c r="BO213" s="53"/>
      <c r="BP213" s="51"/>
      <c r="BQ213" s="53"/>
      <c r="BR213" s="55"/>
    </row>
    <row r="214" spans="1:70" ht="28.5" customHeight="1">
      <c r="A214" s="67" t="str">
        <f>IF(games!A214="", "", games!A214)</f>
        <v>超商勇者</v>
      </c>
      <c r="B214" s="51"/>
      <c r="C214" s="51" t="str">
        <f t="shared" si="7"/>
        <v>giftcodesbanner/超商勇者-禮包碼.jpg</v>
      </c>
      <c r="D214" s="51" t="str">
        <f t="shared" si="8"/>
        <v>https://www.ssbuy.tw/detail_giftcode/dist/giftcodes/超商勇者.html</v>
      </c>
      <c r="E214" s="91"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2" t="s">
        <v>2638</v>
      </c>
      <c r="G214" s="51" t="s">
        <v>2638</v>
      </c>
      <c r="H214" s="51"/>
      <c r="I214" s="51"/>
      <c r="J214" s="91"/>
      <c r="K214" s="92" t="s">
        <v>2638</v>
      </c>
      <c r="L214" s="51" t="s">
        <v>2638</v>
      </c>
      <c r="M214" s="53"/>
      <c r="N214" s="54"/>
      <c r="O214" s="53"/>
      <c r="P214" s="54"/>
      <c r="Q214" s="53"/>
      <c r="R214" s="54"/>
      <c r="S214" s="53"/>
      <c r="T214" s="54"/>
      <c r="U214" s="53"/>
      <c r="V214" s="54"/>
      <c r="W214" s="53"/>
      <c r="X214" s="54"/>
      <c r="Y214" s="53"/>
      <c r="Z214" s="54"/>
      <c r="AA214" s="53"/>
      <c r="AB214" s="54"/>
      <c r="AC214" s="53"/>
      <c r="AD214" s="54"/>
      <c r="AE214" s="53"/>
      <c r="AF214" s="54"/>
      <c r="AG214" s="53"/>
      <c r="AH214" s="54"/>
      <c r="AI214" s="53"/>
      <c r="AJ214" s="54"/>
      <c r="AK214" s="53"/>
      <c r="AL214" s="54"/>
      <c r="AM214" s="53"/>
      <c r="AN214" s="54"/>
      <c r="AO214" s="53"/>
      <c r="AP214" s="54"/>
      <c r="AQ214" s="53"/>
      <c r="AR214" s="54"/>
      <c r="AS214" s="53"/>
      <c r="AT214" s="54"/>
      <c r="AU214" s="53"/>
      <c r="AV214" s="54"/>
      <c r="AW214" s="53"/>
      <c r="AX214" s="54"/>
      <c r="AY214" s="53"/>
      <c r="AZ214" s="54"/>
      <c r="BA214" s="53"/>
      <c r="BB214" s="51"/>
      <c r="BC214" s="53"/>
      <c r="BD214" s="51"/>
      <c r="BE214" s="53"/>
      <c r="BF214" s="51"/>
      <c r="BG214" s="53"/>
      <c r="BH214" s="51"/>
      <c r="BI214" s="53"/>
      <c r="BJ214" s="51"/>
      <c r="BK214" s="53"/>
      <c r="BL214" s="51"/>
      <c r="BM214" s="53"/>
      <c r="BN214" s="51"/>
      <c r="BO214" s="53"/>
      <c r="BP214" s="51"/>
      <c r="BQ214" s="53"/>
      <c r="BR214" s="55"/>
    </row>
    <row r="215" spans="1:70" ht="28.5" customHeight="1">
      <c r="A215" s="67" t="str">
        <f>IF(games!A215="", "", games!A215)</f>
        <v>怪獸8號 THE GAME</v>
      </c>
      <c r="B215" s="51"/>
      <c r="C215" s="51" t="str">
        <f t="shared" si="7"/>
        <v>giftcodesbanner/怪獸8號 THE GAME-禮包碼.jpg</v>
      </c>
      <c r="D215" s="51" t="str">
        <f t="shared" si="8"/>
        <v>https://www.ssbuy.tw/detail_giftcode/dist/giftcodes/怪獸8號 THE GAME.html</v>
      </c>
      <c r="E215" s="91"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2" t="s">
        <v>2638</v>
      </c>
      <c r="G215" s="51" t="s">
        <v>2638</v>
      </c>
      <c r="H215" s="51"/>
      <c r="I215" s="51"/>
      <c r="J215" s="91"/>
      <c r="K215" s="92" t="s">
        <v>2638</v>
      </c>
      <c r="L215" s="51" t="s">
        <v>2638</v>
      </c>
      <c r="M215" s="53"/>
      <c r="N215" s="54"/>
      <c r="O215" s="53"/>
      <c r="P215" s="54"/>
      <c r="Q215" s="53"/>
      <c r="R215" s="54"/>
      <c r="S215" s="53"/>
      <c r="T215" s="54"/>
      <c r="U215" s="53"/>
      <c r="V215" s="54"/>
      <c r="W215" s="53"/>
      <c r="X215" s="54"/>
      <c r="Y215" s="53"/>
      <c r="Z215" s="54"/>
      <c r="AA215" s="53"/>
      <c r="AB215" s="54"/>
      <c r="AC215" s="53"/>
      <c r="AD215" s="54"/>
      <c r="AE215" s="53"/>
      <c r="AF215" s="54"/>
      <c r="AG215" s="53"/>
      <c r="AH215" s="54"/>
      <c r="AI215" s="53"/>
      <c r="AJ215" s="54"/>
      <c r="AK215" s="53"/>
      <c r="AL215" s="54"/>
      <c r="AM215" s="53"/>
      <c r="AN215" s="54"/>
      <c r="AO215" s="53"/>
      <c r="AP215" s="54"/>
      <c r="AQ215" s="53"/>
      <c r="AR215" s="54"/>
      <c r="AS215" s="53"/>
      <c r="AT215" s="54"/>
      <c r="AU215" s="53"/>
      <c r="AV215" s="54"/>
      <c r="AW215" s="53"/>
      <c r="AX215" s="54"/>
      <c r="AY215" s="53"/>
      <c r="AZ215" s="54"/>
      <c r="BA215" s="53"/>
      <c r="BB215" s="51"/>
      <c r="BC215" s="53"/>
      <c r="BD215" s="51"/>
      <c r="BE215" s="53"/>
      <c r="BF215" s="51"/>
      <c r="BG215" s="53"/>
      <c r="BH215" s="51"/>
      <c r="BI215" s="53"/>
      <c r="BJ215" s="51"/>
      <c r="BK215" s="53"/>
      <c r="BL215" s="51"/>
      <c r="BM215" s="53"/>
      <c r="BN215" s="51"/>
      <c r="BO215" s="53"/>
      <c r="BP215" s="51"/>
      <c r="BQ215" s="53"/>
      <c r="BR215" s="55"/>
    </row>
    <row r="216" spans="1:70" ht="28.5" customHeight="1">
      <c r="A216" s="67" t="str">
        <f>IF(games!A216="", "", games!A216)</f>
        <v>貓旅館物語</v>
      </c>
      <c r="B216" s="51"/>
      <c r="C216" s="51" t="str">
        <f t="shared" si="7"/>
        <v>giftcodesbanner/貓旅館物語-禮包碼.jpg</v>
      </c>
      <c r="D216" s="51" t="str">
        <f t="shared" si="8"/>
        <v>https://www.ssbuy.tw/detail_giftcode/dist/giftcodes/貓旅館物語.html</v>
      </c>
      <c r="E216" s="91"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2" t="s">
        <v>3922</v>
      </c>
      <c r="G216" s="51" t="s">
        <v>2623</v>
      </c>
      <c r="H216" s="51" t="s">
        <v>3923</v>
      </c>
      <c r="I216" s="51"/>
      <c r="J216" s="91"/>
      <c r="K216" s="92" t="s">
        <v>3920</v>
      </c>
      <c r="L216" s="51" t="s">
        <v>3921</v>
      </c>
      <c r="M216" s="53" t="s">
        <v>4143</v>
      </c>
      <c r="N216" s="54"/>
      <c r="O216" s="53" t="s">
        <v>4144</v>
      </c>
      <c r="P216" s="54"/>
      <c r="Q216" s="53" t="s">
        <v>4145</v>
      </c>
      <c r="R216" s="54"/>
      <c r="S216" s="53" t="s">
        <v>4146</v>
      </c>
      <c r="T216" s="54"/>
      <c r="U216" s="53" t="s">
        <v>4147</v>
      </c>
      <c r="V216" s="54"/>
      <c r="W216" s="53" t="s">
        <v>4148</v>
      </c>
      <c r="X216" s="54"/>
      <c r="Y216" s="53" t="s">
        <v>4149</v>
      </c>
      <c r="Z216" s="54"/>
      <c r="AA216" s="53" t="s">
        <v>4150</v>
      </c>
      <c r="AB216" s="54"/>
      <c r="AC216" s="53" t="s">
        <v>4150</v>
      </c>
      <c r="AD216" s="54"/>
      <c r="AE216" s="53" t="s">
        <v>4151</v>
      </c>
      <c r="AF216" s="54"/>
      <c r="AG216" s="53" t="s">
        <v>4152</v>
      </c>
      <c r="AH216" s="54"/>
      <c r="AI216" s="53" t="s">
        <v>4153</v>
      </c>
      <c r="AJ216" s="54"/>
      <c r="AK216" s="53" t="s">
        <v>4154</v>
      </c>
      <c r="AL216" s="54"/>
      <c r="AM216" s="53" t="s">
        <v>4155</v>
      </c>
      <c r="AN216" s="54"/>
      <c r="AO216" s="53"/>
      <c r="AP216" s="54"/>
      <c r="AQ216" s="53"/>
      <c r="AR216" s="54"/>
      <c r="AS216" s="53"/>
      <c r="AT216" s="54"/>
      <c r="AU216" s="53"/>
      <c r="AV216" s="54"/>
      <c r="AW216" s="53"/>
      <c r="AX216" s="54"/>
      <c r="AY216" s="53"/>
      <c r="AZ216" s="54"/>
      <c r="BA216" s="53"/>
      <c r="BB216" s="51"/>
      <c r="BC216" s="53"/>
      <c r="BD216" s="51"/>
      <c r="BE216" s="53"/>
      <c r="BF216" s="51"/>
      <c r="BG216" s="53"/>
      <c r="BH216" s="51"/>
      <c r="BI216" s="53"/>
      <c r="BJ216" s="51"/>
      <c r="BK216" s="53"/>
      <c r="BL216" s="51"/>
      <c r="BM216" s="53"/>
      <c r="BN216" s="51"/>
      <c r="BO216" s="53"/>
      <c r="BP216" s="51"/>
      <c r="BQ216" s="53"/>
      <c r="BR216" s="55"/>
    </row>
    <row r="217" spans="1:70" ht="28.5" customHeight="1">
      <c r="A217" s="67" t="str">
        <f>IF(games!A217="", "", games!A217)</f>
        <v>龍石戰爭</v>
      </c>
      <c r="B217" s="51"/>
      <c r="C217" s="51" t="str">
        <f t="shared" si="7"/>
        <v>giftcodesbanner/龍石戰爭-禮包碼.jpg</v>
      </c>
      <c r="D217" s="51" t="str">
        <f t="shared" si="8"/>
        <v>https://www.ssbuy.tw/detail_giftcode/dist/giftcodes/龍石戰爭.html</v>
      </c>
      <c r="E217" s="91"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2" t="s">
        <v>3927</v>
      </c>
      <c r="G217" s="51" t="s">
        <v>4033</v>
      </c>
      <c r="H217" s="51" t="s">
        <v>4034</v>
      </c>
      <c r="I217" s="51" t="s">
        <v>2623</v>
      </c>
      <c r="J217" s="91"/>
      <c r="K217" s="92" t="s">
        <v>3928</v>
      </c>
      <c r="L217" s="51" t="s">
        <v>3934</v>
      </c>
      <c r="M217" s="53" t="s">
        <v>3929</v>
      </c>
      <c r="N217" s="54" t="s">
        <v>3934</v>
      </c>
      <c r="O217" s="53" t="s">
        <v>3930</v>
      </c>
      <c r="P217" s="54" t="s">
        <v>3934</v>
      </c>
      <c r="Q217" s="53" t="s">
        <v>1933</v>
      </c>
      <c r="R217" s="54" t="s">
        <v>3934</v>
      </c>
      <c r="S217" s="53" t="s">
        <v>3931</v>
      </c>
      <c r="T217" s="54" t="s">
        <v>3934</v>
      </c>
      <c r="U217" s="53" t="s">
        <v>3932</v>
      </c>
      <c r="V217" s="54" t="s">
        <v>3934</v>
      </c>
      <c r="W217" s="53" t="s">
        <v>3933</v>
      </c>
      <c r="X217" s="54" t="s">
        <v>3934</v>
      </c>
      <c r="Y217" s="53" t="s">
        <v>3935</v>
      </c>
      <c r="Z217" s="54" t="s">
        <v>3934</v>
      </c>
      <c r="AA217" s="53" t="s">
        <v>3936</v>
      </c>
      <c r="AB217" s="54" t="s">
        <v>3934</v>
      </c>
      <c r="AC217" s="53" t="s">
        <v>3937</v>
      </c>
      <c r="AD217" s="54" t="s">
        <v>3934</v>
      </c>
      <c r="AE217" s="53" t="s">
        <v>3938</v>
      </c>
      <c r="AF217" s="54" t="s">
        <v>3934</v>
      </c>
      <c r="AG217" s="53" t="s">
        <v>3939</v>
      </c>
      <c r="AH217" s="54" t="s">
        <v>3934</v>
      </c>
      <c r="AI217" s="53"/>
      <c r="AJ217" s="54"/>
      <c r="AK217" s="53"/>
      <c r="AL217" s="54"/>
      <c r="AM217" s="53"/>
      <c r="AN217" s="54"/>
      <c r="AO217" s="53"/>
      <c r="AP217" s="54"/>
      <c r="AQ217" s="53"/>
      <c r="AR217" s="54"/>
      <c r="AS217" s="53"/>
      <c r="AT217" s="54"/>
      <c r="AU217" s="53"/>
      <c r="AV217" s="54"/>
      <c r="AW217" s="53"/>
      <c r="AX217" s="54"/>
      <c r="AY217" s="53"/>
      <c r="AZ217" s="54"/>
      <c r="BA217" s="53"/>
      <c r="BB217" s="51"/>
      <c r="BC217" s="53"/>
      <c r="BD217" s="51"/>
      <c r="BE217" s="53"/>
      <c r="BF217" s="51"/>
      <c r="BG217" s="53"/>
      <c r="BH217" s="51"/>
      <c r="BI217" s="53"/>
      <c r="BJ217" s="51"/>
      <c r="BK217" s="53"/>
      <c r="BL217" s="51"/>
      <c r="BM217" s="53"/>
      <c r="BN217" s="51"/>
      <c r="BO217" s="53"/>
      <c r="BP217" s="51"/>
      <c r="BQ217" s="53"/>
      <c r="BR217" s="55"/>
    </row>
    <row r="218" spans="1:70" ht="28.5" customHeight="1">
      <c r="A218" s="67" t="str">
        <f>IF(games!A218="", "", games!A218)</f>
        <v>The King Of Fighters AFK</v>
      </c>
      <c r="B218" s="51"/>
      <c r="C218" s="51" t="str">
        <f t="shared" si="7"/>
        <v>giftcodesbanner/The King Of Fighters AFK-禮包碼.jpg</v>
      </c>
      <c r="D218" s="51" t="str">
        <f t="shared" si="8"/>
        <v>https://www.ssbuy.tw/detail_giftcode/dist/giftcodes/The King Of Fighters AFK.html</v>
      </c>
      <c r="E218" s="91"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07" t="s">
        <v>3751</v>
      </c>
      <c r="G218" s="51" t="s">
        <v>3752</v>
      </c>
      <c r="H218" s="51" t="s">
        <v>2623</v>
      </c>
      <c r="I218" s="51" t="s">
        <v>3753</v>
      </c>
      <c r="J218" s="91"/>
      <c r="K218" s="92" t="s">
        <v>4093</v>
      </c>
      <c r="L218" s="51" t="s">
        <v>4100</v>
      </c>
      <c r="M218" s="53" t="s">
        <v>4094</v>
      </c>
      <c r="N218" s="54" t="s">
        <v>4100</v>
      </c>
      <c r="O218" s="53" t="s">
        <v>4095</v>
      </c>
      <c r="P218" s="54" t="s">
        <v>4100</v>
      </c>
      <c r="Q218" s="53" t="s">
        <v>4096</v>
      </c>
      <c r="R218" s="54" t="s">
        <v>4100</v>
      </c>
      <c r="S218" s="53" t="s">
        <v>4097</v>
      </c>
      <c r="T218" s="54" t="s">
        <v>4100</v>
      </c>
      <c r="U218" s="53" t="s">
        <v>4098</v>
      </c>
      <c r="V218" s="54" t="s">
        <v>4100</v>
      </c>
      <c r="W218" s="53" t="s">
        <v>4099</v>
      </c>
      <c r="X218" s="54" t="s">
        <v>4100</v>
      </c>
      <c r="Y218" s="53"/>
      <c r="Z218" s="54"/>
      <c r="AA218" s="53"/>
      <c r="AB218" s="54"/>
      <c r="AC218" s="53"/>
      <c r="AD218" s="54"/>
      <c r="AE218" s="53"/>
      <c r="AF218" s="54"/>
      <c r="AG218" s="53"/>
      <c r="AH218" s="54"/>
      <c r="AI218" s="53"/>
      <c r="AJ218" s="54"/>
      <c r="AK218" s="53"/>
      <c r="AL218" s="54"/>
      <c r="AM218" s="53"/>
      <c r="AN218" s="54"/>
      <c r="AO218" s="53"/>
      <c r="AP218" s="54"/>
      <c r="AQ218" s="53"/>
      <c r="AR218" s="54"/>
      <c r="AS218" s="53"/>
      <c r="AT218" s="54"/>
      <c r="AU218" s="53"/>
      <c r="AV218" s="54"/>
      <c r="AW218" s="53"/>
      <c r="AX218" s="54"/>
      <c r="AY218" s="53"/>
      <c r="AZ218" s="54"/>
      <c r="BA218" s="53"/>
      <c r="BB218" s="51"/>
      <c r="BC218" s="53"/>
      <c r="BD218" s="51"/>
      <c r="BE218" s="53"/>
      <c r="BF218" s="51"/>
      <c r="BG218" s="53"/>
      <c r="BH218" s="51"/>
      <c r="BI218" s="53"/>
      <c r="BJ218" s="51"/>
      <c r="BK218" s="53"/>
      <c r="BL218" s="51"/>
      <c r="BM218" s="53"/>
      <c r="BN218" s="51"/>
      <c r="BO218" s="53"/>
      <c r="BP218" s="51"/>
      <c r="BQ218" s="53"/>
      <c r="BR218" s="55"/>
    </row>
    <row r="219" spans="1:70" ht="28.5" customHeight="1">
      <c r="A219" s="67" t="str">
        <f>IF(games!A219="", "", games!A219)</f>
        <v>邪門鬼道</v>
      </c>
      <c r="B219" s="51"/>
      <c r="C219" s="51" t="str">
        <f t="shared" si="7"/>
        <v>giftcodesbanner/邪門鬼道-禮包碼.jpg</v>
      </c>
      <c r="D219" s="51" t="str">
        <f t="shared" si="8"/>
        <v>https://www.ssbuy.tw/detail_giftcode/dist/giftcodes/邪門鬼道.html</v>
      </c>
      <c r="E219" s="91"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07" t="s">
        <v>3751</v>
      </c>
      <c r="G219" s="51" t="s">
        <v>3752</v>
      </c>
      <c r="H219" s="51" t="s">
        <v>2623</v>
      </c>
      <c r="I219" s="51" t="s">
        <v>3753</v>
      </c>
      <c r="J219" s="91"/>
      <c r="K219" s="92" t="s">
        <v>3924</v>
      </c>
      <c r="L219" s="51" t="s">
        <v>3925</v>
      </c>
      <c r="M219" s="53" t="s">
        <v>3926</v>
      </c>
      <c r="N219" s="54" t="s">
        <v>3925</v>
      </c>
      <c r="O219" s="53"/>
      <c r="P219" s="54"/>
      <c r="Q219" s="53"/>
      <c r="R219" s="54"/>
      <c r="S219" s="53"/>
      <c r="T219" s="54"/>
      <c r="U219" s="53"/>
      <c r="V219" s="54"/>
      <c r="W219" s="53"/>
      <c r="X219" s="54"/>
      <c r="Y219" s="53"/>
      <c r="Z219" s="54"/>
      <c r="AA219" s="53"/>
      <c r="AB219" s="54"/>
      <c r="AC219" s="53"/>
      <c r="AD219" s="54"/>
      <c r="AE219" s="53"/>
      <c r="AF219" s="54"/>
      <c r="AG219" s="53"/>
      <c r="AH219" s="54"/>
      <c r="AI219" s="53"/>
      <c r="AJ219" s="54"/>
      <c r="AK219" s="53"/>
      <c r="AL219" s="54"/>
      <c r="AM219" s="53"/>
      <c r="AN219" s="54"/>
      <c r="AO219" s="53"/>
      <c r="AP219" s="54"/>
      <c r="AQ219" s="53"/>
      <c r="AR219" s="54"/>
      <c r="AS219" s="53"/>
      <c r="AT219" s="54"/>
      <c r="AU219" s="53"/>
      <c r="AV219" s="54"/>
      <c r="AW219" s="53"/>
      <c r="AX219" s="54"/>
      <c r="AY219" s="53"/>
      <c r="AZ219" s="54"/>
      <c r="BA219" s="53"/>
      <c r="BB219" s="51"/>
      <c r="BC219" s="53"/>
      <c r="BD219" s="51"/>
      <c r="BE219" s="53"/>
      <c r="BF219" s="51"/>
      <c r="BG219" s="53"/>
      <c r="BH219" s="51"/>
      <c r="BI219" s="53"/>
      <c r="BJ219" s="51"/>
      <c r="BK219" s="53"/>
      <c r="BL219" s="51"/>
      <c r="BM219" s="53"/>
      <c r="BN219" s="51"/>
      <c r="BO219" s="53"/>
      <c r="BP219" s="51"/>
      <c r="BQ219" s="53"/>
      <c r="BR219" s="55"/>
    </row>
    <row r="220" spans="1:70" ht="28.5" customHeight="1">
      <c r="A220" s="67" t="str">
        <f>IF(games!A220="", "", games!A220)</f>
        <v>Wind Breaker不良英雄譚</v>
      </c>
      <c r="B220" s="51"/>
      <c r="C220" s="51" t="str">
        <f t="shared" si="7"/>
        <v>giftcodesbanner/Wind Breaker不良英雄譚-禮包碼.jpg</v>
      </c>
      <c r="D220" s="51" t="str">
        <f t="shared" si="8"/>
        <v>https://www.ssbuy.tw/detail_giftcode/dist/giftcodes/Wind Breaker不良英雄譚.html</v>
      </c>
      <c r="E220" s="91"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2" t="s">
        <v>4287</v>
      </c>
      <c r="G220" s="51" t="s">
        <v>4288</v>
      </c>
      <c r="H220" s="51"/>
      <c r="I220" s="51"/>
      <c r="J220" s="91"/>
      <c r="K220" s="92" t="s">
        <v>4289</v>
      </c>
      <c r="L220" s="51" t="s">
        <v>4307</v>
      </c>
      <c r="M220" s="53" t="s">
        <v>4290</v>
      </c>
      <c r="N220" s="54" t="s">
        <v>4308</v>
      </c>
      <c r="O220" s="53" t="s">
        <v>4291</v>
      </c>
      <c r="P220" s="54" t="s">
        <v>4309</v>
      </c>
      <c r="Q220" s="53" t="s">
        <v>4292</v>
      </c>
      <c r="R220" s="54" t="s">
        <v>4309</v>
      </c>
      <c r="S220" s="53" t="s">
        <v>4293</v>
      </c>
      <c r="T220" s="54" t="s">
        <v>4309</v>
      </c>
      <c r="U220" s="53" t="s">
        <v>4294</v>
      </c>
      <c r="V220" s="54" t="s">
        <v>4310</v>
      </c>
      <c r="W220" s="53" t="s">
        <v>4295</v>
      </c>
      <c r="X220" s="54" t="s">
        <v>4310</v>
      </c>
      <c r="Y220" s="53" t="s">
        <v>4296</v>
      </c>
      <c r="Z220" s="54" t="s">
        <v>4310</v>
      </c>
      <c r="AA220" s="53" t="s">
        <v>4297</v>
      </c>
      <c r="AB220" s="54" t="s">
        <v>4310</v>
      </c>
      <c r="AC220" s="53" t="s">
        <v>4298</v>
      </c>
      <c r="AD220" s="54" t="s">
        <v>4311</v>
      </c>
      <c r="AE220" s="53" t="s">
        <v>4299</v>
      </c>
      <c r="AF220" s="54" t="s">
        <v>4312</v>
      </c>
      <c r="AG220" s="53" t="s">
        <v>4300</v>
      </c>
      <c r="AH220" s="54" t="s">
        <v>4312</v>
      </c>
      <c r="AI220" s="53" t="s">
        <v>4301</v>
      </c>
      <c r="AJ220" s="54" t="s">
        <v>4312</v>
      </c>
      <c r="AK220" s="53" t="s">
        <v>4302</v>
      </c>
      <c r="AL220" s="62" t="s">
        <v>4313</v>
      </c>
      <c r="AM220" s="53" t="s">
        <v>4303</v>
      </c>
      <c r="AN220" s="54" t="s">
        <v>4314</v>
      </c>
      <c r="AO220" s="53" t="s">
        <v>4304</v>
      </c>
      <c r="AP220" s="54" t="s">
        <v>4315</v>
      </c>
      <c r="AQ220" s="53" t="s">
        <v>4305</v>
      </c>
      <c r="AR220" s="54" t="s">
        <v>4315</v>
      </c>
      <c r="AS220" s="53" t="s">
        <v>4306</v>
      </c>
      <c r="AT220" s="54" t="s">
        <v>4316</v>
      </c>
      <c r="AU220" s="53"/>
      <c r="AV220" s="54"/>
      <c r="AW220" s="53"/>
      <c r="AX220" s="54"/>
      <c r="AY220" s="53"/>
      <c r="AZ220" s="54"/>
      <c r="BA220" s="53"/>
      <c r="BB220" s="51"/>
      <c r="BC220" s="53"/>
      <c r="BD220" s="51"/>
      <c r="BE220" s="53"/>
      <c r="BF220" s="51"/>
      <c r="BG220" s="53"/>
      <c r="BH220" s="51"/>
      <c r="BI220" s="53"/>
      <c r="BJ220" s="51"/>
      <c r="BK220" s="53"/>
      <c r="BL220" s="51"/>
      <c r="BM220" s="53"/>
      <c r="BN220" s="51"/>
      <c r="BO220" s="53"/>
      <c r="BP220" s="51"/>
      <c r="BQ220" s="53"/>
      <c r="BR220" s="55"/>
    </row>
    <row r="221" spans="1:70" ht="28.5" customHeight="1">
      <c r="A221" s="67" t="str">
        <f>IF(games!A221="", "", games!A221)</f>
        <v>野蠻生存錄</v>
      </c>
      <c r="B221" s="51"/>
      <c r="C221" s="51" t="str">
        <f t="shared" si="7"/>
        <v>giftcodesbanner/野蠻生存錄-禮包碼.jpg</v>
      </c>
      <c r="D221" s="51" t="str">
        <f t="shared" si="8"/>
        <v>https://www.ssbuy.tw/detail_giftcode/dist/giftcodes/野蠻生存錄.html</v>
      </c>
      <c r="E221" s="91"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2" t="s">
        <v>2638</v>
      </c>
      <c r="G221" s="51" t="s">
        <v>2638</v>
      </c>
      <c r="H221" s="51"/>
      <c r="I221" s="51"/>
      <c r="J221" s="91"/>
      <c r="K221" s="92" t="s">
        <v>2638</v>
      </c>
      <c r="L221" s="51" t="s">
        <v>2638</v>
      </c>
      <c r="M221" s="53"/>
      <c r="N221" s="54"/>
      <c r="O221" s="53"/>
      <c r="P221" s="54"/>
      <c r="Q221" s="53"/>
      <c r="R221" s="54"/>
      <c r="S221" s="53"/>
      <c r="T221" s="54"/>
      <c r="U221" s="53"/>
      <c r="V221" s="54"/>
      <c r="W221" s="53"/>
      <c r="X221" s="54"/>
      <c r="Y221" s="53"/>
      <c r="Z221" s="54"/>
      <c r="AA221" s="53"/>
      <c r="AB221" s="54"/>
      <c r="AC221" s="53"/>
      <c r="AD221" s="54"/>
      <c r="AE221" s="53"/>
      <c r="AF221" s="54"/>
      <c r="AG221" s="53"/>
      <c r="AH221" s="54"/>
      <c r="AI221" s="53"/>
      <c r="AJ221" s="54"/>
      <c r="AK221" s="53"/>
      <c r="AL221" s="54"/>
      <c r="AM221" s="53"/>
      <c r="AN221" s="54"/>
      <c r="AO221" s="53"/>
      <c r="AP221" s="54"/>
      <c r="AQ221" s="53"/>
      <c r="AR221" s="54"/>
      <c r="AS221" s="53"/>
      <c r="AT221" s="54"/>
      <c r="AU221" s="53"/>
      <c r="AV221" s="54"/>
      <c r="AW221" s="53"/>
      <c r="AX221" s="54"/>
      <c r="AY221" s="53"/>
      <c r="AZ221" s="54"/>
      <c r="BA221" s="53"/>
      <c r="BB221" s="51"/>
      <c r="BC221" s="53"/>
      <c r="BD221" s="51"/>
      <c r="BE221" s="53"/>
      <c r="BF221" s="51"/>
      <c r="BG221" s="53"/>
      <c r="BH221" s="51"/>
      <c r="BI221" s="53"/>
      <c r="BJ221" s="51"/>
      <c r="BK221" s="53"/>
      <c r="BL221" s="51"/>
      <c r="BM221" s="53"/>
      <c r="BN221" s="51"/>
      <c r="BO221" s="53"/>
      <c r="BP221" s="51"/>
      <c r="BQ221" s="53"/>
      <c r="BR221" s="55"/>
    </row>
    <row r="222" spans="1:70" ht="28.5" customHeight="1">
      <c r="A222" s="67" t="str">
        <f>IF(games!A222="", "", games!A222)</f>
        <v>萬獸崛起</v>
      </c>
      <c r="B222" s="51"/>
      <c r="C222" s="51" t="str">
        <f t="shared" si="7"/>
        <v>giftcodesbanner/萬獸崛起-禮包碼.jpg</v>
      </c>
      <c r="D222" s="51" t="str">
        <f t="shared" si="8"/>
        <v>https://www.ssbuy.tw/detail_giftcode/dist/giftcodes/萬獸崛起.html</v>
      </c>
      <c r="E222" s="91"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07" t="s">
        <v>4045</v>
      </c>
      <c r="G222" s="51" t="s">
        <v>4046</v>
      </c>
      <c r="H222" s="51" t="s">
        <v>2623</v>
      </c>
      <c r="I222" s="51" t="s">
        <v>3753</v>
      </c>
      <c r="J222" s="91"/>
      <c r="K222" s="92" t="s">
        <v>4035</v>
      </c>
      <c r="L222" s="51" t="s">
        <v>4037</v>
      </c>
      <c r="M222" s="53" t="s">
        <v>4036</v>
      </c>
      <c r="N222" s="54" t="s">
        <v>4038</v>
      </c>
      <c r="O222" s="53" t="s">
        <v>4039</v>
      </c>
      <c r="P222" s="54" t="s">
        <v>4040</v>
      </c>
      <c r="Q222" s="53" t="s">
        <v>4041</v>
      </c>
      <c r="R222" s="54" t="s">
        <v>4042</v>
      </c>
      <c r="S222" s="53" t="s">
        <v>4043</v>
      </c>
      <c r="T222" s="54" t="s">
        <v>4044</v>
      </c>
      <c r="U222" s="53"/>
      <c r="V222" s="54"/>
      <c r="W222" s="53"/>
      <c r="X222" s="54"/>
      <c r="Y222" s="53"/>
      <c r="Z222" s="54"/>
      <c r="AA222" s="53"/>
      <c r="AB222" s="54"/>
      <c r="AC222" s="53"/>
      <c r="AD222" s="54"/>
      <c r="AE222" s="53"/>
      <c r="AF222" s="54"/>
      <c r="AG222" s="53"/>
      <c r="AH222" s="54"/>
      <c r="AI222" s="53"/>
      <c r="AJ222" s="54"/>
      <c r="AK222" s="53"/>
      <c r="AL222" s="54"/>
      <c r="AM222" s="53"/>
      <c r="AN222" s="54"/>
      <c r="AO222" s="53"/>
      <c r="AP222" s="54"/>
      <c r="AQ222" s="53"/>
      <c r="AR222" s="54"/>
      <c r="AS222" s="53"/>
      <c r="AT222" s="54"/>
      <c r="AU222" s="53"/>
      <c r="AV222" s="54"/>
      <c r="AW222" s="53"/>
      <c r="AX222" s="54"/>
      <c r="AY222" s="53"/>
      <c r="AZ222" s="54"/>
      <c r="BA222" s="53"/>
      <c r="BB222" s="51"/>
      <c r="BC222" s="53"/>
      <c r="BD222" s="51"/>
      <c r="BE222" s="53"/>
      <c r="BF222" s="51"/>
      <c r="BG222" s="53"/>
      <c r="BH222" s="51"/>
      <c r="BI222" s="53"/>
      <c r="BJ222" s="51"/>
      <c r="BK222" s="53"/>
      <c r="BL222" s="51"/>
      <c r="BM222" s="53"/>
      <c r="BN222" s="51"/>
      <c r="BO222" s="53"/>
      <c r="BP222" s="51"/>
      <c r="BQ222" s="53"/>
      <c r="BR222" s="55"/>
    </row>
    <row r="223" spans="1:70" ht="28.5" customHeight="1">
      <c r="A223" s="67" t="str">
        <f>IF(games!A223="", "", games!A223)</f>
        <v>劍靈神域</v>
      </c>
      <c r="B223" s="51"/>
      <c r="C223" s="51" t="str">
        <f t="shared" si="7"/>
        <v>giftcodesbanner/劍靈神域-禮包碼.jpg</v>
      </c>
      <c r="D223" s="51" t="str">
        <f t="shared" si="8"/>
        <v>https://www.ssbuy.tw/detail_giftcode/dist/giftcodes/劍靈神域.html</v>
      </c>
      <c r="E223" s="91"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07" t="s">
        <v>4076</v>
      </c>
      <c r="G223" s="51" t="s">
        <v>2623</v>
      </c>
      <c r="H223" s="51" t="s">
        <v>3753</v>
      </c>
      <c r="I223" s="51"/>
      <c r="J223" s="91"/>
      <c r="K223" s="92" t="s">
        <v>4070</v>
      </c>
      <c r="L223" s="51" t="s">
        <v>4074</v>
      </c>
      <c r="M223" s="53" t="s">
        <v>4071</v>
      </c>
      <c r="N223" s="54" t="s">
        <v>4075</v>
      </c>
      <c r="O223" s="53" t="s">
        <v>4072</v>
      </c>
      <c r="P223" s="54" t="s">
        <v>4075</v>
      </c>
      <c r="Q223" s="53" t="s">
        <v>4073</v>
      </c>
      <c r="R223" s="54" t="s">
        <v>4075</v>
      </c>
      <c r="S223" s="53"/>
      <c r="T223" s="54"/>
      <c r="U223" s="53"/>
      <c r="V223" s="54"/>
      <c r="W223" s="53"/>
      <c r="X223" s="54"/>
      <c r="Y223" s="53"/>
      <c r="Z223" s="54"/>
      <c r="AA223" s="53"/>
      <c r="AB223" s="54"/>
      <c r="AC223" s="53"/>
      <c r="AD223" s="54"/>
      <c r="AE223" s="53"/>
      <c r="AF223" s="54"/>
      <c r="AG223" s="53"/>
      <c r="AH223" s="54"/>
      <c r="AI223" s="53"/>
      <c r="AJ223" s="54"/>
      <c r="AK223" s="53"/>
      <c r="AL223" s="54"/>
      <c r="AM223" s="53"/>
      <c r="AN223" s="54"/>
      <c r="AO223" s="53"/>
      <c r="AP223" s="54"/>
      <c r="AQ223" s="53"/>
      <c r="AR223" s="54"/>
      <c r="AS223" s="53"/>
      <c r="AT223" s="54"/>
      <c r="AU223" s="53"/>
      <c r="AV223" s="54"/>
      <c r="AW223" s="53"/>
      <c r="AX223" s="54"/>
      <c r="AY223" s="53"/>
      <c r="AZ223" s="54"/>
      <c r="BA223" s="53"/>
      <c r="BB223" s="51"/>
      <c r="BC223" s="53"/>
      <c r="BD223" s="51"/>
      <c r="BE223" s="53"/>
      <c r="BF223" s="51"/>
      <c r="BG223" s="53"/>
      <c r="BH223" s="51"/>
      <c r="BI223" s="53"/>
      <c r="BJ223" s="51"/>
      <c r="BK223" s="53"/>
      <c r="BL223" s="51"/>
      <c r="BM223" s="53"/>
      <c r="BN223" s="51"/>
      <c r="BO223" s="53"/>
      <c r="BP223" s="51"/>
      <c r="BQ223" s="53"/>
      <c r="BR223" s="55"/>
    </row>
    <row r="224" spans="1:70" ht="28.5" customHeight="1">
      <c r="A224" s="67" t="str">
        <f>IF(games!A224="", "", games!A224)</f>
        <v>國王駕到！堡堡大作戰</v>
      </c>
      <c r="B224" s="51"/>
      <c r="C224" s="51" t="str">
        <f t="shared" si="7"/>
        <v>giftcodesbanner/國王駕到！堡堡大作戰-禮包碼.jpg</v>
      </c>
      <c r="D224" s="51" t="str">
        <f t="shared" si="8"/>
        <v>https://www.ssbuy.tw/detail_giftcode/dist/giftcodes/國王駕到！堡堡大作戰.html</v>
      </c>
      <c r="E224" s="91"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07" t="s">
        <v>4087</v>
      </c>
      <c r="G224" s="51" t="s">
        <v>4088</v>
      </c>
      <c r="H224" s="51" t="s">
        <v>4089</v>
      </c>
      <c r="I224" s="51" t="s">
        <v>2623</v>
      </c>
      <c r="J224" s="91" t="s">
        <v>3753</v>
      </c>
      <c r="K224" s="92" t="s">
        <v>4081</v>
      </c>
      <c r="L224" s="51" t="s">
        <v>4090</v>
      </c>
      <c r="M224" s="53" t="s">
        <v>4082</v>
      </c>
      <c r="N224" s="54" t="s">
        <v>4091</v>
      </c>
      <c r="O224" s="53" t="s">
        <v>4138</v>
      </c>
      <c r="P224" s="54" t="s">
        <v>4142</v>
      </c>
      <c r="Q224" s="53" t="s">
        <v>4137</v>
      </c>
      <c r="R224" s="54" t="s">
        <v>4142</v>
      </c>
      <c r="S224" s="53" t="s">
        <v>4139</v>
      </c>
      <c r="T224" s="54" t="s">
        <v>4142</v>
      </c>
      <c r="U224" s="53" t="s">
        <v>4140</v>
      </c>
      <c r="V224" s="54" t="s">
        <v>4142</v>
      </c>
      <c r="W224" s="53" t="s">
        <v>4141</v>
      </c>
      <c r="X224" s="54" t="s">
        <v>4142</v>
      </c>
      <c r="Y224" s="53" t="s">
        <v>4797</v>
      </c>
      <c r="Z224" s="54"/>
      <c r="AA224" s="53"/>
      <c r="AB224" s="54"/>
      <c r="AC224" s="53"/>
      <c r="AD224" s="54"/>
      <c r="AE224" s="53"/>
      <c r="AF224" s="54"/>
      <c r="AG224" s="53"/>
      <c r="AH224" s="54"/>
      <c r="AI224" s="53"/>
      <c r="AJ224" s="54"/>
      <c r="AK224" s="53"/>
      <c r="AL224" s="54"/>
      <c r="AM224" s="53"/>
      <c r="AN224" s="54"/>
      <c r="AO224" s="53"/>
      <c r="AP224" s="54"/>
      <c r="AQ224" s="53"/>
      <c r="AR224" s="54"/>
      <c r="AS224" s="53"/>
      <c r="AT224" s="54"/>
      <c r="AU224" s="53"/>
      <c r="AV224" s="54"/>
      <c r="AW224" s="53"/>
      <c r="AX224" s="54"/>
      <c r="AY224" s="53"/>
      <c r="AZ224" s="54"/>
      <c r="BA224" s="53"/>
      <c r="BB224" s="51"/>
      <c r="BC224" s="53"/>
      <c r="BD224" s="51"/>
      <c r="BE224" s="53"/>
      <c r="BF224" s="51"/>
      <c r="BG224" s="53"/>
      <c r="BH224" s="51"/>
      <c r="BI224" s="53"/>
      <c r="BJ224" s="51"/>
      <c r="BK224" s="53"/>
      <c r="BL224" s="51"/>
      <c r="BM224" s="53"/>
      <c r="BN224" s="51"/>
      <c r="BO224" s="53"/>
      <c r="BP224" s="51"/>
      <c r="BQ224" s="53"/>
      <c r="BR224" s="55"/>
    </row>
    <row r="225" spans="1:70" ht="28.5" customHeight="1">
      <c r="A225" s="67" t="str">
        <f>IF(games!A225="", "", games!A225)</f>
        <v>阿瑞斯：命運的選擇者</v>
      </c>
      <c r="B225" s="51"/>
      <c r="C225" s="51" t="str">
        <f t="shared" si="7"/>
        <v>giftcodesbanner/阿瑞斯：命運的選擇者-禮包碼.jpg</v>
      </c>
      <c r="D225" s="51" t="str">
        <f t="shared" si="8"/>
        <v>https://www.ssbuy.tw/detail_giftcode/dist/giftcodes/阿瑞斯：命運的選擇者.html</v>
      </c>
      <c r="E225" s="91"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09" t="s">
        <v>4378</v>
      </c>
      <c r="G225" s="74" t="s">
        <v>4379</v>
      </c>
      <c r="H225" s="74" t="s">
        <v>4380</v>
      </c>
      <c r="I225" s="74" t="s">
        <v>4381</v>
      </c>
      <c r="J225" s="96" t="s">
        <v>4382</v>
      </c>
      <c r="K225" s="97" t="s">
        <v>4364</v>
      </c>
      <c r="L225" s="51" t="s">
        <v>2638</v>
      </c>
      <c r="M225" s="53" t="s">
        <v>4365</v>
      </c>
      <c r="N225" s="54"/>
      <c r="O225" s="53" t="s">
        <v>4366</v>
      </c>
      <c r="P225" s="54"/>
      <c r="Q225" s="53" t="s">
        <v>4367</v>
      </c>
      <c r="R225" s="54"/>
      <c r="S225" s="53" t="s">
        <v>4368</v>
      </c>
      <c r="T225" s="54"/>
      <c r="U225" s="53" t="s">
        <v>4369</v>
      </c>
      <c r="V225" s="54"/>
      <c r="W225" s="53" t="s">
        <v>4370</v>
      </c>
      <c r="X225" s="54"/>
      <c r="Y225" s="53" t="s">
        <v>4371</v>
      </c>
      <c r="Z225" s="54"/>
      <c r="AA225" s="53" t="s">
        <v>4372</v>
      </c>
      <c r="AB225" s="54"/>
      <c r="AC225" s="53" t="s">
        <v>4373</v>
      </c>
      <c r="AD225" s="54"/>
      <c r="AE225" s="53" t="s">
        <v>4374</v>
      </c>
      <c r="AF225" s="54"/>
      <c r="AG225" s="53" t="s">
        <v>4375</v>
      </c>
      <c r="AH225" s="54"/>
      <c r="AI225" s="53" t="s">
        <v>4376</v>
      </c>
      <c r="AJ225" s="54"/>
      <c r="AK225" s="53" t="s">
        <v>4377</v>
      </c>
      <c r="AL225" s="54"/>
      <c r="AM225" s="53"/>
      <c r="AN225" s="54"/>
      <c r="AO225" s="53"/>
      <c r="AP225" s="54"/>
      <c r="AQ225" s="53"/>
      <c r="AR225" s="54"/>
      <c r="AS225" s="53"/>
      <c r="AT225" s="54"/>
      <c r="AU225" s="53"/>
      <c r="AV225" s="54"/>
      <c r="AW225" s="53"/>
      <c r="AX225" s="54"/>
      <c r="AY225" s="53"/>
      <c r="AZ225" s="54"/>
      <c r="BA225" s="53"/>
      <c r="BB225" s="51"/>
      <c r="BC225" s="53"/>
      <c r="BD225" s="51"/>
      <c r="BE225" s="53"/>
      <c r="BF225" s="51"/>
      <c r="BG225" s="53"/>
      <c r="BH225" s="51"/>
      <c r="BI225" s="53"/>
      <c r="BJ225" s="51"/>
      <c r="BK225" s="53"/>
      <c r="BL225" s="51"/>
      <c r="BM225" s="53"/>
      <c r="BN225" s="51"/>
      <c r="BO225" s="53"/>
      <c r="BP225" s="51"/>
      <c r="BQ225" s="53"/>
      <c r="BR225" s="55"/>
    </row>
    <row r="226" spans="1:70" ht="28.5" customHeight="1">
      <c r="A226" s="67" t="str">
        <f>IF(games!A226="", "", games!A226)</f>
        <v>Draft showdown</v>
      </c>
      <c r="B226" s="51"/>
      <c r="C226" s="51" t="str">
        <f t="shared" si="7"/>
        <v>giftcodesbanner/Draft showdown-禮包碼.jpg</v>
      </c>
      <c r="D226" s="51" t="str">
        <f t="shared" si="8"/>
        <v>https://www.ssbuy.tw/detail_giftcode/dist/giftcodes/Draft showdown.html</v>
      </c>
      <c r="E226" s="91"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2" t="s">
        <v>2638</v>
      </c>
      <c r="G226" s="51" t="s">
        <v>2638</v>
      </c>
      <c r="H226" s="51"/>
      <c r="I226" s="51"/>
      <c r="J226" s="91"/>
      <c r="K226" s="92" t="s">
        <v>2638</v>
      </c>
      <c r="L226" s="51" t="s">
        <v>2638</v>
      </c>
      <c r="M226" s="53"/>
      <c r="N226" s="54"/>
      <c r="O226" s="53"/>
      <c r="P226" s="54"/>
      <c r="Q226" s="53"/>
      <c r="R226" s="54"/>
      <c r="S226" s="53"/>
      <c r="T226" s="54"/>
      <c r="U226" s="53"/>
      <c r="V226" s="54"/>
      <c r="W226" s="53"/>
      <c r="X226" s="54"/>
      <c r="Y226" s="53"/>
      <c r="Z226" s="54"/>
      <c r="AA226" s="53"/>
      <c r="AB226" s="54"/>
      <c r="AC226" s="53"/>
      <c r="AD226" s="54"/>
      <c r="AE226" s="53"/>
      <c r="AF226" s="54"/>
      <c r="AG226" s="53"/>
      <c r="AH226" s="54"/>
      <c r="AI226" s="53"/>
      <c r="AJ226" s="54"/>
      <c r="AK226" s="53"/>
      <c r="AL226" s="54"/>
      <c r="AM226" s="53"/>
      <c r="AN226" s="54"/>
      <c r="AO226" s="53"/>
      <c r="AP226" s="54"/>
      <c r="AQ226" s="53"/>
      <c r="AR226" s="54"/>
      <c r="AS226" s="53"/>
      <c r="AT226" s="54"/>
      <c r="AU226" s="53"/>
      <c r="AV226" s="54"/>
      <c r="AW226" s="53"/>
      <c r="AX226" s="54"/>
      <c r="AY226" s="53"/>
      <c r="AZ226" s="54"/>
      <c r="BA226" s="53"/>
      <c r="BB226" s="51"/>
      <c r="BC226" s="53"/>
      <c r="BD226" s="51"/>
      <c r="BE226" s="53"/>
      <c r="BF226" s="51"/>
      <c r="BG226" s="53"/>
      <c r="BH226" s="51"/>
      <c r="BI226" s="53"/>
      <c r="BJ226" s="51"/>
      <c r="BK226" s="53"/>
      <c r="BL226" s="51"/>
      <c r="BM226" s="53"/>
      <c r="BN226" s="51"/>
      <c r="BO226" s="53"/>
      <c r="BP226" s="51"/>
      <c r="BQ226" s="53"/>
      <c r="BR226" s="55"/>
    </row>
    <row r="227" spans="1:70" ht="28.5" customHeight="1">
      <c r="A227" s="67" t="str">
        <f>IF(games!A227="", "", games!A227)</f>
        <v>魔鏡2：瘋狂的蛇姬</v>
      </c>
      <c r="B227" s="51"/>
      <c r="C227" s="51" t="str">
        <f t="shared" si="7"/>
        <v>giftcodesbanner/魔鏡2：瘋狂的蛇姬-禮包碼.jpg</v>
      </c>
      <c r="D227" s="51" t="str">
        <f t="shared" si="8"/>
        <v>https://www.ssbuy.tw/detail_giftcode/dist/giftcodes/魔鏡2：瘋狂的蛇姬.html</v>
      </c>
      <c r="E227" s="91"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07" t="s">
        <v>3751</v>
      </c>
      <c r="G227" s="51" t="s">
        <v>3752</v>
      </c>
      <c r="H227" s="51" t="s">
        <v>2623</v>
      </c>
      <c r="I227" s="51" t="s">
        <v>3753</v>
      </c>
      <c r="J227" s="91"/>
      <c r="K227" s="92" t="s">
        <v>4250</v>
      </c>
      <c r="L227" s="51"/>
      <c r="M227" s="53" t="s">
        <v>4251</v>
      </c>
      <c r="N227" s="54"/>
      <c r="O227" s="53" t="s">
        <v>4252</v>
      </c>
      <c r="P227" s="54"/>
      <c r="Q227" s="53" t="s">
        <v>4383</v>
      </c>
      <c r="R227" s="54" t="s">
        <v>4386</v>
      </c>
      <c r="S227" s="53" t="s">
        <v>4384</v>
      </c>
      <c r="T227" s="54" t="s">
        <v>4386</v>
      </c>
      <c r="U227" s="53" t="s">
        <v>4385</v>
      </c>
      <c r="V227" s="54" t="s">
        <v>4386</v>
      </c>
      <c r="W227" s="53" t="s">
        <v>4777</v>
      </c>
      <c r="X227" s="54"/>
      <c r="Y227" s="53" t="s">
        <v>4778</v>
      </c>
      <c r="Z227" s="54"/>
      <c r="AA227" s="76" t="s">
        <v>4847</v>
      </c>
      <c r="AB227" s="54"/>
      <c r="AC227" s="53" t="s">
        <v>4961</v>
      </c>
      <c r="AD227" s="54"/>
      <c r="AE227" s="53" t="s">
        <v>4962</v>
      </c>
      <c r="AF227" s="54"/>
      <c r="AG227" s="53" t="s">
        <v>4963</v>
      </c>
      <c r="AH227" s="54"/>
      <c r="AI227" s="53" t="s">
        <v>4986</v>
      </c>
      <c r="AJ227" s="54"/>
      <c r="AK227" s="53"/>
      <c r="AL227" s="54"/>
      <c r="AM227" s="53"/>
      <c r="AN227" s="54"/>
      <c r="AO227" s="53"/>
      <c r="AP227" s="54"/>
      <c r="AQ227" s="53"/>
      <c r="AR227" s="54"/>
      <c r="AS227" s="53"/>
      <c r="AT227" s="54"/>
      <c r="AU227" s="53"/>
      <c r="AV227" s="54"/>
      <c r="AW227" s="53"/>
      <c r="AX227" s="54"/>
      <c r="AY227" s="53"/>
      <c r="AZ227" s="54"/>
      <c r="BA227" s="53"/>
      <c r="BB227" s="51"/>
      <c r="BC227" s="53"/>
      <c r="BD227" s="51"/>
      <c r="BE227" s="53"/>
      <c r="BF227" s="51"/>
      <c r="BG227" s="53"/>
      <c r="BH227" s="51"/>
      <c r="BI227" s="53"/>
      <c r="BJ227" s="51"/>
      <c r="BK227" s="53"/>
      <c r="BL227" s="51"/>
      <c r="BM227" s="53"/>
      <c r="BN227" s="51"/>
      <c r="BO227" s="53"/>
      <c r="BP227" s="51"/>
      <c r="BQ227" s="53"/>
      <c r="BR227" s="55"/>
    </row>
    <row r="228" spans="1:70" ht="28.5" customHeight="1">
      <c r="A228" s="67" t="str">
        <f>IF(games!A228="", "", games!A228)</f>
        <v>量子機動隊</v>
      </c>
      <c r="B228" s="51"/>
      <c r="C228" s="51" t="str">
        <f t="shared" si="7"/>
        <v>giftcodesbanner/量子機動隊-禮包碼.jpg</v>
      </c>
      <c r="D228" s="51" t="str">
        <f t="shared" si="8"/>
        <v>https://www.ssbuy.tw/detail_giftcode/dist/giftcodes/量子機動隊.html</v>
      </c>
      <c r="E228" s="91"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07" t="s">
        <v>4510</v>
      </c>
      <c r="G228" s="51" t="s">
        <v>4511</v>
      </c>
      <c r="H228" s="51" t="s">
        <v>2623</v>
      </c>
      <c r="I228" s="51" t="s">
        <v>3753</v>
      </c>
      <c r="J228" s="91"/>
      <c r="K228" s="97" t="s">
        <v>1782</v>
      </c>
      <c r="L228" s="51"/>
      <c r="M228" s="53" t="s">
        <v>1714</v>
      </c>
      <c r="N228" s="54"/>
      <c r="O228" s="53" t="s">
        <v>1715</v>
      </c>
      <c r="P228" s="54"/>
      <c r="Q228" s="53" t="s">
        <v>1820</v>
      </c>
      <c r="R228" s="54"/>
      <c r="S228" s="53" t="s">
        <v>4507</v>
      </c>
      <c r="T228" s="54"/>
      <c r="U228" s="53" t="s">
        <v>4508</v>
      </c>
      <c r="V228" s="54"/>
      <c r="W228" s="53" t="s">
        <v>4509</v>
      </c>
      <c r="X228" s="54"/>
      <c r="Y228" s="53" t="s">
        <v>2540</v>
      </c>
      <c r="Z228" s="54"/>
      <c r="AA228" s="53" t="s">
        <v>4725</v>
      </c>
      <c r="AB228" s="54"/>
      <c r="AC228" s="53" t="s">
        <v>4726</v>
      </c>
      <c r="AD228" s="54"/>
      <c r="AE228" s="53"/>
      <c r="AF228" s="54"/>
      <c r="AG228" s="53"/>
      <c r="AH228" s="54"/>
      <c r="AI228" s="53"/>
      <c r="AJ228" s="54"/>
      <c r="AK228" s="53"/>
      <c r="AL228" s="54"/>
      <c r="AM228" s="53"/>
      <c r="AN228" s="54"/>
      <c r="AO228" s="53"/>
      <c r="AP228" s="54"/>
      <c r="AQ228" s="53"/>
      <c r="AR228" s="54"/>
      <c r="AS228" s="53"/>
      <c r="AT228" s="54"/>
      <c r="AU228" s="53"/>
      <c r="AV228" s="54"/>
      <c r="AW228" s="53"/>
      <c r="AX228" s="54"/>
      <c r="AY228" s="53"/>
      <c r="AZ228" s="54"/>
      <c r="BA228" s="53"/>
      <c r="BB228" s="51"/>
      <c r="BC228" s="53"/>
      <c r="BD228" s="51"/>
      <c r="BE228" s="53"/>
      <c r="BF228" s="51"/>
      <c r="BG228" s="53"/>
      <c r="BH228" s="51"/>
      <c r="BI228" s="53"/>
      <c r="BJ228" s="51"/>
      <c r="BK228" s="53"/>
      <c r="BL228" s="51"/>
      <c r="BM228" s="53"/>
      <c r="BN228" s="51"/>
      <c r="BO228" s="53"/>
      <c r="BP228" s="51"/>
      <c r="BQ228" s="53"/>
      <c r="BR228" s="55"/>
    </row>
    <row r="229" spans="1:70" ht="28.5" customHeight="1">
      <c r="A229" s="67" t="str">
        <f>IF(games!A229="", "", games!A229)</f>
        <v>呷飽未？殭殭醬</v>
      </c>
      <c r="B229" s="51"/>
      <c r="C229" s="51" t="str">
        <f t="shared" si="7"/>
        <v>giftcodesbanner/呷飽未？殭殭醬-禮包碼.jpg</v>
      </c>
      <c r="D229" s="51" t="str">
        <f t="shared" si="8"/>
        <v>https://www.ssbuy.tw/detail_giftcode/dist/giftcodes/呷飽未？殭殭醬.html</v>
      </c>
      <c r="E229" s="91"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2" t="s">
        <v>4285</v>
      </c>
      <c r="G229" s="51" t="s">
        <v>4286</v>
      </c>
      <c r="H229" s="51" t="s">
        <v>2623</v>
      </c>
      <c r="I229" s="51" t="s">
        <v>3753</v>
      </c>
      <c r="J229" s="91"/>
      <c r="K229" s="92" t="s">
        <v>4283</v>
      </c>
      <c r="L229" s="74" t="s">
        <v>4284</v>
      </c>
      <c r="M229" s="53"/>
      <c r="N229" s="54"/>
      <c r="O229" s="53"/>
      <c r="P229" s="54"/>
      <c r="Q229" s="53"/>
      <c r="R229" s="54"/>
      <c r="S229" s="53"/>
      <c r="T229" s="54"/>
      <c r="U229" s="53"/>
      <c r="V229" s="54"/>
      <c r="W229" s="53"/>
      <c r="X229" s="54"/>
      <c r="Y229" s="53"/>
      <c r="Z229" s="54"/>
      <c r="AA229" s="53"/>
      <c r="AB229" s="54"/>
      <c r="AC229" s="53"/>
      <c r="AD229" s="54"/>
      <c r="AE229" s="53"/>
      <c r="AF229" s="54"/>
      <c r="AG229" s="53"/>
      <c r="AH229" s="54"/>
      <c r="AI229" s="53"/>
      <c r="AJ229" s="54"/>
      <c r="AK229" s="53"/>
      <c r="AL229" s="54"/>
      <c r="AM229" s="53"/>
      <c r="AN229" s="54"/>
      <c r="AO229" s="53"/>
      <c r="AP229" s="54"/>
      <c r="AQ229" s="53"/>
      <c r="AR229" s="54"/>
      <c r="AS229" s="53"/>
      <c r="AT229" s="54"/>
      <c r="AU229" s="53"/>
      <c r="AV229" s="54"/>
      <c r="AW229" s="53"/>
      <c r="AX229" s="54"/>
      <c r="AY229" s="53"/>
      <c r="AZ229" s="54"/>
      <c r="BA229" s="53"/>
      <c r="BB229" s="51"/>
      <c r="BC229" s="53"/>
      <c r="BD229" s="51"/>
      <c r="BE229" s="53"/>
      <c r="BF229" s="51"/>
      <c r="BG229" s="53"/>
      <c r="BH229" s="51"/>
      <c r="BI229" s="53"/>
      <c r="BJ229" s="51"/>
      <c r="BK229" s="53"/>
      <c r="BL229" s="51"/>
      <c r="BM229" s="53"/>
      <c r="BN229" s="51"/>
      <c r="BO229" s="53"/>
      <c r="BP229" s="51"/>
      <c r="BQ229" s="53"/>
      <c r="BR229" s="55"/>
    </row>
    <row r="230" spans="1:70" ht="28.5" customHeight="1">
      <c r="A230" s="67" t="str">
        <f>IF(games!A230="", "", games!A230)</f>
        <v>XXL猛漢町</v>
      </c>
      <c r="B230" s="51"/>
      <c r="C230" s="51" t="str">
        <f t="shared" si="7"/>
        <v>giftcodesbanner/XXL猛漢町-禮包碼.jpg</v>
      </c>
      <c r="D230" s="51" t="str">
        <f t="shared" si="8"/>
        <v>https://www.ssbuy.tw/detail_giftcode/dist/giftcodes/XXL猛漢町.html</v>
      </c>
      <c r="E230" s="91"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07" t="s">
        <v>4207</v>
      </c>
      <c r="G230" s="51" t="s">
        <v>4208</v>
      </c>
      <c r="H230" s="51" t="s">
        <v>2623</v>
      </c>
      <c r="I230" s="51" t="s">
        <v>4209</v>
      </c>
      <c r="J230" s="91"/>
      <c r="K230" s="92" t="s">
        <v>4201</v>
      </c>
      <c r="L230" s="51" t="s">
        <v>4199</v>
      </c>
      <c r="M230" s="53" t="s">
        <v>4202</v>
      </c>
      <c r="N230" s="54" t="s">
        <v>4200</v>
      </c>
      <c r="O230" s="53" t="s">
        <v>4203</v>
      </c>
      <c r="P230" s="54" t="s">
        <v>4205</v>
      </c>
      <c r="Q230" s="53" t="s">
        <v>4204</v>
      </c>
      <c r="R230" s="54" t="s">
        <v>4206</v>
      </c>
      <c r="S230" s="53" t="s">
        <v>4210</v>
      </c>
      <c r="T230" s="54" t="s">
        <v>4211</v>
      </c>
      <c r="U230" s="53" t="s">
        <v>4212</v>
      </c>
      <c r="V230" s="54" t="s">
        <v>4213</v>
      </c>
      <c r="W230" s="53" t="s">
        <v>4214</v>
      </c>
      <c r="X230" s="54" t="s">
        <v>4215</v>
      </c>
      <c r="Y230" s="53" t="s">
        <v>4216</v>
      </c>
      <c r="Z230" s="54" t="s">
        <v>4227</v>
      </c>
      <c r="AA230" s="53" t="s">
        <v>4217</v>
      </c>
      <c r="AB230" s="54" t="s">
        <v>4226</v>
      </c>
      <c r="AC230" s="53" t="s">
        <v>4218</v>
      </c>
      <c r="AD230" s="54" t="s">
        <v>4225</v>
      </c>
      <c r="AE230" s="53" t="s">
        <v>4219</v>
      </c>
      <c r="AF230" s="54" t="s">
        <v>4224</v>
      </c>
      <c r="AG230" s="53" t="s">
        <v>4220</v>
      </c>
      <c r="AH230" s="54" t="s">
        <v>4223</v>
      </c>
      <c r="AI230" s="53" t="s">
        <v>4221</v>
      </c>
      <c r="AJ230" s="54" t="s">
        <v>4222</v>
      </c>
      <c r="AK230" s="53"/>
      <c r="AL230" s="54"/>
      <c r="AM230" s="53"/>
      <c r="AN230" s="54"/>
      <c r="AO230" s="53"/>
      <c r="AP230" s="54"/>
      <c r="AQ230" s="53"/>
      <c r="AR230" s="54"/>
      <c r="AS230" s="53"/>
      <c r="AT230" s="54"/>
      <c r="AU230" s="53"/>
      <c r="AV230" s="54"/>
      <c r="AW230" s="53"/>
      <c r="AX230" s="54"/>
      <c r="AY230" s="53"/>
      <c r="AZ230" s="54"/>
      <c r="BA230" s="53"/>
      <c r="BB230" s="51"/>
      <c r="BC230" s="53"/>
      <c r="BD230" s="51"/>
      <c r="BE230" s="53"/>
      <c r="BF230" s="51"/>
      <c r="BG230" s="53"/>
      <c r="BH230" s="51"/>
      <c r="BI230" s="53"/>
      <c r="BJ230" s="51"/>
      <c r="BK230" s="53"/>
      <c r="BL230" s="51"/>
      <c r="BM230" s="53"/>
      <c r="BN230" s="51"/>
      <c r="BO230" s="53"/>
      <c r="BP230" s="51"/>
      <c r="BQ230" s="53"/>
      <c r="BR230" s="55"/>
    </row>
    <row r="231" spans="1:70" ht="28.5" customHeight="1">
      <c r="A231" s="67" t="str">
        <f>IF(games!A231="", "", games!A231)</f>
        <v>Dead Impact：Survival Online</v>
      </c>
      <c r="B231" s="51"/>
      <c r="C231" s="51" t="str">
        <f t="shared" si="7"/>
        <v>giftcodesbanner/Dead Impact：Survival Online-禮包碼.jpg</v>
      </c>
      <c r="D231" s="51" t="str">
        <f t="shared" si="8"/>
        <v>https://www.ssbuy.tw/detail_giftcode/dist/giftcodes/Dead Impact：Survival Online.html</v>
      </c>
      <c r="E231" s="91"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2" t="s">
        <v>2638</v>
      </c>
      <c r="G231" s="51" t="s">
        <v>2638</v>
      </c>
      <c r="H231" s="51"/>
      <c r="I231" s="51"/>
      <c r="J231" s="91"/>
      <c r="K231" s="92" t="s">
        <v>2638</v>
      </c>
      <c r="L231" s="51" t="s">
        <v>2638</v>
      </c>
      <c r="M231" s="53"/>
      <c r="N231" s="54"/>
      <c r="O231" s="53"/>
      <c r="P231" s="54"/>
      <c r="Q231" s="53"/>
      <c r="R231" s="54"/>
      <c r="S231" s="53"/>
      <c r="T231" s="54"/>
      <c r="U231" s="53"/>
      <c r="V231" s="54"/>
      <c r="W231" s="53"/>
      <c r="X231" s="54"/>
      <c r="Y231" s="53"/>
      <c r="Z231" s="54"/>
      <c r="AA231" s="53"/>
      <c r="AB231" s="54"/>
      <c r="AC231" s="53"/>
      <c r="AD231" s="54"/>
      <c r="AE231" s="53"/>
      <c r="AF231" s="54"/>
      <c r="AG231" s="53"/>
      <c r="AH231" s="54"/>
      <c r="AI231" s="53"/>
      <c r="AJ231" s="54"/>
      <c r="AK231" s="53"/>
      <c r="AL231" s="54"/>
      <c r="AM231" s="53"/>
      <c r="AN231" s="54"/>
      <c r="AO231" s="53"/>
      <c r="AP231" s="54"/>
      <c r="AQ231" s="53"/>
      <c r="AR231" s="54"/>
      <c r="AS231" s="53"/>
      <c r="AT231" s="54"/>
      <c r="AU231" s="53"/>
      <c r="AV231" s="54"/>
      <c r="AW231" s="53"/>
      <c r="AX231" s="54"/>
      <c r="AY231" s="53"/>
      <c r="AZ231" s="54"/>
      <c r="BA231" s="53"/>
      <c r="BB231" s="51"/>
      <c r="BC231" s="53"/>
      <c r="BD231" s="51"/>
      <c r="BE231" s="53"/>
      <c r="BF231" s="51"/>
      <c r="BG231" s="53"/>
      <c r="BH231" s="51"/>
      <c r="BI231" s="53"/>
      <c r="BJ231" s="51"/>
      <c r="BK231" s="53"/>
      <c r="BL231" s="51"/>
      <c r="BM231" s="53"/>
      <c r="BN231" s="51"/>
      <c r="BO231" s="53"/>
      <c r="BP231" s="51"/>
      <c r="BQ231" s="53"/>
      <c r="BR231" s="55"/>
    </row>
    <row r="232" spans="1:70" ht="28.5" customHeight="1">
      <c r="A232" s="67" t="str">
        <f>IF(games!A232="", "", games!A232)</f>
        <v>無限子彈</v>
      </c>
      <c r="B232" s="51"/>
      <c r="C232" s="51" t="str">
        <f t="shared" si="7"/>
        <v>giftcodesbanner/無限子彈-禮包碼.jpg</v>
      </c>
      <c r="D232" s="51" t="str">
        <f t="shared" si="8"/>
        <v>https://www.ssbuy.tw/detail_giftcode/dist/giftcodes/無限子彈.html</v>
      </c>
      <c r="E232" s="91"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2" t="s">
        <v>2638</v>
      </c>
      <c r="G232" s="51" t="s">
        <v>2638</v>
      </c>
      <c r="H232" s="51"/>
      <c r="I232" s="51"/>
      <c r="J232" s="91"/>
      <c r="K232" s="92" t="s">
        <v>2638</v>
      </c>
      <c r="L232" s="51" t="s">
        <v>2638</v>
      </c>
      <c r="M232" s="53"/>
      <c r="N232" s="54"/>
      <c r="O232" s="53"/>
      <c r="P232" s="54"/>
      <c r="Q232" s="53"/>
      <c r="R232" s="54"/>
      <c r="S232" s="53"/>
      <c r="T232" s="54"/>
      <c r="U232" s="53"/>
      <c r="V232" s="54"/>
      <c r="W232" s="53"/>
      <c r="X232" s="54"/>
      <c r="Y232" s="53"/>
      <c r="Z232" s="54"/>
      <c r="AA232" s="53"/>
      <c r="AB232" s="54"/>
      <c r="AC232" s="53"/>
      <c r="AD232" s="54"/>
      <c r="AE232" s="53"/>
      <c r="AF232" s="54"/>
      <c r="AG232" s="53"/>
      <c r="AH232" s="54"/>
      <c r="AI232" s="53"/>
      <c r="AJ232" s="54"/>
      <c r="AK232" s="53"/>
      <c r="AL232" s="54"/>
      <c r="AM232" s="53"/>
      <c r="AN232" s="54"/>
      <c r="AO232" s="53"/>
      <c r="AP232" s="54"/>
      <c r="AQ232" s="53"/>
      <c r="AR232" s="54"/>
      <c r="AS232" s="53"/>
      <c r="AT232" s="54"/>
      <c r="AU232" s="53"/>
      <c r="AV232" s="54"/>
      <c r="AW232" s="53"/>
      <c r="AX232" s="54"/>
      <c r="AY232" s="53"/>
      <c r="AZ232" s="54"/>
      <c r="BA232" s="53"/>
      <c r="BB232" s="51"/>
      <c r="BC232" s="53"/>
      <c r="BD232" s="51"/>
      <c r="BE232" s="53"/>
      <c r="BF232" s="51"/>
      <c r="BG232" s="53"/>
      <c r="BH232" s="51"/>
      <c r="BI232" s="53"/>
      <c r="BJ232" s="51"/>
      <c r="BK232" s="53"/>
      <c r="BL232" s="51"/>
      <c r="BM232" s="53"/>
      <c r="BN232" s="51"/>
      <c r="BO232" s="53"/>
      <c r="BP232" s="51"/>
      <c r="BQ232" s="53"/>
      <c r="BR232" s="55"/>
    </row>
    <row r="233" spans="1:70" ht="28.5" customHeight="1">
      <c r="A233" s="67" t="str">
        <f>IF(games!A233="", "", games!A233)</f>
        <v>Dunkadillo</v>
      </c>
      <c r="B233" s="51"/>
      <c r="C233" s="51" t="str">
        <f t="shared" si="7"/>
        <v>giftcodesbanner/Dunkadillo-禮包碼.jpg</v>
      </c>
      <c r="D233" s="51" t="str">
        <f t="shared" si="8"/>
        <v>https://www.ssbuy.tw/detail_giftcode/dist/giftcodes/Dunkadillo.html</v>
      </c>
      <c r="E233" s="91"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2" t="s">
        <v>2638</v>
      </c>
      <c r="G233" s="51" t="s">
        <v>2638</v>
      </c>
      <c r="H233" s="51"/>
      <c r="I233" s="51"/>
      <c r="J233" s="91"/>
      <c r="K233" s="92" t="s">
        <v>2638</v>
      </c>
      <c r="L233" s="51" t="s">
        <v>2638</v>
      </c>
      <c r="M233" s="53"/>
      <c r="N233" s="54"/>
      <c r="O233" s="53"/>
      <c r="P233" s="54"/>
      <c r="Q233" s="53"/>
      <c r="R233" s="54"/>
      <c r="S233" s="53"/>
      <c r="T233" s="54"/>
      <c r="U233" s="53"/>
      <c r="V233" s="54"/>
      <c r="W233" s="53"/>
      <c r="X233" s="54"/>
      <c r="Y233" s="53"/>
      <c r="Z233" s="54"/>
      <c r="AA233" s="53"/>
      <c r="AB233" s="54"/>
      <c r="AC233" s="53"/>
      <c r="AD233" s="54"/>
      <c r="AE233" s="53"/>
      <c r="AF233" s="54"/>
      <c r="AG233" s="53"/>
      <c r="AH233" s="54"/>
      <c r="AI233" s="53"/>
      <c r="AJ233" s="54"/>
      <c r="AK233" s="53"/>
      <c r="AL233" s="54"/>
      <c r="AM233" s="53"/>
      <c r="AN233" s="54"/>
      <c r="AO233" s="53"/>
      <c r="AP233" s="54"/>
      <c r="AQ233" s="53"/>
      <c r="AR233" s="54"/>
      <c r="AS233" s="53"/>
      <c r="AT233" s="54"/>
      <c r="AU233" s="53"/>
      <c r="AV233" s="54"/>
      <c r="AW233" s="53"/>
      <c r="AX233" s="54"/>
      <c r="AY233" s="53"/>
      <c r="AZ233" s="54"/>
      <c r="BA233" s="53"/>
      <c r="BB233" s="51"/>
      <c r="BC233" s="53"/>
      <c r="BD233" s="51"/>
      <c r="BE233" s="53"/>
      <c r="BF233" s="51"/>
      <c r="BG233" s="53"/>
      <c r="BH233" s="51"/>
      <c r="BI233" s="53"/>
      <c r="BJ233" s="51"/>
      <c r="BK233" s="53"/>
      <c r="BL233" s="51"/>
      <c r="BM233" s="53"/>
      <c r="BN233" s="51"/>
      <c r="BO233" s="53"/>
      <c r="BP233" s="51"/>
      <c r="BQ233" s="53"/>
      <c r="BR233" s="55"/>
    </row>
    <row r="234" spans="1:70" ht="28.5" customHeight="1">
      <c r="A234" s="67" t="str">
        <f>IF(games!A234="", "", games!A234)</f>
        <v>遺跡的地平線</v>
      </c>
      <c r="B234" s="51"/>
      <c r="C234" s="51" t="str">
        <f t="shared" si="7"/>
        <v>giftcodesbanner/遺跡的地平線-禮包碼.jpg</v>
      </c>
      <c r="D234" s="51" t="str">
        <f t="shared" si="8"/>
        <v>https://www.ssbuy.tw/detail_giftcode/dist/giftcodes/遺跡的地平線.html</v>
      </c>
      <c r="E234" s="91"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07" t="s">
        <v>4087</v>
      </c>
      <c r="G234" s="51" t="s">
        <v>4362</v>
      </c>
      <c r="H234" s="51" t="s">
        <v>2623</v>
      </c>
      <c r="I234" s="51" t="s">
        <v>4363</v>
      </c>
      <c r="J234" s="91"/>
      <c r="K234" s="97" t="s">
        <v>4358</v>
      </c>
      <c r="L234" s="74" t="s">
        <v>4360</v>
      </c>
      <c r="M234" s="53" t="s">
        <v>4359</v>
      </c>
      <c r="N234" s="54" t="s">
        <v>4361</v>
      </c>
      <c r="O234" s="53"/>
      <c r="P234" s="54"/>
      <c r="Q234" s="53"/>
      <c r="R234" s="54"/>
      <c r="S234" s="53"/>
      <c r="T234" s="54"/>
      <c r="U234" s="53"/>
      <c r="V234" s="54"/>
      <c r="W234" s="53"/>
      <c r="X234" s="54"/>
      <c r="Y234" s="53"/>
      <c r="Z234" s="54"/>
      <c r="AA234" s="53"/>
      <c r="AB234" s="54"/>
      <c r="AC234" s="53"/>
      <c r="AD234" s="54"/>
      <c r="AE234" s="53"/>
      <c r="AF234" s="54"/>
      <c r="AG234" s="53"/>
      <c r="AH234" s="54"/>
      <c r="AI234" s="53"/>
      <c r="AJ234" s="54"/>
      <c r="AK234" s="53"/>
      <c r="AL234" s="54"/>
      <c r="AM234" s="53"/>
      <c r="AN234" s="54"/>
      <c r="AO234" s="53"/>
      <c r="AP234" s="54"/>
      <c r="AQ234" s="53"/>
      <c r="AR234" s="54"/>
      <c r="AS234" s="53"/>
      <c r="AT234" s="54"/>
      <c r="AU234" s="53"/>
      <c r="AV234" s="54"/>
      <c r="AW234" s="53"/>
      <c r="AX234" s="54"/>
      <c r="AY234" s="53"/>
      <c r="AZ234" s="54"/>
      <c r="BA234" s="53"/>
      <c r="BB234" s="51"/>
      <c r="BC234" s="53"/>
      <c r="BD234" s="51"/>
      <c r="BE234" s="53"/>
      <c r="BF234" s="51"/>
      <c r="BG234" s="53"/>
      <c r="BH234" s="51"/>
      <c r="BI234" s="53"/>
      <c r="BJ234" s="51"/>
      <c r="BK234" s="53"/>
      <c r="BL234" s="51"/>
      <c r="BM234" s="53"/>
      <c r="BN234" s="51"/>
      <c r="BO234" s="53"/>
      <c r="BP234" s="51"/>
      <c r="BQ234" s="53"/>
      <c r="BR234" s="55"/>
    </row>
    <row r="235" spans="1:70" ht="28.5" customHeight="1">
      <c r="A235" s="67" t="str">
        <f>IF(games!A235="", "", games!A235)</f>
        <v>三國將將好</v>
      </c>
      <c r="B235" s="51"/>
      <c r="C235" s="51" t="str">
        <f t="shared" si="7"/>
        <v>giftcodesbanner/三國將將好-禮包碼.jpg</v>
      </c>
      <c r="D235" s="51" t="str">
        <f t="shared" si="8"/>
        <v>https://www.ssbuy.tw/detail_giftcode/dist/giftcodes/三國將將好.html</v>
      </c>
      <c r="E235" s="91"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07" t="s">
        <v>4087</v>
      </c>
      <c r="G235" s="51" t="s">
        <v>4356</v>
      </c>
      <c r="H235" s="51" t="s">
        <v>2623</v>
      </c>
      <c r="I235" s="51" t="s">
        <v>4357</v>
      </c>
      <c r="J235" s="91"/>
      <c r="K235" s="92" t="s">
        <v>4345</v>
      </c>
      <c r="L235" s="51"/>
      <c r="M235" s="53" t="s">
        <v>4346</v>
      </c>
      <c r="N235" s="54"/>
      <c r="O235" s="53" t="s">
        <v>4347</v>
      </c>
      <c r="P235" s="54"/>
      <c r="Q235" s="53" t="s">
        <v>4348</v>
      </c>
      <c r="R235" s="54"/>
      <c r="S235" s="53" t="s">
        <v>4349</v>
      </c>
      <c r="T235" s="54"/>
      <c r="U235" s="53" t="s">
        <v>4347</v>
      </c>
      <c r="V235" s="54"/>
      <c r="W235" s="53" t="s">
        <v>4350</v>
      </c>
      <c r="X235" s="54"/>
      <c r="Y235" s="77" t="s">
        <v>2299</v>
      </c>
      <c r="Z235" s="78"/>
      <c r="AA235" s="77" t="s">
        <v>4351</v>
      </c>
      <c r="AB235" s="54"/>
      <c r="AC235" s="53" t="s">
        <v>2298</v>
      </c>
      <c r="AD235" s="54"/>
      <c r="AE235" s="53" t="s">
        <v>1819</v>
      </c>
      <c r="AF235" s="54"/>
      <c r="AG235" s="53" t="s">
        <v>1782</v>
      </c>
      <c r="AH235" s="54"/>
      <c r="AI235" s="53" t="s">
        <v>1714</v>
      </c>
      <c r="AJ235" s="54"/>
      <c r="AK235" s="53" t="s">
        <v>1715</v>
      </c>
      <c r="AL235" s="54"/>
      <c r="AM235" s="53" t="s">
        <v>1820</v>
      </c>
      <c r="AN235" s="54"/>
      <c r="AO235" s="53" t="s">
        <v>4352</v>
      </c>
      <c r="AP235" s="54"/>
      <c r="AQ235" s="53" t="s">
        <v>4353</v>
      </c>
      <c r="AR235" s="54"/>
      <c r="AS235" s="53" t="s">
        <v>4354</v>
      </c>
      <c r="AT235" s="54"/>
      <c r="AU235" s="53" t="s">
        <v>4355</v>
      </c>
      <c r="AV235" s="54"/>
      <c r="AW235" s="53"/>
      <c r="AX235" s="54"/>
      <c r="AY235" s="53"/>
      <c r="AZ235" s="54"/>
      <c r="BA235" s="53"/>
      <c r="BB235" s="51"/>
      <c r="BC235" s="53"/>
      <c r="BD235" s="51"/>
      <c r="BE235" s="53"/>
      <c r="BF235" s="51"/>
      <c r="BG235" s="53"/>
      <c r="BH235" s="51"/>
      <c r="BI235" s="53"/>
      <c r="BJ235" s="51"/>
      <c r="BK235" s="53"/>
      <c r="BL235" s="51"/>
      <c r="BM235" s="53"/>
      <c r="BN235" s="51"/>
      <c r="BO235" s="53"/>
      <c r="BP235" s="51"/>
      <c r="BQ235" s="53"/>
      <c r="BR235" s="55"/>
    </row>
    <row r="236" spans="1:70" ht="28.5" customHeight="1">
      <c r="A236" s="67" t="str">
        <f>IF(games!A236="", "", games!A236)</f>
        <v>七騎士 Re：BIRTH</v>
      </c>
      <c r="B236" s="51"/>
      <c r="C236" s="51" t="str">
        <f t="shared" si="7"/>
        <v>giftcodesbanner/七騎士 Re：BIRTH-禮包碼.jpg</v>
      </c>
      <c r="D236" s="51" t="str">
        <f t="shared" si="8"/>
        <v>https://www.ssbuy.tw/detail_giftcode/dist/giftcodes/七騎士 Re：BIRTH.html</v>
      </c>
      <c r="E236" s="91"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09" t="s">
        <v>4447</v>
      </c>
      <c r="G236" s="51" t="s">
        <v>4448</v>
      </c>
      <c r="H236" s="51"/>
      <c r="I236" s="51"/>
      <c r="J236" s="91"/>
      <c r="K236" s="97" t="s">
        <v>4987</v>
      </c>
      <c r="L236" s="51" t="s">
        <v>5012</v>
      </c>
      <c r="M236" s="53" t="s">
        <v>5013</v>
      </c>
      <c r="N236" s="54" t="s">
        <v>5014</v>
      </c>
      <c r="O236" s="53" t="s">
        <v>5015</v>
      </c>
      <c r="P236" s="54" t="s">
        <v>5016</v>
      </c>
      <c r="Q236" s="53" t="s">
        <v>5017</v>
      </c>
      <c r="R236" s="54" t="s">
        <v>4988</v>
      </c>
      <c r="S236" s="53" t="s">
        <v>5018</v>
      </c>
      <c r="T236" s="54" t="s">
        <v>5019</v>
      </c>
      <c r="U236" s="53" t="s">
        <v>5020</v>
      </c>
      <c r="V236" s="54" t="s">
        <v>5021</v>
      </c>
      <c r="W236" s="53" t="s">
        <v>5199</v>
      </c>
      <c r="X236" s="54" t="s">
        <v>5211</v>
      </c>
      <c r="Y236" s="53" t="s">
        <v>5200</v>
      </c>
      <c r="Z236" s="54" t="s">
        <v>5210</v>
      </c>
      <c r="AA236" s="53" t="s">
        <v>5201</v>
      </c>
      <c r="AB236" s="54" t="s">
        <v>5209</v>
      </c>
      <c r="AC236" s="53" t="s">
        <v>5202</v>
      </c>
      <c r="AD236" s="54" t="s">
        <v>5208</v>
      </c>
      <c r="AE236" s="53" t="s">
        <v>5203</v>
      </c>
      <c r="AF236" s="54" t="s">
        <v>5207</v>
      </c>
      <c r="AG236" s="53" t="s">
        <v>5204</v>
      </c>
      <c r="AH236" s="54" t="s">
        <v>5206</v>
      </c>
      <c r="AI236" s="53" t="s">
        <v>5205</v>
      </c>
      <c r="AJ236" s="54" t="s">
        <v>5582</v>
      </c>
      <c r="AK236" s="53" t="s">
        <v>5580</v>
      </c>
      <c r="AL236" s="54" t="s">
        <v>5583</v>
      </c>
      <c r="AM236" s="53" t="s">
        <v>4987</v>
      </c>
      <c r="AN236" s="54" t="s">
        <v>5584</v>
      </c>
      <c r="AO236" s="53" t="s">
        <v>5581</v>
      </c>
      <c r="AP236" s="54" t="s">
        <v>5585</v>
      </c>
      <c r="AQ236" s="53"/>
      <c r="AR236" s="54"/>
      <c r="AS236" s="53"/>
      <c r="AT236" s="54"/>
      <c r="AU236" s="53"/>
      <c r="AV236" s="54"/>
      <c r="AW236" s="53"/>
      <c r="AX236" s="54"/>
      <c r="AY236" s="53"/>
      <c r="AZ236" s="54"/>
      <c r="BA236" s="53"/>
      <c r="BB236" s="51"/>
      <c r="BC236" s="53"/>
      <c r="BD236" s="51"/>
      <c r="BE236" s="53"/>
      <c r="BF236" s="51"/>
      <c r="BG236" s="53"/>
      <c r="BH236" s="51"/>
      <c r="BI236" s="53"/>
      <c r="BJ236" s="51"/>
      <c r="BK236" s="53"/>
      <c r="BL236" s="51"/>
      <c r="BM236" s="53"/>
      <c r="BN236" s="51"/>
      <c r="BO236" s="53"/>
      <c r="BP236" s="51"/>
      <c r="BQ236" s="53"/>
      <c r="BR236" s="55"/>
    </row>
    <row r="237" spans="1:70" ht="28.5" customHeight="1">
      <c r="A237" s="67" t="str">
        <f>IF(games!A237="", "", games!A237)</f>
        <v>異界三國：死神契約</v>
      </c>
      <c r="B237" s="51"/>
      <c r="C237" s="51" t="str">
        <f t="shared" si="7"/>
        <v>giftcodesbanner/異界三國：死神契約-禮包碼.jpg</v>
      </c>
      <c r="D237" s="51" t="str">
        <f t="shared" si="8"/>
        <v>https://www.ssbuy.tw/detail_giftcode/dist/giftcodes/異界三國：死神契約.html</v>
      </c>
      <c r="E237" s="91"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07" t="s">
        <v>4087</v>
      </c>
      <c r="G237" s="51" t="s">
        <v>4356</v>
      </c>
      <c r="H237" s="51" t="s">
        <v>2623</v>
      </c>
      <c r="I237" s="51" t="s">
        <v>4357</v>
      </c>
      <c r="J237" s="91"/>
      <c r="K237" s="92" t="s">
        <v>3328</v>
      </c>
      <c r="L237" s="51"/>
      <c r="M237" s="53" t="s">
        <v>4515</v>
      </c>
      <c r="N237" s="54"/>
      <c r="O237" s="53" t="s">
        <v>4516</v>
      </c>
      <c r="P237" s="54"/>
      <c r="Q237" s="53" t="s">
        <v>4517</v>
      </c>
      <c r="R237" s="54"/>
      <c r="S237" s="53" t="s">
        <v>4518</v>
      </c>
      <c r="T237" s="54"/>
      <c r="U237" s="53" t="s">
        <v>4519</v>
      </c>
      <c r="V237" s="54"/>
      <c r="W237" s="53" t="s">
        <v>4520</v>
      </c>
      <c r="X237" s="54"/>
      <c r="Y237" s="53" t="s">
        <v>4521</v>
      </c>
      <c r="Z237" s="54"/>
      <c r="AA237" s="53" t="s">
        <v>4522</v>
      </c>
      <c r="AB237" s="54"/>
      <c r="AC237" s="53" t="s">
        <v>4523</v>
      </c>
      <c r="AD237" s="54"/>
      <c r="AE237" s="53" t="s">
        <v>4524</v>
      </c>
      <c r="AF237" s="54"/>
      <c r="AG237" s="53" t="s">
        <v>4525</v>
      </c>
      <c r="AH237" s="54"/>
      <c r="AI237" s="53" t="s">
        <v>4526</v>
      </c>
      <c r="AJ237" s="54"/>
      <c r="AK237" s="53" t="s">
        <v>4527</v>
      </c>
      <c r="AL237" s="54"/>
      <c r="AM237" s="53"/>
      <c r="AN237" s="54"/>
      <c r="AO237" s="53"/>
      <c r="AP237" s="54"/>
      <c r="AQ237" s="53"/>
      <c r="AR237" s="54"/>
      <c r="AS237" s="53"/>
      <c r="AT237" s="54"/>
      <c r="AU237" s="53"/>
      <c r="AV237" s="54"/>
      <c r="AW237" s="53"/>
      <c r="AX237" s="54"/>
      <c r="AY237" s="53"/>
      <c r="AZ237" s="54"/>
      <c r="BA237" s="53"/>
      <c r="BB237" s="51"/>
      <c r="BC237" s="53"/>
      <c r="BD237" s="51"/>
      <c r="BE237" s="53"/>
      <c r="BF237" s="51"/>
      <c r="BG237" s="53"/>
      <c r="BH237" s="51"/>
      <c r="BI237" s="53"/>
      <c r="BJ237" s="51"/>
      <c r="BK237" s="53"/>
      <c r="BL237" s="51"/>
      <c r="BM237" s="53"/>
      <c r="BN237" s="51"/>
      <c r="BO237" s="53"/>
      <c r="BP237" s="51"/>
      <c r="BQ237" s="53"/>
      <c r="BR237" s="55"/>
    </row>
    <row r="238" spans="1:70" ht="28.5" customHeight="1">
      <c r="A238" s="67" t="str">
        <f>IF(games!A238="", "", games!A238)</f>
        <v>魔法師之徒</v>
      </c>
      <c r="B238" s="51"/>
      <c r="C238" s="51" t="str">
        <f t="shared" si="7"/>
        <v>giftcodesbanner/魔法師之徒-禮包碼.jpg</v>
      </c>
      <c r="D238" s="51" t="str">
        <f t="shared" si="8"/>
        <v>https://www.ssbuy.tw/detail_giftcode/dist/giftcodes/魔法師之徒.html</v>
      </c>
      <c r="E238" s="91"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07" t="s">
        <v>4087</v>
      </c>
      <c r="G238" s="51" t="s">
        <v>4356</v>
      </c>
      <c r="H238" s="51" t="s">
        <v>2623</v>
      </c>
      <c r="I238" s="51" t="s">
        <v>4357</v>
      </c>
      <c r="J238" s="91"/>
      <c r="K238" s="98" t="s">
        <v>4528</v>
      </c>
      <c r="L238" s="51"/>
      <c r="M238" s="53" t="s">
        <v>4657</v>
      </c>
      <c r="N238" s="54"/>
      <c r="O238" s="53" t="s">
        <v>4658</v>
      </c>
      <c r="P238" s="54"/>
      <c r="Q238" s="53" t="s">
        <v>4659</v>
      </c>
      <c r="R238" s="54"/>
      <c r="S238" s="53" t="s">
        <v>4660</v>
      </c>
      <c r="T238" s="54"/>
      <c r="U238" s="53" t="s">
        <v>4798</v>
      </c>
      <c r="V238" s="54"/>
      <c r="W238" s="53"/>
      <c r="X238" s="54"/>
      <c r="Y238" s="53"/>
      <c r="Z238" s="54"/>
      <c r="AA238" s="53"/>
      <c r="AB238" s="54"/>
      <c r="AC238" s="53"/>
      <c r="AD238" s="54"/>
      <c r="AE238" s="53"/>
      <c r="AF238" s="54"/>
      <c r="AG238" s="53"/>
      <c r="AH238" s="54"/>
      <c r="AI238" s="53"/>
      <c r="AJ238" s="54"/>
      <c r="AK238" s="53"/>
      <c r="AL238" s="54"/>
      <c r="AM238" s="53"/>
      <c r="AN238" s="54"/>
      <c r="AO238" s="53"/>
      <c r="AP238" s="54"/>
      <c r="AQ238" s="53"/>
      <c r="AR238" s="54"/>
      <c r="AS238" s="53"/>
      <c r="AT238" s="54"/>
      <c r="AU238" s="53"/>
      <c r="AV238" s="54"/>
      <c r="AW238" s="53"/>
      <c r="AX238" s="54"/>
      <c r="AY238" s="53"/>
      <c r="AZ238" s="54"/>
      <c r="BA238" s="53"/>
      <c r="BB238" s="51"/>
      <c r="BC238" s="53"/>
      <c r="BD238" s="51"/>
      <c r="BE238" s="53"/>
      <c r="BF238" s="51"/>
      <c r="BG238" s="53"/>
      <c r="BH238" s="51"/>
      <c r="BI238" s="53"/>
      <c r="BJ238" s="51"/>
      <c r="BK238" s="53"/>
      <c r="BL238" s="51"/>
      <c r="BM238" s="53"/>
      <c r="BN238" s="51"/>
      <c r="BO238" s="53"/>
      <c r="BP238" s="51"/>
      <c r="BQ238" s="53"/>
      <c r="BR238" s="55"/>
    </row>
    <row r="239" spans="1:70" ht="28.5" customHeight="1">
      <c r="A239" s="67" t="str">
        <f>IF(games!A239="", "", games!A239)</f>
        <v>三國魂將傳</v>
      </c>
      <c r="B239" s="51"/>
      <c r="C239" s="51" t="str">
        <f t="shared" si="7"/>
        <v>giftcodesbanner/三國魂將傳-禮包碼.jpg</v>
      </c>
      <c r="D239" s="51" t="str">
        <f t="shared" si="8"/>
        <v>https://www.ssbuy.tw/detail_giftcode/dist/giftcodes/三國魂將傳.html</v>
      </c>
      <c r="E239" s="91"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2" t="s">
        <v>4530</v>
      </c>
      <c r="G239" s="51" t="s">
        <v>4531</v>
      </c>
      <c r="H239" s="51" t="s">
        <v>2623</v>
      </c>
      <c r="I239" s="51" t="s">
        <v>4357</v>
      </c>
      <c r="J239" s="91"/>
      <c r="K239" s="97" t="s">
        <v>4529</v>
      </c>
      <c r="L239" s="51"/>
      <c r="M239" s="53"/>
      <c r="N239" s="54"/>
      <c r="O239" s="53"/>
      <c r="P239" s="54"/>
      <c r="Q239" s="53"/>
      <c r="R239" s="54"/>
      <c r="S239" s="53"/>
      <c r="T239" s="54"/>
      <c r="U239" s="53"/>
      <c r="V239" s="54"/>
      <c r="W239" s="53"/>
      <c r="X239" s="54"/>
      <c r="Y239" s="53"/>
      <c r="Z239" s="54"/>
      <c r="AA239" s="53"/>
      <c r="AB239" s="54"/>
      <c r="AC239" s="53"/>
      <c r="AD239" s="54"/>
      <c r="AE239" s="53"/>
      <c r="AF239" s="54"/>
      <c r="AG239" s="53"/>
      <c r="AH239" s="54"/>
      <c r="AI239" s="53"/>
      <c r="AJ239" s="54"/>
      <c r="AK239" s="53"/>
      <c r="AL239" s="54"/>
      <c r="AM239" s="53"/>
      <c r="AN239" s="54"/>
      <c r="AO239" s="53"/>
      <c r="AP239" s="54"/>
      <c r="AQ239" s="53"/>
      <c r="AR239" s="54"/>
      <c r="AS239" s="53"/>
      <c r="AT239" s="54"/>
      <c r="AU239" s="53"/>
      <c r="AV239" s="54"/>
      <c r="AW239" s="53"/>
      <c r="AX239" s="54"/>
      <c r="AY239" s="53"/>
      <c r="AZ239" s="54"/>
      <c r="BA239" s="53"/>
      <c r="BB239" s="51"/>
      <c r="BC239" s="53"/>
      <c r="BD239" s="51"/>
      <c r="BE239" s="53"/>
      <c r="BF239" s="51"/>
      <c r="BG239" s="53"/>
      <c r="BH239" s="51"/>
      <c r="BI239" s="53"/>
      <c r="BJ239" s="51"/>
      <c r="BK239" s="53"/>
      <c r="BL239" s="51"/>
      <c r="BM239" s="53"/>
      <c r="BN239" s="51"/>
      <c r="BO239" s="53"/>
      <c r="BP239" s="51"/>
      <c r="BQ239" s="53"/>
      <c r="BR239" s="55"/>
    </row>
    <row r="240" spans="1:70" ht="28.5" customHeight="1">
      <c r="A240" s="67" t="str">
        <f>IF(games!A240="", "", games!A240)</f>
        <v>龍息：神寂</v>
      </c>
      <c r="B240" s="51"/>
      <c r="C240" s="51" t="str">
        <f t="shared" si="7"/>
        <v>giftcodesbanner/龍息：神寂-禮包碼.jpg</v>
      </c>
      <c r="D240" s="51" t="str">
        <f t="shared" si="8"/>
        <v>https://www.ssbuy.tw/detail_giftcode/dist/giftcodes/龍息：神寂.html</v>
      </c>
      <c r="E240" s="91"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07" t="s">
        <v>4397</v>
      </c>
      <c r="G240" s="51" t="s">
        <v>4398</v>
      </c>
      <c r="H240" s="51" t="s">
        <v>2623</v>
      </c>
      <c r="I240" s="51" t="s">
        <v>4357</v>
      </c>
      <c r="J240" s="91"/>
      <c r="K240" s="92" t="s">
        <v>4392</v>
      </c>
      <c r="L240" s="51" t="s">
        <v>4394</v>
      </c>
      <c r="M240" s="53" t="s">
        <v>4393</v>
      </c>
      <c r="N240" s="54" t="s">
        <v>4394</v>
      </c>
      <c r="O240" s="53" t="s">
        <v>4395</v>
      </c>
      <c r="P240" s="54" t="s">
        <v>4396</v>
      </c>
      <c r="Q240" s="53"/>
      <c r="R240" s="54"/>
      <c r="S240" s="53"/>
      <c r="T240" s="54"/>
      <c r="U240" s="53"/>
      <c r="V240" s="54"/>
      <c r="W240" s="53"/>
      <c r="X240" s="54"/>
      <c r="Y240" s="53"/>
      <c r="Z240" s="54"/>
      <c r="AA240" s="53"/>
      <c r="AB240" s="54"/>
      <c r="AC240" s="53"/>
      <c r="AD240" s="54"/>
      <c r="AE240" s="53"/>
      <c r="AF240" s="54"/>
      <c r="AG240" s="53"/>
      <c r="AH240" s="54"/>
      <c r="AI240" s="53"/>
      <c r="AJ240" s="54"/>
      <c r="AK240" s="53"/>
      <c r="AL240" s="54"/>
      <c r="AM240" s="53"/>
      <c r="AN240" s="54"/>
      <c r="AO240" s="53"/>
      <c r="AP240" s="54"/>
      <c r="AQ240" s="53"/>
      <c r="AR240" s="54"/>
      <c r="AS240" s="53"/>
      <c r="AT240" s="54"/>
      <c r="AU240" s="53"/>
      <c r="AV240" s="54"/>
      <c r="AW240" s="53"/>
      <c r="AX240" s="54"/>
      <c r="AY240" s="53"/>
      <c r="AZ240" s="54"/>
      <c r="BA240" s="53"/>
      <c r="BB240" s="51"/>
      <c r="BC240" s="53"/>
      <c r="BD240" s="51"/>
      <c r="BE240" s="53"/>
      <c r="BF240" s="51"/>
      <c r="BG240" s="53"/>
      <c r="BH240" s="51"/>
      <c r="BI240" s="53"/>
      <c r="BJ240" s="51"/>
      <c r="BK240" s="53"/>
      <c r="BL240" s="51"/>
      <c r="BM240" s="53"/>
      <c r="BN240" s="51"/>
      <c r="BO240" s="53"/>
      <c r="BP240" s="51"/>
      <c r="BQ240" s="53"/>
      <c r="BR240" s="55"/>
    </row>
    <row r="241" spans="1:70" ht="28.5" customHeight="1">
      <c r="A241" s="67" t="str">
        <f>IF(games!A241="", "", games!A241)</f>
        <v>玩具對決</v>
      </c>
      <c r="B241" s="51"/>
      <c r="C241" s="51" t="str">
        <f t="shared" si="7"/>
        <v>giftcodesbanner/玩具對決-禮包碼.jpg</v>
      </c>
      <c r="D241" s="51" t="str">
        <f t="shared" si="8"/>
        <v>https://www.ssbuy.tw/detail_giftcode/dist/giftcodes/玩具對決.html</v>
      </c>
      <c r="E241" s="91"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2" t="s">
        <v>2638</v>
      </c>
      <c r="G241" s="51" t="s">
        <v>2638</v>
      </c>
      <c r="H241" s="51"/>
      <c r="I241" s="51"/>
      <c r="J241" s="91"/>
      <c r="K241" s="92" t="s">
        <v>4513</v>
      </c>
      <c r="L241" s="51" t="s">
        <v>4503</v>
      </c>
      <c r="M241" s="53"/>
      <c r="N241" s="54"/>
      <c r="O241" s="53"/>
      <c r="P241" s="54"/>
      <c r="Q241" s="53"/>
      <c r="R241" s="54"/>
      <c r="S241" s="53"/>
      <c r="T241" s="54"/>
      <c r="U241" s="53"/>
      <c r="V241" s="54"/>
      <c r="W241" s="53"/>
      <c r="X241" s="54"/>
      <c r="Y241" s="53"/>
      <c r="Z241" s="54"/>
      <c r="AA241" s="53"/>
      <c r="AB241" s="54"/>
      <c r="AC241" s="53"/>
      <c r="AD241" s="54"/>
      <c r="AE241" s="53"/>
      <c r="AF241" s="54"/>
      <c r="AG241" s="53"/>
      <c r="AH241" s="54"/>
      <c r="AI241" s="53"/>
      <c r="AJ241" s="54"/>
      <c r="AK241" s="53"/>
      <c r="AL241" s="54"/>
      <c r="AM241" s="53"/>
      <c r="AN241" s="54"/>
      <c r="AO241" s="53"/>
      <c r="AP241" s="54"/>
      <c r="AQ241" s="53"/>
      <c r="AR241" s="54"/>
      <c r="AS241" s="53"/>
      <c r="AT241" s="54"/>
      <c r="AU241" s="53"/>
      <c r="AV241" s="54"/>
      <c r="AW241" s="53"/>
      <c r="AX241" s="54"/>
      <c r="AY241" s="53"/>
      <c r="AZ241" s="54"/>
      <c r="BA241" s="53"/>
      <c r="BB241" s="51"/>
      <c r="BC241" s="53"/>
      <c r="BD241" s="51"/>
      <c r="BE241" s="53"/>
      <c r="BF241" s="51"/>
      <c r="BG241" s="53"/>
      <c r="BH241" s="51"/>
      <c r="BI241" s="53"/>
      <c r="BJ241" s="51"/>
      <c r="BK241" s="53"/>
      <c r="BL241" s="51"/>
      <c r="BM241" s="53"/>
      <c r="BN241" s="51"/>
      <c r="BO241" s="53"/>
      <c r="BP241" s="51"/>
      <c r="BQ241" s="53"/>
      <c r="BR241" s="55"/>
    </row>
    <row r="242" spans="1:70" ht="28.5" customHeight="1">
      <c r="A242" s="67" t="str">
        <f>IF(games!A242="", "", games!A242)</f>
        <v>幸福都市：市長模擬器</v>
      </c>
      <c r="B242" s="51"/>
      <c r="C242" s="51" t="str">
        <f t="shared" si="7"/>
        <v>giftcodesbanner/幸福都市：市長模擬器-禮包碼.jpg</v>
      </c>
      <c r="D242" s="51" t="str">
        <f t="shared" si="8"/>
        <v>https://www.ssbuy.tw/detail_giftcode/dist/giftcodes/幸福都市：市長模擬器.html</v>
      </c>
      <c r="E242" s="91"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2" t="s">
        <v>2638</v>
      </c>
      <c r="G242" s="51" t="s">
        <v>2638</v>
      </c>
      <c r="H242" s="51"/>
      <c r="I242" s="51"/>
      <c r="J242" s="91"/>
      <c r="K242" s="92" t="s">
        <v>2638</v>
      </c>
      <c r="L242" s="51" t="s">
        <v>2638</v>
      </c>
      <c r="M242" s="53"/>
      <c r="N242" s="54"/>
      <c r="O242" s="53"/>
      <c r="P242" s="54"/>
      <c r="Q242" s="53"/>
      <c r="R242" s="54"/>
      <c r="S242" s="53"/>
      <c r="T242" s="54"/>
      <c r="U242" s="53"/>
      <c r="V242" s="54"/>
      <c r="W242" s="53"/>
      <c r="X242" s="54"/>
      <c r="Y242" s="53"/>
      <c r="Z242" s="54"/>
      <c r="AA242" s="53"/>
      <c r="AB242" s="54"/>
      <c r="AC242" s="53"/>
      <c r="AD242" s="54"/>
      <c r="AE242" s="53"/>
      <c r="AF242" s="54"/>
      <c r="AG242" s="53"/>
      <c r="AH242" s="54"/>
      <c r="AI242" s="53"/>
      <c r="AJ242" s="54"/>
      <c r="AK242" s="53"/>
      <c r="AL242" s="54"/>
      <c r="AM242" s="53"/>
      <c r="AN242" s="54"/>
      <c r="AO242" s="53"/>
      <c r="AP242" s="54"/>
      <c r="AQ242" s="53"/>
      <c r="AR242" s="54"/>
      <c r="AS242" s="53"/>
      <c r="AT242" s="54"/>
      <c r="AU242" s="53"/>
      <c r="AV242" s="54"/>
      <c r="AW242" s="53"/>
      <c r="AX242" s="54"/>
      <c r="AY242" s="53"/>
      <c r="AZ242" s="54"/>
      <c r="BA242" s="53"/>
      <c r="BB242" s="51"/>
      <c r="BC242" s="53"/>
      <c r="BD242" s="51"/>
      <c r="BE242" s="53"/>
      <c r="BF242" s="51"/>
      <c r="BG242" s="53"/>
      <c r="BH242" s="51"/>
      <c r="BI242" s="53"/>
      <c r="BJ242" s="51"/>
      <c r="BK242" s="53"/>
      <c r="BL242" s="51"/>
      <c r="BM242" s="53"/>
      <c r="BN242" s="51"/>
      <c r="BO242" s="53"/>
      <c r="BP242" s="51"/>
      <c r="BQ242" s="53"/>
      <c r="BR242" s="55"/>
    </row>
    <row r="243" spans="1:70" ht="28.5" customHeight="1">
      <c r="A243" s="67" t="str">
        <f>IF(games!A243="", "", games!A243)</f>
        <v>黑道傳奇</v>
      </c>
      <c r="B243" s="51"/>
      <c r="C243" s="51" t="str">
        <f t="shared" si="7"/>
        <v>giftcodesbanner/黑道傳奇-禮包碼.jpg</v>
      </c>
      <c r="D243" s="51" t="str">
        <f t="shared" si="8"/>
        <v>https://www.ssbuy.tw/detail_giftcode/dist/giftcodes/黑道傳奇.html</v>
      </c>
      <c r="E243" s="91"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2" t="s">
        <v>2638</v>
      </c>
      <c r="G243" s="51" t="s">
        <v>2638</v>
      </c>
      <c r="H243" s="51"/>
      <c r="I243" s="51"/>
      <c r="J243" s="91"/>
      <c r="K243" s="92" t="s">
        <v>2638</v>
      </c>
      <c r="L243" s="51" t="s">
        <v>2638</v>
      </c>
      <c r="M243" s="53"/>
      <c r="N243" s="54"/>
      <c r="O243" s="53"/>
      <c r="P243" s="54"/>
      <c r="Q243" s="53"/>
      <c r="R243" s="54"/>
      <c r="S243" s="53"/>
      <c r="T243" s="54"/>
      <c r="U243" s="53"/>
      <c r="V243" s="54"/>
      <c r="W243" s="53"/>
      <c r="X243" s="54"/>
      <c r="Y243" s="53"/>
      <c r="Z243" s="54"/>
      <c r="AA243" s="53"/>
      <c r="AB243" s="54"/>
      <c r="AC243" s="53"/>
      <c r="AD243" s="54"/>
      <c r="AE243" s="53"/>
      <c r="AF243" s="54"/>
      <c r="AG243" s="53"/>
      <c r="AH243" s="54"/>
      <c r="AI243" s="53"/>
      <c r="AJ243" s="54"/>
      <c r="AK243" s="53"/>
      <c r="AL243" s="54"/>
      <c r="AM243" s="53"/>
      <c r="AN243" s="54"/>
      <c r="AO243" s="53"/>
      <c r="AP243" s="54"/>
      <c r="AQ243" s="53"/>
      <c r="AR243" s="54"/>
      <c r="AS243" s="53"/>
      <c r="AT243" s="54"/>
      <c r="AU243" s="53"/>
      <c r="AV243" s="54"/>
      <c r="AW243" s="53"/>
      <c r="AX243" s="54"/>
      <c r="AY243" s="53"/>
      <c r="AZ243" s="54"/>
      <c r="BA243" s="53"/>
      <c r="BB243" s="51"/>
      <c r="BC243" s="53"/>
      <c r="BD243" s="51"/>
      <c r="BE243" s="53"/>
      <c r="BF243" s="51"/>
      <c r="BG243" s="53"/>
      <c r="BH243" s="51"/>
      <c r="BI243" s="53"/>
      <c r="BJ243" s="51"/>
      <c r="BK243" s="53"/>
      <c r="BL243" s="51"/>
      <c r="BM243" s="53"/>
      <c r="BN243" s="51"/>
      <c r="BO243" s="53"/>
      <c r="BP243" s="51"/>
      <c r="BQ243" s="53"/>
      <c r="BR243" s="55"/>
    </row>
    <row r="244" spans="1:70" ht="28.5" customHeight="1">
      <c r="A244" s="67" t="str">
        <f>IF(games!A244="", "", games!A244)</f>
        <v>The kingdom：medieval tales</v>
      </c>
      <c r="B244" s="51"/>
      <c r="C244" s="51" t="str">
        <f t="shared" si="7"/>
        <v>giftcodesbanner/The kingdom：medieval tales-禮包碼.jpg</v>
      </c>
      <c r="D244" s="51" t="str">
        <f t="shared" si="8"/>
        <v>https://www.ssbuy.tw/detail_giftcode/dist/giftcodes/The kingdom：medieval tales.html</v>
      </c>
      <c r="E244" s="91"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2" t="s">
        <v>2638</v>
      </c>
      <c r="G244" s="51" t="s">
        <v>2638</v>
      </c>
      <c r="H244" s="51"/>
      <c r="I244" s="51"/>
      <c r="J244" s="91"/>
      <c r="K244" s="92" t="s">
        <v>2638</v>
      </c>
      <c r="L244" s="51" t="s">
        <v>2638</v>
      </c>
      <c r="M244" s="53"/>
      <c r="N244" s="54"/>
      <c r="O244" s="53"/>
      <c r="P244" s="54"/>
      <c r="Q244" s="53"/>
      <c r="R244" s="54"/>
      <c r="S244" s="53"/>
      <c r="T244" s="54"/>
      <c r="U244" s="53"/>
      <c r="V244" s="54"/>
      <c r="W244" s="53"/>
      <c r="X244" s="54"/>
      <c r="Y244" s="53"/>
      <c r="Z244" s="54"/>
      <c r="AA244" s="53"/>
      <c r="AB244" s="54"/>
      <c r="AC244" s="53"/>
      <c r="AD244" s="54"/>
      <c r="AE244" s="53"/>
      <c r="AF244" s="54"/>
      <c r="AG244" s="53"/>
      <c r="AH244" s="54"/>
      <c r="AI244" s="53"/>
      <c r="AJ244" s="54"/>
      <c r="AK244" s="53"/>
      <c r="AL244" s="54"/>
      <c r="AM244" s="53"/>
      <c r="AN244" s="54"/>
      <c r="AO244" s="53"/>
      <c r="AP244" s="54"/>
      <c r="AQ244" s="53"/>
      <c r="AR244" s="54"/>
      <c r="AS244" s="53"/>
      <c r="AT244" s="54"/>
      <c r="AU244" s="53"/>
      <c r="AV244" s="54"/>
      <c r="AW244" s="53"/>
      <c r="AX244" s="54"/>
      <c r="AY244" s="53"/>
      <c r="AZ244" s="54"/>
      <c r="BA244" s="53"/>
      <c r="BB244" s="51"/>
      <c r="BC244" s="53"/>
      <c r="BD244" s="51"/>
      <c r="BE244" s="53"/>
      <c r="BF244" s="51"/>
      <c r="BG244" s="53"/>
      <c r="BH244" s="51"/>
      <c r="BI244" s="53"/>
      <c r="BJ244" s="51"/>
      <c r="BK244" s="53"/>
      <c r="BL244" s="51"/>
      <c r="BM244" s="53"/>
      <c r="BN244" s="51"/>
      <c r="BO244" s="53"/>
      <c r="BP244" s="51"/>
      <c r="BQ244" s="53"/>
      <c r="BR244" s="55"/>
    </row>
    <row r="245" spans="1:70" ht="28.5" customHeight="1">
      <c r="A245" s="67" t="str">
        <f>IF(games!A245="", "", games!A245)</f>
        <v>七龍珠激震小隊</v>
      </c>
      <c r="B245" s="51"/>
      <c r="C245" s="51" t="str">
        <f t="shared" si="7"/>
        <v>giftcodesbanner/七龍珠激震小隊-禮包碼.jpg</v>
      </c>
      <c r="D245" s="51" t="str">
        <f t="shared" si="8"/>
        <v>https://www.ssbuy.tw/detail_giftcode/dist/giftcodes/七龍珠激震小隊.html</v>
      </c>
      <c r="E245" s="91"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0" t="s">
        <v>4514</v>
      </c>
      <c r="G245" s="51" t="s">
        <v>4512</v>
      </c>
      <c r="H245" s="51"/>
      <c r="I245" s="51"/>
      <c r="J245" s="91"/>
      <c r="K245" s="92" t="s">
        <v>4513</v>
      </c>
      <c r="L245" s="51" t="s">
        <v>4503</v>
      </c>
      <c r="M245" s="53"/>
      <c r="N245" s="54"/>
      <c r="O245" s="53"/>
      <c r="P245" s="54"/>
      <c r="Q245" s="53"/>
      <c r="R245" s="54"/>
      <c r="S245" s="53"/>
      <c r="T245" s="54"/>
      <c r="U245" s="53"/>
      <c r="V245" s="54"/>
      <c r="W245" s="53"/>
      <c r="X245" s="54"/>
      <c r="Y245" s="53"/>
      <c r="Z245" s="54"/>
      <c r="AA245" s="53"/>
      <c r="AB245" s="54"/>
      <c r="AC245" s="53"/>
      <c r="AD245" s="54"/>
      <c r="AE245" s="53"/>
      <c r="AF245" s="54"/>
      <c r="AG245" s="53"/>
      <c r="AH245" s="54"/>
      <c r="AI245" s="53"/>
      <c r="AJ245" s="54"/>
      <c r="AK245" s="53"/>
      <c r="AL245" s="54"/>
      <c r="AM245" s="53"/>
      <c r="AN245" s="54"/>
      <c r="AO245" s="53"/>
      <c r="AP245" s="54"/>
      <c r="AQ245" s="53"/>
      <c r="AR245" s="54"/>
      <c r="AS245" s="53"/>
      <c r="AT245" s="54"/>
      <c r="AU245" s="53"/>
      <c r="AV245" s="54"/>
      <c r="AW245" s="53"/>
      <c r="AX245" s="54"/>
      <c r="AY245" s="53"/>
      <c r="AZ245" s="54"/>
      <c r="BA245" s="53"/>
      <c r="BB245" s="51"/>
      <c r="BC245" s="53"/>
      <c r="BD245" s="51"/>
      <c r="BE245" s="53"/>
      <c r="BF245" s="51"/>
      <c r="BG245" s="53"/>
      <c r="BH245" s="51"/>
      <c r="BI245" s="53"/>
      <c r="BJ245" s="51"/>
      <c r="BK245" s="53"/>
      <c r="BL245" s="51"/>
      <c r="BM245" s="53"/>
      <c r="BN245" s="51"/>
      <c r="BO245" s="53"/>
      <c r="BP245" s="51"/>
      <c r="BQ245" s="53"/>
      <c r="BR245" s="55"/>
    </row>
    <row r="246" spans="1:70" ht="28.5" customHeight="1">
      <c r="A246" s="67" t="str">
        <f>IF(games!A246="", "", games!A246)</f>
        <v>Grave Strikers</v>
      </c>
      <c r="B246" s="51"/>
      <c r="C246" s="51" t="str">
        <f t="shared" si="7"/>
        <v>giftcodesbanner/Grave Strikers-禮包碼.jpg</v>
      </c>
      <c r="D246" s="51" t="str">
        <f t="shared" si="8"/>
        <v>https://www.ssbuy.tw/detail_giftcode/dist/giftcodes/Grave Strikers.html</v>
      </c>
      <c r="E246" s="91"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2" t="s">
        <v>4513</v>
      </c>
      <c r="G246" s="51" t="s">
        <v>4503</v>
      </c>
      <c r="H246" s="51"/>
      <c r="I246" s="51"/>
      <c r="J246" s="91"/>
      <c r="K246" s="92" t="s">
        <v>4513</v>
      </c>
      <c r="L246" s="51" t="s">
        <v>4503</v>
      </c>
      <c r="M246" s="53"/>
      <c r="N246" s="54"/>
      <c r="O246" s="53"/>
      <c r="P246" s="54"/>
      <c r="Q246" s="53"/>
      <c r="R246" s="54"/>
      <c r="S246" s="53"/>
      <c r="T246" s="54"/>
      <c r="U246" s="53"/>
      <c r="V246" s="54"/>
      <c r="W246" s="53"/>
      <c r="X246" s="54"/>
      <c r="Y246" s="53"/>
      <c r="Z246" s="54"/>
      <c r="AA246" s="53"/>
      <c r="AB246" s="54"/>
      <c r="AC246" s="53"/>
      <c r="AD246" s="54"/>
      <c r="AE246" s="53"/>
      <c r="AF246" s="54"/>
      <c r="AG246" s="53"/>
      <c r="AH246" s="54"/>
      <c r="AI246" s="53"/>
      <c r="AJ246" s="54"/>
      <c r="AK246" s="53"/>
      <c r="AL246" s="54"/>
      <c r="AM246" s="53"/>
      <c r="AN246" s="54"/>
      <c r="AO246" s="53"/>
      <c r="AP246" s="54"/>
      <c r="AQ246" s="53"/>
      <c r="AR246" s="54"/>
      <c r="AS246" s="53"/>
      <c r="AT246" s="54"/>
      <c r="AU246" s="53"/>
      <c r="AV246" s="54"/>
      <c r="AW246" s="53"/>
      <c r="AX246" s="54"/>
      <c r="AY246" s="53"/>
      <c r="AZ246" s="54"/>
      <c r="BA246" s="53"/>
      <c r="BB246" s="51"/>
      <c r="BC246" s="53"/>
      <c r="BD246" s="51"/>
      <c r="BE246" s="53"/>
      <c r="BF246" s="51"/>
      <c r="BG246" s="53"/>
      <c r="BH246" s="51"/>
      <c r="BI246" s="53"/>
      <c r="BJ246" s="51"/>
      <c r="BK246" s="53"/>
      <c r="BL246" s="51"/>
      <c r="BM246" s="53"/>
      <c r="BN246" s="51"/>
      <c r="BO246" s="53"/>
      <c r="BP246" s="51"/>
      <c r="BQ246" s="53"/>
      <c r="BR246" s="55"/>
    </row>
    <row r="247" spans="1:70" ht="28.5" customHeight="1">
      <c r="A247" s="67" t="str">
        <f>IF(games!A247="", "", games!A247)</f>
        <v>Stellar Sanctuary</v>
      </c>
      <c r="B247" s="51"/>
      <c r="C247" s="51" t="str">
        <f t="shared" si="7"/>
        <v>giftcodesbanner/Stellar Sanctuary-禮包碼.jpg</v>
      </c>
      <c r="D247" s="51" t="str">
        <f t="shared" si="8"/>
        <v>https://www.ssbuy.tw/detail_giftcode/dist/giftcodes/Stellar Sanctuary.html</v>
      </c>
      <c r="E247" s="91"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07" t="s">
        <v>4504</v>
      </c>
      <c r="G247" s="51" t="s">
        <v>4505</v>
      </c>
      <c r="H247" s="51" t="s">
        <v>2623</v>
      </c>
      <c r="I247" s="51" t="s">
        <v>4357</v>
      </c>
      <c r="J247" s="91"/>
      <c r="K247" s="92" t="s">
        <v>4513</v>
      </c>
      <c r="L247" s="51" t="s">
        <v>4503</v>
      </c>
      <c r="M247" s="53"/>
      <c r="N247" s="54"/>
      <c r="O247" s="53"/>
      <c r="P247" s="54"/>
      <c r="Q247" s="53"/>
      <c r="R247" s="54"/>
      <c r="S247" s="53"/>
      <c r="T247" s="54"/>
      <c r="U247" s="53"/>
      <c r="V247" s="54"/>
      <c r="W247" s="53"/>
      <c r="X247" s="54"/>
      <c r="Y247" s="53"/>
      <c r="Z247" s="54"/>
      <c r="AA247" s="53"/>
      <c r="AB247" s="54"/>
      <c r="AC247" s="53"/>
      <c r="AD247" s="54"/>
      <c r="AE247" s="53"/>
      <c r="AF247" s="54"/>
      <c r="AG247" s="53"/>
      <c r="AH247" s="54"/>
      <c r="AI247" s="53"/>
      <c r="AJ247" s="54"/>
      <c r="AK247" s="53"/>
      <c r="AL247" s="54"/>
      <c r="AM247" s="53"/>
      <c r="AN247" s="54"/>
      <c r="AO247" s="53"/>
      <c r="AP247" s="54"/>
      <c r="AQ247" s="53"/>
      <c r="AR247" s="54"/>
      <c r="AS247" s="53"/>
      <c r="AT247" s="54"/>
      <c r="AU247" s="53"/>
      <c r="AV247" s="54"/>
      <c r="AW247" s="53"/>
      <c r="AX247" s="54"/>
      <c r="AY247" s="53"/>
      <c r="AZ247" s="54"/>
      <c r="BA247" s="53"/>
      <c r="BB247" s="51"/>
      <c r="BC247" s="53"/>
      <c r="BD247" s="51"/>
      <c r="BE247" s="53"/>
      <c r="BF247" s="51"/>
      <c r="BG247" s="53"/>
      <c r="BH247" s="51"/>
      <c r="BI247" s="53"/>
      <c r="BJ247" s="51"/>
      <c r="BK247" s="53"/>
      <c r="BL247" s="51"/>
      <c r="BM247" s="53"/>
      <c r="BN247" s="51"/>
      <c r="BO247" s="53"/>
      <c r="BP247" s="51"/>
      <c r="BQ247" s="53"/>
      <c r="BR247" s="55"/>
    </row>
    <row r="248" spans="1:70" ht="28.5" customHeight="1">
      <c r="A248" s="67" t="str">
        <f>IF(games!A248="", "", games!A248)</f>
        <v>古惑仔：風雲再起</v>
      </c>
      <c r="B248" s="51"/>
      <c r="C248" s="51" t="str">
        <f t="shared" si="7"/>
        <v>giftcodesbanner/古惑仔：風雲再起-禮包碼.jpg</v>
      </c>
      <c r="D248" s="51" t="str">
        <f t="shared" si="8"/>
        <v>https://www.ssbuy.tw/detail_giftcode/dist/giftcodes/古惑仔：風雲再起.html</v>
      </c>
      <c r="E248" s="91"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07" t="s">
        <v>4506</v>
      </c>
      <c r="G248" s="51" t="s">
        <v>4398</v>
      </c>
      <c r="H248" s="51" t="s">
        <v>2623</v>
      </c>
      <c r="I248" s="51" t="s">
        <v>4357</v>
      </c>
      <c r="J248" s="91"/>
      <c r="K248" s="92" t="s">
        <v>1932</v>
      </c>
      <c r="L248" s="51" t="s">
        <v>4491</v>
      </c>
      <c r="M248" s="53" t="s">
        <v>4488</v>
      </c>
      <c r="N248" s="54" t="s">
        <v>4492</v>
      </c>
      <c r="O248" s="53" t="s">
        <v>4489</v>
      </c>
      <c r="P248" s="54" t="s">
        <v>4490</v>
      </c>
      <c r="Q248" s="53"/>
      <c r="R248" s="54"/>
      <c r="S248" s="53"/>
      <c r="T248" s="54"/>
      <c r="U248" s="53"/>
      <c r="V248" s="54"/>
      <c r="W248" s="53"/>
      <c r="X248" s="54"/>
      <c r="Y248" s="53"/>
      <c r="Z248" s="54"/>
      <c r="AA248" s="53"/>
      <c r="AB248" s="54"/>
      <c r="AC248" s="53"/>
      <c r="AD248" s="54"/>
      <c r="AE248" s="53"/>
      <c r="AF248" s="54"/>
      <c r="AG248" s="53"/>
      <c r="AH248" s="54"/>
      <c r="AI248" s="53"/>
      <c r="AJ248" s="54"/>
      <c r="AK248" s="53"/>
      <c r="AL248" s="54"/>
      <c r="AM248" s="53"/>
      <c r="AN248" s="54"/>
      <c r="AO248" s="53"/>
      <c r="AP248" s="54"/>
      <c r="AQ248" s="53"/>
      <c r="AR248" s="54"/>
      <c r="AS248" s="53"/>
      <c r="AT248" s="54"/>
      <c r="AU248" s="53"/>
      <c r="AV248" s="54"/>
      <c r="AW248" s="53"/>
      <c r="AX248" s="54"/>
      <c r="AY248" s="53"/>
      <c r="AZ248" s="54"/>
      <c r="BA248" s="53"/>
      <c r="BB248" s="51"/>
      <c r="BC248" s="53"/>
      <c r="BD248" s="51"/>
      <c r="BE248" s="53"/>
      <c r="BF248" s="51"/>
      <c r="BG248" s="53"/>
      <c r="BH248" s="51"/>
      <c r="BI248" s="53"/>
      <c r="BJ248" s="51"/>
      <c r="BK248" s="53"/>
      <c r="BL248" s="51"/>
      <c r="BM248" s="53"/>
      <c r="BN248" s="51"/>
      <c r="BO248" s="53"/>
      <c r="BP248" s="51"/>
      <c r="BQ248" s="53"/>
      <c r="BR248" s="55"/>
    </row>
    <row r="249" spans="1:70" ht="28.5" customHeight="1">
      <c r="A249" s="67" t="str">
        <f>IF(games!A249="", "", games!A249)</f>
        <v>女神秘令</v>
      </c>
      <c r="B249" s="51"/>
      <c r="C249" s="51" t="str">
        <f t="shared" si="7"/>
        <v>giftcodesbanner/女神秘令-禮包碼.jpg</v>
      </c>
      <c r="D249" s="51" t="str">
        <f t="shared" si="8"/>
        <v>https://www.ssbuy.tw/detail_giftcode/dist/giftcodes/女神秘令.html</v>
      </c>
      <c r="E249" s="91"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97" t="s">
        <v>4605</v>
      </c>
      <c r="G249" s="51" t="s">
        <v>4606</v>
      </c>
      <c r="H249" s="51"/>
      <c r="I249" s="51"/>
      <c r="J249" s="91"/>
      <c r="K249" s="97" t="s">
        <v>4603</v>
      </c>
      <c r="L249" s="74" t="s">
        <v>4604</v>
      </c>
      <c r="M249" s="53"/>
      <c r="N249" s="54"/>
      <c r="O249" s="53"/>
      <c r="P249" s="54"/>
      <c r="Q249" s="53"/>
      <c r="R249" s="54"/>
      <c r="S249" s="53"/>
      <c r="T249" s="54"/>
      <c r="U249" s="53"/>
      <c r="V249" s="54"/>
      <c r="W249" s="53"/>
      <c r="X249" s="54"/>
      <c r="Y249" s="53"/>
      <c r="Z249" s="54"/>
      <c r="AA249" s="53"/>
      <c r="AB249" s="54"/>
      <c r="AC249" s="53"/>
      <c r="AD249" s="54"/>
      <c r="AE249" s="53"/>
      <c r="AF249" s="54"/>
      <c r="AG249" s="53"/>
      <c r="AH249" s="54"/>
      <c r="AI249" s="53"/>
      <c r="AJ249" s="54"/>
      <c r="AK249" s="53"/>
      <c r="AL249" s="54"/>
      <c r="AM249" s="53"/>
      <c r="AN249" s="54"/>
      <c r="AO249" s="53"/>
      <c r="AP249" s="54"/>
      <c r="AQ249" s="53"/>
      <c r="AR249" s="54"/>
      <c r="AS249" s="53"/>
      <c r="AT249" s="54"/>
      <c r="AU249" s="53"/>
      <c r="AV249" s="54"/>
      <c r="AW249" s="53"/>
      <c r="AX249" s="54"/>
      <c r="AY249" s="53"/>
      <c r="AZ249" s="54"/>
      <c r="BA249" s="53"/>
      <c r="BB249" s="51"/>
      <c r="BC249" s="53"/>
      <c r="BD249" s="51"/>
      <c r="BE249" s="53"/>
      <c r="BF249" s="51"/>
      <c r="BG249" s="53"/>
      <c r="BH249" s="51"/>
      <c r="BI249" s="53"/>
      <c r="BJ249" s="51"/>
      <c r="BK249" s="53"/>
      <c r="BL249" s="51"/>
      <c r="BM249" s="53"/>
      <c r="BN249" s="51"/>
      <c r="BO249" s="53"/>
      <c r="BP249" s="51"/>
      <c r="BQ249" s="53"/>
      <c r="BR249" s="55"/>
    </row>
    <row r="250" spans="1:70" ht="28.5" customHeight="1">
      <c r="A250" s="67" t="str">
        <f>IF(games!A250="", "", games!A250)</f>
        <v>Torerowa</v>
      </c>
      <c r="B250" s="51"/>
      <c r="C250" s="51" t="str">
        <f t="shared" si="7"/>
        <v>giftcodesbanner/Torerowa-禮包碼.jpg</v>
      </c>
      <c r="D250" s="51" t="str">
        <f t="shared" si="8"/>
        <v>https://www.ssbuy.tw/detail_giftcode/dist/giftcodes/Torerowa.html</v>
      </c>
      <c r="E250" s="91"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07" t="s">
        <v>4607</v>
      </c>
      <c r="G250" s="51" t="s">
        <v>4608</v>
      </c>
      <c r="H250" s="51" t="s">
        <v>4609</v>
      </c>
      <c r="I250" s="51"/>
      <c r="J250" s="91"/>
      <c r="K250" s="92" t="s">
        <v>4513</v>
      </c>
      <c r="L250" s="51" t="s">
        <v>4503</v>
      </c>
      <c r="M250" s="53"/>
      <c r="N250" s="54"/>
      <c r="O250" s="53"/>
      <c r="P250" s="54"/>
      <c r="Q250" s="53"/>
      <c r="R250" s="54"/>
      <c r="S250" s="53"/>
      <c r="T250" s="54"/>
      <c r="U250" s="53"/>
      <c r="V250" s="54"/>
      <c r="W250" s="53"/>
      <c r="X250" s="54"/>
      <c r="Y250" s="53"/>
      <c r="Z250" s="54"/>
      <c r="AA250" s="53"/>
      <c r="AB250" s="54"/>
      <c r="AC250" s="53"/>
      <c r="AD250" s="54"/>
      <c r="AE250" s="53"/>
      <c r="AF250" s="54"/>
      <c r="AG250" s="53"/>
      <c r="AH250" s="54"/>
      <c r="AI250" s="53"/>
      <c r="AJ250" s="54"/>
      <c r="AK250" s="53"/>
      <c r="AL250" s="54"/>
      <c r="AM250" s="53"/>
      <c r="AN250" s="54"/>
      <c r="AO250" s="53"/>
      <c r="AP250" s="54"/>
      <c r="AQ250" s="53"/>
      <c r="AR250" s="54"/>
      <c r="AS250" s="53"/>
      <c r="AT250" s="54"/>
      <c r="AU250" s="53"/>
      <c r="AV250" s="54"/>
      <c r="AW250" s="53"/>
      <c r="AX250" s="54"/>
      <c r="AY250" s="53"/>
      <c r="AZ250" s="54"/>
      <c r="BA250" s="53"/>
      <c r="BB250" s="51"/>
      <c r="BC250" s="53"/>
      <c r="BD250" s="51"/>
      <c r="BE250" s="53"/>
      <c r="BF250" s="51"/>
      <c r="BG250" s="53"/>
      <c r="BH250" s="51"/>
      <c r="BI250" s="53"/>
      <c r="BJ250" s="51"/>
      <c r="BK250" s="53"/>
      <c r="BL250" s="51"/>
      <c r="BM250" s="53"/>
      <c r="BN250" s="51"/>
      <c r="BO250" s="53"/>
      <c r="BP250" s="51"/>
      <c r="BQ250" s="53"/>
      <c r="BR250" s="55"/>
    </row>
    <row r="251" spans="1:70" ht="28.5" customHeight="1">
      <c r="A251" s="67" t="str">
        <f>IF(games!A251="", "", games!A251)</f>
        <v>Ricochet Squad</v>
      </c>
      <c r="B251" s="51"/>
      <c r="C251" s="51" t="str">
        <f t="shared" si="7"/>
        <v>giftcodesbanner/Ricochet Squad-禮包碼.jpg</v>
      </c>
      <c r="D251" s="51" t="str">
        <f t="shared" si="8"/>
        <v>https://www.ssbuy.tw/detail_giftcode/dist/giftcodes/Ricochet Squad.html</v>
      </c>
      <c r="E251" s="91"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07" t="s">
        <v>4560</v>
      </c>
      <c r="G251" s="51" t="s">
        <v>4561</v>
      </c>
      <c r="H251" s="51" t="s">
        <v>2623</v>
      </c>
      <c r="I251" s="51" t="s">
        <v>4357</v>
      </c>
      <c r="J251" s="91"/>
      <c r="K251" s="92" t="s">
        <v>4558</v>
      </c>
      <c r="L251" s="51" t="s">
        <v>4559</v>
      </c>
      <c r="M251" s="53"/>
      <c r="N251" s="54"/>
      <c r="O251" s="53"/>
      <c r="P251" s="54"/>
      <c r="Q251" s="53"/>
      <c r="R251" s="54"/>
      <c r="S251" s="53"/>
      <c r="T251" s="54"/>
      <c r="U251" s="53"/>
      <c r="V251" s="54"/>
      <c r="W251" s="53"/>
      <c r="X251" s="54"/>
      <c r="Y251" s="53"/>
      <c r="Z251" s="54"/>
      <c r="AA251" s="53"/>
      <c r="AB251" s="54"/>
      <c r="AC251" s="53"/>
      <c r="AD251" s="54"/>
      <c r="AE251" s="53"/>
      <c r="AF251" s="54"/>
      <c r="AG251" s="53"/>
      <c r="AH251" s="54"/>
      <c r="AI251" s="53"/>
      <c r="AJ251" s="54"/>
      <c r="AK251" s="53"/>
      <c r="AL251" s="54"/>
      <c r="AM251" s="53"/>
      <c r="AN251" s="54"/>
      <c r="AO251" s="53"/>
      <c r="AP251" s="54"/>
      <c r="AQ251" s="53"/>
      <c r="AR251" s="54"/>
      <c r="AS251" s="53"/>
      <c r="AT251" s="54"/>
      <c r="AU251" s="53"/>
      <c r="AV251" s="54"/>
      <c r="AW251" s="53"/>
      <c r="AX251" s="54"/>
      <c r="AY251" s="53"/>
      <c r="AZ251" s="54"/>
      <c r="BA251" s="53"/>
      <c r="BB251" s="51"/>
      <c r="BC251" s="53"/>
      <c r="BD251" s="51"/>
      <c r="BE251" s="53"/>
      <c r="BF251" s="51"/>
      <c r="BG251" s="53"/>
      <c r="BH251" s="51"/>
      <c r="BI251" s="53"/>
      <c r="BJ251" s="51"/>
      <c r="BK251" s="53"/>
      <c r="BL251" s="51"/>
      <c r="BM251" s="53"/>
      <c r="BN251" s="51"/>
      <c r="BO251" s="53"/>
      <c r="BP251" s="51"/>
      <c r="BQ251" s="53"/>
      <c r="BR251" s="55"/>
    </row>
    <row r="252" spans="1:70" ht="28.5" customHeight="1">
      <c r="A252" s="67" t="str">
        <f>IF(games!A252="", "", games!A252)</f>
        <v>魔法村物語</v>
      </c>
      <c r="B252" s="51"/>
      <c r="C252" s="51" t="str">
        <f t="shared" si="7"/>
        <v>giftcodesbanner/魔法村物語-禮包碼.jpg</v>
      </c>
      <c r="D252" s="51" t="str">
        <f t="shared" si="8"/>
        <v>https://www.ssbuy.tw/detail_giftcode/dist/giftcodes/魔法村物語.html</v>
      </c>
      <c r="E252" s="91"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07" t="s">
        <v>4575</v>
      </c>
      <c r="G252" s="51" t="s">
        <v>4576</v>
      </c>
      <c r="H252" s="51" t="s">
        <v>2623</v>
      </c>
      <c r="I252" s="51" t="s">
        <v>4357</v>
      </c>
      <c r="J252" s="91"/>
      <c r="K252" s="92" t="s">
        <v>4555</v>
      </c>
      <c r="L252" s="51" t="s">
        <v>4577</v>
      </c>
      <c r="M252" s="53" t="s">
        <v>4556</v>
      </c>
      <c r="N252" s="54" t="s">
        <v>4578</v>
      </c>
      <c r="O252" s="53" t="s">
        <v>4557</v>
      </c>
      <c r="P252" s="54" t="s">
        <v>4579</v>
      </c>
      <c r="Q252" s="53" t="s">
        <v>1933</v>
      </c>
      <c r="R252" s="54" t="s">
        <v>4580</v>
      </c>
      <c r="S252" s="53" t="s">
        <v>4611</v>
      </c>
      <c r="T252" s="54" t="s">
        <v>4612</v>
      </c>
      <c r="U252" s="53" t="s">
        <v>4610</v>
      </c>
      <c r="V252" s="54" t="s">
        <v>4613</v>
      </c>
      <c r="W252" s="53" t="s">
        <v>4728</v>
      </c>
      <c r="X252" s="54"/>
      <c r="Y252" s="53" t="s">
        <v>4727</v>
      </c>
      <c r="Z252" s="54"/>
      <c r="AA252" s="53" t="s">
        <v>4799</v>
      </c>
      <c r="AB252" s="54"/>
      <c r="AC252" s="53"/>
      <c r="AD252" s="54"/>
      <c r="AE252" s="53"/>
      <c r="AF252" s="54"/>
      <c r="AG252" s="53"/>
      <c r="AH252" s="54"/>
      <c r="AI252" s="53"/>
      <c r="AJ252" s="54"/>
      <c r="AK252" s="53"/>
      <c r="AL252" s="54"/>
      <c r="AM252" s="53"/>
      <c r="AN252" s="54"/>
      <c r="AO252" s="53"/>
      <c r="AP252" s="54"/>
      <c r="AQ252" s="53"/>
      <c r="AR252" s="54"/>
      <c r="AS252" s="53"/>
      <c r="AT252" s="54"/>
      <c r="AU252" s="53"/>
      <c r="AV252" s="54"/>
      <c r="AW252" s="53"/>
      <c r="AX252" s="54"/>
      <c r="AY252" s="53"/>
      <c r="AZ252" s="54"/>
      <c r="BA252" s="53"/>
      <c r="BB252" s="51"/>
      <c r="BC252" s="53"/>
      <c r="BD252" s="51"/>
      <c r="BE252" s="53"/>
      <c r="BF252" s="51"/>
      <c r="BG252" s="53"/>
      <c r="BH252" s="51"/>
      <c r="BI252" s="53"/>
      <c r="BJ252" s="51"/>
      <c r="BK252" s="53"/>
      <c r="BL252" s="51"/>
      <c r="BM252" s="53"/>
      <c r="BN252" s="51"/>
      <c r="BO252" s="53"/>
      <c r="BP252" s="51"/>
      <c r="BQ252" s="53"/>
      <c r="BR252" s="55"/>
    </row>
    <row r="253" spans="1:70" ht="28.5" customHeight="1">
      <c r="A253" s="67" t="str">
        <f>IF(games!A253="", "", games!A253)</f>
        <v>奇蹟MU：騎士袋你飛</v>
      </c>
      <c r="B253" s="51"/>
      <c r="C253" s="51" t="str">
        <f t="shared" ref="C253:C268" si="9">IF(A253="","", "giftcodesbanner/" &amp; A253 &amp; "-禮包碼.jpg")</f>
        <v>giftcodesbanner/奇蹟MU：騎士袋你飛-禮包碼.jpg</v>
      </c>
      <c r="D253" s="51" t="str">
        <f t="shared" si="8"/>
        <v>https://www.ssbuy.tw/detail_giftcode/dist/giftcodes/奇蹟MU：騎士袋你飛.html</v>
      </c>
      <c r="E253" s="91"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07" t="s">
        <v>4640</v>
      </c>
      <c r="G253" s="51" t="s">
        <v>4641</v>
      </c>
      <c r="H253" s="51" t="s">
        <v>2623</v>
      </c>
      <c r="I253" s="51" t="s">
        <v>4357</v>
      </c>
      <c r="J253" s="91"/>
      <c r="K253" s="92" t="s">
        <v>4622</v>
      </c>
      <c r="L253" s="51" t="s">
        <v>4623</v>
      </c>
      <c r="M253" s="53" t="s">
        <v>4624</v>
      </c>
      <c r="N253" s="54" t="s">
        <v>4625</v>
      </c>
      <c r="O253" s="53" t="s">
        <v>4626</v>
      </c>
      <c r="P253" s="54" t="s">
        <v>4627</v>
      </c>
      <c r="Q253" s="53" t="s">
        <v>4800</v>
      </c>
      <c r="R253" s="54" t="s">
        <v>4801</v>
      </c>
      <c r="S253" s="53"/>
      <c r="T253" s="54"/>
      <c r="U253" s="53"/>
      <c r="V253" s="54"/>
      <c r="W253" s="53"/>
      <c r="X253" s="54"/>
      <c r="Y253" s="53"/>
      <c r="Z253" s="54"/>
      <c r="AA253" s="53"/>
      <c r="AB253" s="54"/>
      <c r="AC253" s="53"/>
      <c r="AD253" s="54"/>
      <c r="AE253" s="53"/>
      <c r="AF253" s="54"/>
      <c r="AG253" s="53"/>
      <c r="AH253" s="54"/>
      <c r="AI253" s="53"/>
      <c r="AJ253" s="54"/>
      <c r="AK253" s="53"/>
      <c r="AL253" s="54"/>
      <c r="AM253" s="53"/>
      <c r="AN253" s="54"/>
      <c r="AO253" s="53"/>
      <c r="AP253" s="54"/>
      <c r="AQ253" s="53"/>
      <c r="AR253" s="54"/>
      <c r="AS253" s="53"/>
      <c r="AT253" s="54"/>
      <c r="AU253" s="53"/>
      <c r="AV253" s="54"/>
      <c r="AW253" s="53"/>
      <c r="AX253" s="54"/>
      <c r="AY253" s="53"/>
      <c r="AZ253" s="54"/>
      <c r="BA253" s="53"/>
      <c r="BB253" s="51"/>
      <c r="BC253" s="53"/>
      <c r="BD253" s="51"/>
      <c r="BE253" s="53"/>
      <c r="BF253" s="51"/>
      <c r="BG253" s="53"/>
      <c r="BH253" s="51"/>
      <c r="BI253" s="53"/>
      <c r="BJ253" s="51"/>
      <c r="BK253" s="53"/>
      <c r="BL253" s="51"/>
      <c r="BM253" s="53"/>
      <c r="BN253" s="51"/>
      <c r="BO253" s="53"/>
      <c r="BP253" s="51"/>
      <c r="BQ253" s="53"/>
      <c r="BR253" s="55"/>
    </row>
    <row r="254" spans="1:70" ht="28.5" customHeight="1">
      <c r="A254" s="67" t="str">
        <f>IF(games!A254="", "", games!A254)</f>
        <v>AUR3：影月幻域</v>
      </c>
      <c r="B254" s="51"/>
      <c r="C254" s="51" t="str">
        <f t="shared" si="9"/>
        <v>giftcodesbanner/AUR3：影月幻域-禮包碼.jpg</v>
      </c>
      <c r="D254" s="51" t="str">
        <f t="shared" si="8"/>
        <v>https://www.ssbuy.tw/detail_giftcode/dist/giftcodes/AUR3：影月幻域.html</v>
      </c>
      <c r="E254" s="91"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07" t="s">
        <v>4638</v>
      </c>
      <c r="G254" s="51" t="s">
        <v>4639</v>
      </c>
      <c r="H254" s="51" t="s">
        <v>2623</v>
      </c>
      <c r="I254" s="51" t="s">
        <v>4357</v>
      </c>
      <c r="J254" s="91"/>
      <c r="K254" s="92" t="s">
        <v>4628</v>
      </c>
      <c r="L254" s="51"/>
      <c r="M254" s="53" t="s">
        <v>4629</v>
      </c>
      <c r="N254" s="54"/>
      <c r="O254" s="53" t="s">
        <v>4630</v>
      </c>
      <c r="P254" s="54"/>
      <c r="Q254" s="53" t="s">
        <v>4631</v>
      </c>
      <c r="R254" s="54"/>
      <c r="S254" s="53" t="s">
        <v>4632</v>
      </c>
      <c r="T254" s="54" t="s">
        <v>4634</v>
      </c>
      <c r="U254" s="53" t="s">
        <v>4633</v>
      </c>
      <c r="V254" s="54" t="s">
        <v>4635</v>
      </c>
      <c r="W254" s="53" t="s">
        <v>4557</v>
      </c>
      <c r="X254" s="54" t="s">
        <v>4636</v>
      </c>
      <c r="Y254" s="53" t="s">
        <v>1933</v>
      </c>
      <c r="Z254" s="54" t="s">
        <v>4637</v>
      </c>
      <c r="AA254" s="53"/>
      <c r="AB254" s="54"/>
      <c r="AC254" s="53"/>
      <c r="AD254" s="54"/>
      <c r="AE254" s="53"/>
      <c r="AF254" s="54"/>
      <c r="AG254" s="53"/>
      <c r="AH254" s="54"/>
      <c r="AI254" s="53"/>
      <c r="AJ254" s="54"/>
      <c r="AK254" s="53"/>
      <c r="AL254" s="54"/>
      <c r="AM254" s="53"/>
      <c r="AN254" s="54"/>
      <c r="AO254" s="53"/>
      <c r="AP254" s="54"/>
      <c r="AQ254" s="53"/>
      <c r="AR254" s="54"/>
      <c r="AS254" s="53"/>
      <c r="AT254" s="54"/>
      <c r="AU254" s="53"/>
      <c r="AV254" s="54"/>
      <c r="AW254" s="53"/>
      <c r="AX254" s="54"/>
      <c r="AY254" s="53"/>
      <c r="AZ254" s="54"/>
      <c r="BA254" s="53"/>
      <c r="BB254" s="51"/>
      <c r="BC254" s="53"/>
      <c r="BD254" s="51"/>
      <c r="BE254" s="53"/>
      <c r="BF254" s="51"/>
      <c r="BG254" s="53"/>
      <c r="BH254" s="51"/>
      <c r="BI254" s="53"/>
      <c r="BJ254" s="51"/>
      <c r="BK254" s="53"/>
      <c r="BL254" s="51"/>
      <c r="BM254" s="53"/>
      <c r="BN254" s="51"/>
      <c r="BO254" s="53"/>
      <c r="BP254" s="51"/>
      <c r="BQ254" s="53"/>
      <c r="BR254" s="55"/>
    </row>
    <row r="255" spans="1:70" ht="28.5" customHeight="1">
      <c r="A255" s="67" t="str">
        <f>IF(games!A255="", "", games!A255)</f>
        <v>純潔的魔法少女</v>
      </c>
      <c r="B255" s="51"/>
      <c r="C255" s="51" t="str">
        <f t="shared" si="9"/>
        <v>giftcodesbanner/純潔的魔法少女-禮包碼.jpg</v>
      </c>
      <c r="D255" s="51" t="str">
        <f t="shared" si="8"/>
        <v>https://www.ssbuy.tw/detail_giftcode/dist/giftcodes/純潔的魔法少女.html</v>
      </c>
      <c r="E255" s="91"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2" t="s">
        <v>4686</v>
      </c>
      <c r="G255" s="51" t="s">
        <v>4687</v>
      </c>
      <c r="H255" s="51"/>
      <c r="I255" s="51"/>
      <c r="J255" s="91"/>
      <c r="K255" s="92" t="s">
        <v>4688</v>
      </c>
      <c r="L255" s="51" t="s">
        <v>4689</v>
      </c>
      <c r="M255" s="53" t="s">
        <v>4690</v>
      </c>
      <c r="N255" s="54" t="s">
        <v>4692</v>
      </c>
      <c r="O255" s="53" t="s">
        <v>4691</v>
      </c>
      <c r="P255" s="54" t="s">
        <v>4693</v>
      </c>
      <c r="Q255" s="53"/>
      <c r="R255" s="54"/>
      <c r="S255" s="53"/>
      <c r="T255" s="54"/>
      <c r="U255" s="53"/>
      <c r="V255" s="54"/>
      <c r="W255" s="53"/>
      <c r="X255" s="54"/>
      <c r="Y255" s="53"/>
      <c r="Z255" s="54"/>
      <c r="AA255" s="53"/>
      <c r="AB255" s="54"/>
      <c r="AC255" s="53"/>
      <c r="AD255" s="54"/>
      <c r="AE255" s="53"/>
      <c r="AF255" s="54"/>
      <c r="AG255" s="53"/>
      <c r="AH255" s="54"/>
      <c r="AI255" s="53"/>
      <c r="AJ255" s="54"/>
      <c r="AK255" s="53"/>
      <c r="AL255" s="54"/>
      <c r="AM255" s="53"/>
      <c r="AN255" s="54"/>
      <c r="AO255" s="53"/>
      <c r="AP255" s="54"/>
      <c r="AQ255" s="53"/>
      <c r="AR255" s="54"/>
      <c r="AS255" s="53"/>
      <c r="AT255" s="54"/>
      <c r="AU255" s="53"/>
      <c r="AV255" s="54"/>
      <c r="AW255" s="53"/>
      <c r="AX255" s="54"/>
      <c r="AY255" s="53"/>
      <c r="AZ255" s="54"/>
      <c r="BA255" s="53"/>
      <c r="BB255" s="51"/>
      <c r="BC255" s="53"/>
      <c r="BD255" s="51"/>
      <c r="BE255" s="53"/>
      <c r="BF255" s="51"/>
      <c r="BG255" s="53"/>
      <c r="BH255" s="51"/>
      <c r="BI255" s="53"/>
      <c r="BJ255" s="51"/>
      <c r="BK255" s="53"/>
      <c r="BL255" s="51"/>
      <c r="BM255" s="53"/>
      <c r="BN255" s="51"/>
      <c r="BO255" s="53"/>
      <c r="BP255" s="51"/>
      <c r="BQ255" s="53"/>
      <c r="BR255" s="55"/>
    </row>
    <row r="256" spans="1:70" ht="28.5" customHeight="1">
      <c r="A256" s="67" t="str">
        <f>IF(games!A256="", "", games!A256)</f>
        <v>Next Agers</v>
      </c>
      <c r="B256" s="51"/>
      <c r="C256" s="51" t="str">
        <f t="shared" si="9"/>
        <v>giftcodesbanner/Next Agers-禮包碼.jpg</v>
      </c>
      <c r="D256" s="51" t="str">
        <f t="shared" si="8"/>
        <v>https://www.ssbuy.tw/detail_giftcode/dist/giftcodes/Next Agers.html</v>
      </c>
      <c r="E256" s="91"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2" t="s">
        <v>2638</v>
      </c>
      <c r="G256" s="51" t="s">
        <v>2638</v>
      </c>
      <c r="H256" s="51"/>
      <c r="I256" s="51"/>
      <c r="J256" s="91"/>
      <c r="K256" s="92" t="s">
        <v>2638</v>
      </c>
      <c r="L256" s="51" t="s">
        <v>2638</v>
      </c>
      <c r="M256" s="53"/>
      <c r="N256" s="54"/>
      <c r="O256" s="53"/>
      <c r="P256" s="54"/>
      <c r="Q256" s="53"/>
      <c r="R256" s="54"/>
      <c r="S256" s="53"/>
      <c r="T256" s="54"/>
      <c r="U256" s="53"/>
      <c r="V256" s="54"/>
      <c r="W256" s="53"/>
      <c r="X256" s="54"/>
      <c r="Y256" s="53"/>
      <c r="Z256" s="54"/>
      <c r="AA256" s="53"/>
      <c r="AB256" s="54"/>
      <c r="AC256" s="53"/>
      <c r="AD256" s="54"/>
      <c r="AE256" s="53"/>
      <c r="AF256" s="54"/>
      <c r="AG256" s="53"/>
      <c r="AH256" s="54"/>
      <c r="AI256" s="53"/>
      <c r="AJ256" s="54"/>
      <c r="AK256" s="53"/>
      <c r="AL256" s="54"/>
      <c r="AM256" s="53"/>
      <c r="AN256" s="54"/>
      <c r="AO256" s="53"/>
      <c r="AP256" s="54"/>
      <c r="AQ256" s="53"/>
      <c r="AR256" s="54"/>
      <c r="AS256" s="53"/>
      <c r="AT256" s="54"/>
      <c r="AU256" s="53"/>
      <c r="AV256" s="54"/>
      <c r="AW256" s="53"/>
      <c r="AX256" s="54"/>
      <c r="AY256" s="53"/>
      <c r="AZ256" s="54"/>
      <c r="BA256" s="53"/>
      <c r="BB256" s="51"/>
      <c r="BC256" s="53"/>
      <c r="BD256" s="51"/>
      <c r="BE256" s="53"/>
      <c r="BF256" s="51"/>
      <c r="BG256" s="53"/>
      <c r="BH256" s="51"/>
      <c r="BI256" s="53"/>
      <c r="BJ256" s="51"/>
      <c r="BK256" s="53"/>
      <c r="BL256" s="51"/>
      <c r="BM256" s="53"/>
      <c r="BN256" s="51"/>
      <c r="BO256" s="53"/>
      <c r="BP256" s="51"/>
      <c r="BQ256" s="53"/>
      <c r="BR256" s="55"/>
    </row>
    <row r="257" spans="1:70" ht="28.5" customHeight="1">
      <c r="A257" s="67" t="str">
        <f>IF(games!A257="", "", games!A257)</f>
        <v>屍不可擋</v>
      </c>
      <c r="B257" s="51"/>
      <c r="C257" s="51" t="str">
        <f t="shared" si="9"/>
        <v>giftcodesbanner/屍不可擋-禮包碼.jpg</v>
      </c>
      <c r="D257" s="51" t="str">
        <f t="shared" si="8"/>
        <v>https://www.ssbuy.tw/detail_giftcode/dist/giftcodes/屍不可擋.html</v>
      </c>
      <c r="E257" s="91"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07" t="s">
        <v>4696</v>
      </c>
      <c r="G257" s="51" t="s">
        <v>2623</v>
      </c>
      <c r="H257" s="51" t="s">
        <v>4357</v>
      </c>
      <c r="I257" s="51"/>
      <c r="J257" s="91"/>
      <c r="K257" s="92" t="s">
        <v>4694</v>
      </c>
      <c r="L257" s="51" t="s">
        <v>4695</v>
      </c>
      <c r="M257" s="53"/>
      <c r="N257" s="54"/>
      <c r="O257" s="53"/>
      <c r="P257" s="54"/>
      <c r="Q257" s="53"/>
      <c r="R257" s="54"/>
      <c r="S257" s="53"/>
      <c r="T257" s="54"/>
      <c r="U257" s="53"/>
      <c r="V257" s="54"/>
      <c r="W257" s="53"/>
      <c r="X257" s="54"/>
      <c r="Y257" s="53"/>
      <c r="Z257" s="54"/>
      <c r="AA257" s="53"/>
      <c r="AB257" s="54"/>
      <c r="AC257" s="53"/>
      <c r="AD257" s="54"/>
      <c r="AE257" s="53"/>
      <c r="AF257" s="54"/>
      <c r="AG257" s="53"/>
      <c r="AH257" s="54"/>
      <c r="AI257" s="53"/>
      <c r="AJ257" s="54"/>
      <c r="AK257" s="53"/>
      <c r="AL257" s="54"/>
      <c r="AM257" s="53"/>
      <c r="AN257" s="54"/>
      <c r="AO257" s="53"/>
      <c r="AP257" s="54"/>
      <c r="AQ257" s="53"/>
      <c r="AR257" s="54"/>
      <c r="AS257" s="53"/>
      <c r="AT257" s="54"/>
      <c r="AU257" s="53"/>
      <c r="AV257" s="54"/>
      <c r="AW257" s="53"/>
      <c r="AX257" s="54"/>
      <c r="AY257" s="53"/>
      <c r="AZ257" s="54"/>
      <c r="BA257" s="53"/>
      <c r="BB257" s="51"/>
      <c r="BC257" s="53"/>
      <c r="BD257" s="51"/>
      <c r="BE257" s="53"/>
      <c r="BF257" s="51"/>
      <c r="BG257" s="53"/>
      <c r="BH257" s="51"/>
      <c r="BI257" s="53"/>
      <c r="BJ257" s="51"/>
      <c r="BK257" s="53"/>
      <c r="BL257" s="51"/>
      <c r="BM257" s="53"/>
      <c r="BN257" s="51"/>
      <c r="BO257" s="53"/>
      <c r="BP257" s="51"/>
      <c r="BQ257" s="53"/>
      <c r="BR257" s="55"/>
    </row>
    <row r="258" spans="1:70" ht="28.5" customHeight="1">
      <c r="A258" s="67" t="str">
        <f>IF(games!A258="", "", games!A258)</f>
        <v>RF ONLINE NEXT</v>
      </c>
      <c r="B258" s="51"/>
      <c r="C258" s="51" t="str">
        <f t="shared" si="9"/>
        <v>giftcodesbanner/RF ONLINE NEXT-禮包碼.jpg</v>
      </c>
      <c r="D258" s="51" t="str">
        <f t="shared" si="8"/>
        <v>https://www.ssbuy.tw/detail_giftcode/dist/giftcodes/RF ONLINE NEXT.html</v>
      </c>
      <c r="E258" s="91"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2" t="s">
        <v>4513</v>
      </c>
      <c r="G258" s="51" t="s">
        <v>4503</v>
      </c>
      <c r="H258" s="51"/>
      <c r="I258" s="51"/>
      <c r="J258" s="91"/>
      <c r="K258" s="92" t="s">
        <v>4513</v>
      </c>
      <c r="L258" s="51" t="s">
        <v>4503</v>
      </c>
      <c r="M258" s="53"/>
      <c r="N258" s="54"/>
      <c r="O258" s="53"/>
      <c r="P258" s="54"/>
      <c r="Q258" s="53"/>
      <c r="R258" s="54"/>
      <c r="S258" s="53"/>
      <c r="T258" s="54"/>
      <c r="U258" s="53"/>
      <c r="V258" s="54"/>
      <c r="W258" s="53"/>
      <c r="X258" s="54"/>
      <c r="Y258" s="53"/>
      <c r="Z258" s="54"/>
      <c r="AA258" s="53"/>
      <c r="AB258" s="54"/>
      <c r="AC258" s="53"/>
      <c r="AD258" s="54"/>
      <c r="AE258" s="53"/>
      <c r="AF258" s="54"/>
      <c r="AG258" s="53"/>
      <c r="AH258" s="54"/>
      <c r="AI258" s="53"/>
      <c r="AJ258" s="54"/>
      <c r="AK258" s="53"/>
      <c r="AL258" s="54"/>
      <c r="AM258" s="53"/>
      <c r="AN258" s="54"/>
      <c r="AO258" s="53"/>
      <c r="AP258" s="54"/>
      <c r="AQ258" s="53"/>
      <c r="AR258" s="54"/>
      <c r="AS258" s="53"/>
      <c r="AT258" s="54"/>
      <c r="AU258" s="53"/>
      <c r="AV258" s="54"/>
      <c r="AW258" s="53"/>
      <c r="AX258" s="54"/>
      <c r="AY258" s="53"/>
      <c r="AZ258" s="54"/>
      <c r="BA258" s="53"/>
      <c r="BB258" s="51"/>
      <c r="BC258" s="53"/>
      <c r="BD258" s="51"/>
      <c r="BE258" s="53"/>
      <c r="BF258" s="51"/>
      <c r="BG258" s="53"/>
      <c r="BH258" s="51"/>
      <c r="BI258" s="53"/>
      <c r="BJ258" s="51"/>
      <c r="BK258" s="53"/>
      <c r="BL258" s="51"/>
      <c r="BM258" s="53"/>
      <c r="BN258" s="51"/>
      <c r="BO258" s="53"/>
      <c r="BP258" s="51"/>
      <c r="BQ258" s="53"/>
      <c r="BR258" s="55"/>
    </row>
    <row r="259" spans="1:70" ht="28.5" customHeight="1">
      <c r="A259" s="67" t="str">
        <f>IF(games!A259="", "", games!A259)</f>
        <v>少女掌門人</v>
      </c>
      <c r="B259" s="51"/>
      <c r="C259" s="51" t="str">
        <f t="shared" si="9"/>
        <v>giftcodesbanner/少女掌門人-禮包碼.jpg</v>
      </c>
      <c r="D259" s="51" t="str">
        <f t="shared" ref="D259:D267" si="10">IF(A259="","", "https://www.ssbuy.tw/detail_giftcode/dist/giftcodes/" &amp; IF(ISNUMBER(LEFT(A259,1)*1), "game-", "") &amp; A259 &amp; ".html")</f>
        <v>https://www.ssbuy.tw/detail_giftcode/dist/giftcodes/少女掌門人.html</v>
      </c>
      <c r="E259" s="91"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07" t="s">
        <v>4696</v>
      </c>
      <c r="G259" s="51" t="s">
        <v>3638</v>
      </c>
      <c r="H259" s="51" t="s">
        <v>2623</v>
      </c>
      <c r="I259" s="51" t="s">
        <v>4357</v>
      </c>
      <c r="J259" s="91"/>
      <c r="K259" s="99" t="s">
        <v>4872</v>
      </c>
      <c r="L259" s="51" t="s">
        <v>4873</v>
      </c>
      <c r="M259" s="53"/>
      <c r="N259" s="54"/>
      <c r="O259" s="53"/>
      <c r="P259" s="54"/>
      <c r="Q259" s="53"/>
      <c r="R259" s="54"/>
      <c r="S259" s="53"/>
      <c r="T259" s="54"/>
      <c r="U259" s="53"/>
      <c r="V259" s="54"/>
      <c r="W259" s="53"/>
      <c r="X259" s="54"/>
      <c r="Y259" s="53"/>
      <c r="Z259" s="54"/>
      <c r="AA259" s="53"/>
      <c r="AB259" s="54"/>
      <c r="AC259" s="53"/>
      <c r="AD259" s="54"/>
      <c r="AE259" s="53"/>
      <c r="AF259" s="54"/>
      <c r="AG259" s="53"/>
      <c r="AH259" s="54"/>
      <c r="AI259" s="53"/>
      <c r="AJ259" s="54"/>
      <c r="AK259" s="53"/>
      <c r="AL259" s="54"/>
      <c r="AM259" s="53"/>
      <c r="AN259" s="54"/>
      <c r="AO259" s="53"/>
      <c r="AP259" s="54"/>
      <c r="AQ259" s="53"/>
      <c r="AR259" s="54"/>
      <c r="AS259" s="53"/>
      <c r="AT259" s="54"/>
      <c r="AU259" s="53"/>
      <c r="AV259" s="54"/>
      <c r="AW259" s="53"/>
      <c r="AX259" s="54"/>
      <c r="AY259" s="53"/>
      <c r="AZ259" s="54"/>
      <c r="BA259" s="53"/>
      <c r="BB259" s="51"/>
      <c r="BC259" s="53"/>
      <c r="BD259" s="51"/>
      <c r="BE259" s="53"/>
      <c r="BF259" s="51"/>
      <c r="BG259" s="53"/>
      <c r="BH259" s="51"/>
      <c r="BI259" s="53"/>
      <c r="BJ259" s="51"/>
      <c r="BK259" s="53"/>
      <c r="BL259" s="51"/>
      <c r="BM259" s="53"/>
      <c r="BN259" s="51"/>
      <c r="BO259" s="53"/>
      <c r="BP259" s="51"/>
      <c r="BQ259" s="53"/>
      <c r="BR259" s="55"/>
    </row>
    <row r="260" spans="1:70" ht="28.5" customHeight="1">
      <c r="A260" s="67" t="str">
        <f>IF(games!A260="", "", games!A260)</f>
        <v>翼之櫻：放置決鬥者</v>
      </c>
      <c r="B260" s="51"/>
      <c r="C260" s="51" t="str">
        <f t="shared" si="9"/>
        <v>giftcodesbanner/翼之櫻：放置決鬥者-禮包碼.jpg</v>
      </c>
      <c r="D260" s="51" t="str">
        <f t="shared" si="10"/>
        <v>https://www.ssbuy.tw/detail_giftcode/dist/giftcodes/翼之櫻：放置決鬥者.html</v>
      </c>
      <c r="E260" s="91"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2" t="s">
        <v>4513</v>
      </c>
      <c r="G260" s="51" t="s">
        <v>4503</v>
      </c>
      <c r="H260" s="51"/>
      <c r="I260" s="51"/>
      <c r="J260" s="91"/>
      <c r="K260" s="92" t="s">
        <v>4513</v>
      </c>
      <c r="L260" s="51" t="s">
        <v>4503</v>
      </c>
      <c r="M260" s="53"/>
      <c r="N260" s="54"/>
      <c r="O260" s="53"/>
      <c r="P260" s="54"/>
      <c r="Q260" s="53"/>
      <c r="R260" s="54"/>
      <c r="S260" s="53"/>
      <c r="T260" s="54"/>
      <c r="U260" s="53"/>
      <c r="V260" s="54"/>
      <c r="W260" s="53"/>
      <c r="X260" s="54"/>
      <c r="Y260" s="53"/>
      <c r="Z260" s="54"/>
      <c r="AA260" s="53"/>
      <c r="AB260" s="54"/>
      <c r="AC260" s="53"/>
      <c r="AD260" s="54"/>
      <c r="AE260" s="53"/>
      <c r="AF260" s="54"/>
      <c r="AG260" s="53"/>
      <c r="AH260" s="54"/>
      <c r="AI260" s="53"/>
      <c r="AJ260" s="54"/>
      <c r="AK260" s="53"/>
      <c r="AL260" s="54"/>
      <c r="AM260" s="53"/>
      <c r="AN260" s="54"/>
      <c r="AO260" s="53"/>
      <c r="AP260" s="54"/>
      <c r="AQ260" s="53"/>
      <c r="AR260" s="54"/>
      <c r="AS260" s="53"/>
      <c r="AT260" s="54"/>
      <c r="AU260" s="53"/>
      <c r="AV260" s="54"/>
      <c r="AW260" s="53"/>
      <c r="AX260" s="54"/>
      <c r="AY260" s="53"/>
      <c r="AZ260" s="54"/>
      <c r="BA260" s="53"/>
      <c r="BB260" s="51"/>
      <c r="BC260" s="53"/>
      <c r="BD260" s="51"/>
      <c r="BE260" s="53"/>
      <c r="BF260" s="51"/>
      <c r="BG260" s="53"/>
      <c r="BH260" s="51"/>
      <c r="BI260" s="53"/>
      <c r="BJ260" s="51"/>
      <c r="BK260" s="53"/>
      <c r="BL260" s="51"/>
      <c r="BM260" s="53"/>
      <c r="BN260" s="51"/>
      <c r="BO260" s="53"/>
      <c r="BP260" s="51"/>
      <c r="BQ260" s="53"/>
      <c r="BR260" s="55"/>
    </row>
    <row r="261" spans="1:70" ht="28.5" customHeight="1">
      <c r="A261" s="67" t="str">
        <f>IF(games!A261="", "", games!A261)</f>
        <v>Oniro ARPG</v>
      </c>
      <c r="B261" s="51"/>
      <c r="C261" s="51" t="str">
        <f t="shared" si="9"/>
        <v>giftcodesbanner/Oniro ARPG-禮包碼.jpg</v>
      </c>
      <c r="D261" s="51" t="str">
        <f t="shared" si="10"/>
        <v>https://www.ssbuy.tw/detail_giftcode/dist/giftcodes/Oniro ARPG.html</v>
      </c>
      <c r="E261" s="91"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2" t="s">
        <v>4513</v>
      </c>
      <c r="G261" s="51" t="s">
        <v>4503</v>
      </c>
      <c r="H261" s="51"/>
      <c r="I261" s="51"/>
      <c r="J261" s="91"/>
      <c r="K261" s="92" t="s">
        <v>4513</v>
      </c>
      <c r="L261" s="51" t="s">
        <v>4503</v>
      </c>
      <c r="M261" s="53"/>
      <c r="N261" s="54"/>
      <c r="O261" s="53"/>
      <c r="P261" s="54"/>
      <c r="Q261" s="53"/>
      <c r="R261" s="54"/>
      <c r="S261" s="53"/>
      <c r="T261" s="54"/>
      <c r="U261" s="53"/>
      <c r="V261" s="54"/>
      <c r="W261" s="53"/>
      <c r="X261" s="54"/>
      <c r="Y261" s="53"/>
      <c r="Z261" s="54"/>
      <c r="AA261" s="53"/>
      <c r="AB261" s="54"/>
      <c r="AC261" s="53"/>
      <c r="AD261" s="54"/>
      <c r="AE261" s="53"/>
      <c r="AF261" s="54"/>
      <c r="AG261" s="53"/>
      <c r="AH261" s="54"/>
      <c r="AI261" s="53"/>
      <c r="AJ261" s="54"/>
      <c r="AK261" s="53"/>
      <c r="AL261" s="54"/>
      <c r="AM261" s="53"/>
      <c r="AN261" s="54"/>
      <c r="AO261" s="53"/>
      <c r="AP261" s="54"/>
      <c r="AQ261" s="53"/>
      <c r="AR261" s="54"/>
      <c r="AS261" s="53"/>
      <c r="AT261" s="54"/>
      <c r="AU261" s="53"/>
      <c r="AV261" s="54"/>
      <c r="AW261" s="53"/>
      <c r="AX261" s="54"/>
      <c r="AY261" s="53"/>
      <c r="AZ261" s="54"/>
      <c r="BA261" s="53"/>
      <c r="BB261" s="51"/>
      <c r="BC261" s="53"/>
      <c r="BD261" s="51"/>
      <c r="BE261" s="53"/>
      <c r="BF261" s="51"/>
      <c r="BG261" s="53"/>
      <c r="BH261" s="51"/>
      <c r="BI261" s="53"/>
      <c r="BJ261" s="51"/>
      <c r="BK261" s="53"/>
      <c r="BL261" s="51"/>
      <c r="BM261" s="53"/>
      <c r="BN261" s="51"/>
      <c r="BO261" s="53"/>
      <c r="BP261" s="51"/>
      <c r="BQ261" s="53"/>
      <c r="BR261" s="55"/>
    </row>
    <row r="262" spans="1:70" ht="28.5" customHeight="1">
      <c r="A262" s="67" t="str">
        <f>IF(games!A262="", "", games!A262)</f>
        <v>Legend of YMIR</v>
      </c>
      <c r="B262" s="51"/>
      <c r="C262" s="51" t="str">
        <f t="shared" si="9"/>
        <v>giftcodesbanner/Legend of YMIR-禮包碼.jpg</v>
      </c>
      <c r="D262" s="51" t="str">
        <f t="shared" si="10"/>
        <v>https://www.ssbuy.tw/detail_giftcode/dist/giftcodes/Legend of YMIR.html</v>
      </c>
      <c r="E262" s="91"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2" t="s">
        <v>4513</v>
      </c>
      <c r="G262" s="51" t="s">
        <v>4503</v>
      </c>
      <c r="H262" s="51"/>
      <c r="I262" s="51"/>
      <c r="J262" s="91"/>
      <c r="K262" s="92" t="s">
        <v>4513</v>
      </c>
      <c r="L262" s="51" t="s">
        <v>4503</v>
      </c>
      <c r="M262" s="53"/>
      <c r="N262" s="54"/>
      <c r="O262" s="53"/>
      <c r="P262" s="54"/>
      <c r="Q262" s="53"/>
      <c r="R262" s="54"/>
      <c r="S262" s="53"/>
      <c r="T262" s="54"/>
      <c r="U262" s="53"/>
      <c r="V262" s="54"/>
      <c r="W262" s="53"/>
      <c r="X262" s="54"/>
      <c r="Y262" s="53"/>
      <c r="Z262" s="54"/>
      <c r="AA262" s="53"/>
      <c r="AB262" s="54"/>
      <c r="AC262" s="53"/>
      <c r="AD262" s="54"/>
      <c r="AE262" s="53"/>
      <c r="AF262" s="54"/>
      <c r="AG262" s="53"/>
      <c r="AH262" s="54"/>
      <c r="AI262" s="53"/>
      <c r="AJ262" s="54"/>
      <c r="AK262" s="53"/>
      <c r="AL262" s="54"/>
      <c r="AM262" s="53"/>
      <c r="AN262" s="54"/>
      <c r="AO262" s="53"/>
      <c r="AP262" s="54"/>
      <c r="AQ262" s="53"/>
      <c r="AR262" s="54"/>
      <c r="AS262" s="53"/>
      <c r="AT262" s="54"/>
      <c r="AU262" s="53"/>
      <c r="AV262" s="54"/>
      <c r="AW262" s="53"/>
      <c r="AX262" s="54"/>
      <c r="AY262" s="53"/>
      <c r="AZ262" s="54"/>
      <c r="BA262" s="53"/>
      <c r="BB262" s="51"/>
      <c r="BC262" s="53"/>
      <c r="BD262" s="51"/>
      <c r="BE262" s="53"/>
      <c r="BF262" s="51"/>
      <c r="BG262" s="53"/>
      <c r="BH262" s="51"/>
      <c r="BI262" s="53"/>
      <c r="BJ262" s="51"/>
      <c r="BK262" s="53"/>
      <c r="BL262" s="51"/>
      <c r="BM262" s="53"/>
      <c r="BN262" s="51"/>
      <c r="BO262" s="53"/>
      <c r="BP262" s="51"/>
      <c r="BQ262" s="53"/>
      <c r="BR262" s="55"/>
    </row>
    <row r="263" spans="1:70" ht="28.5" customHeight="1">
      <c r="A263" s="67" t="str">
        <f>IF(games!A263="", "", games!A263)</f>
        <v>Elysia：星空墜落</v>
      </c>
      <c r="B263" s="51"/>
      <c r="C263" s="51" t="str">
        <f t="shared" si="9"/>
        <v>giftcodesbanner/Elysia：星空墜落-禮包碼.jpg</v>
      </c>
      <c r="D263" s="51" t="str">
        <f t="shared" si="10"/>
        <v>https://www.ssbuy.tw/detail_giftcode/dist/giftcodes/Elysia：星空墜落.html</v>
      </c>
      <c r="E263" s="91"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2" t="s">
        <v>4513</v>
      </c>
      <c r="G263" s="51" t="s">
        <v>4503</v>
      </c>
      <c r="H263" s="51"/>
      <c r="I263" s="51"/>
      <c r="J263" s="91"/>
      <c r="K263" s="92" t="s">
        <v>4513</v>
      </c>
      <c r="L263" s="51" t="s">
        <v>4503</v>
      </c>
      <c r="M263" s="53"/>
      <c r="N263" s="54"/>
      <c r="O263" s="53"/>
      <c r="P263" s="54"/>
      <c r="Q263" s="53"/>
      <c r="R263" s="54"/>
      <c r="S263" s="53"/>
      <c r="T263" s="54"/>
      <c r="U263" s="53"/>
      <c r="V263" s="54"/>
      <c r="W263" s="53"/>
      <c r="X263" s="54"/>
      <c r="Y263" s="53"/>
      <c r="Z263" s="54"/>
      <c r="AA263" s="53"/>
      <c r="AB263" s="54"/>
      <c r="AC263" s="53"/>
      <c r="AD263" s="54"/>
      <c r="AE263" s="53"/>
      <c r="AF263" s="54"/>
      <c r="AG263" s="53"/>
      <c r="AH263" s="54"/>
      <c r="AI263" s="53"/>
      <c r="AJ263" s="54"/>
      <c r="AK263" s="53"/>
      <c r="AL263" s="54"/>
      <c r="AM263" s="53"/>
      <c r="AN263" s="54"/>
      <c r="AO263" s="53"/>
      <c r="AP263" s="54"/>
      <c r="AQ263" s="53"/>
      <c r="AR263" s="54"/>
      <c r="AS263" s="53"/>
      <c r="AT263" s="54"/>
      <c r="AU263" s="53"/>
      <c r="AV263" s="54"/>
      <c r="AW263" s="53"/>
      <c r="AX263" s="54"/>
      <c r="AY263" s="53"/>
      <c r="AZ263" s="54"/>
      <c r="BA263" s="53"/>
      <c r="BB263" s="51"/>
      <c r="BC263" s="53"/>
      <c r="BD263" s="51"/>
      <c r="BE263" s="53"/>
      <c r="BF263" s="51"/>
      <c r="BG263" s="53"/>
      <c r="BH263" s="51"/>
      <c r="BI263" s="53"/>
      <c r="BJ263" s="51"/>
      <c r="BK263" s="53"/>
      <c r="BL263" s="51"/>
      <c r="BM263" s="53"/>
      <c r="BN263" s="51"/>
      <c r="BO263" s="53"/>
      <c r="BP263" s="51"/>
      <c r="BQ263" s="53"/>
      <c r="BR263" s="55"/>
    </row>
    <row r="264" spans="1:70" ht="28.5" customHeight="1">
      <c r="A264" s="67" t="str">
        <f>IF(games!A264="", "", games!A264)</f>
        <v>合併貓鎮</v>
      </c>
      <c r="B264" s="51"/>
      <c r="C264" s="51" t="str">
        <f t="shared" si="9"/>
        <v>giftcodesbanner/合併貓鎮-禮包碼.jpg</v>
      </c>
      <c r="D264" s="51" t="str">
        <f t="shared" si="10"/>
        <v>https://www.ssbuy.tw/detail_giftcode/dist/giftcodes/合併貓鎮.html</v>
      </c>
      <c r="E264" s="91"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2" t="s">
        <v>4807</v>
      </c>
      <c r="G264" s="51" t="s">
        <v>4806</v>
      </c>
      <c r="H264" s="51"/>
      <c r="I264" s="51"/>
      <c r="J264" s="91"/>
      <c r="K264" s="92" t="s">
        <v>4807</v>
      </c>
      <c r="L264" s="51" t="s">
        <v>4806</v>
      </c>
      <c r="M264" s="53"/>
      <c r="N264" s="54"/>
      <c r="O264" s="53"/>
      <c r="P264" s="54"/>
      <c r="Q264" s="53"/>
      <c r="R264" s="54"/>
      <c r="S264" s="53"/>
      <c r="T264" s="54"/>
      <c r="U264" s="53"/>
      <c r="V264" s="54"/>
      <c r="W264" s="53"/>
      <c r="X264" s="54"/>
      <c r="Y264" s="53"/>
      <c r="Z264" s="54"/>
      <c r="AA264" s="53"/>
      <c r="AB264" s="54"/>
      <c r="AC264" s="53"/>
      <c r="AD264" s="54"/>
      <c r="AE264" s="53"/>
      <c r="AF264" s="54"/>
      <c r="AG264" s="53"/>
      <c r="AH264" s="54"/>
      <c r="AI264" s="53"/>
      <c r="AJ264" s="54"/>
      <c r="AK264" s="53"/>
      <c r="AL264" s="54"/>
      <c r="AM264" s="53"/>
      <c r="AN264" s="54"/>
      <c r="AO264" s="53"/>
      <c r="AP264" s="54"/>
      <c r="AQ264" s="53"/>
      <c r="AR264" s="54"/>
      <c r="AS264" s="53"/>
      <c r="AT264" s="54"/>
      <c r="AU264" s="53"/>
      <c r="AV264" s="54"/>
      <c r="AW264" s="53"/>
      <c r="AX264" s="54"/>
      <c r="AY264" s="53"/>
      <c r="AZ264" s="54"/>
      <c r="BA264" s="53"/>
      <c r="BB264" s="51"/>
      <c r="BC264" s="53"/>
      <c r="BD264" s="51"/>
      <c r="BE264" s="53"/>
      <c r="BF264" s="51"/>
      <c r="BG264" s="53"/>
      <c r="BH264" s="51"/>
      <c r="BI264" s="53"/>
      <c r="BJ264" s="51"/>
      <c r="BK264" s="53"/>
      <c r="BL264" s="51"/>
      <c r="BM264" s="53"/>
      <c r="BN264" s="51"/>
      <c r="BO264" s="53"/>
      <c r="BP264" s="51"/>
      <c r="BQ264" s="53"/>
      <c r="BR264" s="55"/>
    </row>
    <row r="265" spans="1:70" ht="28.5" customHeight="1">
      <c r="A265" s="67" t="str">
        <f>IF(games!A265="", "", games!A265)</f>
        <v>幻牌交鋒</v>
      </c>
      <c r="B265" s="51"/>
      <c r="C265" s="51" t="str">
        <f t="shared" si="9"/>
        <v>giftcodesbanner/幻牌交鋒-禮包碼.jpg</v>
      </c>
      <c r="D265" s="51" t="str">
        <f t="shared" si="10"/>
        <v>https://www.ssbuy.tw/detail_giftcode/dist/giftcodes/幻牌交鋒.html</v>
      </c>
      <c r="E265" s="91"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0" t="s">
        <v>4868</v>
      </c>
      <c r="G265" s="51" t="s">
        <v>4869</v>
      </c>
      <c r="H265" s="51" t="s">
        <v>4870</v>
      </c>
      <c r="I265" s="51" t="s">
        <v>4871</v>
      </c>
      <c r="J265" s="91"/>
      <c r="K265" s="92" t="s">
        <v>4866</v>
      </c>
      <c r="L265" s="51" t="s">
        <v>4867</v>
      </c>
      <c r="M265" s="53" t="s">
        <v>4951</v>
      </c>
      <c r="N265" s="54"/>
      <c r="O265" s="53" t="s">
        <v>4952</v>
      </c>
      <c r="P265" s="54"/>
      <c r="Q265" s="53" t="s">
        <v>4953</v>
      </c>
      <c r="R265" s="54"/>
      <c r="S265" s="53" t="s">
        <v>4954</v>
      </c>
      <c r="T265" s="54"/>
      <c r="U265" s="53" t="s">
        <v>4955</v>
      </c>
      <c r="V265" s="54"/>
      <c r="W265" s="53" t="s">
        <v>4956</v>
      </c>
      <c r="X265" s="54"/>
      <c r="Y265" s="53" t="s">
        <v>4957</v>
      </c>
      <c r="Z265" s="54"/>
      <c r="AA265" s="53" t="s">
        <v>4958</v>
      </c>
      <c r="AB265" s="54"/>
      <c r="AC265" s="53" t="s">
        <v>4959</v>
      </c>
      <c r="AD265" s="54"/>
      <c r="AE265" s="53" t="s">
        <v>4960</v>
      </c>
      <c r="AF265" s="54"/>
      <c r="AG265" s="53"/>
      <c r="AH265" s="54"/>
      <c r="AI265" s="53"/>
      <c r="AJ265" s="54"/>
      <c r="AK265" s="53"/>
      <c r="AL265" s="54"/>
      <c r="AM265" s="53"/>
      <c r="AN265" s="54"/>
      <c r="AO265" s="53"/>
      <c r="AP265" s="54"/>
      <c r="AQ265" s="53"/>
      <c r="AR265" s="54"/>
      <c r="AS265" s="53"/>
      <c r="AT265" s="54"/>
      <c r="AU265" s="53"/>
      <c r="AV265" s="54"/>
      <c r="AW265" s="53"/>
      <c r="AX265" s="54"/>
      <c r="AY265" s="53"/>
      <c r="AZ265" s="54"/>
      <c r="BA265" s="53"/>
      <c r="BB265" s="51"/>
      <c r="BC265" s="53"/>
      <c r="BD265" s="51"/>
      <c r="BE265" s="53"/>
      <c r="BF265" s="51"/>
      <c r="BG265" s="53"/>
      <c r="BH265" s="51"/>
      <c r="BI265" s="53"/>
      <c r="BJ265" s="51"/>
      <c r="BK265" s="53"/>
      <c r="BL265" s="51"/>
      <c r="BM265" s="53"/>
      <c r="BN265" s="51"/>
      <c r="BO265" s="53"/>
      <c r="BP265" s="51"/>
      <c r="BQ265" s="53"/>
      <c r="BR265" s="55"/>
    </row>
    <row r="266" spans="1:70" ht="28.5" customHeight="1">
      <c r="A266" s="67" t="str">
        <f>IF(games!A266="", "", games!A266)</f>
        <v>激鬥！王國保衛戰</v>
      </c>
      <c r="B266" s="51"/>
      <c r="C266" s="51" t="str">
        <f t="shared" si="9"/>
        <v>giftcodesbanner/激鬥！王國保衛戰-禮包碼.jpg</v>
      </c>
      <c r="D266" s="51" t="str">
        <f t="shared" si="10"/>
        <v>https://www.ssbuy.tw/detail_giftcode/dist/giftcodes/激鬥！王國保衛戰.html</v>
      </c>
      <c r="E266" s="91"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2" t="s">
        <v>4807</v>
      </c>
      <c r="G266" s="51" t="s">
        <v>4806</v>
      </c>
      <c r="H266" s="51"/>
      <c r="I266" s="51"/>
      <c r="J266" s="91"/>
      <c r="K266" s="92" t="s">
        <v>4807</v>
      </c>
      <c r="L266" s="51" t="s">
        <v>4806</v>
      </c>
      <c r="M266" s="53"/>
      <c r="N266" s="54"/>
      <c r="O266" s="53"/>
      <c r="P266" s="54"/>
      <c r="Q266" s="53"/>
      <c r="R266" s="54"/>
      <c r="S266" s="53"/>
      <c r="T266" s="54"/>
      <c r="U266" s="53"/>
      <c r="V266" s="54"/>
      <c r="W266" s="53"/>
      <c r="X266" s="54"/>
      <c r="Y266" s="53"/>
      <c r="Z266" s="54"/>
      <c r="AA266" s="53"/>
      <c r="AB266" s="54"/>
      <c r="AC266" s="53"/>
      <c r="AD266" s="54"/>
      <c r="AE266" s="53"/>
      <c r="AF266" s="54"/>
      <c r="AG266" s="53"/>
      <c r="AH266" s="54"/>
      <c r="AI266" s="53"/>
      <c r="AJ266" s="54"/>
      <c r="AK266" s="53"/>
      <c r="AL266" s="54"/>
      <c r="AM266" s="53"/>
      <c r="AN266" s="54"/>
      <c r="AO266" s="53"/>
      <c r="AP266" s="54"/>
      <c r="AQ266" s="53"/>
      <c r="AR266" s="54"/>
      <c r="AS266" s="53"/>
      <c r="AT266" s="54"/>
      <c r="AU266" s="53"/>
      <c r="AV266" s="54"/>
      <c r="AW266" s="53"/>
      <c r="AX266" s="54"/>
      <c r="AY266" s="53"/>
      <c r="AZ266" s="54"/>
      <c r="BA266" s="53"/>
      <c r="BB266" s="51"/>
      <c r="BC266" s="53"/>
      <c r="BD266" s="51"/>
      <c r="BE266" s="53"/>
      <c r="BF266" s="51"/>
      <c r="BG266" s="53"/>
      <c r="BH266" s="51"/>
      <c r="BI266" s="53"/>
      <c r="BJ266" s="51"/>
      <c r="BK266" s="53"/>
      <c r="BL266" s="51"/>
      <c r="BM266" s="53"/>
      <c r="BN266" s="51"/>
      <c r="BO266" s="53"/>
      <c r="BP266" s="51"/>
      <c r="BQ266" s="53"/>
      <c r="BR266" s="55"/>
    </row>
    <row r="267" spans="1:70" ht="28.5" customHeight="1">
      <c r="A267" s="67" t="str">
        <f>IF(games!A267="", "", games!A267)</f>
        <v>嘟嘟臉惡作劇</v>
      </c>
      <c r="B267" s="51"/>
      <c r="C267" s="51" t="str">
        <f t="shared" si="9"/>
        <v>giftcodesbanner/嘟嘟臉惡作劇-禮包碼.jpg</v>
      </c>
      <c r="D267" s="51" t="str">
        <f t="shared" si="10"/>
        <v>https://www.ssbuy.tw/detail_giftcode/dist/giftcodes/嘟嘟臉惡作劇.html</v>
      </c>
      <c r="E267" s="91"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2" t="s">
        <v>4901</v>
      </c>
      <c r="G267" s="51" t="s">
        <v>4902</v>
      </c>
      <c r="H267" s="51" t="s">
        <v>4903</v>
      </c>
      <c r="I267" s="51" t="s">
        <v>4904</v>
      </c>
      <c r="J267" s="91" t="s">
        <v>4905</v>
      </c>
      <c r="K267" s="92" t="s">
        <v>4893</v>
      </c>
      <c r="L267" s="51" t="s">
        <v>4906</v>
      </c>
      <c r="M267" s="53" t="s">
        <v>4894</v>
      </c>
      <c r="N267" s="54" t="s">
        <v>4907</v>
      </c>
      <c r="O267" s="53" t="s">
        <v>4895</v>
      </c>
      <c r="P267" s="54" t="s">
        <v>4908</v>
      </c>
      <c r="Q267" s="53" t="s">
        <v>4896</v>
      </c>
      <c r="R267" s="54" t="s">
        <v>4909</v>
      </c>
      <c r="S267" s="53" t="s">
        <v>4897</v>
      </c>
      <c r="T267" s="54" t="s">
        <v>4910</v>
      </c>
      <c r="U267" s="53" t="s">
        <v>4898</v>
      </c>
      <c r="V267" s="54" t="s">
        <v>4911</v>
      </c>
      <c r="W267" s="53" t="s">
        <v>4899</v>
      </c>
      <c r="X267" s="54" t="s">
        <v>4911</v>
      </c>
      <c r="Y267" s="53" t="s">
        <v>4900</v>
      </c>
      <c r="Z267" s="54" t="s">
        <v>4911</v>
      </c>
      <c r="AA267" s="53"/>
      <c r="AB267" s="54"/>
      <c r="AC267" s="53"/>
      <c r="AD267" s="54"/>
      <c r="AE267" s="53"/>
      <c r="AF267" s="54"/>
      <c r="AG267" s="53"/>
      <c r="AH267" s="54"/>
      <c r="AI267" s="53"/>
      <c r="AJ267" s="54"/>
      <c r="AK267" s="53"/>
      <c r="AL267" s="54"/>
      <c r="AM267" s="53"/>
      <c r="AN267" s="54"/>
      <c r="AO267" s="53"/>
      <c r="AP267" s="54"/>
      <c r="AQ267" s="53"/>
      <c r="AR267" s="54"/>
      <c r="AS267" s="53"/>
      <c r="AT267" s="54"/>
      <c r="AU267" s="53"/>
      <c r="AV267" s="54"/>
      <c r="AW267" s="53"/>
      <c r="AX267" s="54"/>
      <c r="AY267" s="53"/>
      <c r="AZ267" s="54"/>
      <c r="BA267" s="53"/>
      <c r="BB267" s="51"/>
      <c r="BC267" s="53"/>
      <c r="BD267" s="51"/>
      <c r="BE267" s="53"/>
      <c r="BF267" s="51"/>
      <c r="BG267" s="53"/>
      <c r="BH267" s="51"/>
      <c r="BI267" s="53"/>
      <c r="BJ267" s="51"/>
      <c r="BK267" s="53"/>
      <c r="BL267" s="51"/>
      <c r="BM267" s="53"/>
      <c r="BN267" s="51"/>
      <c r="BO267" s="53"/>
      <c r="BP267" s="51"/>
      <c r="BQ267" s="53"/>
      <c r="BR267" s="55"/>
    </row>
    <row r="268" spans="1:70" ht="28.5" customHeight="1">
      <c r="A268" s="67" t="str">
        <f>IF(games!A268="", "", games!A268)</f>
        <v>我的花園世界</v>
      </c>
      <c r="B268" s="51"/>
      <c r="C268" s="51" t="str">
        <f t="shared" si="9"/>
        <v>giftcodesbanner/我的花園世界-禮包碼.jpg</v>
      </c>
      <c r="D268" s="51" t="str">
        <f t="shared" ref="D268" si="11">IF(A268="","", "https://www.ssbuy.tw/gift-codes.html?game="&amp;A268)</f>
        <v>https://www.ssbuy.tw/gift-codes.html?game=我的花園世界</v>
      </c>
      <c r="E268" s="91"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2" t="s">
        <v>5035</v>
      </c>
      <c r="G268" s="51" t="s">
        <v>5036</v>
      </c>
      <c r="H268" s="51" t="s">
        <v>2623</v>
      </c>
      <c r="I268" s="51" t="s">
        <v>4357</v>
      </c>
      <c r="J268" s="91"/>
      <c r="K268" s="92" t="s">
        <v>4864</v>
      </c>
      <c r="L268" s="51" t="s">
        <v>4865</v>
      </c>
      <c r="M268" s="53" t="s">
        <v>4876</v>
      </c>
      <c r="N268" s="54" t="s">
        <v>4880</v>
      </c>
      <c r="O268" s="53" t="s">
        <v>4877</v>
      </c>
      <c r="P268" s="54" t="s">
        <v>4881</v>
      </c>
      <c r="Q268" s="53" t="s">
        <v>4878</v>
      </c>
      <c r="R268" s="54" t="s">
        <v>4882</v>
      </c>
      <c r="S268" s="53" t="s">
        <v>4879</v>
      </c>
      <c r="T268" s="54" t="s">
        <v>4883</v>
      </c>
      <c r="U268" s="53"/>
      <c r="V268" s="54"/>
      <c r="W268" s="53"/>
      <c r="X268" s="54"/>
      <c r="Y268" s="53"/>
      <c r="Z268" s="54"/>
      <c r="AA268" s="53"/>
      <c r="AB268" s="54"/>
      <c r="AC268" s="53"/>
      <c r="AD268" s="54"/>
      <c r="AE268" s="53"/>
      <c r="AF268" s="54"/>
      <c r="AG268" s="53"/>
      <c r="AH268" s="54"/>
      <c r="AI268" s="53"/>
      <c r="AJ268" s="54"/>
      <c r="AK268" s="53"/>
      <c r="AL268" s="54"/>
      <c r="AM268" s="53"/>
      <c r="AN268" s="54"/>
      <c r="AO268" s="53"/>
      <c r="AP268" s="54"/>
      <c r="AQ268" s="53"/>
      <c r="AR268" s="54"/>
      <c r="AS268" s="53"/>
      <c r="AT268" s="54"/>
      <c r="AU268" s="53"/>
      <c r="AV268" s="54"/>
      <c r="AW268" s="53"/>
      <c r="AX268" s="54"/>
      <c r="AY268" s="53"/>
      <c r="AZ268" s="54"/>
      <c r="BA268" s="53"/>
      <c r="BB268" s="51"/>
      <c r="BC268" s="53"/>
      <c r="BD268" s="51"/>
      <c r="BE268" s="53"/>
      <c r="BF268" s="51"/>
      <c r="BG268" s="53"/>
      <c r="BH268" s="51"/>
      <c r="BI268" s="53"/>
      <c r="BJ268" s="51"/>
      <c r="BK268" s="53"/>
      <c r="BL268" s="51"/>
      <c r="BM268" s="53"/>
      <c r="BN268" s="51"/>
      <c r="BO268" s="53"/>
      <c r="BP268" s="51"/>
      <c r="BQ268" s="53"/>
      <c r="BR268" s="55"/>
    </row>
    <row r="269" spans="1:70" ht="28.5" customHeight="1">
      <c r="A269" s="67" t="str">
        <f>IF(games!A269="", "", games!A269)</f>
        <v>Awakenloop</v>
      </c>
      <c r="B269" s="51"/>
      <c r="C269" s="51" t="str">
        <f t="shared" ref="C269:C311" si="12">IF(A269="","", "giftcodesbanner/" &amp; A269 &amp; "-禮包碼.jpg")</f>
        <v>giftcodesbanner/Awakenloop-禮包碼.jpg</v>
      </c>
      <c r="D269" s="51" t="str">
        <f t="shared" ref="D269:D311" si="13">IF(A269="","", "https://www.ssbuy.tw/gift-codes.html?game="&amp;A269)</f>
        <v>https://www.ssbuy.tw/gift-codes.html?game=Awakenloop</v>
      </c>
      <c r="E269" s="91"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2" t="s">
        <v>5185</v>
      </c>
      <c r="G269" s="51" t="s">
        <v>5186</v>
      </c>
      <c r="H269" s="51" t="s">
        <v>2623</v>
      </c>
      <c r="I269" s="51" t="s">
        <v>4357</v>
      </c>
      <c r="J269" s="91"/>
      <c r="K269" s="92" t="s">
        <v>5181</v>
      </c>
      <c r="L269" s="51" t="s">
        <v>5184</v>
      </c>
      <c r="M269" s="53" t="s">
        <v>5182</v>
      </c>
      <c r="N269" s="54" t="s">
        <v>5183</v>
      </c>
      <c r="O269" s="53"/>
      <c r="P269" s="54"/>
      <c r="Q269" s="53"/>
      <c r="R269" s="54"/>
      <c r="S269" s="53"/>
      <c r="T269" s="54"/>
      <c r="U269" s="53"/>
      <c r="V269" s="54"/>
      <c r="W269" s="53"/>
      <c r="X269" s="54"/>
      <c r="Y269" s="53"/>
      <c r="Z269" s="54"/>
      <c r="AA269" s="53"/>
      <c r="AB269" s="54"/>
      <c r="AC269" s="53"/>
      <c r="AD269" s="54"/>
      <c r="AE269" s="53"/>
      <c r="AF269" s="54"/>
      <c r="AG269" s="53"/>
      <c r="AH269" s="54"/>
      <c r="AI269" s="53"/>
      <c r="AJ269" s="54"/>
      <c r="AK269" s="53"/>
      <c r="AL269" s="54"/>
      <c r="AM269" s="53"/>
      <c r="AN269" s="54"/>
      <c r="AO269" s="53"/>
      <c r="AP269" s="54"/>
      <c r="AQ269" s="53"/>
      <c r="AR269" s="54"/>
      <c r="AS269" s="53"/>
      <c r="AT269" s="54"/>
      <c r="AU269" s="53"/>
      <c r="AV269" s="54"/>
      <c r="AW269" s="53"/>
      <c r="AX269" s="54"/>
      <c r="AY269" s="53"/>
      <c r="AZ269" s="54"/>
      <c r="BA269" s="53"/>
      <c r="BB269" s="51"/>
      <c r="BC269" s="53"/>
      <c r="BD269" s="51"/>
      <c r="BE269" s="53"/>
      <c r="BF269" s="51"/>
      <c r="BG269" s="53"/>
      <c r="BH269" s="51"/>
      <c r="BI269" s="53"/>
      <c r="BJ269" s="51"/>
      <c r="BK269" s="53"/>
      <c r="BL269" s="51"/>
      <c r="BM269" s="53"/>
      <c r="BN269" s="51"/>
      <c r="BO269" s="53"/>
      <c r="BP269" s="51"/>
      <c r="BQ269" s="53"/>
      <c r="BR269" s="55"/>
    </row>
    <row r="270" spans="1:70" ht="28.5" customHeight="1">
      <c r="A270" s="67" t="str">
        <f>IF(games!A270="", "", games!A270)</f>
        <v>Astellia</v>
      </c>
      <c r="B270" s="51"/>
      <c r="C270" s="51" t="str">
        <f t="shared" si="12"/>
        <v>giftcodesbanner/Astellia-禮包碼.jpg</v>
      </c>
      <c r="D270" s="51" t="str">
        <f t="shared" si="13"/>
        <v>https://www.ssbuy.tw/gift-codes.html?game=Astellia</v>
      </c>
      <c r="E270" s="91"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2" t="s">
        <v>4807</v>
      </c>
      <c r="G270" s="51" t="s">
        <v>4806</v>
      </c>
      <c r="H270" s="51"/>
      <c r="I270" s="51"/>
      <c r="J270" s="91"/>
      <c r="K270" s="92" t="s">
        <v>4807</v>
      </c>
      <c r="L270" s="51" t="s">
        <v>4806</v>
      </c>
      <c r="M270" s="53"/>
      <c r="N270" s="54"/>
      <c r="O270" s="53"/>
      <c r="P270" s="54"/>
      <c r="Q270" s="53"/>
      <c r="R270" s="54"/>
      <c r="S270" s="53"/>
      <c r="T270" s="54"/>
      <c r="U270" s="53"/>
      <c r="V270" s="54"/>
      <c r="W270" s="53"/>
      <c r="X270" s="54"/>
      <c r="Y270" s="53"/>
      <c r="Z270" s="54"/>
      <c r="AA270" s="53"/>
      <c r="AB270" s="54"/>
      <c r="AC270" s="53"/>
      <c r="AD270" s="54"/>
      <c r="AE270" s="53"/>
      <c r="AF270" s="54"/>
      <c r="AG270" s="53"/>
      <c r="AH270" s="54"/>
      <c r="AI270" s="53"/>
      <c r="AJ270" s="54"/>
      <c r="AK270" s="53"/>
      <c r="AL270" s="54"/>
      <c r="AM270" s="53"/>
      <c r="AN270" s="54"/>
      <c r="AO270" s="53"/>
      <c r="AP270" s="54"/>
      <c r="AQ270" s="53"/>
      <c r="AR270" s="54"/>
      <c r="AS270" s="53"/>
      <c r="AT270" s="54"/>
      <c r="AU270" s="53"/>
      <c r="AV270" s="54"/>
      <c r="AW270" s="53"/>
      <c r="AX270" s="54"/>
      <c r="AY270" s="53"/>
      <c r="AZ270" s="54"/>
      <c r="BA270" s="53"/>
      <c r="BB270" s="51"/>
      <c r="BC270" s="53"/>
      <c r="BD270" s="51"/>
      <c r="BE270" s="53"/>
      <c r="BF270" s="51"/>
      <c r="BG270" s="53"/>
      <c r="BH270" s="51"/>
      <c r="BI270" s="53"/>
      <c r="BJ270" s="51"/>
      <c r="BK270" s="53"/>
      <c r="BL270" s="51"/>
      <c r="BM270" s="53"/>
      <c r="BN270" s="51"/>
      <c r="BO270" s="53"/>
      <c r="BP270" s="51"/>
      <c r="BQ270" s="53"/>
      <c r="BR270" s="55"/>
    </row>
    <row r="271" spans="1:70" ht="28.5" customHeight="1">
      <c r="A271" s="67" t="str">
        <f>IF(games!A271="", "", games!A271)</f>
        <v>華夏千秋</v>
      </c>
      <c r="B271" s="51"/>
      <c r="C271" s="51" t="str">
        <f t="shared" si="12"/>
        <v>giftcodesbanner/華夏千秋-禮包碼.jpg</v>
      </c>
      <c r="D271" s="51" t="str">
        <f t="shared" si="13"/>
        <v>https://www.ssbuy.tw/gift-codes.html?game=華夏千秋</v>
      </c>
      <c r="E271" s="91"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2" t="s">
        <v>4807</v>
      </c>
      <c r="G271" s="51" t="s">
        <v>4806</v>
      </c>
      <c r="H271" s="51"/>
      <c r="I271" s="51"/>
      <c r="J271" s="91"/>
      <c r="K271" s="92" t="s">
        <v>4807</v>
      </c>
      <c r="L271" s="51" t="s">
        <v>4806</v>
      </c>
      <c r="M271" s="53"/>
      <c r="N271" s="54"/>
      <c r="O271" s="53"/>
      <c r="P271" s="54"/>
      <c r="Q271" s="53"/>
      <c r="R271" s="54"/>
      <c r="S271" s="53"/>
      <c r="T271" s="54"/>
      <c r="U271" s="53"/>
      <c r="V271" s="54"/>
      <c r="W271" s="53"/>
      <c r="X271" s="54"/>
      <c r="Y271" s="53"/>
      <c r="Z271" s="54"/>
      <c r="AA271" s="53"/>
      <c r="AB271" s="54"/>
      <c r="AC271" s="53"/>
      <c r="AD271" s="54"/>
      <c r="AE271" s="53"/>
      <c r="AF271" s="54"/>
      <c r="AG271" s="53"/>
      <c r="AH271" s="54"/>
      <c r="AI271" s="53"/>
      <c r="AJ271" s="54"/>
      <c r="AK271" s="53"/>
      <c r="AL271" s="54"/>
      <c r="AM271" s="53"/>
      <c r="AN271" s="54"/>
      <c r="AO271" s="53"/>
      <c r="AP271" s="54"/>
      <c r="AQ271" s="53"/>
      <c r="AR271" s="54"/>
      <c r="AS271" s="53"/>
      <c r="AT271" s="54"/>
      <c r="AU271" s="53"/>
      <c r="AV271" s="54"/>
      <c r="AW271" s="53"/>
      <c r="AX271" s="54"/>
      <c r="AY271" s="53"/>
      <c r="AZ271" s="54"/>
      <c r="BA271" s="53"/>
      <c r="BB271" s="51"/>
      <c r="BC271" s="53"/>
      <c r="BD271" s="51"/>
      <c r="BE271" s="53"/>
      <c r="BF271" s="51"/>
      <c r="BG271" s="53"/>
      <c r="BH271" s="51"/>
      <c r="BI271" s="53"/>
      <c r="BJ271" s="51"/>
      <c r="BK271" s="53"/>
      <c r="BL271" s="51"/>
      <c r="BM271" s="53"/>
      <c r="BN271" s="51"/>
      <c r="BO271" s="53"/>
      <c r="BP271" s="51"/>
      <c r="BQ271" s="53"/>
      <c r="BR271" s="55"/>
    </row>
    <row r="272" spans="1:70" ht="28.5" customHeight="1">
      <c r="A272" s="67" t="str">
        <f>IF(games!A272="", "", games!A272)</f>
        <v>萌塔娘</v>
      </c>
      <c r="B272" s="51"/>
      <c r="C272" s="51" t="str">
        <f t="shared" si="12"/>
        <v>giftcodesbanner/萌塔娘-禮包碼.jpg</v>
      </c>
      <c r="D272" s="51" t="str">
        <f t="shared" si="13"/>
        <v>https://www.ssbuy.tw/gift-codes.html?game=萌塔娘</v>
      </c>
      <c r="E272" s="91"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2" t="s">
        <v>5045</v>
      </c>
      <c r="G272" s="51" t="s">
        <v>5062</v>
      </c>
      <c r="H272" s="51" t="s">
        <v>2623</v>
      </c>
      <c r="I272" s="51" t="s">
        <v>4357</v>
      </c>
      <c r="J272" s="91"/>
      <c r="K272" s="92" t="s">
        <v>5043</v>
      </c>
      <c r="L272" s="51" t="s">
        <v>5044</v>
      </c>
      <c r="M272" s="53"/>
      <c r="N272" s="54"/>
      <c r="O272" s="53"/>
      <c r="P272" s="54"/>
      <c r="Q272" s="53"/>
      <c r="R272" s="54"/>
      <c r="S272" s="53"/>
      <c r="T272" s="54"/>
      <c r="U272" s="53"/>
      <c r="V272" s="54"/>
      <c r="W272" s="53"/>
      <c r="X272" s="54"/>
      <c r="Y272" s="53"/>
      <c r="Z272" s="54"/>
      <c r="AA272" s="53"/>
      <c r="AB272" s="54"/>
      <c r="AC272" s="53"/>
      <c r="AD272" s="54"/>
      <c r="AE272" s="53"/>
      <c r="AF272" s="54"/>
      <c r="AG272" s="53"/>
      <c r="AH272" s="54"/>
      <c r="AI272" s="53"/>
      <c r="AJ272" s="54"/>
      <c r="AK272" s="53"/>
      <c r="AL272" s="54"/>
      <c r="AM272" s="53"/>
      <c r="AN272" s="54"/>
      <c r="AO272" s="53"/>
      <c r="AP272" s="54"/>
      <c r="AQ272" s="53"/>
      <c r="AR272" s="54"/>
      <c r="AS272" s="53"/>
      <c r="AT272" s="54"/>
      <c r="AU272" s="53"/>
      <c r="AV272" s="54"/>
      <c r="AW272" s="53"/>
      <c r="AX272" s="54"/>
      <c r="AY272" s="53"/>
      <c r="AZ272" s="54"/>
      <c r="BA272" s="53"/>
      <c r="BB272" s="51"/>
      <c r="BC272" s="53"/>
      <c r="BD272" s="51"/>
      <c r="BE272" s="53"/>
      <c r="BF272" s="51"/>
      <c r="BG272" s="53"/>
      <c r="BH272" s="51"/>
      <c r="BI272" s="53"/>
      <c r="BJ272" s="51"/>
      <c r="BK272" s="53"/>
      <c r="BL272" s="51"/>
      <c r="BM272" s="53"/>
      <c r="BN272" s="51"/>
      <c r="BO272" s="53"/>
      <c r="BP272" s="51"/>
      <c r="BQ272" s="53"/>
      <c r="BR272" s="55"/>
    </row>
    <row r="273" spans="1:70" ht="28.5" customHeight="1">
      <c r="A273" s="67" t="str">
        <f>IF(games!A273="", "", games!A273)</f>
        <v>盜夢英雄2：幻野</v>
      </c>
      <c r="B273" s="51"/>
      <c r="C273" s="51" t="str">
        <f t="shared" si="12"/>
        <v>giftcodesbanner/盜夢英雄2：幻野-禮包碼.jpg</v>
      </c>
      <c r="D273" s="51" t="str">
        <f t="shared" si="13"/>
        <v>https://www.ssbuy.tw/gift-codes.html?game=盜夢英雄2：幻野</v>
      </c>
      <c r="E273" s="91"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07" t="s">
        <v>5057</v>
      </c>
      <c r="G273" s="51" t="s">
        <v>2623</v>
      </c>
      <c r="H273" s="51" t="s">
        <v>4357</v>
      </c>
      <c r="I273" s="51"/>
      <c r="J273" s="91"/>
      <c r="K273" s="92" t="s">
        <v>5037</v>
      </c>
      <c r="L273" s="51" t="s">
        <v>5055</v>
      </c>
      <c r="M273" s="53" t="s">
        <v>5038</v>
      </c>
      <c r="N273" s="54" t="s">
        <v>5056</v>
      </c>
      <c r="O273" s="53" t="s">
        <v>5039</v>
      </c>
      <c r="P273" s="54" t="s">
        <v>5058</v>
      </c>
      <c r="Q273" s="53" t="s">
        <v>5040</v>
      </c>
      <c r="R273" s="54" t="s">
        <v>5059</v>
      </c>
      <c r="S273" s="53" t="s">
        <v>5041</v>
      </c>
      <c r="T273" s="54" t="s">
        <v>5060</v>
      </c>
      <c r="U273" s="53" t="s">
        <v>5042</v>
      </c>
      <c r="V273" s="54" t="s">
        <v>5061</v>
      </c>
      <c r="W273" s="53" t="s">
        <v>5190</v>
      </c>
      <c r="X273" s="54" t="s">
        <v>5194</v>
      </c>
      <c r="Y273" s="53" t="s">
        <v>5191</v>
      </c>
      <c r="Z273" s="54" t="s">
        <v>5195</v>
      </c>
      <c r="AA273" s="53" t="s">
        <v>5192</v>
      </c>
      <c r="AB273" s="54" t="s">
        <v>5196</v>
      </c>
      <c r="AC273" s="53" t="s">
        <v>5193</v>
      </c>
      <c r="AD273" s="54" t="s">
        <v>5197</v>
      </c>
      <c r="AE273" s="53"/>
      <c r="AF273" s="54"/>
      <c r="AG273" s="53"/>
      <c r="AH273" s="54"/>
      <c r="AI273" s="53"/>
      <c r="AJ273" s="54"/>
      <c r="AK273" s="53"/>
      <c r="AL273" s="54"/>
      <c r="AM273" s="53"/>
      <c r="AN273" s="54"/>
      <c r="AO273" s="53"/>
      <c r="AP273" s="54"/>
      <c r="AQ273" s="53"/>
      <c r="AR273" s="54"/>
      <c r="AS273" s="53"/>
      <c r="AT273" s="54"/>
      <c r="AU273" s="53"/>
      <c r="AV273" s="54"/>
      <c r="AW273" s="53"/>
      <c r="AX273" s="54"/>
      <c r="AY273" s="53"/>
      <c r="AZ273" s="54"/>
      <c r="BA273" s="53"/>
      <c r="BB273" s="51"/>
      <c r="BC273" s="53"/>
      <c r="BD273" s="51"/>
      <c r="BE273" s="53"/>
      <c r="BF273" s="51"/>
      <c r="BG273" s="53"/>
      <c r="BH273" s="51"/>
      <c r="BI273" s="53"/>
      <c r="BJ273" s="51"/>
      <c r="BK273" s="53"/>
      <c r="BL273" s="51"/>
      <c r="BM273" s="53"/>
      <c r="BN273" s="51"/>
      <c r="BO273" s="53"/>
      <c r="BP273" s="51"/>
      <c r="BQ273" s="53"/>
      <c r="BR273" s="55"/>
    </row>
    <row r="274" spans="1:70" ht="28.5" customHeight="1">
      <c r="A274" s="67" t="str">
        <f>IF(games!A274="", "", games!A274)</f>
        <v>貪婪洞窟：重生</v>
      </c>
      <c r="B274" s="51"/>
      <c r="C274" s="51" t="str">
        <f t="shared" si="12"/>
        <v>giftcodesbanner/貪婪洞窟：重生-禮包碼.jpg</v>
      </c>
      <c r="D274" s="51" t="str">
        <f t="shared" si="13"/>
        <v>https://www.ssbuy.tw/gift-codes.html?game=貪婪洞窟：重生</v>
      </c>
      <c r="E274" s="91"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07" t="s">
        <v>4989</v>
      </c>
      <c r="G274" s="51" t="s">
        <v>4990</v>
      </c>
      <c r="H274" s="51" t="s">
        <v>2623</v>
      </c>
      <c r="I274" s="51" t="s">
        <v>4357</v>
      </c>
      <c r="J274" s="91"/>
      <c r="K274" s="92" t="s">
        <v>4991</v>
      </c>
      <c r="L274" s="51" t="s">
        <v>4992</v>
      </c>
      <c r="M274" s="53" t="s">
        <v>4993</v>
      </c>
      <c r="N274" s="54" t="s">
        <v>4994</v>
      </c>
      <c r="O274" s="53" t="s">
        <v>4995</v>
      </c>
      <c r="P274" s="54" t="s">
        <v>4996</v>
      </c>
      <c r="Q274" s="79" t="s">
        <v>5453</v>
      </c>
      <c r="R274" s="54" t="s">
        <v>5447</v>
      </c>
      <c r="S274" s="53"/>
      <c r="T274" s="54"/>
      <c r="U274" s="53"/>
      <c r="V274" s="54"/>
      <c r="W274" s="53"/>
      <c r="X274" s="54"/>
      <c r="Y274" s="53"/>
      <c r="Z274" s="54"/>
      <c r="AA274" s="53"/>
      <c r="AB274" s="54"/>
      <c r="AC274" s="53"/>
      <c r="AD274" s="54"/>
      <c r="AE274" s="53"/>
      <c r="AF274" s="54"/>
      <c r="AG274" s="53"/>
      <c r="AH274" s="54"/>
      <c r="AI274" s="53"/>
      <c r="AJ274" s="54"/>
      <c r="AK274" s="53"/>
      <c r="AL274" s="54"/>
      <c r="AM274" s="53"/>
      <c r="AN274" s="54"/>
      <c r="AO274" s="53"/>
      <c r="AP274" s="54"/>
      <c r="AQ274" s="53"/>
      <c r="AR274" s="54"/>
      <c r="AS274" s="53"/>
      <c r="AT274" s="54"/>
      <c r="AU274" s="53"/>
      <c r="AV274" s="54"/>
      <c r="AW274" s="53"/>
      <c r="AX274" s="54"/>
      <c r="AY274" s="53"/>
      <c r="AZ274" s="54"/>
      <c r="BA274" s="53"/>
      <c r="BB274" s="51"/>
      <c r="BC274" s="53"/>
      <c r="BD274" s="51"/>
      <c r="BE274" s="53"/>
      <c r="BF274" s="51"/>
      <c r="BG274" s="53"/>
      <c r="BH274" s="51"/>
      <c r="BI274" s="53"/>
      <c r="BJ274" s="51"/>
      <c r="BK274" s="53"/>
      <c r="BL274" s="51"/>
      <c r="BM274" s="53"/>
      <c r="BN274" s="51"/>
      <c r="BO274" s="53"/>
      <c r="BP274" s="51"/>
      <c r="BQ274" s="53"/>
      <c r="BR274" s="55"/>
    </row>
    <row r="275" spans="1:70" ht="28.5" customHeight="1">
      <c r="A275" s="67" t="str">
        <f>IF(games!A275="", "", games!A275)</f>
        <v>小兵特攻隊</v>
      </c>
      <c r="B275" s="51"/>
      <c r="C275" s="51" t="str">
        <f t="shared" si="12"/>
        <v>giftcodesbanner/小兵特攻隊-禮包碼.jpg</v>
      </c>
      <c r="D275" s="51" t="str">
        <f t="shared" si="13"/>
        <v>https://www.ssbuy.tw/gift-codes.html?game=小兵特攻隊</v>
      </c>
      <c r="E275" s="91"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07" t="s">
        <v>5031</v>
      </c>
      <c r="G275" s="51" t="s">
        <v>5032</v>
      </c>
      <c r="H275" s="51" t="s">
        <v>5033</v>
      </c>
      <c r="I275" s="51" t="s">
        <v>2623</v>
      </c>
      <c r="J275" s="91" t="s">
        <v>5034</v>
      </c>
      <c r="K275" s="92" t="s">
        <v>5029</v>
      </c>
      <c r="L275" s="51" t="s">
        <v>5030</v>
      </c>
      <c r="M275" s="53" t="s">
        <v>5047</v>
      </c>
      <c r="N275" s="54" t="s">
        <v>5048</v>
      </c>
      <c r="O275" s="53" t="s">
        <v>5100</v>
      </c>
      <c r="P275" s="54"/>
      <c r="Q275" s="53" t="s">
        <v>5101</v>
      </c>
      <c r="R275" s="54"/>
      <c r="S275" s="53" t="s">
        <v>5102</v>
      </c>
      <c r="T275" s="54"/>
      <c r="U275" s="53" t="s">
        <v>2056</v>
      </c>
      <c r="V275" s="54"/>
      <c r="W275" s="53" t="s">
        <v>4557</v>
      </c>
      <c r="X275" s="54"/>
      <c r="Y275" s="53" t="s">
        <v>5103</v>
      </c>
      <c r="Z275" s="54"/>
      <c r="AA275" s="79" t="s">
        <v>5453</v>
      </c>
      <c r="AB275" s="54" t="s">
        <v>5447</v>
      </c>
      <c r="AC275" s="53"/>
      <c r="AD275" s="54"/>
      <c r="AE275" s="53"/>
      <c r="AF275" s="54"/>
      <c r="AG275" s="53"/>
      <c r="AH275" s="54"/>
      <c r="AI275" s="53"/>
      <c r="AJ275" s="54"/>
      <c r="AK275" s="53"/>
      <c r="AL275" s="54"/>
      <c r="AM275" s="53"/>
      <c r="AN275" s="54"/>
      <c r="AO275" s="53"/>
      <c r="AP275" s="54"/>
      <c r="AQ275" s="53"/>
      <c r="AR275" s="54"/>
      <c r="AS275" s="53"/>
      <c r="AT275" s="54"/>
      <c r="AU275" s="53"/>
      <c r="AV275" s="54"/>
      <c r="AW275" s="53"/>
      <c r="AX275" s="54"/>
      <c r="AY275" s="53"/>
      <c r="AZ275" s="54"/>
      <c r="BA275" s="53"/>
      <c r="BB275" s="51"/>
      <c r="BC275" s="53"/>
      <c r="BD275" s="51"/>
      <c r="BE275" s="53"/>
      <c r="BF275" s="51"/>
      <c r="BG275" s="53"/>
      <c r="BH275" s="51"/>
      <c r="BI275" s="53"/>
      <c r="BJ275" s="51"/>
      <c r="BK275" s="53"/>
      <c r="BL275" s="51"/>
      <c r="BM275" s="53"/>
      <c r="BN275" s="51"/>
      <c r="BO275" s="53"/>
      <c r="BP275" s="51"/>
      <c r="BQ275" s="53"/>
      <c r="BR275" s="55"/>
    </row>
    <row r="276" spans="1:70" ht="28.5" customHeight="1">
      <c r="A276" s="67" t="str">
        <f>IF(games!A276="", "", games!A276)</f>
        <v>星塔旅人</v>
      </c>
      <c r="B276" s="51"/>
      <c r="C276" s="51" t="str">
        <f t="shared" si="12"/>
        <v>giftcodesbanner/星塔旅人-禮包碼.jpg</v>
      </c>
      <c r="D276" s="51" t="str">
        <f t="shared" si="13"/>
        <v>https://www.ssbuy.tw/gift-codes.html?game=星塔旅人</v>
      </c>
      <c r="E276" s="91"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0" t="s">
        <v>5108</v>
      </c>
      <c r="G276" s="51" t="s">
        <v>5109</v>
      </c>
      <c r="H276" s="51" t="s">
        <v>5110</v>
      </c>
      <c r="I276" s="51" t="s">
        <v>5111</v>
      </c>
      <c r="J276" s="91"/>
      <c r="K276" s="100" t="s">
        <v>5453</v>
      </c>
      <c r="L276" s="51" t="s">
        <v>5447</v>
      </c>
      <c r="M276" s="53" t="s">
        <v>6442</v>
      </c>
      <c r="N276" s="54" t="s">
        <v>6443</v>
      </c>
      <c r="O276" s="92" t="s">
        <v>6444</v>
      </c>
      <c r="P276" s="51" t="s">
        <v>6445</v>
      </c>
      <c r="Q276" s="92" t="s">
        <v>5104</v>
      </c>
      <c r="R276" s="51" t="s">
        <v>5106</v>
      </c>
      <c r="S276" s="53" t="s">
        <v>5105</v>
      </c>
      <c r="T276" s="54" t="s">
        <v>5107</v>
      </c>
      <c r="U276" s="53"/>
      <c r="V276" s="54"/>
      <c r="W276" s="53"/>
      <c r="X276" s="54"/>
      <c r="Y276" s="53"/>
      <c r="Z276" s="54"/>
      <c r="AA276" s="53"/>
      <c r="AB276" s="54"/>
      <c r="AC276" s="53"/>
      <c r="AD276" s="54"/>
      <c r="AE276" s="53"/>
      <c r="AF276" s="54"/>
      <c r="AG276" s="53"/>
      <c r="AH276" s="54"/>
      <c r="AI276" s="53"/>
      <c r="AJ276" s="54"/>
      <c r="AK276" s="53"/>
      <c r="AL276" s="54"/>
      <c r="AM276" s="53"/>
      <c r="AN276" s="54"/>
      <c r="AO276" s="53"/>
      <c r="AP276" s="54"/>
      <c r="AQ276" s="53"/>
      <c r="AR276" s="54"/>
      <c r="AS276" s="53"/>
      <c r="AT276" s="54"/>
      <c r="AU276" s="53"/>
      <c r="AV276" s="54"/>
      <c r="AW276" s="53"/>
      <c r="AX276" s="54"/>
      <c r="AY276" s="53"/>
      <c r="AZ276" s="54"/>
      <c r="BA276" s="53"/>
      <c r="BB276" s="51"/>
      <c r="BC276" s="53"/>
      <c r="BD276" s="51"/>
      <c r="BE276" s="53"/>
      <c r="BF276" s="51"/>
      <c r="BG276" s="53"/>
      <c r="BH276" s="51"/>
      <c r="BI276" s="53"/>
      <c r="BJ276" s="51"/>
      <c r="BK276" s="53"/>
      <c r="BL276" s="51"/>
      <c r="BM276" s="53"/>
      <c r="BN276" s="51"/>
      <c r="BO276" s="53"/>
      <c r="BP276" s="51"/>
      <c r="BQ276" s="53"/>
      <c r="BR276" s="55"/>
    </row>
    <row r="277" spans="1:70" ht="28.5" customHeight="1">
      <c r="A277" s="67" t="str">
        <f>IF(games!A277="", "", games!A277)</f>
        <v>卡厄斯夢境</v>
      </c>
      <c r="B277" s="51"/>
      <c r="C277" s="51" t="str">
        <f t="shared" si="12"/>
        <v>giftcodesbanner/卡厄斯夢境-禮包碼.jpg</v>
      </c>
      <c r="D277" s="51" t="str">
        <f t="shared" si="13"/>
        <v>https://www.ssbuy.tw/gift-codes.html?game=卡厄斯夢境</v>
      </c>
      <c r="E277" s="91"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2" t="s">
        <v>5086</v>
      </c>
      <c r="G277" s="51" t="s">
        <v>5087</v>
      </c>
      <c r="H277" s="51" t="s">
        <v>2623</v>
      </c>
      <c r="I277" s="51" t="s">
        <v>4357</v>
      </c>
      <c r="J277" s="91"/>
      <c r="K277" s="100" t="s">
        <v>5453</v>
      </c>
      <c r="L277" s="51" t="s">
        <v>5447</v>
      </c>
      <c r="M277" s="53"/>
      <c r="N277" s="54"/>
      <c r="O277" s="53"/>
      <c r="P277" s="54"/>
      <c r="Q277" s="53"/>
      <c r="R277" s="54"/>
      <c r="S277" s="53"/>
      <c r="T277" s="54"/>
      <c r="U277" s="53"/>
      <c r="V277" s="54"/>
      <c r="W277" s="53"/>
      <c r="X277" s="54"/>
      <c r="Y277" s="53"/>
      <c r="Z277" s="54"/>
      <c r="AA277" s="53"/>
      <c r="AB277" s="54"/>
      <c r="AC277" s="53"/>
      <c r="AD277" s="54"/>
      <c r="AE277" s="53"/>
      <c r="AF277" s="54"/>
      <c r="AG277" s="53"/>
      <c r="AH277" s="54"/>
      <c r="AI277" s="53"/>
      <c r="AJ277" s="54"/>
      <c r="AK277" s="53"/>
      <c r="AL277" s="54"/>
      <c r="AM277" s="53"/>
      <c r="AN277" s="54"/>
      <c r="AO277" s="53"/>
      <c r="AP277" s="54"/>
      <c r="AQ277" s="53"/>
      <c r="AR277" s="54"/>
      <c r="AS277" s="53"/>
      <c r="AT277" s="54"/>
      <c r="AU277" s="53"/>
      <c r="AV277" s="54"/>
      <c r="AW277" s="53"/>
      <c r="AX277" s="54"/>
      <c r="AY277" s="53"/>
      <c r="AZ277" s="54"/>
      <c r="BA277" s="53"/>
      <c r="BB277" s="51"/>
      <c r="BC277" s="53"/>
      <c r="BD277" s="51"/>
      <c r="BE277" s="53"/>
      <c r="BF277" s="51"/>
      <c r="BG277" s="53"/>
      <c r="BH277" s="51"/>
      <c r="BI277" s="53"/>
      <c r="BJ277" s="51"/>
      <c r="BK277" s="53"/>
      <c r="BL277" s="51"/>
      <c r="BM277" s="53"/>
      <c r="BN277" s="51"/>
      <c r="BO277" s="53"/>
      <c r="BP277" s="51"/>
      <c r="BQ277" s="53"/>
      <c r="BR277" s="55"/>
    </row>
    <row r="278" spans="1:70" ht="28.5" customHeight="1">
      <c r="A278" s="67" t="str">
        <f>IF(games!A278="", "", games!A278)</f>
        <v>星痕共鳴</v>
      </c>
      <c r="B278" s="51"/>
      <c r="C278" s="51" t="str">
        <f t="shared" si="12"/>
        <v>giftcodesbanner/星痕共鳴-禮包碼.jpg</v>
      </c>
      <c r="D278" s="51" t="str">
        <f t="shared" si="13"/>
        <v>https://www.ssbuy.tw/gift-codes.html?game=星痕共鳴</v>
      </c>
      <c r="E278" s="91"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2" t="s">
        <v>5237</v>
      </c>
      <c r="G278" s="51" t="s">
        <v>5238</v>
      </c>
      <c r="H278" s="51" t="s">
        <v>5239</v>
      </c>
      <c r="I278" s="51"/>
      <c r="J278" s="91"/>
      <c r="K278" s="92" t="s">
        <v>5233</v>
      </c>
      <c r="L278" s="51" t="s">
        <v>5236</v>
      </c>
      <c r="M278" s="53" t="s">
        <v>5234</v>
      </c>
      <c r="N278" s="54" t="s">
        <v>5235</v>
      </c>
      <c r="O278" s="79" t="s">
        <v>5453</v>
      </c>
      <c r="P278" s="54" t="s">
        <v>5447</v>
      </c>
      <c r="Q278" s="53"/>
      <c r="R278" s="54"/>
      <c r="S278" s="53"/>
      <c r="T278" s="54"/>
      <c r="U278" s="53"/>
      <c r="V278" s="54"/>
      <c r="W278" s="53"/>
      <c r="X278" s="54"/>
      <c r="Y278" s="53"/>
      <c r="Z278" s="54"/>
      <c r="AA278" s="53"/>
      <c r="AB278" s="54"/>
      <c r="AC278" s="53"/>
      <c r="AD278" s="54"/>
      <c r="AE278" s="53"/>
      <c r="AF278" s="54"/>
      <c r="AG278" s="53"/>
      <c r="AH278" s="54"/>
      <c r="AI278" s="53"/>
      <c r="AJ278" s="54"/>
      <c r="AK278" s="53"/>
      <c r="AL278" s="54"/>
      <c r="AM278" s="53"/>
      <c r="AN278" s="54"/>
      <c r="AO278" s="53"/>
      <c r="AP278" s="54"/>
      <c r="AQ278" s="53"/>
      <c r="AR278" s="54"/>
      <c r="AS278" s="53"/>
      <c r="AT278" s="54"/>
      <c r="AU278" s="53"/>
      <c r="AV278" s="54"/>
      <c r="AW278" s="53"/>
      <c r="AX278" s="54"/>
      <c r="AY278" s="53"/>
      <c r="AZ278" s="54"/>
      <c r="BA278" s="53"/>
      <c r="BB278" s="51"/>
      <c r="BC278" s="53"/>
      <c r="BD278" s="51"/>
      <c r="BE278" s="53"/>
      <c r="BF278" s="51"/>
      <c r="BG278" s="53"/>
      <c r="BH278" s="51"/>
      <c r="BI278" s="53"/>
      <c r="BJ278" s="51"/>
      <c r="BK278" s="53"/>
      <c r="BL278" s="51"/>
      <c r="BM278" s="53"/>
      <c r="BN278" s="51"/>
      <c r="BO278" s="53"/>
      <c r="BP278" s="51"/>
      <c r="BQ278" s="53"/>
      <c r="BR278" s="55"/>
    </row>
    <row r="279" spans="1:70" ht="28.5" customHeight="1">
      <c r="A279" s="67" t="str">
        <f>IF(games!A279="", "", games!A279)</f>
        <v>二重螺旋</v>
      </c>
      <c r="B279" s="51"/>
      <c r="C279" s="51" t="str">
        <f t="shared" si="12"/>
        <v>giftcodesbanner/二重螺旋-禮包碼.jpg</v>
      </c>
      <c r="D279" s="51" t="str">
        <f t="shared" si="13"/>
        <v>https://www.ssbuy.tw/gift-codes.html?game=二重螺旋</v>
      </c>
      <c r="E279" s="91"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2" t="s">
        <v>5311</v>
      </c>
      <c r="G279" s="51" t="s">
        <v>5312</v>
      </c>
      <c r="H279" s="51" t="s">
        <v>5313</v>
      </c>
      <c r="I279" s="51" t="s">
        <v>2623</v>
      </c>
      <c r="J279" s="91" t="s">
        <v>4357</v>
      </c>
      <c r="K279" s="92" t="s">
        <v>5240</v>
      </c>
      <c r="L279" s="51" t="s">
        <v>5350</v>
      </c>
      <c r="M279" s="53" t="s">
        <v>5241</v>
      </c>
      <c r="N279" s="54" t="s">
        <v>5351</v>
      </c>
      <c r="O279" s="53" t="s">
        <v>5242</v>
      </c>
      <c r="P279" s="54" t="s">
        <v>5352</v>
      </c>
      <c r="Q279" s="53" t="s">
        <v>5243</v>
      </c>
      <c r="R279" s="54" t="s">
        <v>5353</v>
      </c>
      <c r="S279" s="53" t="s">
        <v>5314</v>
      </c>
      <c r="T279" s="54" t="s">
        <v>5354</v>
      </c>
      <c r="U279" s="53" t="s">
        <v>5315</v>
      </c>
      <c r="V279" s="54" t="s">
        <v>5355</v>
      </c>
      <c r="W279" s="53" t="s">
        <v>5316</v>
      </c>
      <c r="X279" s="54" t="s">
        <v>5356</v>
      </c>
      <c r="Y279" s="53" t="s">
        <v>5317</v>
      </c>
      <c r="Z279" s="54" t="s">
        <v>5357</v>
      </c>
      <c r="AA279" s="53" t="s">
        <v>5319</v>
      </c>
      <c r="AB279" s="54" t="s">
        <v>5358</v>
      </c>
      <c r="AC279" s="53" t="s">
        <v>5318</v>
      </c>
      <c r="AD279" s="54" t="s">
        <v>5359</v>
      </c>
      <c r="AE279" s="53"/>
      <c r="AF279" s="54"/>
      <c r="AG279" s="79" t="s">
        <v>5453</v>
      </c>
      <c r="AH279" s="54" t="s">
        <v>5447</v>
      </c>
      <c r="AI279" s="53"/>
      <c r="AJ279" s="54"/>
      <c r="AK279" s="53"/>
      <c r="AL279" s="54"/>
      <c r="AM279" s="53"/>
      <c r="AN279" s="54"/>
      <c r="AO279" s="53"/>
      <c r="AP279" s="54"/>
      <c r="AQ279" s="53"/>
      <c r="AR279" s="54"/>
      <c r="AS279" s="53"/>
      <c r="AT279" s="54"/>
      <c r="AU279" s="53"/>
      <c r="AV279" s="54"/>
      <c r="AW279" s="53"/>
      <c r="AX279" s="54"/>
      <c r="AY279" s="53"/>
      <c r="AZ279" s="54"/>
      <c r="BA279" s="53"/>
      <c r="BB279" s="51"/>
      <c r="BC279" s="53"/>
      <c r="BD279" s="51"/>
      <c r="BE279" s="53"/>
      <c r="BF279" s="51"/>
      <c r="BG279" s="53"/>
      <c r="BH279" s="51"/>
      <c r="BI279" s="53"/>
      <c r="BJ279" s="51"/>
      <c r="BK279" s="53"/>
      <c r="BL279" s="51"/>
      <c r="BM279" s="53"/>
      <c r="BN279" s="51"/>
      <c r="BO279" s="53"/>
      <c r="BP279" s="51"/>
      <c r="BQ279" s="53"/>
      <c r="BR279" s="55"/>
    </row>
    <row r="280" spans="1:70" ht="28.5" customHeight="1">
      <c r="A280" s="67" t="str">
        <f>IF(games!A280="", "", games!A280)</f>
        <v>電馭跑酷</v>
      </c>
      <c r="B280" s="51"/>
      <c r="C280" s="51" t="str">
        <f t="shared" si="12"/>
        <v>giftcodesbanner/電馭跑酷-禮包碼.jpg</v>
      </c>
      <c r="D280" s="51" t="str">
        <f t="shared" si="13"/>
        <v>https://www.ssbuy.tw/gift-codes.html?game=電馭跑酷</v>
      </c>
      <c r="E280" s="91"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2" t="s">
        <v>5232</v>
      </c>
      <c r="G280" s="51"/>
      <c r="H280" s="51"/>
      <c r="I280" s="51"/>
      <c r="J280" s="91"/>
      <c r="K280" s="100" t="s">
        <v>5448</v>
      </c>
      <c r="L280" s="51" t="s">
        <v>5449</v>
      </c>
      <c r="M280" s="53"/>
      <c r="N280" s="54"/>
      <c r="O280" s="53"/>
      <c r="P280" s="54"/>
      <c r="Q280" s="53"/>
      <c r="R280" s="54"/>
      <c r="S280" s="53"/>
      <c r="T280" s="54"/>
      <c r="U280" s="53"/>
      <c r="V280" s="54"/>
      <c r="W280" s="53"/>
      <c r="X280" s="54"/>
      <c r="Y280" s="53"/>
      <c r="Z280" s="54"/>
      <c r="AA280" s="53"/>
      <c r="AB280" s="54"/>
      <c r="AC280" s="53"/>
      <c r="AD280" s="54"/>
      <c r="AE280" s="53"/>
      <c r="AF280" s="54"/>
      <c r="AG280" s="53"/>
      <c r="AH280" s="54"/>
      <c r="AI280" s="53"/>
      <c r="AJ280" s="54"/>
      <c r="AK280" s="53"/>
      <c r="AL280" s="54"/>
      <c r="AM280" s="53"/>
      <c r="AN280" s="54"/>
      <c r="AO280" s="53"/>
      <c r="AP280" s="54"/>
      <c r="AQ280" s="53"/>
      <c r="AR280" s="54"/>
      <c r="AS280" s="53"/>
      <c r="AT280" s="54"/>
      <c r="AU280" s="53"/>
      <c r="AV280" s="54"/>
      <c r="AW280" s="53"/>
      <c r="AX280" s="54"/>
      <c r="AY280" s="53"/>
      <c r="AZ280" s="54"/>
      <c r="BA280" s="53"/>
      <c r="BB280" s="51"/>
      <c r="BC280" s="53"/>
      <c r="BD280" s="51"/>
      <c r="BE280" s="53"/>
      <c r="BF280" s="51"/>
      <c r="BG280" s="53"/>
      <c r="BH280" s="51"/>
      <c r="BI280" s="53"/>
      <c r="BJ280" s="51"/>
      <c r="BK280" s="53"/>
      <c r="BL280" s="51"/>
      <c r="BM280" s="53"/>
      <c r="BN280" s="51"/>
      <c r="BO280" s="53"/>
      <c r="BP280" s="51"/>
      <c r="BQ280" s="53"/>
      <c r="BR280" s="55"/>
    </row>
    <row r="281" spans="1:70" ht="28.5" customHeight="1">
      <c r="A281" s="67" t="str">
        <f>IF(games!A281="", "", games!A281)</f>
        <v>火焰紋章Shadows</v>
      </c>
      <c r="B281" s="51"/>
      <c r="C281" s="51" t="str">
        <f t="shared" si="12"/>
        <v>giftcodesbanner/火焰紋章Shadows-禮包碼.jpg</v>
      </c>
      <c r="D281" s="51" t="str">
        <f t="shared" si="13"/>
        <v>https://www.ssbuy.tw/gift-codes.html?game=火焰紋章Shadows</v>
      </c>
      <c r="E281" s="91"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2" t="s">
        <v>5232</v>
      </c>
      <c r="G281" s="51"/>
      <c r="H281" s="51"/>
      <c r="I281" s="51"/>
      <c r="J281" s="91"/>
      <c r="K281" s="100" t="s">
        <v>5448</v>
      </c>
      <c r="L281" s="51" t="s">
        <v>5449</v>
      </c>
      <c r="M281" s="53"/>
      <c r="N281" s="54"/>
      <c r="O281" s="53"/>
      <c r="P281" s="54"/>
      <c r="Q281" s="53"/>
      <c r="R281" s="54"/>
      <c r="S281" s="53"/>
      <c r="T281" s="54"/>
      <c r="U281" s="53"/>
      <c r="V281" s="54"/>
      <c r="W281" s="53"/>
      <c r="X281" s="54"/>
      <c r="Y281" s="53"/>
      <c r="Z281" s="54"/>
      <c r="AA281" s="53"/>
      <c r="AB281" s="54"/>
      <c r="AC281" s="53"/>
      <c r="AD281" s="54"/>
      <c r="AE281" s="53"/>
      <c r="AF281" s="54"/>
      <c r="AG281" s="53"/>
      <c r="AH281" s="54"/>
      <c r="AI281" s="53"/>
      <c r="AJ281" s="54"/>
      <c r="AK281" s="53"/>
      <c r="AL281" s="54"/>
      <c r="AM281" s="53"/>
      <c r="AN281" s="54"/>
      <c r="AO281" s="53"/>
      <c r="AP281" s="54"/>
      <c r="AQ281" s="53"/>
      <c r="AR281" s="54"/>
      <c r="AS281" s="53"/>
      <c r="AT281" s="54"/>
      <c r="AU281" s="53"/>
      <c r="AV281" s="54"/>
      <c r="AW281" s="53"/>
      <c r="AX281" s="54"/>
      <c r="AY281" s="53"/>
      <c r="AZ281" s="54"/>
      <c r="BA281" s="53"/>
      <c r="BB281" s="51"/>
      <c r="BC281" s="53"/>
      <c r="BD281" s="51"/>
      <c r="BE281" s="53"/>
      <c r="BF281" s="51"/>
      <c r="BG281" s="53"/>
      <c r="BH281" s="51"/>
      <c r="BI281" s="53"/>
      <c r="BJ281" s="51"/>
      <c r="BK281" s="53"/>
      <c r="BL281" s="51"/>
      <c r="BM281" s="53"/>
      <c r="BN281" s="51"/>
      <c r="BO281" s="53"/>
      <c r="BP281" s="51"/>
      <c r="BQ281" s="53"/>
      <c r="BR281" s="55"/>
    </row>
    <row r="282" spans="1:70" ht="28.5" customHeight="1">
      <c r="A282" s="67" t="str">
        <f>IF(games!A282="", "", games!A282)</f>
        <v>石器時代：寵物世界</v>
      </c>
      <c r="B282" s="51"/>
      <c r="C282" s="51" t="str">
        <f t="shared" si="12"/>
        <v>giftcodesbanner/石器時代：寵物世界-禮包碼.jpg</v>
      </c>
      <c r="D282" s="51" t="str">
        <f t="shared" si="13"/>
        <v>https://www.ssbuy.tw/gift-codes.html?game=石器時代：寵物世界</v>
      </c>
      <c r="E282" s="91"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2" t="s">
        <v>5232</v>
      </c>
      <c r="G282" s="51"/>
      <c r="H282" s="51"/>
      <c r="I282" s="51"/>
      <c r="J282" s="91"/>
      <c r="K282" s="100" t="s">
        <v>5448</v>
      </c>
      <c r="L282" s="51" t="s">
        <v>5449</v>
      </c>
      <c r="M282" s="53"/>
      <c r="N282" s="54"/>
      <c r="O282" s="53"/>
      <c r="P282" s="54"/>
      <c r="Q282" s="53"/>
      <c r="R282" s="54"/>
      <c r="S282" s="53"/>
      <c r="T282" s="54"/>
      <c r="U282" s="53"/>
      <c r="V282" s="54"/>
      <c r="W282" s="53"/>
      <c r="X282" s="54"/>
      <c r="Y282" s="53"/>
      <c r="Z282" s="54"/>
      <c r="AA282" s="53"/>
      <c r="AB282" s="54"/>
      <c r="AC282" s="53"/>
      <c r="AD282" s="54"/>
      <c r="AE282" s="53"/>
      <c r="AF282" s="54"/>
      <c r="AG282" s="53"/>
      <c r="AH282" s="54"/>
      <c r="AI282" s="53"/>
      <c r="AJ282" s="54"/>
      <c r="AK282" s="53"/>
      <c r="AL282" s="54"/>
      <c r="AM282" s="53"/>
      <c r="AN282" s="54"/>
      <c r="AO282" s="53"/>
      <c r="AP282" s="54"/>
      <c r="AQ282" s="53"/>
      <c r="AR282" s="54"/>
      <c r="AS282" s="53"/>
      <c r="AT282" s="54"/>
      <c r="AU282" s="53"/>
      <c r="AV282" s="54"/>
      <c r="AW282" s="53"/>
      <c r="AX282" s="54"/>
      <c r="AY282" s="53"/>
      <c r="AZ282" s="54"/>
      <c r="BA282" s="53"/>
      <c r="BB282" s="51"/>
      <c r="BC282" s="53"/>
      <c r="BD282" s="51"/>
      <c r="BE282" s="53"/>
      <c r="BF282" s="51"/>
      <c r="BG282" s="53"/>
      <c r="BH282" s="51"/>
      <c r="BI282" s="53"/>
      <c r="BJ282" s="51"/>
      <c r="BK282" s="53"/>
      <c r="BL282" s="51"/>
      <c r="BM282" s="53"/>
      <c r="BN282" s="51"/>
      <c r="BO282" s="53"/>
      <c r="BP282" s="51"/>
      <c r="BQ282" s="53"/>
      <c r="BR282" s="55"/>
    </row>
    <row r="283" spans="1:70" ht="28.5" customHeight="1">
      <c r="A283" s="67" t="str">
        <f>IF(games!A283="", "", games!A283)</f>
        <v>蔚藍星球：國王很忙</v>
      </c>
      <c r="B283" s="51"/>
      <c r="C283" s="51" t="str">
        <f t="shared" si="12"/>
        <v>giftcodesbanner/蔚藍星球：國王很忙-禮包碼.jpg</v>
      </c>
      <c r="D283" s="51" t="str">
        <f t="shared" si="13"/>
        <v>https://www.ssbuy.tw/gift-codes.html?game=蔚藍星球：國王很忙</v>
      </c>
      <c r="E283" s="91"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2" t="s">
        <v>5302</v>
      </c>
      <c r="G283" s="51" t="s">
        <v>5303</v>
      </c>
      <c r="H283" s="51" t="s">
        <v>2623</v>
      </c>
      <c r="I283" s="51" t="s">
        <v>4357</v>
      </c>
      <c r="J283" s="91"/>
      <c r="K283" s="92" t="s">
        <v>5304</v>
      </c>
      <c r="L283" s="51" t="s">
        <v>5326</v>
      </c>
      <c r="M283" s="53" t="s">
        <v>4138</v>
      </c>
      <c r="N283" s="54" t="s">
        <v>5327</v>
      </c>
      <c r="O283" s="53" t="s">
        <v>4137</v>
      </c>
      <c r="P283" s="54" t="s">
        <v>5328</v>
      </c>
      <c r="Q283" s="53" t="s">
        <v>5305</v>
      </c>
      <c r="R283" s="54" t="s">
        <v>5329</v>
      </c>
      <c r="S283" s="53" t="s">
        <v>5306</v>
      </c>
      <c r="T283" s="54" t="s">
        <v>5330</v>
      </c>
      <c r="U283" s="53" t="s">
        <v>5307</v>
      </c>
      <c r="V283" s="54" t="s">
        <v>5330</v>
      </c>
      <c r="W283" s="53" t="s">
        <v>5308</v>
      </c>
      <c r="X283" s="54" t="s">
        <v>5330</v>
      </c>
      <c r="Y283" s="53" t="s">
        <v>5309</v>
      </c>
      <c r="Z283" s="54" t="s">
        <v>5331</v>
      </c>
      <c r="AA283" s="53" t="s">
        <v>2056</v>
      </c>
      <c r="AB283" s="54" t="s">
        <v>5332</v>
      </c>
      <c r="AC283" s="53" t="s">
        <v>5310</v>
      </c>
      <c r="AD283" s="54" t="s">
        <v>5333</v>
      </c>
      <c r="AE283" s="53" t="s">
        <v>5472</v>
      </c>
      <c r="AF283" s="54"/>
      <c r="AG283" s="53" t="s">
        <v>5473</v>
      </c>
      <c r="AH283" s="54"/>
      <c r="AI283" s="79" t="s">
        <v>5453</v>
      </c>
      <c r="AJ283" s="54" t="s">
        <v>5447</v>
      </c>
      <c r="AK283" s="53"/>
      <c r="AL283" s="54"/>
      <c r="AM283" s="53"/>
      <c r="AN283" s="54"/>
      <c r="AO283" s="53"/>
      <c r="AP283" s="54"/>
      <c r="AQ283" s="53"/>
      <c r="AR283" s="54"/>
      <c r="AS283" s="53"/>
      <c r="AT283" s="54"/>
      <c r="AU283" s="53"/>
      <c r="AV283" s="54"/>
      <c r="AW283" s="53"/>
      <c r="AX283" s="54"/>
      <c r="AY283" s="53"/>
      <c r="AZ283" s="54"/>
      <c r="BA283" s="53"/>
      <c r="BB283" s="51"/>
      <c r="BC283" s="53"/>
      <c r="BD283" s="51"/>
      <c r="BE283" s="53"/>
      <c r="BF283" s="51"/>
      <c r="BG283" s="53"/>
      <c r="BH283" s="51"/>
      <c r="BI283" s="53"/>
      <c r="BJ283" s="51"/>
      <c r="BK283" s="53"/>
      <c r="BL283" s="51"/>
      <c r="BM283" s="53"/>
      <c r="BN283" s="51"/>
      <c r="BO283" s="53"/>
      <c r="BP283" s="51"/>
      <c r="BQ283" s="53"/>
      <c r="BR283" s="55"/>
    </row>
    <row r="284" spans="1:70" ht="28.5" customHeight="1">
      <c r="A284" s="67" t="str">
        <f>IF(games!A284="", "", games!A284)</f>
        <v>胸懷三國：美人計</v>
      </c>
      <c r="B284" s="51"/>
      <c r="C284" s="51" t="str">
        <f t="shared" si="12"/>
        <v>giftcodesbanner/胸懷三國：美人計-禮包碼.jpg</v>
      </c>
      <c r="D284" s="51" t="str">
        <f t="shared" si="13"/>
        <v>https://www.ssbuy.tw/gift-codes.html?game=胸懷三國：美人計</v>
      </c>
      <c r="E284" s="91"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2" t="s">
        <v>5187</v>
      </c>
      <c r="G284" s="51" t="s">
        <v>5188</v>
      </c>
      <c r="H284" s="51" t="s">
        <v>5189</v>
      </c>
      <c r="I284" s="51"/>
      <c r="J284" s="91"/>
      <c r="K284" s="92" t="s">
        <v>5249</v>
      </c>
      <c r="L284" s="51" t="s">
        <v>5301</v>
      </c>
      <c r="M284" s="53" t="s">
        <v>5250</v>
      </c>
      <c r="N284" s="54" t="s">
        <v>5300</v>
      </c>
      <c r="O284" s="53" t="s">
        <v>5277</v>
      </c>
      <c r="P284" s="54" t="s">
        <v>5299</v>
      </c>
      <c r="Q284" s="53" t="s">
        <v>5278</v>
      </c>
      <c r="R284" s="54" t="s">
        <v>5298</v>
      </c>
      <c r="S284" s="53" t="s">
        <v>5279</v>
      </c>
      <c r="T284" s="54" t="s">
        <v>5297</v>
      </c>
      <c r="U284" s="53" t="s">
        <v>5280</v>
      </c>
      <c r="V284" s="54" t="s">
        <v>5296</v>
      </c>
      <c r="W284" s="53" t="s">
        <v>5281</v>
      </c>
      <c r="X284" s="54" t="s">
        <v>5295</v>
      </c>
      <c r="Y284" s="53" t="s">
        <v>5282</v>
      </c>
      <c r="Z284" s="54" t="s">
        <v>5294</v>
      </c>
      <c r="AA284" s="53" t="s">
        <v>5283</v>
      </c>
      <c r="AB284" s="54" t="s">
        <v>5293</v>
      </c>
      <c r="AC284" s="53" t="s">
        <v>1932</v>
      </c>
      <c r="AD284" s="54" t="s">
        <v>5292</v>
      </c>
      <c r="AE284" s="53" t="s">
        <v>5284</v>
      </c>
      <c r="AF284" s="54" t="s">
        <v>5291</v>
      </c>
      <c r="AG284" s="53" t="s">
        <v>5285</v>
      </c>
      <c r="AH284" s="54" t="s">
        <v>5290</v>
      </c>
      <c r="AI284" s="53" t="s">
        <v>5286</v>
      </c>
      <c r="AJ284" s="54" t="s">
        <v>5289</v>
      </c>
      <c r="AK284" s="53" t="s">
        <v>2199</v>
      </c>
      <c r="AL284" s="54" t="s">
        <v>5288</v>
      </c>
      <c r="AM284" s="53" t="s">
        <v>2200</v>
      </c>
      <c r="AN284" s="54" t="s">
        <v>5287</v>
      </c>
      <c r="AO284" s="79" t="s">
        <v>5453</v>
      </c>
      <c r="AP284" s="54" t="s">
        <v>5447</v>
      </c>
      <c r="AQ284" s="53"/>
      <c r="AR284" s="54"/>
      <c r="AS284" s="53"/>
      <c r="AT284" s="54"/>
      <c r="AU284" s="53"/>
      <c r="AV284" s="54"/>
      <c r="AW284" s="53"/>
      <c r="AX284" s="54"/>
      <c r="AY284" s="53"/>
      <c r="AZ284" s="54"/>
      <c r="BA284" s="53"/>
      <c r="BB284" s="51"/>
      <c r="BC284" s="53"/>
      <c r="BD284" s="51"/>
      <c r="BE284" s="53"/>
      <c r="BF284" s="51"/>
      <c r="BG284" s="53"/>
      <c r="BH284" s="51"/>
      <c r="BI284" s="53"/>
      <c r="BJ284" s="51"/>
      <c r="BK284" s="53"/>
      <c r="BL284" s="51"/>
      <c r="BM284" s="53"/>
      <c r="BN284" s="51"/>
      <c r="BO284" s="53"/>
      <c r="BP284" s="51"/>
      <c r="BQ284" s="53"/>
      <c r="BR284" s="55"/>
    </row>
    <row r="285" spans="1:70" ht="28.5" customHeight="1">
      <c r="A285" s="67" t="str">
        <f>IF(games!A285="", "", games!A285)</f>
        <v>弓箭英雄：塔防</v>
      </c>
      <c r="B285" s="51"/>
      <c r="C285" s="51" t="str">
        <f t="shared" si="12"/>
        <v>giftcodesbanner/弓箭英雄：塔防-禮包碼.jpg</v>
      </c>
      <c r="D285" s="51" t="str">
        <f t="shared" si="13"/>
        <v>https://www.ssbuy.tw/gift-codes.html?game=弓箭英雄：塔防</v>
      </c>
      <c r="E285" s="91"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2" t="s">
        <v>5232</v>
      </c>
      <c r="G285" s="51"/>
      <c r="H285" s="51"/>
      <c r="I285" s="51"/>
      <c r="J285" s="91"/>
      <c r="K285" s="100" t="s">
        <v>5495</v>
      </c>
      <c r="L285" s="51" t="s">
        <v>5496</v>
      </c>
      <c r="M285" s="53"/>
      <c r="N285" s="54"/>
      <c r="O285" s="53"/>
      <c r="P285" s="54"/>
      <c r="Q285" s="53"/>
      <c r="R285" s="54"/>
      <c r="S285" s="53"/>
      <c r="T285" s="54"/>
      <c r="U285" s="53"/>
      <c r="V285" s="54"/>
      <c r="W285" s="53"/>
      <c r="X285" s="54"/>
      <c r="Y285" s="53"/>
      <c r="Z285" s="54"/>
      <c r="AA285" s="53"/>
      <c r="AB285" s="54"/>
      <c r="AC285" s="53"/>
      <c r="AD285" s="54"/>
      <c r="AE285" s="53"/>
      <c r="AF285" s="54"/>
      <c r="AG285" s="53"/>
      <c r="AH285" s="54"/>
      <c r="AI285" s="53"/>
      <c r="AJ285" s="54"/>
      <c r="AK285" s="53"/>
      <c r="AL285" s="54"/>
      <c r="AM285" s="53"/>
      <c r="AN285" s="54"/>
      <c r="AO285" s="53"/>
      <c r="AP285" s="54"/>
      <c r="AQ285" s="53"/>
      <c r="AR285" s="54"/>
      <c r="AS285" s="53"/>
      <c r="AT285" s="54"/>
      <c r="AU285" s="53"/>
      <c r="AV285" s="54"/>
      <c r="AW285" s="53"/>
      <c r="AX285" s="54"/>
      <c r="AY285" s="53"/>
      <c r="AZ285" s="54"/>
      <c r="BA285" s="53"/>
      <c r="BB285" s="51"/>
      <c r="BC285" s="53"/>
      <c r="BD285" s="51"/>
      <c r="BE285" s="53"/>
      <c r="BF285" s="51"/>
      <c r="BG285" s="53"/>
      <c r="BH285" s="51"/>
      <c r="BI285" s="53"/>
      <c r="BJ285" s="51"/>
      <c r="BK285" s="53"/>
      <c r="BL285" s="51"/>
      <c r="BM285" s="53"/>
      <c r="BN285" s="51"/>
      <c r="BO285" s="53"/>
      <c r="BP285" s="51"/>
      <c r="BQ285" s="53"/>
      <c r="BR285" s="55"/>
    </row>
    <row r="286" spans="1:70" ht="28.5" customHeight="1">
      <c r="A286" s="67" t="str">
        <f>IF(games!A286="", "", games!A286)</f>
        <v>十二之天M</v>
      </c>
      <c r="B286" s="51"/>
      <c r="C286" s="51" t="str">
        <f t="shared" si="12"/>
        <v>giftcodesbanner/十二之天M-禮包碼.jpg</v>
      </c>
      <c r="D286" s="51" t="str">
        <f t="shared" si="13"/>
        <v>https://www.ssbuy.tw/gift-codes.html?game=十二之天M</v>
      </c>
      <c r="E286" s="91"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2" t="s">
        <v>5232</v>
      </c>
      <c r="G286" s="51"/>
      <c r="H286" s="51"/>
      <c r="I286" s="51"/>
      <c r="J286" s="91"/>
      <c r="K286" s="100" t="s">
        <v>5495</v>
      </c>
      <c r="L286" s="51" t="s">
        <v>5496</v>
      </c>
      <c r="M286" s="53"/>
      <c r="N286" s="54"/>
      <c r="O286" s="53"/>
      <c r="P286" s="54"/>
      <c r="Q286" s="53"/>
      <c r="R286" s="54"/>
      <c r="S286" s="53"/>
      <c r="T286" s="54"/>
      <c r="U286" s="53"/>
      <c r="V286" s="54"/>
      <c r="W286" s="53"/>
      <c r="X286" s="54"/>
      <c r="Y286" s="53"/>
      <c r="Z286" s="54"/>
      <c r="AA286" s="53"/>
      <c r="AB286" s="54"/>
      <c r="AC286" s="53"/>
      <c r="AD286" s="54"/>
      <c r="AE286" s="53"/>
      <c r="AF286" s="54"/>
      <c r="AG286" s="53"/>
      <c r="AH286" s="54"/>
      <c r="AI286" s="53"/>
      <c r="AJ286" s="54"/>
      <c r="AK286" s="53"/>
      <c r="AL286" s="54"/>
      <c r="AM286" s="53"/>
      <c r="AN286" s="54"/>
      <c r="AO286" s="53"/>
      <c r="AP286" s="54"/>
      <c r="AQ286" s="53"/>
      <c r="AR286" s="54"/>
      <c r="AS286" s="53"/>
      <c r="AT286" s="54"/>
      <c r="AU286" s="53"/>
      <c r="AV286" s="54"/>
      <c r="AW286" s="53"/>
      <c r="AX286" s="54"/>
      <c r="AY286" s="53"/>
      <c r="AZ286" s="54"/>
      <c r="BA286" s="53"/>
      <c r="BB286" s="51"/>
      <c r="BC286" s="53"/>
      <c r="BD286" s="51"/>
      <c r="BE286" s="53"/>
      <c r="BF286" s="51"/>
      <c r="BG286" s="53"/>
      <c r="BH286" s="51"/>
      <c r="BI286" s="53"/>
      <c r="BJ286" s="51"/>
      <c r="BK286" s="53"/>
      <c r="BL286" s="51"/>
      <c r="BM286" s="53"/>
      <c r="BN286" s="51"/>
      <c r="BO286" s="53"/>
      <c r="BP286" s="51"/>
      <c r="BQ286" s="53"/>
      <c r="BR286" s="55"/>
    </row>
    <row r="287" spans="1:70" ht="28.5" customHeight="1">
      <c r="A287" s="67" t="str">
        <f>IF(games!A287="", "", games!A287)</f>
        <v>NBA巔峰對決</v>
      </c>
      <c r="B287" s="51"/>
      <c r="C287" s="51" t="str">
        <f t="shared" si="12"/>
        <v>giftcodesbanner/NBA巔峰對決-禮包碼.jpg</v>
      </c>
      <c r="D287" s="51" t="str">
        <f t="shared" si="13"/>
        <v>https://www.ssbuy.tw/gift-codes.html?game=NBA巔峰對決</v>
      </c>
      <c r="E287" s="91"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2" t="s">
        <v>5367</v>
      </c>
      <c r="G287" s="51" t="s">
        <v>5368</v>
      </c>
      <c r="H287" s="51" t="s">
        <v>2623</v>
      </c>
      <c r="I287" s="51" t="s">
        <v>4357</v>
      </c>
      <c r="J287" s="91"/>
      <c r="K287" s="92" t="s">
        <v>5361</v>
      </c>
      <c r="L287" s="51" t="s">
        <v>5364</v>
      </c>
      <c r="M287" s="53" t="s">
        <v>5362</v>
      </c>
      <c r="N287" s="54" t="s">
        <v>5365</v>
      </c>
      <c r="O287" s="53" t="s">
        <v>5363</v>
      </c>
      <c r="P287" s="54" t="s">
        <v>5366</v>
      </c>
      <c r="Q287" s="53" t="s">
        <v>5369</v>
      </c>
      <c r="R287" s="54" t="s">
        <v>5370</v>
      </c>
      <c r="S287" s="80" t="s">
        <v>5470</v>
      </c>
      <c r="T287" s="54"/>
      <c r="U287" s="80" t="s">
        <v>5471</v>
      </c>
      <c r="V287" s="54"/>
      <c r="W287" s="79" t="s">
        <v>5453</v>
      </c>
      <c r="X287" s="54" t="s">
        <v>5447</v>
      </c>
      <c r="Y287" s="53"/>
      <c r="Z287" s="54"/>
      <c r="AA287" s="53"/>
      <c r="AB287" s="54"/>
      <c r="AC287" s="53"/>
      <c r="AD287" s="54"/>
      <c r="AE287" s="53"/>
      <c r="AF287" s="54"/>
      <c r="AG287" s="53"/>
      <c r="AH287" s="54"/>
      <c r="AI287" s="53"/>
      <c r="AJ287" s="54"/>
      <c r="AK287" s="53"/>
      <c r="AL287" s="54"/>
      <c r="AM287" s="53"/>
      <c r="AN287" s="54"/>
      <c r="AO287" s="53"/>
      <c r="AP287" s="54"/>
      <c r="AQ287" s="53"/>
      <c r="AR287" s="54"/>
      <c r="AS287" s="53"/>
      <c r="AT287" s="54"/>
      <c r="AU287" s="53"/>
      <c r="AV287" s="54"/>
      <c r="AW287" s="53"/>
      <c r="AX287" s="54"/>
      <c r="AY287" s="53"/>
      <c r="AZ287" s="54"/>
      <c r="BA287" s="53"/>
      <c r="BB287" s="51"/>
      <c r="BC287" s="53"/>
      <c r="BD287" s="51"/>
      <c r="BE287" s="53"/>
      <c r="BF287" s="51"/>
      <c r="BG287" s="53"/>
      <c r="BH287" s="51"/>
      <c r="BI287" s="53"/>
      <c r="BJ287" s="51"/>
      <c r="BK287" s="53"/>
      <c r="BL287" s="51"/>
      <c r="BM287" s="53"/>
      <c r="BN287" s="51"/>
      <c r="BO287" s="53"/>
      <c r="BP287" s="51"/>
      <c r="BQ287" s="53"/>
      <c r="BR287" s="55"/>
    </row>
    <row r="288" spans="1:70" ht="28.5" customHeight="1">
      <c r="A288" s="67" t="str">
        <f>IF(games!A288="", "", games!A288)</f>
        <v>三國志：王戰</v>
      </c>
      <c r="B288" s="51"/>
      <c r="C288" s="51" t="str">
        <f t="shared" si="12"/>
        <v>giftcodesbanner/三國志：王戰-禮包碼.jpg</v>
      </c>
      <c r="D288" s="51" t="str">
        <f t="shared" si="13"/>
        <v>https://www.ssbuy.tw/gift-codes.html?game=三國志：王戰</v>
      </c>
      <c r="E288" s="91"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2" t="s">
        <v>5232</v>
      </c>
      <c r="G288" s="51"/>
      <c r="H288" s="51"/>
      <c r="I288" s="51"/>
      <c r="J288" s="91"/>
      <c r="K288" s="100" t="s">
        <v>5495</v>
      </c>
      <c r="L288" s="51" t="s">
        <v>5496</v>
      </c>
      <c r="M288" s="53"/>
      <c r="N288" s="54"/>
      <c r="O288" s="53"/>
      <c r="P288" s="54"/>
      <c r="Q288" s="53"/>
      <c r="R288" s="54"/>
      <c r="S288" s="53"/>
      <c r="T288" s="54"/>
      <c r="U288" s="53"/>
      <c r="V288" s="54"/>
      <c r="W288" s="53"/>
      <c r="X288" s="54"/>
      <c r="Y288" s="53"/>
      <c r="Z288" s="54"/>
      <c r="AA288" s="53"/>
      <c r="AB288" s="54"/>
      <c r="AC288" s="53"/>
      <c r="AD288" s="54"/>
      <c r="AE288" s="53"/>
      <c r="AF288" s="54"/>
      <c r="AG288" s="53"/>
      <c r="AH288" s="54"/>
      <c r="AI288" s="53"/>
      <c r="AJ288" s="54"/>
      <c r="AK288" s="53"/>
      <c r="AL288" s="54"/>
      <c r="AM288" s="53"/>
      <c r="AN288" s="54"/>
      <c r="AO288" s="53"/>
      <c r="AP288" s="54"/>
      <c r="AQ288" s="53"/>
      <c r="AR288" s="54"/>
      <c r="AS288" s="53"/>
      <c r="AT288" s="54"/>
      <c r="AU288" s="53"/>
      <c r="AV288" s="54"/>
      <c r="AW288" s="53"/>
      <c r="AX288" s="54"/>
      <c r="AY288" s="53"/>
      <c r="AZ288" s="54"/>
      <c r="BA288" s="53"/>
      <c r="BB288" s="51"/>
      <c r="BC288" s="53"/>
      <c r="BD288" s="51"/>
      <c r="BE288" s="53"/>
      <c r="BF288" s="51"/>
      <c r="BG288" s="53"/>
      <c r="BH288" s="51"/>
      <c r="BI288" s="53"/>
      <c r="BJ288" s="51"/>
      <c r="BK288" s="53"/>
      <c r="BL288" s="51"/>
      <c r="BM288" s="53"/>
      <c r="BN288" s="51"/>
      <c r="BO288" s="53"/>
      <c r="BP288" s="51"/>
      <c r="BQ288" s="53"/>
      <c r="BR288" s="55"/>
    </row>
    <row r="289" spans="1:70" ht="28.5" customHeight="1">
      <c r="A289" s="67" t="str">
        <f>IF(games!A289="", "", games!A289)</f>
        <v>信長 霸道</v>
      </c>
      <c r="B289" s="51"/>
      <c r="C289" s="51" t="str">
        <f t="shared" si="12"/>
        <v>giftcodesbanner/信長 霸道-禮包碼.jpg</v>
      </c>
      <c r="D289" s="51" t="str">
        <f t="shared" si="13"/>
        <v>https://www.ssbuy.tw/gift-codes.html?game=信長 霸道</v>
      </c>
      <c r="E289" s="91"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2" t="s">
        <v>5232</v>
      </c>
      <c r="G289" s="51"/>
      <c r="H289" s="51"/>
      <c r="I289" s="51"/>
      <c r="J289" s="91"/>
      <c r="K289" s="100" t="s">
        <v>5495</v>
      </c>
      <c r="L289" s="51" t="s">
        <v>5496</v>
      </c>
      <c r="M289" s="53"/>
      <c r="N289" s="54"/>
      <c r="O289" s="53"/>
      <c r="P289" s="54"/>
      <c r="Q289" s="53"/>
      <c r="R289" s="54"/>
      <c r="S289" s="53"/>
      <c r="T289" s="54"/>
      <c r="U289" s="53"/>
      <c r="V289" s="54"/>
      <c r="W289" s="53"/>
      <c r="X289" s="54"/>
      <c r="Y289" s="53"/>
      <c r="Z289" s="54"/>
      <c r="AA289" s="53"/>
      <c r="AB289" s="54"/>
      <c r="AC289" s="53"/>
      <c r="AD289" s="54"/>
      <c r="AE289" s="53"/>
      <c r="AF289" s="54"/>
      <c r="AG289" s="53"/>
      <c r="AH289" s="54"/>
      <c r="AI289" s="53"/>
      <c r="AJ289" s="54"/>
      <c r="AK289" s="53"/>
      <c r="AL289" s="54"/>
      <c r="AM289" s="53"/>
      <c r="AN289" s="54"/>
      <c r="AO289" s="53"/>
      <c r="AP289" s="54"/>
      <c r="AQ289" s="53"/>
      <c r="AR289" s="54"/>
      <c r="AS289" s="53"/>
      <c r="AT289" s="54"/>
      <c r="AU289" s="53"/>
      <c r="AV289" s="54"/>
      <c r="AW289" s="53"/>
      <c r="AX289" s="54"/>
      <c r="AY289" s="53"/>
      <c r="AZ289" s="54"/>
      <c r="BA289" s="53"/>
      <c r="BB289" s="51"/>
      <c r="BC289" s="53"/>
      <c r="BD289" s="51"/>
      <c r="BE289" s="53"/>
      <c r="BF289" s="51"/>
      <c r="BG289" s="53"/>
      <c r="BH289" s="51"/>
      <c r="BI289" s="53"/>
      <c r="BJ289" s="51"/>
      <c r="BK289" s="53"/>
      <c r="BL289" s="51"/>
      <c r="BM289" s="53"/>
      <c r="BN289" s="51"/>
      <c r="BO289" s="53"/>
      <c r="BP289" s="51"/>
      <c r="BQ289" s="53"/>
      <c r="BR289" s="55"/>
    </row>
    <row r="290" spans="1:70" ht="28.5" customHeight="1">
      <c r="A290" s="67" t="str">
        <f>IF(games!A290="", "", games!A290)</f>
        <v>勇者前線Versus</v>
      </c>
      <c r="B290" s="51"/>
      <c r="C290" s="51" t="str">
        <f t="shared" si="12"/>
        <v>giftcodesbanner/勇者前線Versus-禮包碼.jpg</v>
      </c>
      <c r="D290" s="51" t="str">
        <f t="shared" si="13"/>
        <v>https://www.ssbuy.tw/gift-codes.html?game=勇者前線Versus</v>
      </c>
      <c r="E290" s="91"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2" t="s">
        <v>5232</v>
      </c>
      <c r="G290" s="51"/>
      <c r="H290" s="51"/>
      <c r="I290" s="51"/>
      <c r="J290" s="91"/>
      <c r="K290" s="100" t="s">
        <v>5495</v>
      </c>
      <c r="L290" s="51" t="s">
        <v>5496</v>
      </c>
      <c r="M290" s="53"/>
      <c r="N290" s="54"/>
      <c r="O290" s="53"/>
      <c r="P290" s="54"/>
      <c r="Q290" s="53"/>
      <c r="R290" s="54"/>
      <c r="S290" s="53"/>
      <c r="T290" s="54"/>
      <c r="U290" s="53"/>
      <c r="V290" s="54"/>
      <c r="W290" s="53"/>
      <c r="X290" s="54"/>
      <c r="Y290" s="53"/>
      <c r="Z290" s="54"/>
      <c r="AA290" s="53"/>
      <c r="AB290" s="54"/>
      <c r="AC290" s="53"/>
      <c r="AD290" s="54"/>
      <c r="AE290" s="53"/>
      <c r="AF290" s="54"/>
      <c r="AG290" s="53"/>
      <c r="AH290" s="54"/>
      <c r="AI290" s="53"/>
      <c r="AJ290" s="54"/>
      <c r="AK290" s="53"/>
      <c r="AL290" s="54"/>
      <c r="AM290" s="53"/>
      <c r="AN290" s="54"/>
      <c r="AO290" s="53"/>
      <c r="AP290" s="54"/>
      <c r="AQ290" s="53"/>
      <c r="AR290" s="54"/>
      <c r="AS290" s="53"/>
      <c r="AT290" s="54"/>
      <c r="AU290" s="53"/>
      <c r="AV290" s="54"/>
      <c r="AW290" s="53"/>
      <c r="AX290" s="54"/>
      <c r="AY290" s="53"/>
      <c r="AZ290" s="54"/>
      <c r="BA290" s="53"/>
      <c r="BB290" s="51"/>
      <c r="BC290" s="53"/>
      <c r="BD290" s="51"/>
      <c r="BE290" s="53"/>
      <c r="BF290" s="51"/>
      <c r="BG290" s="53"/>
      <c r="BH290" s="51"/>
      <c r="BI290" s="53"/>
      <c r="BJ290" s="51"/>
      <c r="BK290" s="53"/>
      <c r="BL290" s="51"/>
      <c r="BM290" s="53"/>
      <c r="BN290" s="51"/>
      <c r="BO290" s="53"/>
      <c r="BP290" s="51"/>
      <c r="BQ290" s="53"/>
      <c r="BR290" s="55"/>
    </row>
    <row r="291" spans="1:70" ht="28.5" customHeight="1">
      <c r="A291" s="67" t="str">
        <f>IF(games!A291="", "", games!A291)</f>
        <v>幻域方舟</v>
      </c>
      <c r="B291" s="51"/>
      <c r="C291" s="51" t="str">
        <f t="shared" si="12"/>
        <v>giftcodesbanner/幻域方舟-禮包碼.jpg</v>
      </c>
      <c r="D291" s="51" t="str">
        <f t="shared" si="13"/>
        <v>https://www.ssbuy.tw/gift-codes.html?game=幻域方舟</v>
      </c>
      <c r="E291" s="91"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2" t="s">
        <v>5451</v>
      </c>
      <c r="G291" s="51" t="s">
        <v>5450</v>
      </c>
      <c r="H291" s="51" t="s">
        <v>5452</v>
      </c>
      <c r="I291" s="51"/>
      <c r="J291" s="91"/>
      <c r="K291" s="100" t="s">
        <v>5454</v>
      </c>
      <c r="L291" s="51" t="s">
        <v>5455</v>
      </c>
      <c r="M291" s="79" t="s">
        <v>5495</v>
      </c>
      <c r="N291" s="54" t="s">
        <v>5496</v>
      </c>
      <c r="O291" s="53"/>
      <c r="P291" s="54"/>
      <c r="Q291" s="53"/>
      <c r="R291" s="54"/>
      <c r="S291" s="53"/>
      <c r="T291" s="54"/>
      <c r="U291" s="53"/>
      <c r="V291" s="54"/>
      <c r="W291" s="53"/>
      <c r="X291" s="54"/>
      <c r="Y291" s="53"/>
      <c r="Z291" s="54"/>
      <c r="AA291" s="53"/>
      <c r="AB291" s="54"/>
      <c r="AC291" s="79" t="s">
        <v>5453</v>
      </c>
      <c r="AD291" s="54" t="s">
        <v>5447</v>
      </c>
      <c r="AE291" s="53"/>
      <c r="AF291" s="54"/>
      <c r="AG291" s="53"/>
      <c r="AH291" s="54"/>
      <c r="AI291" s="53"/>
      <c r="AJ291" s="54"/>
      <c r="AK291" s="53"/>
      <c r="AL291" s="54"/>
      <c r="AM291" s="53"/>
      <c r="AN291" s="54"/>
      <c r="AO291" s="53"/>
      <c r="AP291" s="54"/>
      <c r="AQ291" s="53"/>
      <c r="AR291" s="54"/>
      <c r="AS291" s="53"/>
      <c r="AT291" s="54"/>
      <c r="AU291" s="53"/>
      <c r="AV291" s="54"/>
      <c r="AW291" s="53"/>
      <c r="AX291" s="54"/>
      <c r="AY291" s="53"/>
      <c r="AZ291" s="54"/>
      <c r="BA291" s="53"/>
      <c r="BB291" s="51"/>
      <c r="BC291" s="53"/>
      <c r="BD291" s="51"/>
      <c r="BE291" s="53"/>
      <c r="BF291" s="51"/>
      <c r="BG291" s="53"/>
      <c r="BH291" s="51"/>
      <c r="BI291" s="53"/>
      <c r="BJ291" s="51"/>
      <c r="BK291" s="53"/>
      <c r="BL291" s="51"/>
      <c r="BM291" s="53"/>
      <c r="BN291" s="51"/>
      <c r="BO291" s="53"/>
      <c r="BP291" s="51"/>
      <c r="BQ291" s="53"/>
      <c r="BR291" s="55"/>
    </row>
    <row r="292" spans="1:70" ht="28.5" customHeight="1">
      <c r="A292" s="67" t="str">
        <f>IF(games!A292="", "", games!A292)</f>
        <v>開天</v>
      </c>
      <c r="B292" s="51"/>
      <c r="C292" s="51" t="str">
        <f t="shared" si="12"/>
        <v>giftcodesbanner/開天-禮包碼.jpg</v>
      </c>
      <c r="D292" s="51" t="str">
        <f t="shared" si="13"/>
        <v>https://www.ssbuy.tw/gift-codes.html?game=開天</v>
      </c>
      <c r="E292" s="91"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2" t="s">
        <v>5464</v>
      </c>
      <c r="G292" s="51" t="s">
        <v>5465</v>
      </c>
      <c r="H292" s="51" t="s">
        <v>2623</v>
      </c>
      <c r="I292" s="51"/>
      <c r="J292" s="91"/>
      <c r="K292" s="100" t="s">
        <v>5456</v>
      </c>
      <c r="L292" s="51"/>
      <c r="M292" s="53" t="s">
        <v>5457</v>
      </c>
      <c r="N292" s="81"/>
      <c r="O292" s="53" t="s">
        <v>5458</v>
      </c>
      <c r="P292" s="54"/>
      <c r="Q292" s="53" t="s">
        <v>5459</v>
      </c>
      <c r="R292" s="54"/>
      <c r="S292" s="53" t="s">
        <v>5460</v>
      </c>
      <c r="T292" s="54"/>
      <c r="U292" s="53" t="s">
        <v>1933</v>
      </c>
      <c r="V292" s="54"/>
      <c r="W292" s="53" t="s">
        <v>5461</v>
      </c>
      <c r="X292" s="54"/>
      <c r="Y292" s="53" t="s">
        <v>5462</v>
      </c>
      <c r="Z292" s="54"/>
      <c r="AA292" s="53" t="s">
        <v>5463</v>
      </c>
      <c r="AB292" s="54"/>
      <c r="AC292" s="53" t="s">
        <v>5508</v>
      </c>
      <c r="AD292" s="54"/>
      <c r="AE292" s="53" t="s">
        <v>5509</v>
      </c>
      <c r="AF292" s="54"/>
      <c r="AG292" s="53" t="s">
        <v>5510</v>
      </c>
      <c r="AH292" s="54"/>
      <c r="AI292" s="53" t="s">
        <v>5511</v>
      </c>
      <c r="AJ292" s="54"/>
      <c r="AK292" s="53" t="s">
        <v>5512</v>
      </c>
      <c r="AL292" s="54"/>
      <c r="AM292" s="53" t="s">
        <v>5513</v>
      </c>
      <c r="AN292" s="54"/>
      <c r="AO292" s="53" t="s">
        <v>5514</v>
      </c>
      <c r="AP292" s="54"/>
      <c r="AQ292" s="53" t="s">
        <v>5515</v>
      </c>
      <c r="AR292" s="54"/>
      <c r="AS292" s="53" t="s">
        <v>5516</v>
      </c>
      <c r="AT292" s="54"/>
      <c r="AU292" s="53" t="s">
        <v>5517</v>
      </c>
      <c r="AV292" s="54"/>
      <c r="AW292" s="53" t="s">
        <v>5518</v>
      </c>
      <c r="AX292" s="54"/>
      <c r="AY292" s="53"/>
      <c r="AZ292" s="54"/>
      <c r="BA292" s="53"/>
      <c r="BB292" s="51"/>
      <c r="BC292" s="53"/>
      <c r="BD292" s="51"/>
      <c r="BE292" s="53"/>
      <c r="BF292" s="51"/>
      <c r="BG292" s="53"/>
      <c r="BH292" s="51"/>
      <c r="BI292" s="53"/>
      <c r="BJ292" s="51"/>
      <c r="BK292" s="53"/>
      <c r="BL292" s="51"/>
      <c r="BM292" s="53"/>
      <c r="BN292" s="51"/>
      <c r="BO292" s="53"/>
      <c r="BP292" s="51"/>
      <c r="BQ292" s="53"/>
      <c r="BR292" s="55"/>
    </row>
    <row r="293" spans="1:70" ht="28.5" customHeight="1">
      <c r="A293" s="67" t="str">
        <f>IF(games!A293="", "", games!A293)</f>
        <v>人人有功練：腸仔江湖見</v>
      </c>
      <c r="B293" s="51"/>
      <c r="C293" s="51" t="str">
        <f t="shared" si="12"/>
        <v>giftcodesbanner/人人有功練：腸仔江湖見-禮包碼.jpg</v>
      </c>
      <c r="D293" s="51" t="str">
        <f t="shared" si="13"/>
        <v>https://www.ssbuy.tw/gift-codes.html?game=人人有功練：腸仔江湖見</v>
      </c>
      <c r="E293" s="91"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2" t="s">
        <v>5464</v>
      </c>
      <c r="G293" s="51" t="s">
        <v>5465</v>
      </c>
      <c r="H293" s="51" t="s">
        <v>2623</v>
      </c>
      <c r="I293" s="51"/>
      <c r="J293" s="91"/>
      <c r="K293" s="100" t="s">
        <v>5466</v>
      </c>
      <c r="L293" s="51"/>
      <c r="M293" s="53" t="s">
        <v>5467</v>
      </c>
      <c r="N293" s="54"/>
      <c r="O293" s="53" t="s">
        <v>5468</v>
      </c>
      <c r="P293" s="54"/>
      <c r="Q293" s="53" t="s">
        <v>5469</v>
      </c>
      <c r="R293" s="54"/>
      <c r="S293" s="53" t="s">
        <v>5474</v>
      </c>
      <c r="T293" s="54"/>
      <c r="U293" s="53" t="s">
        <v>5284</v>
      </c>
      <c r="V293" s="54"/>
      <c r="W293" s="53" t="s">
        <v>1841</v>
      </c>
      <c r="X293" s="54"/>
      <c r="Y293" s="53" t="s">
        <v>5475</v>
      </c>
      <c r="Z293" s="54"/>
      <c r="AA293" s="53" t="s">
        <v>5476</v>
      </c>
      <c r="AB293" s="54"/>
      <c r="AC293" s="53" t="s">
        <v>2910</v>
      </c>
      <c r="AD293" s="54"/>
      <c r="AE293" s="53" t="s">
        <v>5477</v>
      </c>
      <c r="AF293" s="54"/>
      <c r="AG293" s="53" t="s">
        <v>5478</v>
      </c>
      <c r="AH293" s="54"/>
      <c r="AI293" s="53" t="s">
        <v>5479</v>
      </c>
      <c r="AJ293" s="54"/>
      <c r="AK293" s="79" t="s">
        <v>5453</v>
      </c>
      <c r="AL293" s="54" t="s">
        <v>5447</v>
      </c>
      <c r="AM293" s="53"/>
      <c r="AN293" s="54"/>
      <c r="AO293" s="53"/>
      <c r="AP293" s="54"/>
      <c r="AQ293" s="53"/>
      <c r="AR293" s="54"/>
      <c r="AS293" s="53"/>
      <c r="AT293" s="54"/>
      <c r="AU293" s="53"/>
      <c r="AV293" s="54"/>
      <c r="AW293" s="53"/>
      <c r="AX293" s="54"/>
      <c r="AY293" s="53"/>
      <c r="AZ293" s="54"/>
      <c r="BA293" s="53"/>
      <c r="BB293" s="51"/>
      <c r="BC293" s="53"/>
      <c r="BD293" s="51"/>
      <c r="BE293" s="53"/>
      <c r="BF293" s="51"/>
      <c r="BG293" s="53"/>
      <c r="BH293" s="51"/>
      <c r="BI293" s="53"/>
      <c r="BJ293" s="51"/>
      <c r="BK293" s="53"/>
      <c r="BL293" s="51"/>
      <c r="BM293" s="53"/>
      <c r="BN293" s="51"/>
      <c r="BO293" s="53"/>
      <c r="BP293" s="51"/>
      <c r="BQ293" s="53"/>
      <c r="BR293" s="55"/>
    </row>
    <row r="294" spans="1:70" ht="28.5" customHeight="1">
      <c r="A294" s="67" t="str">
        <f>IF(games!A294="", "", games!A294)</f>
        <v>楓之谷：放置冒險記</v>
      </c>
      <c r="B294" s="51"/>
      <c r="C294" s="51" t="str">
        <f t="shared" si="12"/>
        <v>giftcodesbanner/楓之谷：放置冒險記-禮包碼.jpg</v>
      </c>
      <c r="D294" s="51" t="str">
        <f t="shared" si="13"/>
        <v>https://www.ssbuy.tw/gift-codes.html?game=楓之谷：放置冒險記</v>
      </c>
      <c r="E294" s="91"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2" t="s">
        <v>5657</v>
      </c>
      <c r="G294" s="51" t="s">
        <v>5658</v>
      </c>
      <c r="H294" s="51" t="s">
        <v>5659</v>
      </c>
      <c r="I294" s="51" t="s">
        <v>2623</v>
      </c>
      <c r="J294" s="91"/>
      <c r="K294" s="100" t="s">
        <v>5495</v>
      </c>
      <c r="L294" s="51" t="s">
        <v>5496</v>
      </c>
      <c r="M294" s="53" t="s">
        <v>5660</v>
      </c>
      <c r="N294" s="54" t="s">
        <v>5661</v>
      </c>
      <c r="O294" s="53" t="s">
        <v>6487</v>
      </c>
      <c r="P294" s="54"/>
      <c r="Q294" s="53" t="s">
        <v>6488</v>
      </c>
      <c r="R294" s="54"/>
      <c r="S294" s="53" t="s">
        <v>6489</v>
      </c>
      <c r="T294" s="54"/>
      <c r="U294" s="53" t="s">
        <v>6490</v>
      </c>
      <c r="V294" s="54"/>
      <c r="W294" s="53" t="s">
        <v>6491</v>
      </c>
      <c r="X294" s="54"/>
      <c r="Y294" s="53"/>
      <c r="Z294" s="54"/>
      <c r="AA294" s="53"/>
      <c r="AB294" s="54"/>
      <c r="AC294" s="53"/>
      <c r="AD294" s="54"/>
      <c r="AE294" s="53"/>
      <c r="AF294" s="54"/>
      <c r="AG294" s="53"/>
      <c r="AH294" s="54"/>
      <c r="AI294" s="53"/>
      <c r="AJ294" s="54"/>
      <c r="AK294" s="53"/>
      <c r="AL294" s="54"/>
      <c r="AM294" s="53"/>
      <c r="AN294" s="54"/>
      <c r="AO294" s="53"/>
      <c r="AP294" s="54"/>
      <c r="AQ294" s="53"/>
      <c r="AR294" s="54"/>
      <c r="AS294" s="53"/>
      <c r="AT294" s="54"/>
      <c r="AU294" s="53"/>
      <c r="AV294" s="54"/>
      <c r="AW294" s="53"/>
      <c r="AX294" s="54"/>
      <c r="AY294" s="53"/>
      <c r="AZ294" s="54"/>
      <c r="BA294" s="53"/>
      <c r="BB294" s="51"/>
      <c r="BC294" s="53"/>
      <c r="BD294" s="51"/>
      <c r="BE294" s="53"/>
      <c r="BF294" s="51"/>
      <c r="BG294" s="53"/>
      <c r="BH294" s="51"/>
      <c r="BI294" s="53"/>
      <c r="BJ294" s="51"/>
      <c r="BK294" s="53"/>
      <c r="BL294" s="51"/>
      <c r="BM294" s="53"/>
      <c r="BN294" s="51"/>
      <c r="BO294" s="53"/>
      <c r="BP294" s="51"/>
      <c r="BQ294" s="53"/>
      <c r="BR294" s="55"/>
    </row>
    <row r="295" spans="1:70" ht="28.5" customHeight="1">
      <c r="A295" s="67" t="str">
        <f>IF(games!A295="", "", games!A295)</f>
        <v>Shiba Wars：Goddess Link TD</v>
      </c>
      <c r="B295" s="51"/>
      <c r="C295" s="51" t="str">
        <f t="shared" si="12"/>
        <v>giftcodesbanner/Shiba Wars：Goddess Link TD-禮包碼.jpg</v>
      </c>
      <c r="D295" s="51" t="str">
        <f t="shared" si="13"/>
        <v>https://www.ssbuy.tw/gift-codes.html?game=Shiba Wars：Goddess Link TD</v>
      </c>
      <c r="E295" s="91"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2" t="s">
        <v>5232</v>
      </c>
      <c r="G295" s="51"/>
      <c r="H295" s="51"/>
      <c r="I295" s="51"/>
      <c r="J295" s="91"/>
      <c r="K295" s="100" t="s">
        <v>5495</v>
      </c>
      <c r="L295" s="51" t="s">
        <v>5496</v>
      </c>
      <c r="M295" s="53"/>
      <c r="N295" s="54"/>
      <c r="O295" s="53"/>
      <c r="P295" s="54"/>
      <c r="Q295" s="53"/>
      <c r="R295" s="54"/>
      <c r="S295" s="53"/>
      <c r="T295" s="54"/>
      <c r="U295" s="53"/>
      <c r="V295" s="54"/>
      <c r="W295" s="53"/>
      <c r="X295" s="54"/>
      <c r="Y295" s="53"/>
      <c r="Z295" s="54"/>
      <c r="AA295" s="53"/>
      <c r="AB295" s="54"/>
      <c r="AC295" s="53"/>
      <c r="AD295" s="54"/>
      <c r="AE295" s="53"/>
      <c r="AF295" s="54"/>
      <c r="AG295" s="53"/>
      <c r="AH295" s="54"/>
      <c r="AI295" s="53"/>
      <c r="AJ295" s="54"/>
      <c r="AK295" s="53"/>
      <c r="AL295" s="54"/>
      <c r="AM295" s="53"/>
      <c r="AN295" s="54"/>
      <c r="AO295" s="53"/>
      <c r="AP295" s="54"/>
      <c r="AQ295" s="53"/>
      <c r="AR295" s="54"/>
      <c r="AS295" s="53"/>
      <c r="AT295" s="54"/>
      <c r="AU295" s="53"/>
      <c r="AV295" s="54"/>
      <c r="AW295" s="53"/>
      <c r="AX295" s="54"/>
      <c r="AY295" s="53"/>
      <c r="AZ295" s="54"/>
      <c r="BA295" s="53"/>
      <c r="BB295" s="51"/>
      <c r="BC295" s="53"/>
      <c r="BD295" s="51"/>
      <c r="BE295" s="53"/>
      <c r="BF295" s="51"/>
      <c r="BG295" s="53"/>
      <c r="BH295" s="51"/>
      <c r="BI295" s="53"/>
      <c r="BJ295" s="51"/>
      <c r="BK295" s="53"/>
      <c r="BL295" s="51"/>
      <c r="BM295" s="53"/>
      <c r="BN295" s="51"/>
      <c r="BO295" s="53"/>
      <c r="BP295" s="51"/>
      <c r="BQ295" s="53"/>
      <c r="BR295" s="55"/>
    </row>
    <row r="296" spans="1:70" ht="28.5" customHeight="1">
      <c r="A296" s="67" t="str">
        <f>IF(games!A296="", "", games!A296)</f>
        <v>熱血江湖：福利加強版</v>
      </c>
      <c r="B296" s="51"/>
      <c r="C296" s="51" t="str">
        <f t="shared" si="12"/>
        <v>giftcodesbanner/熱血江湖：福利加強版-禮包碼.jpg</v>
      </c>
      <c r="D296" s="51" t="str">
        <f t="shared" si="13"/>
        <v>https://www.ssbuy.tw/gift-codes.html?game=熱血江湖：福利加強版</v>
      </c>
      <c r="E296" s="91"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2" t="s">
        <v>5493</v>
      </c>
      <c r="G296" s="51" t="s">
        <v>5494</v>
      </c>
      <c r="H296" s="51" t="s">
        <v>2623</v>
      </c>
      <c r="I296" s="51"/>
      <c r="J296" s="91"/>
      <c r="K296" s="124" t="s">
        <v>8840</v>
      </c>
      <c r="L296" s="51"/>
      <c r="M296" s="53">
        <v>777777</v>
      </c>
      <c r="N296" s="54"/>
      <c r="O296" s="53">
        <v>888888</v>
      </c>
      <c r="P296" s="54"/>
      <c r="Q296" s="53" t="s">
        <v>5498</v>
      </c>
      <c r="R296" s="54"/>
      <c r="S296" s="53" t="s">
        <v>5499</v>
      </c>
      <c r="T296" s="54"/>
      <c r="U296" s="53" t="s">
        <v>5500</v>
      </c>
      <c r="V296" s="54"/>
      <c r="W296" s="53" t="s">
        <v>5501</v>
      </c>
      <c r="X296" s="54"/>
      <c r="Y296" s="53" t="s">
        <v>5502</v>
      </c>
      <c r="Z296" s="54"/>
      <c r="AA296" s="53" t="s">
        <v>5503</v>
      </c>
      <c r="AB296" s="54"/>
      <c r="AC296" s="53" t="s">
        <v>5504</v>
      </c>
      <c r="AD296" s="54"/>
      <c r="AE296" s="53" t="s">
        <v>5505</v>
      </c>
      <c r="AF296" s="54"/>
      <c r="AG296" s="53" t="s">
        <v>5506</v>
      </c>
      <c r="AH296" s="54"/>
      <c r="AI296" s="53" t="s">
        <v>5507</v>
      </c>
      <c r="AJ296" s="54"/>
      <c r="AK296" s="53" t="s">
        <v>5705</v>
      </c>
      <c r="AL296" s="54"/>
      <c r="AM296" s="53" t="s">
        <v>5706</v>
      </c>
      <c r="AN296" s="54"/>
      <c r="AO296" s="53" t="s">
        <v>5707</v>
      </c>
      <c r="AP296" s="54"/>
      <c r="AQ296" s="53" t="s">
        <v>5708</v>
      </c>
      <c r="AR296" s="54"/>
      <c r="AS296" s="79" t="s">
        <v>5704</v>
      </c>
      <c r="AT296" s="54" t="s">
        <v>5496</v>
      </c>
      <c r="AU296" s="53"/>
      <c r="AV296" s="54"/>
      <c r="AW296" s="53"/>
      <c r="AX296" s="54"/>
      <c r="AY296" s="53"/>
      <c r="AZ296" s="54"/>
      <c r="BA296" s="53"/>
      <c r="BB296" s="51"/>
      <c r="BC296" s="53"/>
      <c r="BD296" s="51"/>
      <c r="BE296" s="53"/>
      <c r="BF296" s="51"/>
      <c r="BG296" s="53"/>
      <c r="BH296" s="51"/>
      <c r="BI296" s="53"/>
      <c r="BJ296" s="51"/>
      <c r="BK296" s="53"/>
      <c r="BL296" s="51"/>
      <c r="BM296" s="53"/>
      <c r="BN296" s="51"/>
      <c r="BO296" s="53"/>
      <c r="BP296" s="51"/>
      <c r="BQ296" s="53"/>
      <c r="BR296" s="55"/>
    </row>
    <row r="297" spans="1:70" ht="28.5" customHeight="1">
      <c r="A297" s="67" t="str">
        <f>IF(games!A297="", "", games!A297)</f>
        <v>熱血主公Go</v>
      </c>
      <c r="B297" s="51"/>
      <c r="C297" s="51" t="str">
        <f t="shared" si="12"/>
        <v>giftcodesbanner/熱血主公Go-禮包碼.jpg</v>
      </c>
      <c r="D297" s="51" t="str">
        <f t="shared" si="13"/>
        <v>https://www.ssbuy.tw/gift-codes.html?game=熱血主公Go</v>
      </c>
      <c r="E297" s="91"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07" t="s">
        <v>5483</v>
      </c>
      <c r="G297" s="51" t="s">
        <v>5484</v>
      </c>
      <c r="H297" s="51" t="s">
        <v>2623</v>
      </c>
      <c r="I297" s="51"/>
      <c r="J297" s="91"/>
      <c r="K297" s="100" t="s">
        <v>5495</v>
      </c>
      <c r="L297" s="51" t="s">
        <v>5496</v>
      </c>
      <c r="M297" s="53" t="s">
        <v>8839</v>
      </c>
      <c r="N297" s="54"/>
      <c r="O297" s="53"/>
      <c r="P297" s="54"/>
      <c r="Q297" s="53"/>
      <c r="R297" s="54"/>
      <c r="S297" s="53"/>
      <c r="T297" s="54"/>
      <c r="U297" s="53"/>
      <c r="V297" s="54"/>
      <c r="W297" s="79" t="s">
        <v>5495</v>
      </c>
      <c r="X297" s="54" t="s">
        <v>5496</v>
      </c>
      <c r="Y297" s="53"/>
      <c r="Z297" s="54"/>
      <c r="AA297" s="53"/>
      <c r="AB297" s="54"/>
      <c r="AC297" s="53"/>
      <c r="AD297" s="54"/>
      <c r="AE297" s="53"/>
      <c r="AF297" s="54"/>
      <c r="AG297" s="53"/>
      <c r="AH297" s="54"/>
      <c r="AI297" s="53"/>
      <c r="AJ297" s="54"/>
      <c r="AK297" s="53"/>
      <c r="AL297" s="54"/>
      <c r="AM297" s="53"/>
      <c r="AN297" s="54"/>
      <c r="AO297" s="53"/>
      <c r="AP297" s="54"/>
      <c r="AQ297" s="53"/>
      <c r="AR297" s="54"/>
      <c r="AS297" s="53"/>
      <c r="AT297" s="54"/>
      <c r="AU297" s="53"/>
      <c r="AV297" s="54"/>
      <c r="AW297" s="53"/>
      <c r="AX297" s="54"/>
      <c r="AY297" s="53"/>
      <c r="AZ297" s="54"/>
      <c r="BA297" s="53"/>
      <c r="BB297" s="51"/>
      <c r="BC297" s="53"/>
      <c r="BD297" s="51"/>
      <c r="BE297" s="53"/>
      <c r="BF297" s="51"/>
      <c r="BG297" s="53"/>
      <c r="BH297" s="51"/>
      <c r="BI297" s="53"/>
      <c r="BJ297" s="51"/>
      <c r="BK297" s="53"/>
      <c r="BL297" s="51"/>
      <c r="BM297" s="53"/>
      <c r="BN297" s="51"/>
      <c r="BO297" s="53"/>
      <c r="BP297" s="51"/>
      <c r="BQ297" s="53"/>
      <c r="BR297" s="55"/>
    </row>
    <row r="298" spans="1:70" ht="28.5" customHeight="1">
      <c r="A298" s="67" t="str">
        <f>IF(games!A298="", "", games!A298)</f>
        <v>歡迎來到夢樂園</v>
      </c>
      <c r="B298" s="51"/>
      <c r="C298" s="51" t="str">
        <f t="shared" si="12"/>
        <v>giftcodesbanner/歡迎來到夢樂園-禮包碼.jpg</v>
      </c>
      <c r="D298" s="51" t="str">
        <f t="shared" si="13"/>
        <v>https://www.ssbuy.tw/gift-codes.html?game=歡迎來到夢樂園</v>
      </c>
      <c r="E298" s="91"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07" t="s">
        <v>5592</v>
      </c>
      <c r="G298" s="51" t="s">
        <v>5593</v>
      </c>
      <c r="H298" s="51" t="s">
        <v>2623</v>
      </c>
      <c r="I298" s="51"/>
      <c r="J298" s="91"/>
      <c r="K298" s="100" t="s">
        <v>5495</v>
      </c>
      <c r="L298" s="51" t="s">
        <v>5496</v>
      </c>
      <c r="M298" s="53" t="s">
        <v>5586</v>
      </c>
      <c r="N298" s="54" t="s">
        <v>5589</v>
      </c>
      <c r="O298" s="53" t="s">
        <v>5587</v>
      </c>
      <c r="P298" s="54" t="s">
        <v>5590</v>
      </c>
      <c r="Q298" s="53" t="s">
        <v>5588</v>
      </c>
      <c r="R298" s="54" t="s">
        <v>5591</v>
      </c>
      <c r="S298" s="53"/>
      <c r="T298" s="54"/>
      <c r="U298" s="53"/>
      <c r="V298" s="54"/>
      <c r="W298" s="53"/>
      <c r="X298" s="54"/>
      <c r="Y298" s="53"/>
      <c r="Z298" s="54"/>
      <c r="AA298" s="53"/>
      <c r="AB298" s="54"/>
      <c r="AC298" s="53"/>
      <c r="AD298" s="54"/>
      <c r="AE298" s="53"/>
      <c r="AF298" s="54"/>
      <c r="AG298" s="53"/>
      <c r="AH298" s="54"/>
      <c r="AI298" s="53"/>
      <c r="AJ298" s="54"/>
      <c r="AK298" s="53"/>
      <c r="AL298" s="54"/>
      <c r="AM298" s="53"/>
      <c r="AN298" s="54"/>
      <c r="AO298" s="53"/>
      <c r="AP298" s="54"/>
      <c r="AQ298" s="53"/>
      <c r="AR298" s="54"/>
      <c r="AS298" s="53"/>
      <c r="AT298" s="54"/>
      <c r="AU298" s="53"/>
      <c r="AV298" s="54"/>
      <c r="AW298" s="53"/>
      <c r="AX298" s="54"/>
      <c r="AY298" s="53"/>
      <c r="AZ298" s="54"/>
      <c r="BA298" s="53"/>
      <c r="BB298" s="51"/>
      <c r="BC298" s="53"/>
      <c r="BD298" s="51"/>
      <c r="BE298" s="53"/>
      <c r="BF298" s="51"/>
      <c r="BG298" s="53"/>
      <c r="BH298" s="51"/>
      <c r="BI298" s="53"/>
      <c r="BJ298" s="51"/>
      <c r="BK298" s="53"/>
      <c r="BL298" s="51"/>
      <c r="BM298" s="53"/>
      <c r="BN298" s="51"/>
      <c r="BO298" s="53"/>
      <c r="BP298" s="51"/>
      <c r="BQ298" s="53"/>
      <c r="BR298" s="55"/>
    </row>
    <row r="299" spans="1:70" ht="28.5" customHeight="1">
      <c r="A299" s="67" t="str">
        <f>IF(games!A299="", "", games!A299)</f>
        <v>Cryowar</v>
      </c>
      <c r="B299" s="51"/>
      <c r="C299" s="51" t="str">
        <f t="shared" si="12"/>
        <v>giftcodesbanner/Cryowar-禮包碼.jpg</v>
      </c>
      <c r="D299" s="51" t="str">
        <f t="shared" si="13"/>
        <v>https://www.ssbuy.tw/gift-codes.html?game=Cryowar</v>
      </c>
      <c r="E299" s="91"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2" t="s">
        <v>5232</v>
      </c>
      <c r="G299" s="51"/>
      <c r="H299" s="51"/>
      <c r="I299" s="51"/>
      <c r="J299" s="91"/>
      <c r="K299" s="100" t="s">
        <v>5495</v>
      </c>
      <c r="L299" s="51" t="s">
        <v>5496</v>
      </c>
      <c r="M299" s="53"/>
      <c r="N299" s="54"/>
      <c r="O299" s="53"/>
      <c r="P299" s="54"/>
      <c r="Q299" s="53"/>
      <c r="R299" s="54"/>
      <c r="S299" s="53"/>
      <c r="T299" s="54"/>
      <c r="U299" s="53"/>
      <c r="V299" s="54"/>
      <c r="W299" s="53"/>
      <c r="X299" s="54"/>
      <c r="Y299" s="53"/>
      <c r="Z299" s="54"/>
      <c r="AA299" s="53"/>
      <c r="AB299" s="54"/>
      <c r="AC299" s="53"/>
      <c r="AD299" s="54"/>
      <c r="AE299" s="53"/>
      <c r="AF299" s="54"/>
      <c r="AG299" s="53"/>
      <c r="AH299" s="54"/>
      <c r="AI299" s="53"/>
      <c r="AJ299" s="54"/>
      <c r="AK299" s="53"/>
      <c r="AL299" s="54"/>
      <c r="AM299" s="53"/>
      <c r="AN299" s="54"/>
      <c r="AO299" s="53"/>
      <c r="AP299" s="54"/>
      <c r="AQ299" s="53"/>
      <c r="AR299" s="54"/>
      <c r="AS299" s="53"/>
      <c r="AT299" s="54"/>
      <c r="AU299" s="53"/>
      <c r="AV299" s="54"/>
      <c r="AW299" s="53"/>
      <c r="AX299" s="54"/>
      <c r="AY299" s="53"/>
      <c r="AZ299" s="54"/>
      <c r="BA299" s="53"/>
      <c r="BB299" s="51"/>
      <c r="BC299" s="53"/>
      <c r="BD299" s="51"/>
      <c r="BE299" s="53"/>
      <c r="BF299" s="51"/>
      <c r="BG299" s="53"/>
      <c r="BH299" s="51"/>
      <c r="BI299" s="53"/>
      <c r="BJ299" s="51"/>
      <c r="BK299" s="53"/>
      <c r="BL299" s="51"/>
      <c r="BM299" s="53"/>
      <c r="BN299" s="51"/>
      <c r="BO299" s="53"/>
      <c r="BP299" s="51"/>
      <c r="BQ299" s="53"/>
      <c r="BR299" s="55"/>
    </row>
    <row r="300" spans="1:70" ht="28.5" customHeight="1">
      <c r="A300" s="67" t="str">
        <f>IF(games!A300="", "", games!A300)</f>
        <v>深岩銀河：倖存者</v>
      </c>
      <c r="B300" s="51"/>
      <c r="C300" s="51" t="str">
        <f t="shared" si="12"/>
        <v>giftcodesbanner/深岩銀河：倖存者-禮包碼.jpg</v>
      </c>
      <c r="D300" s="51" t="str">
        <f t="shared" si="13"/>
        <v>https://www.ssbuy.tw/gift-codes.html?game=深岩銀河：倖存者</v>
      </c>
      <c r="E300" s="91"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2" t="s">
        <v>5232</v>
      </c>
      <c r="G300" s="51"/>
      <c r="H300" s="51"/>
      <c r="I300" s="51"/>
      <c r="J300" s="91"/>
      <c r="K300" s="100" t="s">
        <v>5495</v>
      </c>
      <c r="L300" s="51" t="s">
        <v>5496</v>
      </c>
      <c r="M300" s="53"/>
      <c r="N300" s="54"/>
      <c r="O300" s="53"/>
      <c r="P300" s="54"/>
      <c r="Q300" s="53"/>
      <c r="R300" s="54"/>
      <c r="S300" s="53"/>
      <c r="T300" s="54"/>
      <c r="U300" s="53"/>
      <c r="V300" s="54"/>
      <c r="W300" s="53"/>
      <c r="X300" s="54"/>
      <c r="Y300" s="53"/>
      <c r="Z300" s="54"/>
      <c r="AA300" s="53"/>
      <c r="AB300" s="54"/>
      <c r="AC300" s="53"/>
      <c r="AD300" s="54"/>
      <c r="AE300" s="53"/>
      <c r="AF300" s="54"/>
      <c r="AG300" s="53"/>
      <c r="AH300" s="54"/>
      <c r="AI300" s="53"/>
      <c r="AJ300" s="54"/>
      <c r="AK300" s="53"/>
      <c r="AL300" s="54"/>
      <c r="AM300" s="53"/>
      <c r="AN300" s="54"/>
      <c r="AO300" s="53"/>
      <c r="AP300" s="54"/>
      <c r="AQ300" s="53"/>
      <c r="AR300" s="54"/>
      <c r="AS300" s="53"/>
      <c r="AT300" s="54"/>
      <c r="AU300" s="53"/>
      <c r="AV300" s="54"/>
      <c r="AW300" s="53"/>
      <c r="AX300" s="54"/>
      <c r="AY300" s="53"/>
      <c r="AZ300" s="54"/>
      <c r="BA300" s="53"/>
      <c r="BB300" s="51"/>
      <c r="BC300" s="53"/>
      <c r="BD300" s="51"/>
      <c r="BE300" s="53"/>
      <c r="BF300" s="51"/>
      <c r="BG300" s="53"/>
      <c r="BH300" s="51"/>
      <c r="BI300" s="53"/>
      <c r="BJ300" s="51"/>
      <c r="BK300" s="53"/>
      <c r="BL300" s="51"/>
      <c r="BM300" s="53"/>
      <c r="BN300" s="51"/>
      <c r="BO300" s="53"/>
      <c r="BP300" s="51"/>
      <c r="BQ300" s="53"/>
      <c r="BR300" s="55"/>
    </row>
    <row r="301" spans="1:70" ht="28.5" customHeight="1">
      <c r="A301" s="67" t="str">
        <f>IF(games!A301="", "", games!A301)</f>
        <v>熱血排球少女</v>
      </c>
      <c r="B301" s="51"/>
      <c r="C301" s="51" t="str">
        <f t="shared" si="12"/>
        <v>giftcodesbanner/熱血排球少女-禮包碼.jpg</v>
      </c>
      <c r="D301" s="51" t="str">
        <f t="shared" si="13"/>
        <v>https://www.ssbuy.tw/gift-codes.html?game=熱血排球少女</v>
      </c>
      <c r="E301" s="91"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2" t="s">
        <v>5232</v>
      </c>
      <c r="G301" s="51"/>
      <c r="H301" s="51"/>
      <c r="I301" s="51"/>
      <c r="J301" s="91"/>
      <c r="K301" s="100" t="s">
        <v>5495</v>
      </c>
      <c r="L301" s="51" t="s">
        <v>5496</v>
      </c>
      <c r="M301" s="53"/>
      <c r="N301" s="54"/>
      <c r="O301" s="53"/>
      <c r="P301" s="54"/>
      <c r="Q301" s="53"/>
      <c r="R301" s="54"/>
      <c r="S301" s="53"/>
      <c r="T301" s="54"/>
      <c r="U301" s="53"/>
      <c r="V301" s="54"/>
      <c r="W301" s="53"/>
      <c r="X301" s="54"/>
      <c r="Y301" s="53"/>
      <c r="Z301" s="54"/>
      <c r="AA301" s="53"/>
      <c r="AB301" s="54"/>
      <c r="AC301" s="53"/>
      <c r="AD301" s="54"/>
      <c r="AE301" s="53"/>
      <c r="AF301" s="54"/>
      <c r="AG301" s="53"/>
      <c r="AH301" s="54"/>
      <c r="AI301" s="53"/>
      <c r="AJ301" s="54"/>
      <c r="AK301" s="53"/>
      <c r="AL301" s="54"/>
      <c r="AM301" s="53"/>
      <c r="AN301" s="54"/>
      <c r="AO301" s="53"/>
      <c r="AP301" s="54"/>
      <c r="AQ301" s="53"/>
      <c r="AR301" s="54"/>
      <c r="AS301" s="53"/>
      <c r="AT301" s="54"/>
      <c r="AU301" s="53"/>
      <c r="AV301" s="54"/>
      <c r="AW301" s="53"/>
      <c r="AX301" s="54"/>
      <c r="AY301" s="53"/>
      <c r="AZ301" s="54"/>
      <c r="BA301" s="53"/>
      <c r="BB301" s="51"/>
      <c r="BC301" s="53"/>
      <c r="BD301" s="51"/>
      <c r="BE301" s="53"/>
      <c r="BF301" s="51"/>
      <c r="BG301" s="53"/>
      <c r="BH301" s="51"/>
      <c r="BI301" s="53"/>
      <c r="BJ301" s="51"/>
      <c r="BK301" s="53"/>
      <c r="BL301" s="51"/>
      <c r="BM301" s="53"/>
      <c r="BN301" s="51"/>
      <c r="BO301" s="53"/>
      <c r="BP301" s="51"/>
      <c r="BQ301" s="53"/>
      <c r="BR301" s="55"/>
    </row>
    <row r="302" spans="1:70" ht="28.5" customHeight="1">
      <c r="A302" s="67" t="str">
        <f>IF(games!A302="", "", games!A302)</f>
        <v>Jetpack Joyride Racing</v>
      </c>
      <c r="B302" s="51"/>
      <c r="C302" s="51" t="str">
        <f t="shared" si="12"/>
        <v>giftcodesbanner/Jetpack Joyride Racing-禮包碼.jpg</v>
      </c>
      <c r="D302" s="51" t="str">
        <f t="shared" si="13"/>
        <v>https://www.ssbuy.tw/gift-codes.html?game=Jetpack Joyride Racing</v>
      </c>
      <c r="E302" s="91"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2" t="s">
        <v>5232</v>
      </c>
      <c r="G302" s="51"/>
      <c r="H302" s="51"/>
      <c r="I302" s="51"/>
      <c r="J302" s="91"/>
      <c r="K302" s="100" t="s">
        <v>5495</v>
      </c>
      <c r="L302" s="51" t="s">
        <v>5496</v>
      </c>
      <c r="M302" s="53"/>
      <c r="N302" s="54"/>
      <c r="O302" s="53"/>
      <c r="P302" s="54"/>
      <c r="Q302" s="53"/>
      <c r="R302" s="54"/>
      <c r="S302" s="53"/>
      <c r="T302" s="54"/>
      <c r="U302" s="53"/>
      <c r="V302" s="54"/>
      <c r="W302" s="53"/>
      <c r="X302" s="54"/>
      <c r="Y302" s="53"/>
      <c r="Z302" s="54"/>
      <c r="AA302" s="53"/>
      <c r="AB302" s="54"/>
      <c r="AC302" s="53"/>
      <c r="AD302" s="54"/>
      <c r="AE302" s="53"/>
      <c r="AF302" s="54"/>
      <c r="AG302" s="53"/>
      <c r="AH302" s="54"/>
      <c r="AI302" s="53"/>
      <c r="AJ302" s="54"/>
      <c r="AK302" s="53"/>
      <c r="AL302" s="54"/>
      <c r="AM302" s="53"/>
      <c r="AN302" s="54"/>
      <c r="AO302" s="53"/>
      <c r="AP302" s="54"/>
      <c r="AQ302" s="53"/>
      <c r="AR302" s="54"/>
      <c r="AS302" s="53"/>
      <c r="AT302" s="54"/>
      <c r="AU302" s="53"/>
      <c r="AV302" s="54"/>
      <c r="AW302" s="53"/>
      <c r="AX302" s="54"/>
      <c r="AY302" s="53"/>
      <c r="AZ302" s="54"/>
      <c r="BA302" s="53"/>
      <c r="BB302" s="51"/>
      <c r="BC302" s="53"/>
      <c r="BD302" s="51"/>
      <c r="BE302" s="53"/>
      <c r="BF302" s="51"/>
      <c r="BG302" s="53"/>
      <c r="BH302" s="51"/>
      <c r="BI302" s="53"/>
      <c r="BJ302" s="51"/>
      <c r="BK302" s="53"/>
      <c r="BL302" s="51"/>
      <c r="BM302" s="53"/>
      <c r="BN302" s="51"/>
      <c r="BO302" s="53"/>
      <c r="BP302" s="51"/>
      <c r="BQ302" s="53"/>
      <c r="BR302" s="55"/>
    </row>
    <row r="303" spans="1:70" ht="28.5" customHeight="1">
      <c r="A303" s="67" t="str">
        <f>IF(games!A303="", "", games!A303)</f>
        <v>三國格子爭奪戰</v>
      </c>
      <c r="B303" s="51"/>
      <c r="C303" s="51" t="str">
        <f t="shared" si="12"/>
        <v>giftcodesbanner/三國格子爭奪戰-禮包碼.jpg</v>
      </c>
      <c r="D303" s="51" t="str">
        <f t="shared" si="13"/>
        <v>https://www.ssbuy.tw/gift-codes.html?game=三國格子爭奪戰</v>
      </c>
      <c r="E303" s="91"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2" t="s">
        <v>5604</v>
      </c>
      <c r="G303" s="51" t="s">
        <v>5605</v>
      </c>
      <c r="H303" s="51" t="s">
        <v>2623</v>
      </c>
      <c r="I303" s="51"/>
      <c r="J303" s="91"/>
      <c r="K303" s="100" t="s">
        <v>5495</v>
      </c>
      <c r="L303" s="51" t="s">
        <v>5496</v>
      </c>
      <c r="M303" s="53" t="s">
        <v>5595</v>
      </c>
      <c r="N303" s="54" t="s">
        <v>5606</v>
      </c>
      <c r="O303" s="53" t="s">
        <v>5597</v>
      </c>
      <c r="P303" s="54" t="s">
        <v>5607</v>
      </c>
      <c r="Q303" s="53" t="s">
        <v>5602</v>
      </c>
      <c r="R303" s="54" t="s">
        <v>5608</v>
      </c>
      <c r="S303" s="53" t="s">
        <v>5603</v>
      </c>
      <c r="T303" s="54" t="s">
        <v>5609</v>
      </c>
      <c r="U303" s="53" t="s">
        <v>5619</v>
      </c>
      <c r="V303" s="54"/>
      <c r="W303" s="53" t="s">
        <v>5596</v>
      </c>
      <c r="X303" s="54"/>
      <c r="Y303" s="53" t="s">
        <v>5663</v>
      </c>
      <c r="Z303" s="54"/>
      <c r="AA303" s="53"/>
      <c r="AB303" s="54"/>
      <c r="AC303" s="53"/>
      <c r="AD303" s="54"/>
      <c r="AE303" s="53"/>
      <c r="AF303" s="54"/>
      <c r="AG303" s="53"/>
      <c r="AH303" s="54"/>
      <c r="AI303" s="53"/>
      <c r="AJ303" s="54"/>
      <c r="AK303" s="53"/>
      <c r="AL303" s="54"/>
      <c r="AM303" s="53"/>
      <c r="AN303" s="54"/>
      <c r="AO303" s="53"/>
      <c r="AP303" s="54"/>
      <c r="AQ303" s="53"/>
      <c r="AR303" s="54"/>
      <c r="AS303" s="53"/>
      <c r="AT303" s="54"/>
      <c r="AU303" s="53"/>
      <c r="AV303" s="54"/>
      <c r="AW303" s="53"/>
      <c r="AX303" s="54"/>
      <c r="AY303" s="53"/>
      <c r="AZ303" s="54"/>
      <c r="BA303" s="53"/>
      <c r="BB303" s="51"/>
      <c r="BC303" s="53"/>
      <c r="BD303" s="51"/>
      <c r="BE303" s="53"/>
      <c r="BF303" s="51"/>
      <c r="BG303" s="53"/>
      <c r="BH303" s="51"/>
      <c r="BI303" s="53"/>
      <c r="BJ303" s="51"/>
      <c r="BK303" s="53"/>
      <c r="BL303" s="51"/>
      <c r="BM303" s="53"/>
      <c r="BN303" s="51"/>
      <c r="BO303" s="53"/>
      <c r="BP303" s="51"/>
      <c r="BQ303" s="53"/>
      <c r="BR303" s="55"/>
    </row>
    <row r="304" spans="1:70" ht="28.5" customHeight="1">
      <c r="A304" s="67" t="str">
        <f>IF(games!A304="", "", games!A304)</f>
        <v>貓茶小當家：掌櫃養成記</v>
      </c>
      <c r="B304" s="51"/>
      <c r="C304" s="51" t="str">
        <f t="shared" si="12"/>
        <v>giftcodesbanner/貓茶小當家：掌櫃養成記-禮包碼.jpg</v>
      </c>
      <c r="D304" s="51" t="str">
        <f t="shared" si="13"/>
        <v>https://www.ssbuy.tw/gift-codes.html?game=貓茶小當家：掌櫃養成記</v>
      </c>
      <c r="E304" s="91"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2" t="s">
        <v>5654</v>
      </c>
      <c r="G304" s="51" t="s">
        <v>5655</v>
      </c>
      <c r="H304" s="51" t="s">
        <v>2623</v>
      </c>
      <c r="I304" s="51"/>
      <c r="J304" s="91"/>
      <c r="K304" s="100" t="s">
        <v>5495</v>
      </c>
      <c r="L304" s="51" t="s">
        <v>5496</v>
      </c>
      <c r="M304" s="53" t="s">
        <v>5656</v>
      </c>
      <c r="N304" s="54" t="s">
        <v>5662</v>
      </c>
      <c r="O304" s="53"/>
      <c r="P304" s="54"/>
      <c r="Q304" s="53"/>
      <c r="R304" s="54"/>
      <c r="S304" s="53"/>
      <c r="T304" s="54"/>
      <c r="U304" s="53"/>
      <c r="V304" s="54"/>
      <c r="W304" s="53"/>
      <c r="X304" s="54"/>
      <c r="Y304" s="53"/>
      <c r="Z304" s="54"/>
      <c r="AA304" s="53"/>
      <c r="AB304" s="54"/>
      <c r="AC304" s="53"/>
      <c r="AD304" s="54"/>
      <c r="AE304" s="53"/>
      <c r="AF304" s="54"/>
      <c r="AG304" s="53"/>
      <c r="AH304" s="54"/>
      <c r="AI304" s="53"/>
      <c r="AJ304" s="54"/>
      <c r="AK304" s="53"/>
      <c r="AL304" s="54"/>
      <c r="AM304" s="53"/>
      <c r="AN304" s="54"/>
      <c r="AO304" s="53"/>
      <c r="AP304" s="54"/>
      <c r="AQ304" s="53"/>
      <c r="AR304" s="54"/>
      <c r="AS304" s="53"/>
      <c r="AT304" s="54"/>
      <c r="AU304" s="53"/>
      <c r="AV304" s="54"/>
      <c r="AW304" s="53"/>
      <c r="AX304" s="54"/>
      <c r="AY304" s="53"/>
      <c r="AZ304" s="54"/>
      <c r="BA304" s="53"/>
      <c r="BB304" s="51"/>
      <c r="BC304" s="53"/>
      <c r="BD304" s="51"/>
      <c r="BE304" s="53"/>
      <c r="BF304" s="51"/>
      <c r="BG304" s="53"/>
      <c r="BH304" s="51"/>
      <c r="BI304" s="53"/>
      <c r="BJ304" s="51"/>
      <c r="BK304" s="53"/>
      <c r="BL304" s="51"/>
      <c r="BM304" s="53"/>
      <c r="BN304" s="51"/>
      <c r="BO304" s="53"/>
      <c r="BP304" s="51"/>
      <c r="BQ304" s="53"/>
      <c r="BR304" s="55"/>
    </row>
    <row r="305" spans="1:70" ht="28.5" customHeight="1">
      <c r="A305" s="67" t="str">
        <f>IF(games!A305="", "", games!A305)</f>
        <v>Viladia：精靈村的時光</v>
      </c>
      <c r="B305" s="51"/>
      <c r="C305" s="51" t="str">
        <f t="shared" si="12"/>
        <v>giftcodesbanner/Viladia：精靈村的時光-禮包碼.jpg</v>
      </c>
      <c r="D305" s="51" t="str">
        <f t="shared" si="13"/>
        <v>https://www.ssbuy.tw/gift-codes.html?game=Viladia：精靈村的時光</v>
      </c>
      <c r="E305" s="91"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2" t="s">
        <v>5232</v>
      </c>
      <c r="G305" s="51"/>
      <c r="H305" s="51"/>
      <c r="I305" s="51"/>
      <c r="J305" s="91"/>
      <c r="K305" s="100" t="s">
        <v>5495</v>
      </c>
      <c r="L305" s="51" t="s">
        <v>5496</v>
      </c>
      <c r="M305" s="53"/>
      <c r="N305" s="54"/>
      <c r="O305" s="53"/>
      <c r="P305" s="54"/>
      <c r="Q305" s="53"/>
      <c r="R305" s="54"/>
      <c r="S305" s="53"/>
      <c r="T305" s="54"/>
      <c r="U305" s="53"/>
      <c r="V305" s="54"/>
      <c r="W305" s="53"/>
      <c r="X305" s="54"/>
      <c r="Y305" s="53"/>
      <c r="Z305" s="54"/>
      <c r="AA305" s="53"/>
      <c r="AB305" s="54"/>
      <c r="AC305" s="53"/>
      <c r="AD305" s="54"/>
      <c r="AE305" s="53"/>
      <c r="AF305" s="54"/>
      <c r="AG305" s="53"/>
      <c r="AH305" s="54"/>
      <c r="AI305" s="53"/>
      <c r="AJ305" s="54"/>
      <c r="AK305" s="53"/>
      <c r="AL305" s="54"/>
      <c r="AM305" s="53"/>
      <c r="AN305" s="54"/>
      <c r="AO305" s="53"/>
      <c r="AP305" s="54"/>
      <c r="AQ305" s="53"/>
      <c r="AR305" s="54"/>
      <c r="AS305" s="53"/>
      <c r="AT305" s="54"/>
      <c r="AU305" s="53"/>
      <c r="AV305" s="54"/>
      <c r="AW305" s="53"/>
      <c r="AX305" s="54"/>
      <c r="AY305" s="53"/>
      <c r="AZ305" s="54"/>
      <c r="BA305" s="53"/>
      <c r="BB305" s="51"/>
      <c r="BC305" s="53"/>
      <c r="BD305" s="51"/>
      <c r="BE305" s="53"/>
      <c r="BF305" s="51"/>
      <c r="BG305" s="53"/>
      <c r="BH305" s="51"/>
      <c r="BI305" s="53"/>
      <c r="BJ305" s="51"/>
      <c r="BK305" s="53"/>
      <c r="BL305" s="51"/>
      <c r="BM305" s="53"/>
      <c r="BN305" s="51"/>
      <c r="BO305" s="53"/>
      <c r="BP305" s="51"/>
      <c r="BQ305" s="53"/>
      <c r="BR305" s="55"/>
    </row>
    <row r="306" spans="1:70" ht="28.5" customHeight="1">
      <c r="A306" s="67" t="str">
        <f>IF(games!A306="", "", games!A306)</f>
        <v>G9：特功聯盟</v>
      </c>
      <c r="B306" s="51"/>
      <c r="C306" s="51" t="str">
        <f t="shared" si="12"/>
        <v>giftcodesbanner/G9：特功聯盟-禮包碼.jpg</v>
      </c>
      <c r="D306" s="51" t="str">
        <f t="shared" si="13"/>
        <v>https://www.ssbuy.tw/gift-codes.html?game=G9：特功聯盟</v>
      </c>
      <c r="E306" s="91"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2" t="s">
        <v>5600</v>
      </c>
      <c r="G306" s="51" t="s">
        <v>5601</v>
      </c>
      <c r="H306" s="51" t="s">
        <v>2623</v>
      </c>
      <c r="I306" s="51"/>
      <c r="J306" s="91"/>
      <c r="K306" s="100" t="s">
        <v>5495</v>
      </c>
      <c r="L306" s="51" t="s">
        <v>5496</v>
      </c>
      <c r="M306" s="53" t="s">
        <v>5598</v>
      </c>
      <c r="N306" s="54" t="s">
        <v>2752</v>
      </c>
      <c r="O306" s="53" t="s">
        <v>2753</v>
      </c>
      <c r="P306" s="54" t="s">
        <v>5599</v>
      </c>
      <c r="Q306" s="53"/>
      <c r="R306" s="54"/>
      <c r="S306" s="53"/>
      <c r="T306" s="54"/>
      <c r="U306" s="53"/>
      <c r="V306" s="54"/>
      <c r="W306" s="53"/>
      <c r="X306" s="54"/>
      <c r="Y306" s="53"/>
      <c r="Z306" s="54"/>
      <c r="AA306" s="53"/>
      <c r="AB306" s="54"/>
      <c r="AC306" s="53"/>
      <c r="AD306" s="54"/>
      <c r="AE306" s="53"/>
      <c r="AF306" s="54"/>
      <c r="AG306" s="53"/>
      <c r="AH306" s="54"/>
      <c r="AI306" s="53"/>
      <c r="AJ306" s="54"/>
      <c r="AK306" s="53"/>
      <c r="AL306" s="54"/>
      <c r="AM306" s="53"/>
      <c r="AN306" s="54"/>
      <c r="AO306" s="53"/>
      <c r="AP306" s="54"/>
      <c r="AQ306" s="53"/>
      <c r="AR306" s="54"/>
      <c r="AS306" s="53"/>
      <c r="AT306" s="54"/>
      <c r="AU306" s="53"/>
      <c r="AV306" s="54"/>
      <c r="AW306" s="53"/>
      <c r="AX306" s="54"/>
      <c r="AY306" s="53"/>
      <c r="AZ306" s="54"/>
      <c r="BA306" s="53"/>
      <c r="BB306" s="51"/>
      <c r="BC306" s="53"/>
      <c r="BD306" s="51"/>
      <c r="BE306" s="53"/>
      <c r="BF306" s="51"/>
      <c r="BG306" s="53"/>
      <c r="BH306" s="51"/>
      <c r="BI306" s="53"/>
      <c r="BJ306" s="51"/>
      <c r="BK306" s="53"/>
      <c r="BL306" s="51"/>
      <c r="BM306" s="53"/>
      <c r="BN306" s="51"/>
      <c r="BO306" s="53"/>
      <c r="BP306" s="51"/>
      <c r="BQ306" s="53"/>
      <c r="BR306" s="55"/>
    </row>
    <row r="307" spans="1:70" ht="28.5" customHeight="1">
      <c r="A307" s="67" t="str">
        <f>IF(games!A307="", "", games!A307)</f>
        <v>AION2</v>
      </c>
      <c r="B307" s="51"/>
      <c r="C307" s="51" t="str">
        <f t="shared" si="12"/>
        <v>giftcodesbanner/AION2-禮包碼.jpg</v>
      </c>
      <c r="D307" s="51" t="str">
        <f t="shared" si="13"/>
        <v>https://www.ssbuy.tw/gift-codes.html?game=AION2</v>
      </c>
      <c r="E307" s="91"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2" t="s">
        <v>5232</v>
      </c>
      <c r="G307" s="51"/>
      <c r="H307" s="51"/>
      <c r="I307" s="51"/>
      <c r="J307" s="91"/>
      <c r="K307" s="100" t="s">
        <v>5495</v>
      </c>
      <c r="L307" s="51" t="s">
        <v>5496</v>
      </c>
      <c r="M307" s="53"/>
      <c r="N307" s="54"/>
      <c r="O307" s="53"/>
      <c r="P307" s="54"/>
      <c r="Q307" s="53"/>
      <c r="R307" s="54"/>
      <c r="S307" s="53"/>
      <c r="T307" s="54"/>
      <c r="U307" s="53"/>
      <c r="V307" s="54"/>
      <c r="W307" s="53"/>
      <c r="X307" s="54"/>
      <c r="Y307" s="53"/>
      <c r="Z307" s="54"/>
      <c r="AA307" s="53"/>
      <c r="AB307" s="54"/>
      <c r="AC307" s="53"/>
      <c r="AD307" s="54"/>
      <c r="AE307" s="53"/>
      <c r="AF307" s="54"/>
      <c r="AG307" s="53"/>
      <c r="AH307" s="54"/>
      <c r="AI307" s="53"/>
      <c r="AJ307" s="54"/>
      <c r="AK307" s="53"/>
      <c r="AL307" s="54"/>
      <c r="AM307" s="53"/>
      <c r="AN307" s="54"/>
      <c r="AO307" s="53"/>
      <c r="AP307" s="54"/>
      <c r="AQ307" s="53"/>
      <c r="AR307" s="54"/>
      <c r="AS307" s="53"/>
      <c r="AT307" s="54"/>
      <c r="AU307" s="53"/>
      <c r="AV307" s="54"/>
      <c r="AW307" s="53"/>
      <c r="AX307" s="54"/>
      <c r="AY307" s="53"/>
      <c r="AZ307" s="54"/>
      <c r="BA307" s="53"/>
      <c r="BB307" s="51"/>
      <c r="BC307" s="53"/>
      <c r="BD307" s="51"/>
      <c r="BE307" s="53"/>
      <c r="BF307" s="51"/>
      <c r="BG307" s="53"/>
      <c r="BH307" s="51"/>
      <c r="BI307" s="53"/>
      <c r="BJ307" s="51"/>
      <c r="BK307" s="53"/>
      <c r="BL307" s="51"/>
      <c r="BM307" s="53"/>
      <c r="BN307" s="51"/>
      <c r="BO307" s="53"/>
      <c r="BP307" s="51"/>
      <c r="BQ307" s="53"/>
      <c r="BR307" s="55"/>
    </row>
    <row r="308" spans="1:70" ht="28.5" customHeight="1">
      <c r="A308" s="67" t="str">
        <f>IF(games!A308="", "", games!A308)</f>
        <v>信長之野望 真戰</v>
      </c>
      <c r="B308" s="51"/>
      <c r="C308" s="51" t="str">
        <f t="shared" si="12"/>
        <v>giftcodesbanner/信長之野望 真戰-禮包碼.jpg</v>
      </c>
      <c r="D308" s="51" t="str">
        <f t="shared" si="13"/>
        <v>https://www.ssbuy.tw/gift-codes.html?game=信長之野望 真戰</v>
      </c>
      <c r="E308" s="91"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2" t="s">
        <v>5232</v>
      </c>
      <c r="G308" s="51"/>
      <c r="H308" s="51"/>
      <c r="I308" s="51"/>
      <c r="J308" s="91"/>
      <c r="K308" s="100" t="s">
        <v>5495</v>
      </c>
      <c r="L308" s="51" t="s">
        <v>5496</v>
      </c>
      <c r="M308" s="53" t="s">
        <v>6492</v>
      </c>
      <c r="N308" s="54"/>
      <c r="O308" s="53"/>
      <c r="P308" s="54"/>
      <c r="Q308" s="53"/>
      <c r="R308" s="54"/>
      <c r="S308" s="53"/>
      <c r="T308" s="54"/>
      <c r="U308" s="53"/>
      <c r="V308" s="54"/>
      <c r="W308" s="53"/>
      <c r="X308" s="54"/>
      <c r="Y308" s="53"/>
      <c r="Z308" s="54"/>
      <c r="AA308" s="53"/>
      <c r="AB308" s="54"/>
      <c r="AC308" s="53"/>
      <c r="AD308" s="54"/>
      <c r="AE308" s="53"/>
      <c r="AF308" s="54"/>
      <c r="AG308" s="53"/>
      <c r="AH308" s="54"/>
      <c r="AI308" s="53"/>
      <c r="AJ308" s="54"/>
      <c r="AK308" s="53"/>
      <c r="AL308" s="54"/>
      <c r="AM308" s="53"/>
      <c r="AN308" s="54"/>
      <c r="AO308" s="53"/>
      <c r="AP308" s="54"/>
      <c r="AQ308" s="53"/>
      <c r="AR308" s="54"/>
      <c r="AS308" s="53"/>
      <c r="AT308" s="54"/>
      <c r="AU308" s="53"/>
      <c r="AV308" s="54"/>
      <c r="AW308" s="53"/>
      <c r="AX308" s="54"/>
      <c r="AY308" s="53"/>
      <c r="AZ308" s="54"/>
      <c r="BA308" s="53"/>
      <c r="BB308" s="51"/>
      <c r="BC308" s="53"/>
      <c r="BD308" s="51"/>
      <c r="BE308" s="53"/>
      <c r="BF308" s="51"/>
      <c r="BG308" s="53"/>
      <c r="BH308" s="51"/>
      <c r="BI308" s="53"/>
      <c r="BJ308" s="51"/>
      <c r="BK308" s="53"/>
      <c r="BL308" s="51"/>
      <c r="BM308" s="53"/>
      <c r="BN308" s="51"/>
      <c r="BO308" s="53"/>
      <c r="BP308" s="51"/>
      <c r="BQ308" s="53"/>
      <c r="BR308" s="55"/>
    </row>
    <row r="309" spans="1:70" ht="28.5" customHeight="1">
      <c r="A309" s="67" t="str">
        <f>IF(games!A309="", "", games!A309)</f>
        <v>BLEACH：刀鳴</v>
      </c>
      <c r="B309" s="51"/>
      <c r="C309" s="51" t="str">
        <f t="shared" si="12"/>
        <v>giftcodesbanner/BLEACH：刀鳴-禮包碼.jpg</v>
      </c>
      <c r="D309" s="51" t="str">
        <f t="shared" si="13"/>
        <v>https://www.ssbuy.tw/gift-codes.html?game=BLEACH：刀鳴</v>
      </c>
      <c r="E309" s="91"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2" t="s">
        <v>5741</v>
      </c>
      <c r="G309" s="51" t="s">
        <v>6191</v>
      </c>
      <c r="H309" s="51" t="s">
        <v>2623</v>
      </c>
      <c r="I309" s="51"/>
      <c r="J309" s="91"/>
      <c r="K309" s="100" t="s">
        <v>5495</v>
      </c>
      <c r="L309" s="51" t="s">
        <v>5496</v>
      </c>
      <c r="M309" s="53" t="s">
        <v>5735</v>
      </c>
      <c r="N309" s="54" t="s">
        <v>5736</v>
      </c>
      <c r="O309" s="53" t="s">
        <v>5737</v>
      </c>
      <c r="P309" s="54" t="s">
        <v>5738</v>
      </c>
      <c r="Q309" s="53" t="s">
        <v>5739</v>
      </c>
      <c r="R309" s="54" t="s">
        <v>5740</v>
      </c>
      <c r="S309" s="53" t="s">
        <v>5742</v>
      </c>
      <c r="T309" s="54"/>
      <c r="U309" s="53" t="s">
        <v>5744</v>
      </c>
      <c r="V309" s="54"/>
      <c r="W309" s="53" t="s">
        <v>5743</v>
      </c>
      <c r="X309" s="54"/>
      <c r="Y309" s="53" t="s">
        <v>5745</v>
      </c>
      <c r="Z309" s="54"/>
      <c r="AA309" s="53" t="s">
        <v>5839</v>
      </c>
      <c r="AB309" s="54"/>
      <c r="AC309" s="53" t="s">
        <v>5840</v>
      </c>
      <c r="AD309" s="54"/>
      <c r="AE309" s="53" t="s">
        <v>5841</v>
      </c>
      <c r="AF309" s="54"/>
      <c r="AG309" s="53" t="s">
        <v>5842</v>
      </c>
      <c r="AH309" s="54"/>
      <c r="AI309" s="53" t="s">
        <v>5843</v>
      </c>
      <c r="AJ309" s="54"/>
      <c r="AK309" s="53" t="s">
        <v>5844</v>
      </c>
      <c r="AL309" s="54"/>
      <c r="AM309" s="53" t="s">
        <v>6164</v>
      </c>
      <c r="AN309" s="54"/>
      <c r="AO309" s="53" t="s">
        <v>6165</v>
      </c>
      <c r="AP309" s="54"/>
      <c r="AQ309" s="53" t="s">
        <v>6166</v>
      </c>
      <c r="AR309" s="54"/>
      <c r="AS309" s="53" t="s">
        <v>6167</v>
      </c>
      <c r="AT309" s="54"/>
      <c r="AU309" s="53" t="s">
        <v>6168</v>
      </c>
      <c r="AV309" s="54"/>
      <c r="AW309" s="53" t="s">
        <v>6169</v>
      </c>
      <c r="AX309" s="54"/>
      <c r="AY309" s="53" t="s">
        <v>6190</v>
      </c>
      <c r="AZ309" s="54"/>
      <c r="BA309" s="53"/>
      <c r="BB309" s="51"/>
      <c r="BC309" s="53"/>
      <c r="BD309" s="51"/>
      <c r="BE309" s="53"/>
      <c r="BF309" s="51"/>
      <c r="BG309" s="53"/>
      <c r="BH309" s="51"/>
      <c r="BI309" s="53"/>
      <c r="BJ309" s="51"/>
      <c r="BK309" s="53"/>
      <c r="BL309" s="51"/>
      <c r="BM309" s="53"/>
      <c r="BN309" s="51"/>
      <c r="BO309" s="53"/>
      <c r="BP309" s="51"/>
      <c r="BQ309" s="53"/>
      <c r="BR309" s="55"/>
    </row>
    <row r="310" spans="1:70" ht="28.5" customHeight="1">
      <c r="A310" s="67" t="str">
        <f>IF(games!A310="", "", games!A310)</f>
        <v>不朽龍裔</v>
      </c>
      <c r="B310" s="51"/>
      <c r="C310" s="51" t="str">
        <f t="shared" si="12"/>
        <v>giftcodesbanner/不朽龍裔-禮包碼.jpg</v>
      </c>
      <c r="D310" s="51" t="str">
        <f t="shared" si="13"/>
        <v>https://www.ssbuy.tw/gift-codes.html?game=不朽龍裔</v>
      </c>
      <c r="E310" s="91"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2" t="s">
        <v>5907</v>
      </c>
      <c r="G310" s="51" t="s">
        <v>5465</v>
      </c>
      <c r="H310" s="51" t="s">
        <v>2623</v>
      </c>
      <c r="I310" s="51"/>
      <c r="J310" s="91"/>
      <c r="K310" s="100" t="s">
        <v>5495</v>
      </c>
      <c r="L310" s="51" t="s">
        <v>5496</v>
      </c>
      <c r="M310" s="53" t="s">
        <v>5900</v>
      </c>
      <c r="N310" s="54"/>
      <c r="O310" s="53"/>
      <c r="P310" s="54"/>
      <c r="Q310" s="53"/>
      <c r="R310" s="54"/>
      <c r="S310" s="53"/>
      <c r="T310" s="54"/>
      <c r="U310" s="53"/>
      <c r="V310" s="54"/>
      <c r="W310" s="53"/>
      <c r="X310" s="54"/>
      <c r="Y310" s="53"/>
      <c r="Z310" s="54"/>
      <c r="AA310" s="53"/>
      <c r="AB310" s="54"/>
      <c r="AC310" s="53"/>
      <c r="AD310" s="54"/>
      <c r="AE310" s="53"/>
      <c r="AF310" s="54"/>
      <c r="AG310" s="53"/>
      <c r="AH310" s="54"/>
      <c r="AI310" s="53"/>
      <c r="AJ310" s="54"/>
      <c r="AK310" s="53"/>
      <c r="AL310" s="54"/>
      <c r="AM310" s="53"/>
      <c r="AN310" s="54"/>
      <c r="AO310" s="53"/>
      <c r="AP310" s="54"/>
      <c r="AQ310" s="53"/>
      <c r="AR310" s="54"/>
      <c r="AS310" s="53"/>
      <c r="AT310" s="54"/>
      <c r="AU310" s="53"/>
      <c r="AV310" s="54"/>
      <c r="AW310" s="53"/>
      <c r="AX310" s="54"/>
      <c r="AY310" s="53"/>
      <c r="AZ310" s="54"/>
      <c r="BA310" s="53"/>
      <c r="BB310" s="51"/>
      <c r="BC310" s="53"/>
      <c r="BD310" s="51"/>
      <c r="BE310" s="53"/>
      <c r="BF310" s="51"/>
      <c r="BG310" s="53"/>
      <c r="BH310" s="51"/>
      <c r="BI310" s="53"/>
      <c r="BJ310" s="51"/>
      <c r="BK310" s="53"/>
      <c r="BL310" s="51"/>
      <c r="BM310" s="53"/>
      <c r="BN310" s="51"/>
      <c r="BO310" s="53"/>
      <c r="BP310" s="51"/>
      <c r="BQ310" s="53"/>
      <c r="BR310" s="55"/>
    </row>
    <row r="311" spans="1:70" ht="28.5" customHeight="1">
      <c r="A311" s="67" t="str">
        <f>IF(games!A311="", "", games!A311)</f>
        <v>NBA籃球世界</v>
      </c>
      <c r="B311" s="51"/>
      <c r="C311" s="51" t="str">
        <f t="shared" si="12"/>
        <v>giftcodesbanner/NBA籃球世界-禮包碼.jpg</v>
      </c>
      <c r="D311" s="51" t="str">
        <f t="shared" si="13"/>
        <v>https://www.ssbuy.tw/gift-codes.html?game=NBA籃球世界</v>
      </c>
      <c r="E311" s="91"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2" t="s">
        <v>5232</v>
      </c>
      <c r="G311" s="51"/>
      <c r="H311" s="51"/>
      <c r="I311" s="51"/>
      <c r="J311" s="91"/>
      <c r="K311" s="100" t="s">
        <v>5495</v>
      </c>
      <c r="L311" s="51" t="s">
        <v>5496</v>
      </c>
      <c r="M311" s="53"/>
      <c r="N311" s="54"/>
      <c r="O311" s="53"/>
      <c r="P311" s="54"/>
      <c r="Q311" s="53"/>
      <c r="R311" s="54"/>
      <c r="S311" s="53"/>
      <c r="T311" s="54"/>
      <c r="U311" s="53"/>
      <c r="V311" s="54"/>
      <c r="W311" s="53"/>
      <c r="X311" s="54"/>
      <c r="Y311" s="53"/>
      <c r="Z311" s="54"/>
      <c r="AA311" s="53"/>
      <c r="AB311" s="54"/>
      <c r="AC311" s="53"/>
      <c r="AD311" s="54"/>
      <c r="AE311" s="53"/>
      <c r="AF311" s="54"/>
      <c r="AG311" s="53"/>
      <c r="AH311" s="54"/>
      <c r="AI311" s="53"/>
      <c r="AJ311" s="54"/>
      <c r="AK311" s="53"/>
      <c r="AL311" s="54"/>
      <c r="AM311" s="53"/>
      <c r="AN311" s="54"/>
      <c r="AO311" s="53"/>
      <c r="AP311" s="54"/>
      <c r="AQ311" s="53"/>
      <c r="AR311" s="54"/>
      <c r="AS311" s="53"/>
      <c r="AT311" s="54"/>
      <c r="AU311" s="53"/>
      <c r="AV311" s="54"/>
      <c r="AW311" s="53"/>
      <c r="AX311" s="54"/>
      <c r="AY311" s="53"/>
      <c r="AZ311" s="54"/>
      <c r="BA311" s="53"/>
      <c r="BB311" s="51"/>
      <c r="BC311" s="53"/>
      <c r="BD311" s="51"/>
      <c r="BE311" s="53"/>
      <c r="BF311" s="51"/>
      <c r="BG311" s="53"/>
      <c r="BH311" s="51"/>
      <c r="BI311" s="53"/>
      <c r="BJ311" s="51"/>
      <c r="BK311" s="53"/>
      <c r="BL311" s="51"/>
      <c r="BM311" s="53"/>
      <c r="BN311" s="51"/>
      <c r="BO311" s="53"/>
      <c r="BP311" s="51"/>
      <c r="BQ311" s="53"/>
      <c r="BR311" s="55"/>
    </row>
    <row r="312" spans="1:70" ht="28.5" customHeight="1">
      <c r="A312" s="67" t="str">
        <f>IF(games!A312="", "", games!A312)</f>
        <v>英雄來搞鬼</v>
      </c>
      <c r="B312" s="51"/>
      <c r="C312" s="51" t="str">
        <f t="shared" ref="C312:C366" si="14">IF(A312="","", "giftcodesbanner/" &amp; A312 &amp; "-禮包碼.jpg")</f>
        <v>giftcodesbanner/英雄來搞鬼-禮包碼.jpg</v>
      </c>
      <c r="D312" s="51" t="str">
        <f t="shared" ref="D312:D366" si="15">IF(A312="","", "https://www.ssbuy.tw/gift-codes.html?game="&amp;A312)</f>
        <v>https://www.ssbuy.tw/gift-codes.html?game=英雄來搞鬼</v>
      </c>
      <c r="E312" s="91"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07" t="s">
        <v>5711</v>
      </c>
      <c r="G312" s="51" t="s">
        <v>5712</v>
      </c>
      <c r="H312" s="51" t="s">
        <v>2623</v>
      </c>
      <c r="I312" s="51"/>
      <c r="J312" s="91"/>
      <c r="K312" s="100" t="s">
        <v>5495</v>
      </c>
      <c r="L312" s="51" t="s">
        <v>5496</v>
      </c>
      <c r="M312" s="53" t="s">
        <v>5709</v>
      </c>
      <c r="N312" s="54" t="s">
        <v>5710</v>
      </c>
      <c r="O312" s="53" t="s">
        <v>5795</v>
      </c>
      <c r="P312" s="54"/>
      <c r="Q312" s="53" t="s">
        <v>5796</v>
      </c>
      <c r="R312" s="54"/>
      <c r="S312" s="53" t="s">
        <v>5797</v>
      </c>
      <c r="T312" s="54"/>
      <c r="U312" s="53" t="s">
        <v>5798</v>
      </c>
      <c r="V312" s="54"/>
      <c r="W312" s="53" t="s">
        <v>5799</v>
      </c>
      <c r="X312" s="54"/>
      <c r="Y312" s="53" t="s">
        <v>5800</v>
      </c>
      <c r="Z312" s="54"/>
      <c r="AA312" s="53" t="s">
        <v>5801</v>
      </c>
      <c r="AB312" s="54"/>
      <c r="AC312" s="53" t="s">
        <v>5872</v>
      </c>
      <c r="AD312" s="54"/>
      <c r="AE312" s="53" t="s">
        <v>5873</v>
      </c>
      <c r="AF312" s="54"/>
      <c r="AG312" s="53"/>
      <c r="AH312" s="54"/>
      <c r="AI312" s="53"/>
      <c r="AJ312" s="54"/>
      <c r="AK312" s="53"/>
      <c r="AL312" s="54"/>
      <c r="AM312" s="53"/>
      <c r="AN312" s="54"/>
      <c r="AO312" s="53"/>
      <c r="AP312" s="54"/>
      <c r="AQ312" s="53"/>
      <c r="AR312" s="54"/>
      <c r="AS312" s="53"/>
      <c r="AT312" s="54"/>
      <c r="AU312" s="53"/>
      <c r="AV312" s="54"/>
      <c r="AW312" s="53"/>
      <c r="AX312" s="54"/>
      <c r="AY312" s="53"/>
      <c r="AZ312" s="54"/>
      <c r="BA312" s="53"/>
      <c r="BB312" s="51"/>
      <c r="BC312" s="53"/>
      <c r="BD312" s="51"/>
      <c r="BE312" s="53"/>
      <c r="BF312" s="51"/>
      <c r="BG312" s="53"/>
      <c r="BH312" s="51"/>
      <c r="BI312" s="53"/>
      <c r="BJ312" s="51"/>
      <c r="BK312" s="53"/>
      <c r="BL312" s="51"/>
      <c r="BM312" s="53"/>
      <c r="BN312" s="51"/>
      <c r="BO312" s="53"/>
      <c r="BP312" s="51"/>
      <c r="BQ312" s="53"/>
      <c r="BR312" s="55"/>
    </row>
    <row r="313" spans="1:70" ht="28.5" customHeight="1">
      <c r="A313" s="67" t="str">
        <f>IF(games!A313="", "", games!A313)</f>
        <v>RO新世代：攜手同行</v>
      </c>
      <c r="B313" s="51"/>
      <c r="C313" s="51" t="str">
        <f t="shared" si="14"/>
        <v>giftcodesbanner/RO新世代：攜手同行-禮包碼.jpg</v>
      </c>
      <c r="D313" s="51" t="str">
        <f t="shared" si="15"/>
        <v>https://www.ssbuy.tw/gift-codes.html?game=RO新世代：攜手同行</v>
      </c>
      <c r="E313" s="91"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2" t="s">
        <v>5464</v>
      </c>
      <c r="G313" s="51" t="s">
        <v>5465</v>
      </c>
      <c r="H313" s="51" t="s">
        <v>2623</v>
      </c>
      <c r="I313" s="51"/>
      <c r="J313" s="91"/>
      <c r="K313" s="100" t="s">
        <v>5495</v>
      </c>
      <c r="L313" s="51" t="s">
        <v>5496</v>
      </c>
      <c r="M313" s="53" t="s">
        <v>5761</v>
      </c>
      <c r="N313" s="54"/>
      <c r="O313" s="53" t="s">
        <v>5762</v>
      </c>
      <c r="P313" s="54"/>
      <c r="Q313" s="53" t="s">
        <v>5763</v>
      </c>
      <c r="R313" s="54"/>
      <c r="S313" s="53" t="s">
        <v>5764</v>
      </c>
      <c r="T313" s="54"/>
      <c r="U313" s="53" t="s">
        <v>5765</v>
      </c>
      <c r="V313" s="54"/>
      <c r="W313" s="53" t="s">
        <v>5766</v>
      </c>
      <c r="X313" s="54"/>
      <c r="Y313" s="53" t="s">
        <v>5767</v>
      </c>
      <c r="Z313" s="54"/>
      <c r="AA313" s="53" t="s">
        <v>5768</v>
      </c>
      <c r="AB313" s="54"/>
      <c r="AC313" s="53" t="s">
        <v>5769</v>
      </c>
      <c r="AD313" s="54"/>
      <c r="AE313" s="53" t="s">
        <v>5770</v>
      </c>
      <c r="AF313" s="54"/>
      <c r="AG313" s="53"/>
      <c r="AH313" s="54"/>
      <c r="AI313" s="53"/>
      <c r="AJ313" s="54"/>
      <c r="AK313" s="53"/>
      <c r="AL313" s="54"/>
      <c r="AM313" s="53"/>
      <c r="AN313" s="54"/>
      <c r="AO313" s="53"/>
      <c r="AP313" s="54"/>
      <c r="AQ313" s="53"/>
      <c r="AR313" s="54"/>
      <c r="AS313" s="53"/>
      <c r="AT313" s="54"/>
      <c r="AU313" s="53"/>
      <c r="AV313" s="54"/>
      <c r="AW313" s="53"/>
      <c r="AX313" s="54"/>
      <c r="AY313" s="53"/>
      <c r="AZ313" s="54"/>
      <c r="BA313" s="53"/>
      <c r="BB313" s="51"/>
      <c r="BC313" s="53"/>
      <c r="BD313" s="51"/>
      <c r="BE313" s="53"/>
      <c r="BF313" s="51"/>
      <c r="BG313" s="53"/>
      <c r="BH313" s="51"/>
      <c r="BI313" s="53"/>
      <c r="BJ313" s="51"/>
      <c r="BK313" s="53"/>
      <c r="BL313" s="51"/>
      <c r="BM313" s="53"/>
      <c r="BN313" s="51"/>
      <c r="BO313" s="53"/>
      <c r="BP313" s="51"/>
      <c r="BQ313" s="53"/>
      <c r="BR313" s="55"/>
    </row>
    <row r="314" spans="1:70" ht="28.5" customHeight="1">
      <c r="A314" s="67" t="str">
        <f>IF(games!A314="", "", games!A314)</f>
        <v>星落</v>
      </c>
      <c r="B314" s="51"/>
      <c r="C314" s="51" t="str">
        <f t="shared" si="14"/>
        <v>giftcodesbanner/星落-禮包碼.jpg</v>
      </c>
      <c r="D314" s="51" t="str">
        <f t="shared" si="15"/>
        <v>https://www.ssbuy.tw/gift-codes.html?game=星落</v>
      </c>
      <c r="E314" s="91"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2" t="s">
        <v>5870</v>
      </c>
      <c r="G314" s="51" t="s">
        <v>5871</v>
      </c>
      <c r="H314" s="51" t="s">
        <v>5837</v>
      </c>
      <c r="I314" s="51"/>
      <c r="J314" s="91"/>
      <c r="K314" s="100" t="s">
        <v>5495</v>
      </c>
      <c r="L314" s="51" t="s">
        <v>5496</v>
      </c>
      <c r="M314" s="53" t="s">
        <v>5760</v>
      </c>
      <c r="N314" s="54" t="s">
        <v>5869</v>
      </c>
      <c r="O314" s="53"/>
      <c r="P314" s="54"/>
      <c r="Q314" s="53"/>
      <c r="R314" s="54"/>
      <c r="S314" s="53"/>
      <c r="T314" s="54"/>
      <c r="U314" s="53"/>
      <c r="V314" s="54"/>
      <c r="W314" s="53"/>
      <c r="X314" s="54"/>
      <c r="Y314" s="53"/>
      <c r="Z314" s="54"/>
      <c r="AA314" s="53"/>
      <c r="AB314" s="54"/>
      <c r="AC314" s="53"/>
      <c r="AD314" s="54"/>
      <c r="AE314" s="53"/>
      <c r="AF314" s="54"/>
      <c r="AG314" s="53"/>
      <c r="AH314" s="54"/>
      <c r="AI314" s="53"/>
      <c r="AJ314" s="54"/>
      <c r="AK314" s="53"/>
      <c r="AL314" s="54"/>
      <c r="AM314" s="53"/>
      <c r="AN314" s="54"/>
      <c r="AO314" s="53"/>
      <c r="AP314" s="54"/>
      <c r="AQ314" s="53"/>
      <c r="AR314" s="54"/>
      <c r="AS314" s="53"/>
      <c r="AT314" s="54"/>
      <c r="AU314" s="53"/>
      <c r="AV314" s="54"/>
      <c r="AW314" s="53"/>
      <c r="AX314" s="54"/>
      <c r="AY314" s="53"/>
      <c r="AZ314" s="54"/>
      <c r="BA314" s="53"/>
      <c r="BB314" s="51"/>
      <c r="BC314" s="53"/>
      <c r="BD314" s="51"/>
      <c r="BE314" s="53"/>
      <c r="BF314" s="51"/>
      <c r="BG314" s="53"/>
      <c r="BH314" s="51"/>
      <c r="BI314" s="53"/>
      <c r="BJ314" s="51"/>
      <c r="BK314" s="53"/>
      <c r="BL314" s="51"/>
      <c r="BM314" s="53"/>
      <c r="BN314" s="51"/>
      <c r="BO314" s="53"/>
      <c r="BP314" s="51"/>
      <c r="BQ314" s="53"/>
      <c r="BR314" s="55"/>
    </row>
    <row r="315" spans="1:70" ht="28.5" customHeight="1">
      <c r="A315" s="67" t="str">
        <f>IF(games!A315="", "", games!A315)</f>
        <v>超自然行動組</v>
      </c>
      <c r="B315" s="51"/>
      <c r="C315" s="51" t="str">
        <f t="shared" si="14"/>
        <v>giftcodesbanner/超自然行動組-禮包碼.jpg</v>
      </c>
      <c r="D315" s="51" t="str">
        <f t="shared" si="15"/>
        <v>https://www.ssbuy.tw/gift-codes.html?game=超自然行動組</v>
      </c>
      <c r="E315" s="91"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2" t="s">
        <v>5232</v>
      </c>
      <c r="G315" s="51"/>
      <c r="H315" s="51"/>
      <c r="I315" s="51"/>
      <c r="J315" s="91"/>
      <c r="K315" s="100" t="s">
        <v>5495</v>
      </c>
      <c r="L315" s="51" t="s">
        <v>5496</v>
      </c>
      <c r="M315" s="53"/>
      <c r="N315" s="54"/>
      <c r="O315" s="53"/>
      <c r="P315" s="54"/>
      <c r="Q315" s="53"/>
      <c r="R315" s="54"/>
      <c r="S315" s="53"/>
      <c r="T315" s="54"/>
      <c r="U315" s="53"/>
      <c r="V315" s="54"/>
      <c r="W315" s="53"/>
      <c r="X315" s="54"/>
      <c r="Y315" s="53"/>
      <c r="Z315" s="54"/>
      <c r="AA315" s="53"/>
      <c r="AB315" s="54"/>
      <c r="AC315" s="53"/>
      <c r="AD315" s="54"/>
      <c r="AE315" s="53"/>
      <c r="AF315" s="54"/>
      <c r="AG315" s="53"/>
      <c r="AH315" s="54"/>
      <c r="AI315" s="53"/>
      <c r="AJ315" s="54"/>
      <c r="AK315" s="53"/>
      <c r="AL315" s="54"/>
      <c r="AM315" s="53"/>
      <c r="AN315" s="54"/>
      <c r="AO315" s="53"/>
      <c r="AP315" s="54"/>
      <c r="AQ315" s="53"/>
      <c r="AR315" s="54"/>
      <c r="AS315" s="53"/>
      <c r="AT315" s="54"/>
      <c r="AU315" s="53"/>
      <c r="AV315" s="54"/>
      <c r="AW315" s="53"/>
      <c r="AX315" s="54"/>
      <c r="AY315" s="53"/>
      <c r="AZ315" s="54"/>
      <c r="BA315" s="53"/>
      <c r="BB315" s="51"/>
      <c r="BC315" s="53"/>
      <c r="BD315" s="51"/>
      <c r="BE315" s="53"/>
      <c r="BF315" s="51"/>
      <c r="BG315" s="53"/>
      <c r="BH315" s="51"/>
      <c r="BI315" s="53"/>
      <c r="BJ315" s="51"/>
      <c r="BK315" s="53"/>
      <c r="BL315" s="51"/>
      <c r="BM315" s="53"/>
      <c r="BN315" s="51"/>
      <c r="BO315" s="53"/>
      <c r="BP315" s="51"/>
      <c r="BQ315" s="53"/>
      <c r="BR315" s="55"/>
    </row>
    <row r="316" spans="1:70" ht="28.5" customHeight="1">
      <c r="A316" s="67" t="str">
        <f>IF(games!A316="", "", games!A316)</f>
        <v>問劍長生</v>
      </c>
      <c r="B316" s="51"/>
      <c r="C316" s="51" t="str">
        <f t="shared" si="14"/>
        <v>giftcodesbanner/問劍長生-禮包碼.jpg</v>
      </c>
      <c r="D316" s="51" t="str">
        <f t="shared" si="15"/>
        <v>https://www.ssbuy.tw/gift-codes.html?game=問劍長生</v>
      </c>
      <c r="E316" s="91"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2" t="s">
        <v>5758</v>
      </c>
      <c r="G316" s="51" t="s">
        <v>5759</v>
      </c>
      <c r="H316" s="51" t="s">
        <v>5845</v>
      </c>
      <c r="I316" s="51" t="s">
        <v>2623</v>
      </c>
      <c r="J316" s="91"/>
      <c r="K316" s="100" t="s">
        <v>5495</v>
      </c>
      <c r="L316" s="51" t="s">
        <v>5496</v>
      </c>
      <c r="M316" s="53" t="s">
        <v>5846</v>
      </c>
      <c r="N316" s="54" t="s">
        <v>5868</v>
      </c>
      <c r="O316" s="53" t="s">
        <v>5854</v>
      </c>
      <c r="P316" s="54" t="s">
        <v>5867</v>
      </c>
      <c r="Q316" s="53" t="s">
        <v>5855</v>
      </c>
      <c r="R316" s="54" t="s">
        <v>5867</v>
      </c>
      <c r="S316" s="53" t="s">
        <v>5866</v>
      </c>
      <c r="T316" s="54" t="s">
        <v>5867</v>
      </c>
      <c r="U316" s="53" t="s">
        <v>5916</v>
      </c>
      <c r="V316" s="54"/>
      <c r="W316" s="53" t="s">
        <v>5917</v>
      </c>
      <c r="X316" s="54"/>
      <c r="Y316" s="53" t="s">
        <v>5918</v>
      </c>
      <c r="Z316" s="54"/>
      <c r="AA316" s="53" t="s">
        <v>5919</v>
      </c>
      <c r="AB316" s="54"/>
      <c r="AC316" s="53" t="s">
        <v>5920</v>
      </c>
      <c r="AD316" s="54"/>
      <c r="AE316" s="53"/>
      <c r="AF316" s="54"/>
      <c r="AG316" s="53"/>
      <c r="AH316" s="54"/>
      <c r="AI316" s="53"/>
      <c r="AJ316" s="54"/>
      <c r="AK316" s="53"/>
      <c r="AL316" s="54"/>
      <c r="AM316" s="53"/>
      <c r="AN316" s="54"/>
      <c r="AO316" s="53"/>
      <c r="AP316" s="54"/>
      <c r="AQ316" s="53"/>
      <c r="AR316" s="54"/>
      <c r="AS316" s="53"/>
      <c r="AT316" s="54"/>
      <c r="AU316" s="53"/>
      <c r="AV316" s="54"/>
      <c r="AW316" s="53"/>
      <c r="AX316" s="54"/>
      <c r="AY316" s="53"/>
      <c r="AZ316" s="54"/>
      <c r="BA316" s="53"/>
      <c r="BB316" s="51"/>
      <c r="BC316" s="53"/>
      <c r="BD316" s="51"/>
      <c r="BE316" s="53"/>
      <c r="BF316" s="51"/>
      <c r="BG316" s="53"/>
      <c r="BH316" s="51"/>
      <c r="BI316" s="53"/>
      <c r="BJ316" s="51"/>
      <c r="BK316" s="53"/>
      <c r="BL316" s="51"/>
      <c r="BM316" s="53"/>
      <c r="BN316" s="51"/>
      <c r="BO316" s="53"/>
      <c r="BP316" s="51"/>
      <c r="BQ316" s="53"/>
      <c r="BR316" s="55"/>
    </row>
    <row r="317" spans="1:70" ht="28.5" customHeight="1">
      <c r="A317" s="67" t="str">
        <f>IF(games!A317="", "", games!A317)</f>
        <v>道友你好劍：群英集結</v>
      </c>
      <c r="B317" s="51"/>
      <c r="C317" s="51" t="str">
        <f t="shared" si="14"/>
        <v>giftcodesbanner/道友你好劍：群英集結-禮包碼.jpg</v>
      </c>
      <c r="D317" s="51" t="str">
        <f t="shared" si="15"/>
        <v>https://www.ssbuy.tw/gift-codes.html?game=道友你好劍：群英集結</v>
      </c>
      <c r="E317" s="91"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07" t="s">
        <v>5835</v>
      </c>
      <c r="G317" s="51" t="s">
        <v>5836</v>
      </c>
      <c r="H317" s="51" t="s">
        <v>5838</v>
      </c>
      <c r="I317" s="51"/>
      <c r="J317" s="91"/>
      <c r="K317" s="100" t="s">
        <v>5495</v>
      </c>
      <c r="L317" s="51" t="s">
        <v>5496</v>
      </c>
      <c r="M317" s="53" t="s">
        <v>5818</v>
      </c>
      <c r="N317" s="54" t="s">
        <v>5828</v>
      </c>
      <c r="O317" s="53" t="s">
        <v>5819</v>
      </c>
      <c r="P317" s="54" t="s">
        <v>5829</v>
      </c>
      <c r="Q317" s="53" t="s">
        <v>5820</v>
      </c>
      <c r="R317" s="54" t="s">
        <v>5830</v>
      </c>
      <c r="S317" s="53" t="s">
        <v>3216</v>
      </c>
      <c r="T317" s="54" t="s">
        <v>5831</v>
      </c>
      <c r="U317" s="53" t="s">
        <v>3220</v>
      </c>
      <c r="V317" s="54" t="s">
        <v>5832</v>
      </c>
      <c r="W317" s="53" t="s">
        <v>5833</v>
      </c>
      <c r="X317" s="54" t="s">
        <v>5834</v>
      </c>
      <c r="Y317" s="53"/>
      <c r="Z317" s="54"/>
      <c r="AA317" s="53"/>
      <c r="AB317" s="54"/>
      <c r="AC317" s="53"/>
      <c r="AD317" s="54"/>
      <c r="AE317" s="53"/>
      <c r="AF317" s="54"/>
      <c r="AG317" s="53"/>
      <c r="AH317" s="54"/>
      <c r="AI317" s="53"/>
      <c r="AJ317" s="54"/>
      <c r="AK317" s="53"/>
      <c r="AL317" s="54"/>
      <c r="AM317" s="53"/>
      <c r="AN317" s="54"/>
      <c r="AO317" s="53"/>
      <c r="AP317" s="54"/>
      <c r="AQ317" s="53"/>
      <c r="AR317" s="54"/>
      <c r="AS317" s="53"/>
      <c r="AT317" s="54"/>
      <c r="AU317" s="53"/>
      <c r="AV317" s="54"/>
      <c r="AW317" s="53"/>
      <c r="AX317" s="54"/>
      <c r="AY317" s="53"/>
      <c r="AZ317" s="54"/>
      <c r="BA317" s="53"/>
      <c r="BB317" s="51"/>
      <c r="BC317" s="53"/>
      <c r="BD317" s="51"/>
      <c r="BE317" s="53"/>
      <c r="BF317" s="51"/>
      <c r="BG317" s="53"/>
      <c r="BH317" s="51"/>
      <c r="BI317" s="53"/>
      <c r="BJ317" s="51"/>
      <c r="BK317" s="53"/>
      <c r="BL317" s="51"/>
      <c r="BM317" s="53"/>
      <c r="BN317" s="51"/>
      <c r="BO317" s="53"/>
      <c r="BP317" s="51"/>
      <c r="BQ317" s="53"/>
      <c r="BR317" s="55"/>
    </row>
    <row r="318" spans="1:70" ht="28.5" customHeight="1">
      <c r="A318" s="67" t="str">
        <f>IF(games!A318="", "", games!A318)</f>
        <v>荒島求生：重建家園</v>
      </c>
      <c r="B318" s="51"/>
      <c r="C318" s="51" t="str">
        <f t="shared" si="14"/>
        <v>giftcodesbanner/荒島求生：重建家園-禮包碼.jpg</v>
      </c>
      <c r="D318" s="51" t="str">
        <f t="shared" si="15"/>
        <v>https://www.ssbuy.tw/gift-codes.html?game=荒島求生：重建家園</v>
      </c>
      <c r="E318" s="91"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07" t="s">
        <v>5835</v>
      </c>
      <c r="G318" s="51" t="s">
        <v>5836</v>
      </c>
      <c r="H318" s="51" t="s">
        <v>5838</v>
      </c>
      <c r="I318" s="51"/>
      <c r="J318" s="91"/>
      <c r="K318" s="100" t="s">
        <v>5495</v>
      </c>
      <c r="L318" s="51" t="s">
        <v>5496</v>
      </c>
      <c r="M318" s="53"/>
      <c r="N318" s="54"/>
      <c r="O318" s="53"/>
      <c r="P318" s="54"/>
      <c r="Q318" s="53"/>
      <c r="R318" s="54"/>
      <c r="S318" s="53"/>
      <c r="T318" s="54"/>
      <c r="U318" s="53"/>
      <c r="V318" s="54"/>
      <c r="W318" s="53"/>
      <c r="X318" s="54"/>
      <c r="Y318" s="53"/>
      <c r="Z318" s="54"/>
      <c r="AA318" s="53"/>
      <c r="AB318" s="54"/>
      <c r="AC318" s="53"/>
      <c r="AD318" s="54"/>
      <c r="AE318" s="53"/>
      <c r="AF318" s="54"/>
      <c r="AG318" s="53"/>
      <c r="AH318" s="54"/>
      <c r="AI318" s="53"/>
      <c r="AJ318" s="54"/>
      <c r="AK318" s="53"/>
      <c r="AL318" s="54"/>
      <c r="AM318" s="53"/>
      <c r="AN318" s="54"/>
      <c r="AO318" s="53"/>
      <c r="AP318" s="54"/>
      <c r="AQ318" s="53"/>
      <c r="AR318" s="54"/>
      <c r="AS318" s="53"/>
      <c r="AT318" s="54"/>
      <c r="AU318" s="53"/>
      <c r="AV318" s="54"/>
      <c r="AW318" s="53"/>
      <c r="AX318" s="54"/>
      <c r="AY318" s="53"/>
      <c r="AZ318" s="54"/>
      <c r="BA318" s="53"/>
      <c r="BB318" s="51"/>
      <c r="BC318" s="53"/>
      <c r="BD318" s="51"/>
      <c r="BE318" s="53"/>
      <c r="BF318" s="51"/>
      <c r="BG318" s="53"/>
      <c r="BH318" s="51"/>
      <c r="BI318" s="53"/>
      <c r="BJ318" s="51"/>
      <c r="BK318" s="53"/>
      <c r="BL318" s="51"/>
      <c r="BM318" s="53"/>
      <c r="BN318" s="51"/>
      <c r="BO318" s="53"/>
      <c r="BP318" s="51"/>
      <c r="BQ318" s="53"/>
      <c r="BR318" s="55"/>
    </row>
    <row r="319" spans="1:70" ht="28.5" customHeight="1">
      <c r="A319" s="67" t="str">
        <f>IF(games!A319="", "", games!A319)</f>
        <v>絕地鴨衛</v>
      </c>
      <c r="B319" s="51"/>
      <c r="C319" s="51" t="str">
        <f t="shared" si="14"/>
        <v>giftcodesbanner/絕地鴨衛-禮包碼.jpg</v>
      </c>
      <c r="D319" s="51" t="str">
        <f t="shared" si="15"/>
        <v>https://www.ssbuy.tw/gift-codes.html?game=絕地鴨衛</v>
      </c>
      <c r="E319" s="91"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2" t="s">
        <v>5232</v>
      </c>
      <c r="G319" s="51"/>
      <c r="H319" s="51"/>
      <c r="I319" s="51"/>
      <c r="J319" s="91"/>
      <c r="K319" s="100" t="s">
        <v>5495</v>
      </c>
      <c r="L319" s="51" t="s">
        <v>5496</v>
      </c>
      <c r="M319" s="53"/>
      <c r="N319" s="54"/>
      <c r="O319" s="53"/>
      <c r="P319" s="54"/>
      <c r="Q319" s="53"/>
      <c r="R319" s="54"/>
      <c r="S319" s="53"/>
      <c r="T319" s="54"/>
      <c r="U319" s="53"/>
      <c r="V319" s="54"/>
      <c r="W319" s="53"/>
      <c r="X319" s="54"/>
      <c r="Y319" s="53"/>
      <c r="Z319" s="54"/>
      <c r="AA319" s="53"/>
      <c r="AB319" s="54"/>
      <c r="AC319" s="53"/>
      <c r="AD319" s="54"/>
      <c r="AE319" s="53"/>
      <c r="AF319" s="54"/>
      <c r="AG319" s="53"/>
      <c r="AH319" s="54"/>
      <c r="AI319" s="53"/>
      <c r="AJ319" s="54"/>
      <c r="AK319" s="53"/>
      <c r="AL319" s="54"/>
      <c r="AM319" s="53"/>
      <c r="AN319" s="54"/>
      <c r="AO319" s="53"/>
      <c r="AP319" s="54"/>
      <c r="AQ319" s="53"/>
      <c r="AR319" s="54"/>
      <c r="AS319" s="53"/>
      <c r="AT319" s="54"/>
      <c r="AU319" s="53"/>
      <c r="AV319" s="54"/>
      <c r="AW319" s="53"/>
      <c r="AX319" s="54"/>
      <c r="AY319" s="53"/>
      <c r="AZ319" s="54"/>
      <c r="BA319" s="53"/>
      <c r="BB319" s="51"/>
      <c r="BC319" s="53"/>
      <c r="BD319" s="51"/>
      <c r="BE319" s="53"/>
      <c r="BF319" s="51"/>
      <c r="BG319" s="53"/>
      <c r="BH319" s="51"/>
      <c r="BI319" s="53"/>
      <c r="BJ319" s="51"/>
      <c r="BK319" s="53"/>
      <c r="BL319" s="51"/>
      <c r="BM319" s="53"/>
      <c r="BN319" s="51"/>
      <c r="BO319" s="53"/>
      <c r="BP319" s="51"/>
      <c r="BQ319" s="53"/>
      <c r="BR319" s="55"/>
    </row>
    <row r="320" spans="1:70" ht="28.5" customHeight="1">
      <c r="A320" s="67" t="str">
        <f>IF(games!A320="", "", games!A320)</f>
        <v>NBA 2K26 Myteam</v>
      </c>
      <c r="B320" s="51"/>
      <c r="C320" s="51" t="str">
        <f t="shared" si="14"/>
        <v>giftcodesbanner/NBA 2K26 Myteam-禮包碼.jpg</v>
      </c>
      <c r="D320" s="51" t="str">
        <f t="shared" si="15"/>
        <v>https://www.ssbuy.tw/gift-codes.html?game=NBA 2K26 Myteam</v>
      </c>
      <c r="E320" s="91"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2" t="s">
        <v>5232</v>
      </c>
      <c r="G320" s="51"/>
      <c r="H320" s="51"/>
      <c r="I320" s="51"/>
      <c r="J320" s="91"/>
      <c r="K320" s="100" t="s">
        <v>5495</v>
      </c>
      <c r="L320" s="51" t="s">
        <v>5496</v>
      </c>
      <c r="M320" s="53"/>
      <c r="N320" s="54"/>
      <c r="O320" s="53"/>
      <c r="P320" s="54"/>
      <c r="Q320" s="53"/>
      <c r="R320" s="54"/>
      <c r="S320" s="53"/>
      <c r="T320" s="54"/>
      <c r="U320" s="53"/>
      <c r="V320" s="54"/>
      <c r="W320" s="53"/>
      <c r="X320" s="54"/>
      <c r="Y320" s="53"/>
      <c r="Z320" s="54"/>
      <c r="AA320" s="53"/>
      <c r="AB320" s="54"/>
      <c r="AC320" s="53"/>
      <c r="AD320" s="54"/>
      <c r="AE320" s="53"/>
      <c r="AF320" s="54"/>
      <c r="AG320" s="53"/>
      <c r="AH320" s="54"/>
      <c r="AI320" s="53"/>
      <c r="AJ320" s="54"/>
      <c r="AK320" s="53"/>
      <c r="AL320" s="54"/>
      <c r="AM320" s="53"/>
      <c r="AN320" s="54"/>
      <c r="AO320" s="53"/>
      <c r="AP320" s="54"/>
      <c r="AQ320" s="53"/>
      <c r="AR320" s="54"/>
      <c r="AS320" s="53"/>
      <c r="AT320" s="54"/>
      <c r="AU320" s="53"/>
      <c r="AV320" s="54"/>
      <c r="AW320" s="53"/>
      <c r="AX320" s="54"/>
      <c r="AY320" s="53"/>
      <c r="AZ320" s="54"/>
      <c r="BA320" s="53"/>
      <c r="BB320" s="51"/>
      <c r="BC320" s="53"/>
      <c r="BD320" s="51"/>
      <c r="BE320" s="53"/>
      <c r="BF320" s="51"/>
      <c r="BG320" s="53"/>
      <c r="BH320" s="51"/>
      <c r="BI320" s="53"/>
      <c r="BJ320" s="51"/>
      <c r="BK320" s="53"/>
      <c r="BL320" s="51"/>
      <c r="BM320" s="53"/>
      <c r="BN320" s="51"/>
      <c r="BO320" s="53"/>
      <c r="BP320" s="51"/>
      <c r="BQ320" s="53"/>
      <c r="BR320" s="55"/>
    </row>
    <row r="321" spans="1:70" ht="28.5" customHeight="1">
      <c r="A321" s="67" t="str">
        <f>IF(games!A321="", "", games!A321)</f>
        <v>放置法陣</v>
      </c>
      <c r="B321" s="51"/>
      <c r="C321" s="51" t="str">
        <f t="shared" si="14"/>
        <v>giftcodesbanner/放置法陣-禮包碼.jpg</v>
      </c>
      <c r="D321" s="51" t="str">
        <f t="shared" si="15"/>
        <v>https://www.ssbuy.tw/gift-codes.html?game=放置法陣</v>
      </c>
      <c r="E321" s="91"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2" t="s">
        <v>5962</v>
      </c>
      <c r="G321" s="51" t="s">
        <v>5963</v>
      </c>
      <c r="H321" s="51" t="s">
        <v>5838</v>
      </c>
      <c r="I321" s="51"/>
      <c r="J321" s="91"/>
      <c r="K321" s="100" t="s">
        <v>5495</v>
      </c>
      <c r="L321" s="51" t="s">
        <v>5496</v>
      </c>
      <c r="M321" s="53" t="s">
        <v>5960</v>
      </c>
      <c r="N321" s="54" t="s">
        <v>5961</v>
      </c>
      <c r="O321" s="53" t="s">
        <v>6082</v>
      </c>
      <c r="P321" s="54" t="s">
        <v>6083</v>
      </c>
      <c r="Q321" s="53" t="s">
        <v>6853</v>
      </c>
      <c r="R321" s="54" t="s">
        <v>6857</v>
      </c>
      <c r="S321" s="53" t="s">
        <v>6854</v>
      </c>
      <c r="T321" s="54" t="s">
        <v>6858</v>
      </c>
      <c r="U321" s="53" t="s">
        <v>6855</v>
      </c>
      <c r="V321" s="54" t="s">
        <v>6859</v>
      </c>
      <c r="W321" s="53" t="s">
        <v>6856</v>
      </c>
      <c r="X321" s="54" t="s">
        <v>6857</v>
      </c>
      <c r="Y321" s="53"/>
      <c r="Z321" s="54"/>
      <c r="AA321" s="53"/>
      <c r="AB321" s="54"/>
      <c r="AC321" s="53"/>
      <c r="AD321" s="54"/>
      <c r="AE321" s="53"/>
      <c r="AF321" s="54"/>
      <c r="AG321" s="53"/>
      <c r="AH321" s="54"/>
      <c r="AI321" s="53"/>
      <c r="AJ321" s="54"/>
      <c r="AK321" s="53"/>
      <c r="AL321" s="54"/>
      <c r="AM321" s="53"/>
      <c r="AN321" s="54"/>
      <c r="AO321" s="53"/>
      <c r="AP321" s="54"/>
      <c r="AQ321" s="53"/>
      <c r="AR321" s="54"/>
      <c r="AS321" s="53"/>
      <c r="AT321" s="54"/>
      <c r="AU321" s="53"/>
      <c r="AV321" s="54"/>
      <c r="AW321" s="53"/>
      <c r="AX321" s="54"/>
      <c r="AY321" s="53"/>
      <c r="AZ321" s="54"/>
      <c r="BA321" s="53"/>
      <c r="BB321" s="51"/>
      <c r="BC321" s="53"/>
      <c r="BD321" s="51"/>
      <c r="BE321" s="53"/>
      <c r="BF321" s="51"/>
      <c r="BG321" s="53"/>
      <c r="BH321" s="51"/>
      <c r="BI321" s="53"/>
      <c r="BJ321" s="51"/>
      <c r="BK321" s="53"/>
      <c r="BL321" s="51"/>
      <c r="BM321" s="53"/>
      <c r="BN321" s="51"/>
      <c r="BO321" s="53"/>
      <c r="BP321" s="51"/>
      <c r="BQ321" s="53"/>
      <c r="BR321" s="55"/>
    </row>
    <row r="322" spans="1:70" ht="28.5" customHeight="1">
      <c r="A322" s="67" t="str">
        <f>IF(games!A322="", "", games!A322)</f>
        <v>魔導少年 魔導士編年史</v>
      </c>
      <c r="B322" s="51"/>
      <c r="C322" s="51" t="str">
        <f t="shared" si="14"/>
        <v>giftcodesbanner/魔導少年 魔導士編年史-禮包碼.jpg</v>
      </c>
      <c r="D322" s="51" t="str">
        <f t="shared" si="15"/>
        <v>https://www.ssbuy.tw/gift-codes.html?game=魔導少年 魔導士編年史</v>
      </c>
      <c r="E322" s="91"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2" t="s">
        <v>5232</v>
      </c>
      <c r="G322" s="51"/>
      <c r="H322" s="51"/>
      <c r="I322" s="51"/>
      <c r="J322" s="91"/>
      <c r="K322" s="100" t="s">
        <v>5495</v>
      </c>
      <c r="L322" s="51" t="s">
        <v>5496</v>
      </c>
      <c r="M322" s="53"/>
      <c r="N322" s="54"/>
      <c r="O322" s="53"/>
      <c r="P322" s="54"/>
      <c r="Q322" s="53"/>
      <c r="R322" s="54"/>
      <c r="S322" s="53"/>
      <c r="T322" s="54"/>
      <c r="U322" s="53"/>
      <c r="V322" s="54"/>
      <c r="W322" s="53"/>
      <c r="X322" s="54"/>
      <c r="Y322" s="53"/>
      <c r="Z322" s="54"/>
      <c r="AA322" s="53"/>
      <c r="AB322" s="54"/>
      <c r="AC322" s="53"/>
      <c r="AD322" s="54"/>
      <c r="AE322" s="53"/>
      <c r="AF322" s="54"/>
      <c r="AG322" s="53"/>
      <c r="AH322" s="54"/>
      <c r="AI322" s="53"/>
      <c r="AJ322" s="54"/>
      <c r="AK322" s="53"/>
      <c r="AL322" s="54"/>
      <c r="AM322" s="53"/>
      <c r="AN322" s="54"/>
      <c r="AO322" s="53"/>
      <c r="AP322" s="54"/>
      <c r="AQ322" s="53"/>
      <c r="AR322" s="54"/>
      <c r="AS322" s="53"/>
      <c r="AT322" s="54"/>
      <c r="AU322" s="53"/>
      <c r="AV322" s="54"/>
      <c r="AW322" s="53"/>
      <c r="AX322" s="54"/>
      <c r="AY322" s="53"/>
      <c r="AZ322" s="54"/>
      <c r="BA322" s="53"/>
      <c r="BB322" s="51"/>
      <c r="BC322" s="53"/>
      <c r="BD322" s="51"/>
      <c r="BE322" s="53"/>
      <c r="BF322" s="51"/>
      <c r="BG322" s="53"/>
      <c r="BH322" s="51"/>
      <c r="BI322" s="53"/>
      <c r="BJ322" s="51"/>
      <c r="BK322" s="53"/>
      <c r="BL322" s="51"/>
      <c r="BM322" s="53"/>
      <c r="BN322" s="51"/>
      <c r="BO322" s="53"/>
      <c r="BP322" s="51"/>
      <c r="BQ322" s="53"/>
      <c r="BR322" s="55"/>
    </row>
    <row r="323" spans="1:70" ht="28.5" customHeight="1">
      <c r="A323" s="67" t="str">
        <f>IF(games!A323="", "", games!A323)</f>
        <v>獵風傳說：石器大作戰</v>
      </c>
      <c r="B323" s="51"/>
      <c r="C323" s="51" t="str">
        <f t="shared" si="14"/>
        <v>giftcodesbanner/獵風傳說：石器大作戰-禮包碼.jpg</v>
      </c>
      <c r="D323" s="51" t="str">
        <f t="shared" si="15"/>
        <v>https://www.ssbuy.tw/gift-codes.html?game=獵風傳說：石器大作戰</v>
      </c>
      <c r="E323" s="91"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2" t="s">
        <v>5993</v>
      </c>
      <c r="G323" s="51" t="s">
        <v>5994</v>
      </c>
      <c r="H323" s="51" t="s">
        <v>5995</v>
      </c>
      <c r="I323" s="51" t="s">
        <v>5838</v>
      </c>
      <c r="J323" s="91"/>
      <c r="K323" s="100" t="s">
        <v>5495</v>
      </c>
      <c r="L323" s="51" t="s">
        <v>5496</v>
      </c>
      <c r="M323" s="53" t="s">
        <v>5957</v>
      </c>
      <c r="N323" s="54"/>
      <c r="O323" s="53" t="s">
        <v>5958</v>
      </c>
      <c r="P323" s="54"/>
      <c r="Q323" s="53" t="s">
        <v>5959</v>
      </c>
      <c r="R323" s="54"/>
      <c r="S323" s="53" t="s">
        <v>5972</v>
      </c>
      <c r="T323" s="54"/>
      <c r="U323" s="53" t="s">
        <v>5971</v>
      </c>
      <c r="V323" s="54"/>
      <c r="W323" s="53" t="s">
        <v>5973</v>
      </c>
      <c r="X323" s="54"/>
      <c r="Y323" s="53" t="s">
        <v>5974</v>
      </c>
      <c r="Z323" s="54" t="s">
        <v>5978</v>
      </c>
      <c r="AA323" s="53" t="s">
        <v>5975</v>
      </c>
      <c r="AB323" s="54"/>
      <c r="AC323" s="53" t="s">
        <v>5976</v>
      </c>
      <c r="AD323" s="54"/>
      <c r="AE323" s="53" t="s">
        <v>5977</v>
      </c>
      <c r="AF323" s="54"/>
      <c r="AG323" s="53" t="s">
        <v>5979</v>
      </c>
      <c r="AH323" s="54" t="s">
        <v>5981</v>
      </c>
      <c r="AI323" s="53" t="s">
        <v>5980</v>
      </c>
      <c r="AJ323" s="54" t="s">
        <v>5981</v>
      </c>
      <c r="AK323" s="53" t="s">
        <v>4071</v>
      </c>
      <c r="AL323" s="54" t="s">
        <v>5981</v>
      </c>
      <c r="AM323" s="53" t="s">
        <v>5982</v>
      </c>
      <c r="AN323" s="54"/>
      <c r="AO323" s="53" t="s">
        <v>5983</v>
      </c>
      <c r="AP323" s="54"/>
      <c r="AQ323" s="53" t="s">
        <v>5984</v>
      </c>
      <c r="AR323" s="54"/>
      <c r="AS323" s="53" t="s">
        <v>5985</v>
      </c>
      <c r="AT323" s="54"/>
      <c r="AU323" s="53" t="s">
        <v>5986</v>
      </c>
      <c r="AV323" s="54"/>
      <c r="AW323" s="53" t="s">
        <v>5987</v>
      </c>
      <c r="AX323" s="54"/>
      <c r="AY323" s="53"/>
      <c r="AZ323" s="54"/>
      <c r="BA323" s="53"/>
      <c r="BB323" s="51"/>
      <c r="BC323" s="53"/>
      <c r="BD323" s="51"/>
      <c r="BE323" s="53"/>
      <c r="BF323" s="51"/>
      <c r="BG323" s="53"/>
      <c r="BH323" s="51"/>
      <c r="BI323" s="53"/>
      <c r="BJ323" s="51"/>
      <c r="BK323" s="53"/>
      <c r="BL323" s="51"/>
      <c r="BM323" s="53"/>
      <c r="BN323" s="51"/>
      <c r="BO323" s="53"/>
      <c r="BP323" s="51"/>
      <c r="BQ323" s="53"/>
      <c r="BR323" s="55"/>
    </row>
    <row r="324" spans="1:70" ht="28.5" customHeight="1">
      <c r="A324" s="67" t="str">
        <f>IF(games!A324="", "", games!A324)</f>
        <v>依露希爾</v>
      </c>
      <c r="B324" s="51"/>
      <c r="C324" s="51" t="str">
        <f t="shared" si="14"/>
        <v>giftcodesbanner/依露希爾-禮包碼.jpg</v>
      </c>
      <c r="D324" s="51" t="str">
        <f t="shared" si="15"/>
        <v>https://www.ssbuy.tw/gift-codes.html?game=依露希爾</v>
      </c>
      <c r="E324" s="91"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2" t="s">
        <v>5989</v>
      </c>
      <c r="G324" s="51" t="s">
        <v>5990</v>
      </c>
      <c r="H324" s="51" t="s">
        <v>5991</v>
      </c>
      <c r="I324" s="51" t="s">
        <v>5992</v>
      </c>
      <c r="J324" s="91" t="s">
        <v>5838</v>
      </c>
      <c r="K324" s="100" t="s">
        <v>5495</v>
      </c>
      <c r="L324" s="51" t="s">
        <v>5496</v>
      </c>
      <c r="M324" s="53" t="s">
        <v>5935</v>
      </c>
      <c r="N324" s="54" t="s">
        <v>5988</v>
      </c>
      <c r="O324" s="53" t="s">
        <v>6211</v>
      </c>
      <c r="P324" s="54"/>
      <c r="Q324" s="53" t="s">
        <v>6251</v>
      </c>
      <c r="R324" s="54"/>
      <c r="S324" s="53"/>
      <c r="T324" s="54"/>
      <c r="U324" s="53"/>
      <c r="V324" s="54"/>
      <c r="W324" s="53"/>
      <c r="X324" s="54"/>
      <c r="Y324" s="53"/>
      <c r="Z324" s="54"/>
      <c r="AA324" s="53"/>
      <c r="AB324" s="54"/>
      <c r="AC324" s="53"/>
      <c r="AD324" s="54"/>
      <c r="AE324" s="53"/>
      <c r="AF324" s="54"/>
      <c r="AG324" s="53"/>
      <c r="AH324" s="54"/>
      <c r="AI324" s="53"/>
      <c r="AJ324" s="54"/>
      <c r="AK324" s="53"/>
      <c r="AL324" s="54"/>
      <c r="AM324" s="53"/>
      <c r="AN324" s="54"/>
      <c r="AO324" s="53"/>
      <c r="AP324" s="54"/>
      <c r="AQ324" s="53"/>
      <c r="AR324" s="54"/>
      <c r="AS324" s="53"/>
      <c r="AT324" s="54"/>
      <c r="AU324" s="53"/>
      <c r="AV324" s="54"/>
      <c r="AW324" s="53"/>
      <c r="AX324" s="54"/>
      <c r="AY324" s="53"/>
      <c r="AZ324" s="54"/>
      <c r="BA324" s="53"/>
      <c r="BB324" s="51"/>
      <c r="BC324" s="53"/>
      <c r="BD324" s="51"/>
      <c r="BE324" s="53"/>
      <c r="BF324" s="51"/>
      <c r="BG324" s="53"/>
      <c r="BH324" s="51"/>
      <c r="BI324" s="53"/>
      <c r="BJ324" s="51"/>
      <c r="BK324" s="53"/>
      <c r="BL324" s="51"/>
      <c r="BM324" s="53"/>
      <c r="BN324" s="51"/>
      <c r="BO324" s="53"/>
      <c r="BP324" s="51"/>
      <c r="BQ324" s="53"/>
      <c r="BR324" s="55"/>
    </row>
    <row r="325" spans="1:70" ht="28.5" customHeight="1">
      <c r="A325" s="67" t="str">
        <f>IF(games!A325="", "", games!A325)</f>
        <v>契約吧！精靈少女</v>
      </c>
      <c r="B325" s="51"/>
      <c r="C325" s="51" t="str">
        <f t="shared" si="14"/>
        <v>giftcodesbanner/契約吧！精靈少女-禮包碼.jpg</v>
      </c>
      <c r="D325" s="51" t="str">
        <f t="shared" si="15"/>
        <v>https://www.ssbuy.tw/gift-codes.html?game=契約吧！精靈少女</v>
      </c>
      <c r="E325" s="91"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2" t="s">
        <v>5232</v>
      </c>
      <c r="G325" s="51"/>
      <c r="H325" s="51"/>
      <c r="I325" s="51"/>
      <c r="J325" s="91"/>
      <c r="K325" s="100" t="s">
        <v>5495</v>
      </c>
      <c r="L325" s="51" t="s">
        <v>5496</v>
      </c>
      <c r="M325" s="53" t="s">
        <v>5951</v>
      </c>
      <c r="N325" s="54" t="s">
        <v>5954</v>
      </c>
      <c r="O325" s="53" t="s">
        <v>5952</v>
      </c>
      <c r="P325" s="54" t="s">
        <v>5954</v>
      </c>
      <c r="Q325" s="53" t="s">
        <v>5953</v>
      </c>
      <c r="R325" s="54" t="s">
        <v>5954</v>
      </c>
      <c r="S325" s="53"/>
      <c r="T325" s="54"/>
      <c r="U325" s="53"/>
      <c r="V325" s="54"/>
      <c r="W325" s="53"/>
      <c r="X325" s="54"/>
      <c r="Y325" s="53"/>
      <c r="Z325" s="54"/>
      <c r="AA325" s="53"/>
      <c r="AB325" s="54"/>
      <c r="AC325" s="53"/>
      <c r="AD325" s="54"/>
      <c r="AE325" s="53"/>
      <c r="AF325" s="54"/>
      <c r="AG325" s="53"/>
      <c r="AH325" s="54"/>
      <c r="AI325" s="53"/>
      <c r="AJ325" s="54"/>
      <c r="AK325" s="53"/>
      <c r="AL325" s="54"/>
      <c r="AM325" s="53"/>
      <c r="AN325" s="54"/>
      <c r="AO325" s="53"/>
      <c r="AP325" s="54"/>
      <c r="AQ325" s="53"/>
      <c r="AR325" s="54"/>
      <c r="AS325" s="53"/>
      <c r="AT325" s="54"/>
      <c r="AU325" s="53"/>
      <c r="AV325" s="54"/>
      <c r="AW325" s="53"/>
      <c r="AX325" s="54"/>
      <c r="AY325" s="53"/>
      <c r="AZ325" s="54"/>
      <c r="BA325" s="53"/>
      <c r="BB325" s="51"/>
      <c r="BC325" s="53"/>
      <c r="BD325" s="51"/>
      <c r="BE325" s="53"/>
      <c r="BF325" s="51"/>
      <c r="BG325" s="53"/>
      <c r="BH325" s="51"/>
      <c r="BI325" s="53"/>
      <c r="BJ325" s="51"/>
      <c r="BK325" s="53"/>
      <c r="BL325" s="51"/>
      <c r="BM325" s="53"/>
      <c r="BN325" s="51"/>
      <c r="BO325" s="53"/>
      <c r="BP325" s="51"/>
      <c r="BQ325" s="53"/>
      <c r="BR325" s="55"/>
    </row>
    <row r="326" spans="1:70" ht="28.5" customHeight="1">
      <c r="A326" s="67" t="str">
        <f>IF(games!A326="", "", games!A326)</f>
        <v>曹操不囉嗦</v>
      </c>
      <c r="B326" s="51"/>
      <c r="C326" s="51" t="str">
        <f t="shared" si="14"/>
        <v>giftcodesbanner/曹操不囉嗦-禮包碼.jpg</v>
      </c>
      <c r="D326" s="51" t="str">
        <f t="shared" si="15"/>
        <v>https://www.ssbuy.tw/gift-codes.html?game=曹操不囉嗦</v>
      </c>
      <c r="E326" s="91"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2" t="s">
        <v>5989</v>
      </c>
      <c r="G326" s="51" t="s">
        <v>7508</v>
      </c>
      <c r="H326" s="51" t="s">
        <v>7509</v>
      </c>
      <c r="I326" s="51" t="s">
        <v>6988</v>
      </c>
      <c r="J326" s="91"/>
      <c r="K326" s="100" t="s">
        <v>5495</v>
      </c>
      <c r="L326" s="51" t="s">
        <v>5496</v>
      </c>
      <c r="M326" s="53" t="s">
        <v>7502</v>
      </c>
      <c r="N326" s="54" t="s">
        <v>7505</v>
      </c>
      <c r="O326" s="53" t="s">
        <v>7503</v>
      </c>
      <c r="P326" s="54" t="s">
        <v>7506</v>
      </c>
      <c r="Q326" s="53" t="s">
        <v>7504</v>
      </c>
      <c r="R326" s="54" t="s">
        <v>7507</v>
      </c>
      <c r="S326" s="53"/>
      <c r="T326" s="54"/>
      <c r="U326" s="53"/>
      <c r="V326" s="54"/>
      <c r="W326" s="53"/>
      <c r="X326" s="54"/>
      <c r="Y326" s="53"/>
      <c r="Z326" s="54"/>
      <c r="AA326" s="53"/>
      <c r="AB326" s="54"/>
      <c r="AC326" s="53"/>
      <c r="AD326" s="54"/>
      <c r="AE326" s="53"/>
      <c r="AF326" s="54"/>
      <c r="AG326" s="53"/>
      <c r="AH326" s="54"/>
      <c r="AI326" s="53"/>
      <c r="AJ326" s="54"/>
      <c r="AK326" s="53"/>
      <c r="AL326" s="54"/>
      <c r="AM326" s="53"/>
      <c r="AN326" s="54"/>
      <c r="AO326" s="53"/>
      <c r="AP326" s="54"/>
      <c r="AQ326" s="53"/>
      <c r="AR326" s="54"/>
      <c r="AS326" s="53"/>
      <c r="AT326" s="54"/>
      <c r="AU326" s="53"/>
      <c r="AV326" s="54"/>
      <c r="AW326" s="53"/>
      <c r="AX326" s="54"/>
      <c r="AY326" s="53"/>
      <c r="AZ326" s="54"/>
      <c r="BA326" s="53"/>
      <c r="BB326" s="51"/>
      <c r="BC326" s="53"/>
      <c r="BD326" s="51"/>
      <c r="BE326" s="53"/>
      <c r="BF326" s="51"/>
      <c r="BG326" s="53"/>
      <c r="BH326" s="51"/>
      <c r="BI326" s="53"/>
      <c r="BJ326" s="51"/>
      <c r="BK326" s="53"/>
      <c r="BL326" s="51"/>
      <c r="BM326" s="53"/>
      <c r="BN326" s="51"/>
      <c r="BO326" s="53"/>
      <c r="BP326" s="51"/>
      <c r="BQ326" s="53"/>
      <c r="BR326" s="55"/>
    </row>
    <row r="327" spans="1:70" ht="28.5" customHeight="1">
      <c r="A327" s="67" t="str">
        <f>IF(games!A327="", "", games!A327)</f>
        <v>江湖有詭</v>
      </c>
      <c r="B327" s="51"/>
      <c r="C327" s="51" t="str">
        <f t="shared" si="14"/>
        <v>giftcodesbanner/江湖有詭-禮包碼.jpg</v>
      </c>
      <c r="D327" s="51" t="str">
        <f t="shared" si="15"/>
        <v>https://www.ssbuy.tw/gift-codes.html?game=江湖有詭</v>
      </c>
      <c r="E327" s="91"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2" t="s">
        <v>6048</v>
      </c>
      <c r="G327" s="51" t="s">
        <v>6049</v>
      </c>
      <c r="H327" s="51" t="s">
        <v>5838</v>
      </c>
      <c r="I327" s="51"/>
      <c r="J327" s="91"/>
      <c r="K327" s="100" t="s">
        <v>5495</v>
      </c>
      <c r="L327" s="51" t="s">
        <v>5496</v>
      </c>
      <c r="M327" s="53">
        <v>666666</v>
      </c>
      <c r="N327" s="54"/>
      <c r="O327" s="53">
        <v>7777777</v>
      </c>
      <c r="P327" s="54"/>
      <c r="Q327" s="53">
        <v>88888888</v>
      </c>
      <c r="R327" s="54"/>
      <c r="S327" s="53" t="s">
        <v>6000</v>
      </c>
      <c r="T327" s="54"/>
      <c r="U327" s="53" t="s">
        <v>6001</v>
      </c>
      <c r="V327" s="54"/>
      <c r="W327" s="53" t="s">
        <v>6002</v>
      </c>
      <c r="X327" s="54"/>
      <c r="Y327" s="53" t="s">
        <v>6003</v>
      </c>
      <c r="Z327" s="54"/>
      <c r="AA327" s="53" t="s">
        <v>6004</v>
      </c>
      <c r="AB327" s="54"/>
      <c r="AC327" s="53" t="s">
        <v>6005</v>
      </c>
      <c r="AD327" s="54"/>
      <c r="AE327" s="53" t="s">
        <v>6006</v>
      </c>
      <c r="AF327" s="54"/>
      <c r="AG327" s="53" t="s">
        <v>6007</v>
      </c>
      <c r="AH327" s="54"/>
      <c r="AI327" s="53" t="s">
        <v>6008</v>
      </c>
      <c r="AJ327" s="54"/>
      <c r="AK327" s="53" t="s">
        <v>6009</v>
      </c>
      <c r="AL327" s="54"/>
      <c r="AM327" s="53"/>
      <c r="AN327" s="54"/>
      <c r="AO327" s="53"/>
      <c r="AP327" s="54"/>
      <c r="AQ327" s="53"/>
      <c r="AR327" s="54"/>
      <c r="AS327" s="53"/>
      <c r="AT327" s="54"/>
      <c r="AU327" s="53"/>
      <c r="AV327" s="54"/>
      <c r="AW327" s="53"/>
      <c r="AX327" s="54"/>
      <c r="AY327" s="53"/>
      <c r="AZ327" s="54"/>
      <c r="BA327" s="53"/>
      <c r="BB327" s="51"/>
      <c r="BC327" s="53"/>
      <c r="BD327" s="51"/>
      <c r="BE327" s="53"/>
      <c r="BF327" s="51"/>
      <c r="BG327" s="53"/>
      <c r="BH327" s="51"/>
      <c r="BI327" s="53"/>
      <c r="BJ327" s="51"/>
      <c r="BK327" s="53"/>
      <c r="BL327" s="51"/>
      <c r="BM327" s="53"/>
      <c r="BN327" s="51"/>
      <c r="BO327" s="53"/>
      <c r="BP327" s="51"/>
      <c r="BQ327" s="53"/>
      <c r="BR327" s="55"/>
    </row>
    <row r="328" spans="1:70" ht="28.5" customHeight="1">
      <c r="A328" s="67" t="str">
        <f>IF(games!A328="", "", games!A328)</f>
        <v>將軍請息怒</v>
      </c>
      <c r="B328" s="51"/>
      <c r="C328" s="51" t="str">
        <f t="shared" si="14"/>
        <v>giftcodesbanner/將軍請息怒-禮包碼.jpg</v>
      </c>
      <c r="D328" s="51" t="str">
        <f t="shared" si="15"/>
        <v>https://www.ssbuy.tw/gift-codes.html?game=將軍請息怒</v>
      </c>
      <c r="E328" s="91"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2" t="s">
        <v>5989</v>
      </c>
      <c r="G328" s="51" t="s">
        <v>6105</v>
      </c>
      <c r="H328" s="51" t="s">
        <v>6245</v>
      </c>
      <c r="I328" s="51"/>
      <c r="J328" s="91"/>
      <c r="K328" s="100" t="s">
        <v>5495</v>
      </c>
      <c r="L328" s="51" t="s">
        <v>5496</v>
      </c>
      <c r="M328" s="53" t="s">
        <v>6050</v>
      </c>
      <c r="N328" s="54"/>
      <c r="O328" s="53" t="s">
        <v>6051</v>
      </c>
      <c r="P328" s="54"/>
      <c r="Q328" s="53" t="s">
        <v>6052</v>
      </c>
      <c r="R328" s="54"/>
      <c r="S328" s="53" t="s">
        <v>6100</v>
      </c>
      <c r="T328" s="54"/>
      <c r="U328" s="53" t="s">
        <v>6053</v>
      </c>
      <c r="V328" s="54"/>
      <c r="W328" s="53" t="s">
        <v>6098</v>
      </c>
      <c r="X328" s="54"/>
      <c r="Y328" s="53" t="s">
        <v>6099</v>
      </c>
      <c r="Z328" s="54"/>
      <c r="AA328" s="53" t="s">
        <v>1932</v>
      </c>
      <c r="AB328" s="54"/>
      <c r="AC328" s="53" t="s">
        <v>6101</v>
      </c>
      <c r="AD328" s="54"/>
      <c r="AE328" s="53" t="s">
        <v>6102</v>
      </c>
      <c r="AF328" s="54"/>
      <c r="AG328" s="53" t="s">
        <v>6103</v>
      </c>
      <c r="AH328" s="54"/>
      <c r="AI328" s="53" t="s">
        <v>6104</v>
      </c>
      <c r="AJ328" s="54"/>
      <c r="AK328" s="53"/>
      <c r="AL328" s="54"/>
      <c r="AM328" s="53"/>
      <c r="AN328" s="54"/>
      <c r="AO328" s="53"/>
      <c r="AP328" s="54"/>
      <c r="AQ328" s="53"/>
      <c r="AR328" s="54"/>
      <c r="AS328" s="53"/>
      <c r="AT328" s="54"/>
      <c r="AU328" s="53"/>
      <c r="AV328" s="54"/>
      <c r="AW328" s="53"/>
      <c r="AX328" s="54"/>
      <c r="AY328" s="53"/>
      <c r="AZ328" s="54"/>
      <c r="BA328" s="53"/>
      <c r="BB328" s="51"/>
      <c r="BC328" s="53"/>
      <c r="BD328" s="51"/>
      <c r="BE328" s="53"/>
      <c r="BF328" s="51"/>
      <c r="BG328" s="53"/>
      <c r="BH328" s="51"/>
      <c r="BI328" s="53"/>
      <c r="BJ328" s="51"/>
      <c r="BK328" s="53"/>
      <c r="BL328" s="51"/>
      <c r="BM328" s="53"/>
      <c r="BN328" s="51"/>
      <c r="BO328" s="53"/>
      <c r="BP328" s="51"/>
      <c r="BQ328" s="53"/>
      <c r="BR328" s="55"/>
    </row>
    <row r="329" spans="1:70" ht="28.5" customHeight="1">
      <c r="A329" s="67" t="str">
        <f>IF(games!A329="", "", games!A329)</f>
        <v>RO：世界之旅</v>
      </c>
      <c r="B329" s="51"/>
      <c r="C329" s="51" t="str">
        <f t="shared" si="14"/>
        <v>giftcodesbanner/RO：世界之旅-禮包碼.jpg</v>
      </c>
      <c r="D329" s="51" t="str">
        <f t="shared" si="15"/>
        <v>https://www.ssbuy.tw/gift-codes.html?game=RO：世界之旅</v>
      </c>
      <c r="E329" s="91"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2" t="s">
        <v>6746</v>
      </c>
      <c r="G329" s="51" t="s">
        <v>6747</v>
      </c>
      <c r="H329" s="51" t="s">
        <v>6245</v>
      </c>
      <c r="I329" s="51"/>
      <c r="J329" s="91"/>
      <c r="K329" s="100" t="s">
        <v>5495</v>
      </c>
      <c r="L329" s="51" t="s">
        <v>5496</v>
      </c>
      <c r="M329" s="53" t="s">
        <v>6010</v>
      </c>
      <c r="N329" s="54" t="s">
        <v>6748</v>
      </c>
      <c r="O329" s="53" t="s">
        <v>6011</v>
      </c>
      <c r="P329" s="54" t="s">
        <v>6749</v>
      </c>
      <c r="Q329" s="53" t="s">
        <v>6012</v>
      </c>
      <c r="R329" s="54" t="s">
        <v>6750</v>
      </c>
      <c r="S329" s="53" t="s">
        <v>6013</v>
      </c>
      <c r="T329" s="54" t="s">
        <v>6751</v>
      </c>
      <c r="U329" s="53" t="s">
        <v>6274</v>
      </c>
      <c r="V329" s="54" t="s">
        <v>6751</v>
      </c>
      <c r="W329" s="53" t="s">
        <v>6014</v>
      </c>
      <c r="X329" s="54" t="s">
        <v>6752</v>
      </c>
      <c r="Y329" s="53" t="s">
        <v>6015</v>
      </c>
      <c r="Z329" s="54" t="s">
        <v>6753</v>
      </c>
      <c r="AA329" s="53" t="s">
        <v>6016</v>
      </c>
      <c r="AB329" s="54" t="s">
        <v>6754</v>
      </c>
      <c r="AC329" s="53" t="s">
        <v>6785</v>
      </c>
      <c r="AD329" s="54"/>
      <c r="AE329" s="53" t="s">
        <v>6786</v>
      </c>
      <c r="AF329" s="54"/>
      <c r="AG329" s="53" t="s">
        <v>6787</v>
      </c>
      <c r="AH329" s="54"/>
      <c r="AI329" s="53"/>
      <c r="AJ329" s="54"/>
      <c r="AK329" s="53"/>
      <c r="AL329" s="54"/>
      <c r="AM329" s="53"/>
      <c r="AN329" s="54"/>
      <c r="AO329" s="53"/>
      <c r="AP329" s="54"/>
      <c r="AQ329" s="53"/>
      <c r="AR329" s="54"/>
      <c r="AS329" s="53"/>
      <c r="AT329" s="54"/>
      <c r="AU329" s="53"/>
      <c r="AV329" s="54"/>
      <c r="AW329" s="53"/>
      <c r="AX329" s="54"/>
      <c r="AY329" s="53"/>
      <c r="AZ329" s="54"/>
      <c r="BA329" s="53"/>
      <c r="BB329" s="51"/>
      <c r="BC329" s="53"/>
      <c r="BD329" s="51"/>
      <c r="BE329" s="53"/>
      <c r="BF329" s="51"/>
      <c r="BG329" s="53"/>
      <c r="BH329" s="51"/>
      <c r="BI329" s="53"/>
      <c r="BJ329" s="51"/>
      <c r="BK329" s="53"/>
      <c r="BL329" s="51"/>
      <c r="BM329" s="53"/>
      <c r="BN329" s="51"/>
      <c r="BO329" s="53"/>
      <c r="BP329" s="51"/>
      <c r="BQ329" s="53"/>
      <c r="BR329" s="55"/>
    </row>
    <row r="330" spans="1:70" ht="28.5" customHeight="1">
      <c r="A330" s="67" t="str">
        <f>IF(games!A330="", "", games!A330)</f>
        <v>燕雲十六聲</v>
      </c>
      <c r="B330" s="51"/>
      <c r="C330" s="51" t="str">
        <f t="shared" si="14"/>
        <v>giftcodesbanner/燕雲十六聲-禮包碼.jpg</v>
      </c>
      <c r="D330" s="51" t="str">
        <f t="shared" si="15"/>
        <v>https://www.ssbuy.tw/gift-codes.html?game=燕雲十六聲</v>
      </c>
      <c r="E330" s="91"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2" t="s">
        <v>6055</v>
      </c>
      <c r="G330" s="51" t="s">
        <v>6056</v>
      </c>
      <c r="H330" s="51" t="s">
        <v>6057</v>
      </c>
      <c r="I330" s="51"/>
      <c r="J330" s="91"/>
      <c r="K330" s="100" t="s">
        <v>5495</v>
      </c>
      <c r="L330" s="51" t="s">
        <v>5496</v>
      </c>
      <c r="M330" s="53" t="s">
        <v>6058</v>
      </c>
      <c r="N330" s="54" t="s">
        <v>6271</v>
      </c>
      <c r="O330" s="53" t="s">
        <v>6059</v>
      </c>
      <c r="P330" s="54" t="s">
        <v>6270</v>
      </c>
      <c r="Q330" s="53" t="s">
        <v>6060</v>
      </c>
      <c r="R330" s="54" t="s">
        <v>6272</v>
      </c>
      <c r="S330" s="53" t="s">
        <v>6061</v>
      </c>
      <c r="T330" s="54" t="s">
        <v>6062</v>
      </c>
      <c r="U330" s="53" t="s">
        <v>6063</v>
      </c>
      <c r="V330" s="54" t="s">
        <v>6273</v>
      </c>
      <c r="W330" s="53" t="s">
        <v>6064</v>
      </c>
      <c r="X330" s="54"/>
      <c r="Y330" s="53" t="s">
        <v>6065</v>
      </c>
      <c r="Z330" s="54" t="s">
        <v>6066</v>
      </c>
      <c r="AA330" s="53"/>
      <c r="AB330" s="54"/>
      <c r="AC330" s="53"/>
      <c r="AD330" s="54"/>
      <c r="AE330" s="53"/>
      <c r="AF330" s="54"/>
      <c r="AG330" s="53"/>
      <c r="AH330" s="54"/>
      <c r="AI330" s="53"/>
      <c r="AJ330" s="54"/>
      <c r="AK330" s="53"/>
      <c r="AL330" s="54"/>
      <c r="AM330" s="53"/>
      <c r="AN330" s="54"/>
      <c r="AO330" s="53"/>
      <c r="AP330" s="54"/>
      <c r="AQ330" s="53"/>
      <c r="AR330" s="54"/>
      <c r="AS330" s="53"/>
      <c r="AT330" s="54"/>
      <c r="AU330" s="53"/>
      <c r="AV330" s="54"/>
      <c r="AW330" s="53"/>
      <c r="AX330" s="54"/>
      <c r="AY330" s="53"/>
      <c r="AZ330" s="54"/>
      <c r="BA330" s="53"/>
      <c r="BB330" s="51"/>
      <c r="BC330" s="53"/>
      <c r="BD330" s="51"/>
      <c r="BE330" s="53"/>
      <c r="BF330" s="51"/>
      <c r="BG330" s="53"/>
      <c r="BH330" s="51"/>
      <c r="BI330" s="53"/>
      <c r="BJ330" s="51"/>
      <c r="BK330" s="53"/>
      <c r="BL330" s="51"/>
      <c r="BM330" s="53"/>
      <c r="BN330" s="51"/>
      <c r="BO330" s="53"/>
      <c r="BP330" s="51"/>
      <c r="BQ330" s="53"/>
      <c r="BR330" s="55"/>
    </row>
    <row r="331" spans="1:70" ht="28.5" customHeight="1">
      <c r="A331" s="67" t="str">
        <f>IF(games!A331="", "", games!A331)</f>
        <v>99強化木棒</v>
      </c>
      <c r="B331" s="51"/>
      <c r="C331" s="51" t="str">
        <f t="shared" si="14"/>
        <v>giftcodesbanner/99強化木棒-禮包碼.jpg</v>
      </c>
      <c r="D331" s="51" t="str">
        <f t="shared" si="15"/>
        <v>https://www.ssbuy.tw/gift-codes.html?game=99強化木棒</v>
      </c>
      <c r="E331" s="91"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2" t="s">
        <v>6315</v>
      </c>
      <c r="G331" s="51" t="s">
        <v>6316</v>
      </c>
      <c r="H331" s="51"/>
      <c r="I331" s="51"/>
      <c r="J331" s="91"/>
      <c r="K331" s="100" t="s">
        <v>5495</v>
      </c>
      <c r="L331" s="51" t="s">
        <v>5496</v>
      </c>
      <c r="M331" s="53" t="s">
        <v>6317</v>
      </c>
      <c r="N331" s="54"/>
      <c r="O331" s="53" t="s">
        <v>6318</v>
      </c>
      <c r="P331" s="54"/>
      <c r="Q331" s="53" t="s">
        <v>6319</v>
      </c>
      <c r="R331" s="54"/>
      <c r="S331" s="53" t="s">
        <v>6320</v>
      </c>
      <c r="T331" s="54"/>
      <c r="U331" s="53"/>
      <c r="V331" s="54"/>
      <c r="W331" s="53"/>
      <c r="X331" s="54"/>
      <c r="Y331" s="53"/>
      <c r="Z331" s="54"/>
      <c r="AA331" s="53"/>
      <c r="AB331" s="54"/>
      <c r="AC331" s="53"/>
      <c r="AD331" s="54"/>
      <c r="AE331" s="53"/>
      <c r="AF331" s="54"/>
      <c r="AG331" s="53"/>
      <c r="AH331" s="54"/>
      <c r="AI331" s="53"/>
      <c r="AJ331" s="54"/>
      <c r="AK331" s="53"/>
      <c r="AL331" s="54"/>
      <c r="AM331" s="53"/>
      <c r="AN331" s="54"/>
      <c r="AO331" s="53"/>
      <c r="AP331" s="54"/>
      <c r="AQ331" s="53"/>
      <c r="AR331" s="54"/>
      <c r="AS331" s="53"/>
      <c r="AT331" s="54"/>
      <c r="AU331" s="53"/>
      <c r="AV331" s="54"/>
      <c r="AW331" s="53"/>
      <c r="AX331" s="54"/>
      <c r="AY331" s="53"/>
      <c r="AZ331" s="54"/>
      <c r="BA331" s="53"/>
      <c r="BB331" s="51"/>
      <c r="BC331" s="53"/>
      <c r="BD331" s="51"/>
      <c r="BE331" s="53"/>
      <c r="BF331" s="51"/>
      <c r="BG331" s="53"/>
      <c r="BH331" s="51"/>
      <c r="BI331" s="53"/>
      <c r="BJ331" s="51"/>
      <c r="BK331" s="53"/>
      <c r="BL331" s="51"/>
      <c r="BM331" s="53"/>
      <c r="BN331" s="51"/>
      <c r="BO331" s="53"/>
      <c r="BP331" s="51"/>
      <c r="BQ331" s="53"/>
      <c r="BR331" s="55"/>
    </row>
    <row r="332" spans="1:70" ht="28.5" customHeight="1">
      <c r="A332" s="67" t="str">
        <f>IF(games!A332="", "", games!A332)</f>
        <v>天龍八部榮耀版</v>
      </c>
      <c r="B332" s="51"/>
      <c r="C332" s="51" t="str">
        <f t="shared" si="14"/>
        <v>giftcodesbanner/天龍八部榮耀版-禮包碼.jpg</v>
      </c>
      <c r="D332" s="51" t="str">
        <f t="shared" si="15"/>
        <v>https://www.ssbuy.tw/gift-codes.html?game=天龍八部榮耀版</v>
      </c>
      <c r="E332" s="91"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2" t="s">
        <v>6321</v>
      </c>
      <c r="G332" s="51" t="s">
        <v>6322</v>
      </c>
      <c r="H332" s="51" t="s">
        <v>6246</v>
      </c>
      <c r="I332" s="51"/>
      <c r="J332" s="91"/>
      <c r="K332" s="100" t="s">
        <v>5495</v>
      </c>
      <c r="L332" s="51" t="s">
        <v>5496</v>
      </c>
      <c r="M332" s="53" t="s">
        <v>6106</v>
      </c>
      <c r="N332" s="54" t="s">
        <v>6323</v>
      </c>
      <c r="O332" s="53" t="s">
        <v>6107</v>
      </c>
      <c r="P332" s="54" t="s">
        <v>6324</v>
      </c>
      <c r="Q332" s="53" t="s">
        <v>6108</v>
      </c>
      <c r="R332" s="54" t="s">
        <v>6325</v>
      </c>
      <c r="S332" s="53" t="s">
        <v>6109</v>
      </c>
      <c r="T332" s="54" t="s">
        <v>6326</v>
      </c>
      <c r="U332" s="53" t="s">
        <v>6110</v>
      </c>
      <c r="V332" s="54" t="s">
        <v>6327</v>
      </c>
      <c r="W332" s="53" t="s">
        <v>6111</v>
      </c>
      <c r="X332" s="54" t="s">
        <v>6328</v>
      </c>
      <c r="Y332" s="53" t="s">
        <v>6112</v>
      </c>
      <c r="Z332" s="54" t="s">
        <v>6329</v>
      </c>
      <c r="AA332" s="53" t="s">
        <v>6250</v>
      </c>
      <c r="AB332" s="54"/>
      <c r="AC332" s="53"/>
      <c r="AD332" s="54"/>
      <c r="AE332" s="53"/>
      <c r="AF332" s="54"/>
      <c r="AG332" s="53"/>
      <c r="AH332" s="54"/>
      <c r="AI332" s="53"/>
      <c r="AJ332" s="54"/>
      <c r="AK332" s="53"/>
      <c r="AL332" s="54"/>
      <c r="AM332" s="53"/>
      <c r="AN332" s="54"/>
      <c r="AO332" s="53"/>
      <c r="AP332" s="54"/>
      <c r="AQ332" s="53"/>
      <c r="AR332" s="54"/>
      <c r="AS332" s="53"/>
      <c r="AT332" s="54"/>
      <c r="AU332" s="53"/>
      <c r="AV332" s="54"/>
      <c r="AW332" s="53"/>
      <c r="AX332" s="54"/>
      <c r="AY332" s="53"/>
      <c r="AZ332" s="54"/>
      <c r="BA332" s="53"/>
      <c r="BB332" s="51"/>
      <c r="BC332" s="53"/>
      <c r="BD332" s="51"/>
      <c r="BE332" s="53"/>
      <c r="BF332" s="51"/>
      <c r="BG332" s="53"/>
      <c r="BH332" s="51"/>
      <c r="BI332" s="53"/>
      <c r="BJ332" s="51"/>
      <c r="BK332" s="53"/>
      <c r="BL332" s="51"/>
      <c r="BM332" s="53"/>
      <c r="BN332" s="51"/>
      <c r="BO332" s="53"/>
      <c r="BP332" s="51"/>
      <c r="BQ332" s="53"/>
      <c r="BR332" s="55"/>
    </row>
    <row r="333" spans="1:70" ht="28.5" customHeight="1">
      <c r="A333" s="67" t="str">
        <f>IF(games!A333="", "", games!A333)</f>
        <v>SD鋼彈 G世代 永恆</v>
      </c>
      <c r="B333" s="51"/>
      <c r="C333" s="51" t="str">
        <f t="shared" si="14"/>
        <v>giftcodesbanner/SD鋼彈 G世代 永恆-禮包碼.jpg</v>
      </c>
      <c r="D333" s="51" t="str">
        <f t="shared" si="15"/>
        <v>https://www.ssbuy.tw/gift-codes.html?game=SD鋼彈 G世代 永恆</v>
      </c>
      <c r="E333" s="91"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2" t="s">
        <v>5232</v>
      </c>
      <c r="G333" s="82" t="s">
        <v>6125</v>
      </c>
      <c r="H333" s="51"/>
      <c r="I333" s="51"/>
      <c r="J333" s="91"/>
      <c r="K333" s="100" t="s">
        <v>5495</v>
      </c>
      <c r="L333" s="51" t="s">
        <v>5496</v>
      </c>
      <c r="M333" s="53" t="s">
        <v>6126</v>
      </c>
      <c r="N333" s="54" t="s">
        <v>6142</v>
      </c>
      <c r="O333" s="53" t="s">
        <v>6127</v>
      </c>
      <c r="P333" s="54" t="s">
        <v>6142</v>
      </c>
      <c r="Q333" s="53" t="s">
        <v>6128</v>
      </c>
      <c r="R333" s="54" t="s">
        <v>6142</v>
      </c>
      <c r="S333" s="53" t="s">
        <v>6129</v>
      </c>
      <c r="T333" s="54" t="s">
        <v>6142</v>
      </c>
      <c r="U333" s="53" t="s">
        <v>6130</v>
      </c>
      <c r="V333" s="54" t="s">
        <v>6142</v>
      </c>
      <c r="W333" s="53" t="s">
        <v>6131</v>
      </c>
      <c r="X333" s="54" t="s">
        <v>6143</v>
      </c>
      <c r="Y333" s="53" t="s">
        <v>6132</v>
      </c>
      <c r="Z333" s="54" t="s">
        <v>6144</v>
      </c>
      <c r="AA333" s="53" t="s">
        <v>6133</v>
      </c>
      <c r="AB333" s="54" t="s">
        <v>6144</v>
      </c>
      <c r="AC333" s="53" t="s">
        <v>6134</v>
      </c>
      <c r="AD333" s="54" t="s">
        <v>6144</v>
      </c>
      <c r="AE333" s="53" t="s">
        <v>6135</v>
      </c>
      <c r="AF333" s="54" t="s">
        <v>6149</v>
      </c>
      <c r="AG333" s="53" t="s">
        <v>6136</v>
      </c>
      <c r="AH333" s="54" t="s">
        <v>6145</v>
      </c>
      <c r="AI333" s="53" t="s">
        <v>6137</v>
      </c>
      <c r="AJ333" s="54" t="s">
        <v>6146</v>
      </c>
      <c r="AK333" s="53" t="s">
        <v>6138</v>
      </c>
      <c r="AL333" s="54" t="s">
        <v>6147</v>
      </c>
      <c r="AM333" s="53" t="s">
        <v>6139</v>
      </c>
      <c r="AN333" s="54" t="s">
        <v>6148</v>
      </c>
      <c r="AO333" s="53" t="s">
        <v>6140</v>
      </c>
      <c r="AP333" s="54"/>
      <c r="AQ333" s="53" t="s">
        <v>6141</v>
      </c>
      <c r="AR333" s="54"/>
      <c r="AS333" s="53"/>
      <c r="AT333" s="54"/>
      <c r="AU333" s="53"/>
      <c r="AV333" s="54"/>
      <c r="AW333" s="53"/>
      <c r="AX333" s="54"/>
      <c r="AY333" s="53"/>
      <c r="AZ333" s="54"/>
      <c r="BA333" s="53"/>
      <c r="BB333" s="51"/>
      <c r="BC333" s="53"/>
      <c r="BD333" s="51"/>
      <c r="BE333" s="53"/>
      <c r="BF333" s="51"/>
      <c r="BG333" s="53"/>
      <c r="BH333" s="51"/>
      <c r="BI333" s="53"/>
      <c r="BJ333" s="51"/>
      <c r="BK333" s="53"/>
      <c r="BL333" s="51"/>
      <c r="BM333" s="53"/>
      <c r="BN333" s="51"/>
      <c r="BO333" s="53"/>
      <c r="BP333" s="51"/>
      <c r="BQ333" s="53"/>
      <c r="BR333" s="55"/>
    </row>
    <row r="334" spans="1:70" ht="28.5" customHeight="1">
      <c r="A334" s="67" t="str">
        <f>IF(games!A334="", "", games!A334)</f>
        <v>純被動大師：放置型養成</v>
      </c>
      <c r="B334" s="51"/>
      <c r="C334" s="51" t="str">
        <f t="shared" si="14"/>
        <v>giftcodesbanner/純被動大師：放置型養成-禮包碼.jpg</v>
      </c>
      <c r="D334" s="51" t="str">
        <f t="shared" si="15"/>
        <v>https://www.ssbuy.tw/gift-codes.html?game=純被動大師：放置型養成</v>
      </c>
      <c r="E334" s="91"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2" t="s">
        <v>5232</v>
      </c>
      <c r="G334" s="51"/>
      <c r="H334" s="51"/>
      <c r="I334" s="51"/>
      <c r="J334" s="91"/>
      <c r="K334" s="100" t="s">
        <v>5495</v>
      </c>
      <c r="L334" s="51" t="s">
        <v>5496</v>
      </c>
      <c r="M334" s="53"/>
      <c r="N334" s="54"/>
      <c r="O334" s="53"/>
      <c r="P334" s="54"/>
      <c r="Q334" s="53"/>
      <c r="R334" s="54"/>
      <c r="S334" s="53"/>
      <c r="T334" s="54"/>
      <c r="U334" s="53"/>
      <c r="V334" s="54"/>
      <c r="W334" s="53"/>
      <c r="X334" s="54"/>
      <c r="Y334" s="53"/>
      <c r="Z334" s="54"/>
      <c r="AA334" s="53"/>
      <c r="AB334" s="54"/>
      <c r="AC334" s="53"/>
      <c r="AD334" s="54"/>
      <c r="AE334" s="53"/>
      <c r="AF334" s="54"/>
      <c r="AG334" s="53"/>
      <c r="AH334" s="54"/>
      <c r="AI334" s="53"/>
      <c r="AJ334" s="54"/>
      <c r="AK334" s="53"/>
      <c r="AL334" s="54"/>
      <c r="AM334" s="53"/>
      <c r="AN334" s="54"/>
      <c r="AO334" s="53"/>
      <c r="AP334" s="54"/>
      <c r="AQ334" s="53"/>
      <c r="AR334" s="54"/>
      <c r="AS334" s="53"/>
      <c r="AT334" s="54"/>
      <c r="AU334" s="53"/>
      <c r="AV334" s="54"/>
      <c r="AW334" s="53"/>
      <c r="AX334" s="54"/>
      <c r="AY334" s="53"/>
      <c r="AZ334" s="54"/>
      <c r="BA334" s="53"/>
      <c r="BB334" s="51"/>
      <c r="BC334" s="53"/>
      <c r="BD334" s="51"/>
      <c r="BE334" s="53"/>
      <c r="BF334" s="51"/>
      <c r="BG334" s="53"/>
      <c r="BH334" s="51"/>
      <c r="BI334" s="53"/>
      <c r="BJ334" s="51"/>
      <c r="BK334" s="53"/>
      <c r="BL334" s="51"/>
      <c r="BM334" s="53"/>
      <c r="BN334" s="51"/>
      <c r="BO334" s="53"/>
      <c r="BP334" s="51"/>
      <c r="BQ334" s="53"/>
      <c r="BR334" s="55"/>
    </row>
    <row r="335" spans="1:70" ht="28.5" customHeight="1">
      <c r="A335" s="67" t="str">
        <f>IF(games!A335="", "", games!A335)</f>
        <v>超次元三國</v>
      </c>
      <c r="B335" s="51"/>
      <c r="C335" s="51" t="str">
        <f t="shared" si="14"/>
        <v>giftcodesbanner/超次元三國-禮包碼.jpg</v>
      </c>
      <c r="D335" s="51" t="str">
        <f t="shared" si="15"/>
        <v>https://www.ssbuy.tw/gift-codes.html?game=超次元三國</v>
      </c>
      <c r="E335" s="91"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2" t="s">
        <v>6330</v>
      </c>
      <c r="G335" s="51" t="s">
        <v>6331</v>
      </c>
      <c r="H335" s="51" t="s">
        <v>6332</v>
      </c>
      <c r="I335" s="51" t="s">
        <v>6246</v>
      </c>
      <c r="J335" s="91"/>
      <c r="K335" s="100" t="s">
        <v>5495</v>
      </c>
      <c r="L335" s="51" t="s">
        <v>5496</v>
      </c>
      <c r="M335" s="53" t="s">
        <v>6284</v>
      </c>
      <c r="N335" s="54"/>
      <c r="O335" s="53" t="s">
        <v>6285</v>
      </c>
      <c r="P335" s="54"/>
      <c r="Q335" s="53" t="s">
        <v>6286</v>
      </c>
      <c r="R335" s="54"/>
      <c r="S335" s="53" t="s">
        <v>6287</v>
      </c>
      <c r="T335" s="54"/>
      <c r="U335" s="53" t="s">
        <v>6288</v>
      </c>
      <c r="V335" s="54"/>
      <c r="W335" s="53" t="s">
        <v>6289</v>
      </c>
      <c r="X335" s="54"/>
      <c r="Y335" s="53" t="s">
        <v>6290</v>
      </c>
      <c r="Z335" s="54"/>
      <c r="AA335" s="53" t="s">
        <v>6291</v>
      </c>
      <c r="AB335" s="54"/>
      <c r="AC335" s="53"/>
      <c r="AD335" s="54"/>
      <c r="AE335" s="53"/>
      <c r="AF335" s="54"/>
      <c r="AG335" s="53"/>
      <c r="AH335" s="54"/>
      <c r="AI335" s="53"/>
      <c r="AJ335" s="54"/>
      <c r="AK335" s="53"/>
      <c r="AL335" s="54"/>
      <c r="AM335" s="53"/>
      <c r="AN335" s="54"/>
      <c r="AO335" s="53"/>
      <c r="AP335" s="54"/>
      <c r="AQ335" s="53"/>
      <c r="AR335" s="54"/>
      <c r="AS335" s="53"/>
      <c r="AT335" s="54"/>
      <c r="AU335" s="53"/>
      <c r="AV335" s="54"/>
      <c r="AW335" s="53"/>
      <c r="AX335" s="54"/>
      <c r="AY335" s="53"/>
      <c r="AZ335" s="54"/>
      <c r="BA335" s="53"/>
      <c r="BB335" s="51"/>
      <c r="BC335" s="53"/>
      <c r="BD335" s="51"/>
      <c r="BE335" s="53"/>
      <c r="BF335" s="51"/>
      <c r="BG335" s="53"/>
      <c r="BH335" s="51"/>
      <c r="BI335" s="53"/>
      <c r="BJ335" s="51"/>
      <c r="BK335" s="53"/>
      <c r="BL335" s="51"/>
      <c r="BM335" s="53"/>
      <c r="BN335" s="51"/>
      <c r="BO335" s="53"/>
      <c r="BP335" s="51"/>
      <c r="BQ335" s="53"/>
      <c r="BR335" s="55"/>
    </row>
    <row r="336" spans="1:70" ht="28.5" customHeight="1">
      <c r="A336" s="67" t="str">
        <f>IF(games!A336="", "", games!A336)</f>
        <v>poker fate</v>
      </c>
      <c r="B336" s="51"/>
      <c r="C336" s="51" t="str">
        <f t="shared" si="14"/>
        <v>giftcodesbanner/poker fate-禮包碼.jpg</v>
      </c>
      <c r="D336" s="51" t="str">
        <f t="shared" si="15"/>
        <v>https://www.ssbuy.tw/gift-codes.html?game=poker fate</v>
      </c>
      <c r="E336" s="91"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2" t="s">
        <v>5232</v>
      </c>
      <c r="G336" s="51"/>
      <c r="H336" s="51"/>
      <c r="I336" s="51"/>
      <c r="J336" s="91"/>
      <c r="K336" s="100" t="s">
        <v>5495</v>
      </c>
      <c r="L336" s="51" t="s">
        <v>5496</v>
      </c>
      <c r="M336" s="53"/>
      <c r="N336" s="54"/>
      <c r="O336" s="53"/>
      <c r="P336" s="54"/>
      <c r="Q336" s="53"/>
      <c r="R336" s="54"/>
      <c r="S336" s="53"/>
      <c r="T336" s="54"/>
      <c r="U336" s="53"/>
      <c r="V336" s="54"/>
      <c r="W336" s="53"/>
      <c r="X336" s="54"/>
      <c r="Y336" s="53"/>
      <c r="Z336" s="54"/>
      <c r="AA336" s="53"/>
      <c r="AB336" s="54"/>
      <c r="AC336" s="53"/>
      <c r="AD336" s="54"/>
      <c r="AE336" s="53"/>
      <c r="AF336" s="54"/>
      <c r="AG336" s="53"/>
      <c r="AH336" s="54"/>
      <c r="AI336" s="53"/>
      <c r="AJ336" s="54"/>
      <c r="AK336" s="53"/>
      <c r="AL336" s="54"/>
      <c r="AM336" s="53"/>
      <c r="AN336" s="54"/>
      <c r="AO336" s="53"/>
      <c r="AP336" s="54"/>
      <c r="AQ336" s="53"/>
      <c r="AR336" s="54"/>
      <c r="AS336" s="53"/>
      <c r="AT336" s="54"/>
      <c r="AU336" s="53"/>
      <c r="AV336" s="54"/>
      <c r="AW336" s="53"/>
      <c r="AX336" s="54"/>
      <c r="AY336" s="53"/>
      <c r="AZ336" s="54"/>
      <c r="BA336" s="53"/>
      <c r="BB336" s="51"/>
      <c r="BC336" s="53"/>
      <c r="BD336" s="51"/>
      <c r="BE336" s="53"/>
      <c r="BF336" s="51"/>
      <c r="BG336" s="53"/>
      <c r="BH336" s="51"/>
      <c r="BI336" s="53"/>
      <c r="BJ336" s="51"/>
      <c r="BK336" s="53"/>
      <c r="BL336" s="51"/>
      <c r="BM336" s="53"/>
      <c r="BN336" s="51"/>
      <c r="BO336" s="53"/>
      <c r="BP336" s="51"/>
      <c r="BQ336" s="53"/>
      <c r="BR336" s="55"/>
    </row>
    <row r="337" spans="1:70" ht="28.5" customHeight="1">
      <c r="A337" s="67" t="str">
        <f>IF(games!A337="", "", games!A337)</f>
        <v>時空心語</v>
      </c>
      <c r="B337" s="51"/>
      <c r="C337" s="51" t="str">
        <f t="shared" si="14"/>
        <v>giftcodesbanner/時空心語-禮包碼.jpg</v>
      </c>
      <c r="D337" s="51" t="str">
        <f t="shared" si="15"/>
        <v>https://www.ssbuy.tw/gift-codes.html?game=時空心語</v>
      </c>
      <c r="E337" s="91"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2" t="s">
        <v>6243</v>
      </c>
      <c r="G337" s="51" t="s">
        <v>6244</v>
      </c>
      <c r="H337" s="51" t="s">
        <v>6246</v>
      </c>
      <c r="I337" s="51"/>
      <c r="J337" s="91"/>
      <c r="K337" s="100" t="s">
        <v>5495</v>
      </c>
      <c r="L337" s="51" t="s">
        <v>5496</v>
      </c>
      <c r="M337" s="53" t="s">
        <v>6247</v>
      </c>
      <c r="N337" s="54"/>
      <c r="O337" s="53" t="s">
        <v>6248</v>
      </c>
      <c r="P337" s="54"/>
      <c r="Q337" s="53" t="s">
        <v>6249</v>
      </c>
      <c r="R337" s="54"/>
      <c r="S337" s="53"/>
      <c r="T337" s="54"/>
      <c r="U337" s="53"/>
      <c r="V337" s="54"/>
      <c r="W337" s="53"/>
      <c r="X337" s="54"/>
      <c r="Y337" s="53"/>
      <c r="Z337" s="54"/>
      <c r="AA337" s="53"/>
      <c r="AB337" s="54"/>
      <c r="AC337" s="53"/>
      <c r="AD337" s="54"/>
      <c r="AE337" s="53"/>
      <c r="AF337" s="54"/>
      <c r="AG337" s="53"/>
      <c r="AH337" s="54"/>
      <c r="AI337" s="53"/>
      <c r="AJ337" s="54"/>
      <c r="AK337" s="53"/>
      <c r="AL337" s="54"/>
      <c r="AM337" s="53"/>
      <c r="AN337" s="54"/>
      <c r="AO337" s="53"/>
      <c r="AP337" s="54"/>
      <c r="AQ337" s="53"/>
      <c r="AR337" s="54"/>
      <c r="AS337" s="53"/>
      <c r="AT337" s="54"/>
      <c r="AU337" s="53"/>
      <c r="AV337" s="54"/>
      <c r="AW337" s="53"/>
      <c r="AX337" s="54"/>
      <c r="AY337" s="53"/>
      <c r="AZ337" s="54"/>
      <c r="BA337" s="53"/>
      <c r="BB337" s="51"/>
      <c r="BC337" s="53"/>
      <c r="BD337" s="51"/>
      <c r="BE337" s="53"/>
      <c r="BF337" s="51"/>
      <c r="BG337" s="53"/>
      <c r="BH337" s="51"/>
      <c r="BI337" s="53"/>
      <c r="BJ337" s="51"/>
      <c r="BK337" s="53"/>
      <c r="BL337" s="51"/>
      <c r="BM337" s="53"/>
      <c r="BN337" s="51"/>
      <c r="BO337" s="53"/>
      <c r="BP337" s="51"/>
      <c r="BQ337" s="53"/>
      <c r="BR337" s="55"/>
    </row>
    <row r="338" spans="1:70" ht="28.5" customHeight="1">
      <c r="A338" s="67" t="str">
        <f>IF(games!A338="", "", games!A338)</f>
        <v>Archeland Re：阿契蘭</v>
      </c>
      <c r="B338" s="51"/>
      <c r="C338" s="51" t="str">
        <f t="shared" si="14"/>
        <v>giftcodesbanner/Archeland Re：阿契蘭-禮包碼.jpg</v>
      </c>
      <c r="D338" s="51" t="str">
        <f t="shared" si="15"/>
        <v>https://www.ssbuy.tw/gift-codes.html?game=Archeland Re：阿契蘭</v>
      </c>
      <c r="E338" s="91"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2" t="s">
        <v>5232</v>
      </c>
      <c r="G338" s="51"/>
      <c r="H338" s="51"/>
      <c r="I338" s="51"/>
      <c r="J338" s="91"/>
      <c r="K338" s="100" t="s">
        <v>5495</v>
      </c>
      <c r="L338" s="51" t="s">
        <v>5496</v>
      </c>
      <c r="M338" s="53"/>
      <c r="N338" s="54"/>
      <c r="O338" s="53"/>
      <c r="P338" s="54"/>
      <c r="Q338" s="53"/>
      <c r="R338" s="54"/>
      <c r="S338" s="53"/>
      <c r="T338" s="54"/>
      <c r="U338" s="53"/>
      <c r="V338" s="54"/>
      <c r="W338" s="53"/>
      <c r="X338" s="54"/>
      <c r="Y338" s="53"/>
      <c r="Z338" s="54"/>
      <c r="AA338" s="53"/>
      <c r="AB338" s="54"/>
      <c r="AC338" s="53"/>
      <c r="AD338" s="54"/>
      <c r="AE338" s="53"/>
      <c r="AF338" s="54"/>
      <c r="AG338" s="53"/>
      <c r="AH338" s="54"/>
      <c r="AI338" s="53"/>
      <c r="AJ338" s="54"/>
      <c r="AK338" s="53"/>
      <c r="AL338" s="54"/>
      <c r="AM338" s="53"/>
      <c r="AN338" s="54"/>
      <c r="AO338" s="53"/>
      <c r="AP338" s="54"/>
      <c r="AQ338" s="53"/>
      <c r="AR338" s="54"/>
      <c r="AS338" s="53"/>
      <c r="AT338" s="54"/>
      <c r="AU338" s="53"/>
      <c r="AV338" s="54"/>
      <c r="AW338" s="53"/>
      <c r="AX338" s="54"/>
      <c r="AY338" s="53"/>
      <c r="AZ338" s="54"/>
      <c r="BA338" s="53"/>
      <c r="BB338" s="51"/>
      <c r="BC338" s="53"/>
      <c r="BD338" s="51"/>
      <c r="BE338" s="53"/>
      <c r="BF338" s="51"/>
      <c r="BG338" s="53"/>
      <c r="BH338" s="51"/>
      <c r="BI338" s="53"/>
      <c r="BJ338" s="51"/>
      <c r="BK338" s="53"/>
      <c r="BL338" s="51"/>
      <c r="BM338" s="53"/>
      <c r="BN338" s="51"/>
      <c r="BO338" s="53"/>
      <c r="BP338" s="51"/>
      <c r="BQ338" s="53"/>
      <c r="BR338" s="55"/>
    </row>
    <row r="339" spans="1:70" ht="28.5" customHeight="1">
      <c r="A339" s="67" t="str">
        <f>IF(games!A339="", "", games!A339)</f>
        <v>幻獸寶貝</v>
      </c>
      <c r="B339" s="51"/>
      <c r="C339" s="51" t="str">
        <f t="shared" si="14"/>
        <v>giftcodesbanner/幻獸寶貝-禮包碼.jpg</v>
      </c>
      <c r="D339" s="51" t="str">
        <f t="shared" si="15"/>
        <v>https://www.ssbuy.tw/gift-codes.html?game=幻獸寶貝</v>
      </c>
      <c r="E339" s="91"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07" t="s">
        <v>6370</v>
      </c>
      <c r="G339" s="51" t="s">
        <v>6371</v>
      </c>
      <c r="H339" s="51" t="s">
        <v>6372</v>
      </c>
      <c r="I339" s="51" t="s">
        <v>6246</v>
      </c>
      <c r="J339" s="91"/>
      <c r="K339" s="100" t="s">
        <v>5495</v>
      </c>
      <c r="L339" s="51" t="s">
        <v>5496</v>
      </c>
      <c r="M339" s="53" t="s">
        <v>6256</v>
      </c>
      <c r="N339" s="54" t="s">
        <v>6257</v>
      </c>
      <c r="O339" s="53" t="s">
        <v>6267</v>
      </c>
      <c r="P339" s="54" t="s">
        <v>6357</v>
      </c>
      <c r="Q339" s="53" t="s">
        <v>6268</v>
      </c>
      <c r="R339" s="54" t="s">
        <v>6358</v>
      </c>
      <c r="S339" s="53" t="s">
        <v>1933</v>
      </c>
      <c r="T339" s="54" t="s">
        <v>6359</v>
      </c>
      <c r="U339" s="53" t="s">
        <v>6269</v>
      </c>
      <c r="V339" s="54" t="s">
        <v>6360</v>
      </c>
      <c r="W339" s="53">
        <v>777</v>
      </c>
      <c r="X339" s="54" t="s">
        <v>6360</v>
      </c>
      <c r="Y339" s="53">
        <v>999</v>
      </c>
      <c r="Z339" s="54" t="s">
        <v>6358</v>
      </c>
      <c r="AA339" s="53" t="s">
        <v>6346</v>
      </c>
      <c r="AB339" s="54" t="s">
        <v>6361</v>
      </c>
      <c r="AC339" s="53"/>
      <c r="AD339" s="54"/>
      <c r="AE339" s="53"/>
      <c r="AF339" s="54"/>
      <c r="AG339" s="53"/>
      <c r="AH339" s="54"/>
      <c r="AI339" s="53"/>
      <c r="AJ339" s="54"/>
      <c r="AK339" s="53"/>
      <c r="AL339" s="54"/>
      <c r="AM339" s="53"/>
      <c r="AN339" s="54"/>
      <c r="AO339" s="53"/>
      <c r="AP339" s="54"/>
      <c r="AQ339" s="53"/>
      <c r="AR339" s="54"/>
      <c r="AS339" s="53"/>
      <c r="AT339" s="54"/>
      <c r="AU339" s="53"/>
      <c r="AV339" s="54"/>
      <c r="AW339" s="53"/>
      <c r="AX339" s="54"/>
      <c r="AY339" s="53"/>
      <c r="AZ339" s="54"/>
      <c r="BA339" s="53"/>
      <c r="BB339" s="51"/>
      <c r="BC339" s="53"/>
      <c r="BD339" s="51"/>
      <c r="BE339" s="53"/>
      <c r="BF339" s="51"/>
      <c r="BG339" s="53"/>
      <c r="BH339" s="51"/>
      <c r="BI339" s="53"/>
      <c r="BJ339" s="51"/>
      <c r="BK339" s="53"/>
      <c r="BL339" s="51"/>
      <c r="BM339" s="53"/>
      <c r="BN339" s="51"/>
      <c r="BO339" s="53"/>
      <c r="BP339" s="51"/>
      <c r="BQ339" s="53"/>
      <c r="BR339" s="55"/>
    </row>
    <row r="340" spans="1:70" ht="28.5" customHeight="1">
      <c r="A340" s="67" t="str">
        <f>IF(games!A340="", "", games!A340)</f>
        <v>齒輪束縛</v>
      </c>
      <c r="B340" s="51"/>
      <c r="C340" s="51" t="str">
        <f t="shared" si="14"/>
        <v>giftcodesbanner/齒輪束縛-禮包碼.jpg</v>
      </c>
      <c r="D340" s="51" t="str">
        <f t="shared" si="15"/>
        <v>https://www.ssbuy.tw/gift-codes.html?game=齒輪束縛</v>
      </c>
      <c r="E340" s="91"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2" t="s">
        <v>5232</v>
      </c>
      <c r="G340" s="51"/>
      <c r="H340" s="51"/>
      <c r="I340" s="51"/>
      <c r="J340" s="91"/>
      <c r="K340" s="100" t="s">
        <v>5495</v>
      </c>
      <c r="L340" s="51" t="s">
        <v>5496</v>
      </c>
      <c r="M340" s="53"/>
      <c r="N340" s="54"/>
      <c r="O340" s="53"/>
      <c r="P340" s="54"/>
      <c r="Q340" s="53"/>
      <c r="R340" s="54"/>
      <c r="S340" s="53"/>
      <c r="T340" s="54"/>
      <c r="U340" s="53"/>
      <c r="V340" s="54"/>
      <c r="W340" s="53"/>
      <c r="X340" s="54"/>
      <c r="Y340" s="53"/>
      <c r="Z340" s="54"/>
      <c r="AA340" s="53"/>
      <c r="AB340" s="54"/>
      <c r="AC340" s="53"/>
      <c r="AD340" s="54"/>
      <c r="AE340" s="53"/>
      <c r="AF340" s="54"/>
      <c r="AG340" s="53"/>
      <c r="AH340" s="54"/>
      <c r="AI340" s="53"/>
      <c r="AJ340" s="54"/>
      <c r="AK340" s="53"/>
      <c r="AL340" s="54"/>
      <c r="AM340" s="53"/>
      <c r="AN340" s="54"/>
      <c r="AO340" s="53"/>
      <c r="AP340" s="54"/>
      <c r="AQ340" s="53"/>
      <c r="AR340" s="54"/>
      <c r="AS340" s="53"/>
      <c r="AT340" s="54"/>
      <c r="AU340" s="53"/>
      <c r="AV340" s="54"/>
      <c r="AW340" s="53"/>
      <c r="AX340" s="54"/>
      <c r="AY340" s="53"/>
      <c r="AZ340" s="54"/>
      <c r="BA340" s="53"/>
      <c r="BB340" s="51"/>
      <c r="BC340" s="53"/>
      <c r="BD340" s="51"/>
      <c r="BE340" s="53"/>
      <c r="BF340" s="51"/>
      <c r="BG340" s="53"/>
      <c r="BH340" s="51"/>
      <c r="BI340" s="53"/>
      <c r="BJ340" s="51"/>
      <c r="BK340" s="53"/>
      <c r="BL340" s="51"/>
      <c r="BM340" s="53"/>
      <c r="BN340" s="51"/>
      <c r="BO340" s="53"/>
      <c r="BP340" s="51"/>
      <c r="BQ340" s="53"/>
      <c r="BR340" s="55"/>
    </row>
    <row r="341" spans="1:70" ht="28.5" customHeight="1">
      <c r="A341" s="67" t="str">
        <f>IF(games!A341="", "", games!A341)</f>
        <v>仙境傳說：怪獸廚房</v>
      </c>
      <c r="B341" s="51"/>
      <c r="C341" s="51" t="str">
        <f t="shared" si="14"/>
        <v>giftcodesbanner/仙境傳說：怪獸廚房-禮包碼.jpg</v>
      </c>
      <c r="D341" s="51" t="str">
        <f t="shared" si="15"/>
        <v>https://www.ssbuy.tw/gift-codes.html?game=仙境傳說：怪獸廚房</v>
      </c>
      <c r="E341" s="91"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07" t="s">
        <v>6305</v>
      </c>
      <c r="G341" s="51" t="s">
        <v>6306</v>
      </c>
      <c r="H341" s="51" t="s">
        <v>6246</v>
      </c>
      <c r="I341" s="51"/>
      <c r="J341" s="91"/>
      <c r="K341" s="100" t="s">
        <v>5495</v>
      </c>
      <c r="L341" s="51" t="s">
        <v>5496</v>
      </c>
      <c r="M341" s="53" t="s">
        <v>6307</v>
      </c>
      <c r="N341" s="54"/>
      <c r="O341" s="53"/>
      <c r="P341" s="54"/>
      <c r="Q341" s="53"/>
      <c r="R341" s="54"/>
      <c r="S341" s="53"/>
      <c r="T341" s="54"/>
      <c r="U341" s="53"/>
      <c r="V341" s="54"/>
      <c r="W341" s="53"/>
      <c r="X341" s="54"/>
      <c r="Y341" s="53"/>
      <c r="Z341" s="54"/>
      <c r="AA341" s="53"/>
      <c r="AB341" s="54"/>
      <c r="AC341" s="53"/>
      <c r="AD341" s="54"/>
      <c r="AE341" s="53"/>
      <c r="AF341" s="54"/>
      <c r="AG341" s="53"/>
      <c r="AH341" s="54"/>
      <c r="AI341" s="53"/>
      <c r="AJ341" s="54"/>
      <c r="AK341" s="53"/>
      <c r="AL341" s="54"/>
      <c r="AM341" s="53"/>
      <c r="AN341" s="54"/>
      <c r="AO341" s="53"/>
      <c r="AP341" s="54"/>
      <c r="AQ341" s="53"/>
      <c r="AR341" s="54"/>
      <c r="AS341" s="53"/>
      <c r="AT341" s="54"/>
      <c r="AU341" s="53"/>
      <c r="AV341" s="54"/>
      <c r="AW341" s="53"/>
      <c r="AX341" s="54"/>
      <c r="AY341" s="53"/>
      <c r="AZ341" s="54"/>
      <c r="BA341" s="53"/>
      <c r="BB341" s="51"/>
      <c r="BC341" s="53"/>
      <c r="BD341" s="51"/>
      <c r="BE341" s="53"/>
      <c r="BF341" s="51"/>
      <c r="BG341" s="53"/>
      <c r="BH341" s="51"/>
      <c r="BI341" s="53"/>
      <c r="BJ341" s="51"/>
      <c r="BK341" s="53"/>
      <c r="BL341" s="51"/>
      <c r="BM341" s="53"/>
      <c r="BN341" s="51"/>
      <c r="BO341" s="53"/>
      <c r="BP341" s="51"/>
      <c r="BQ341" s="53"/>
      <c r="BR341" s="55"/>
    </row>
    <row r="342" spans="1:70" ht="28.5" customHeight="1">
      <c r="A342" s="67" t="str">
        <f>IF(games!A342="", "", games!A342)</f>
        <v>掌心宮略</v>
      </c>
      <c r="B342" s="51"/>
      <c r="C342" s="51" t="str">
        <f t="shared" si="14"/>
        <v>giftcodesbanner/掌心宮略-禮包碼.jpg</v>
      </c>
      <c r="D342" s="51" t="str">
        <f t="shared" si="15"/>
        <v>https://www.ssbuy.tw/gift-codes.html?game=掌心宮略</v>
      </c>
      <c r="E342" s="91"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2" t="s">
        <v>6368</v>
      </c>
      <c r="G342" s="51" t="s">
        <v>6369</v>
      </c>
      <c r="H342" s="51" t="s">
        <v>6246</v>
      </c>
      <c r="I342" s="51"/>
      <c r="J342" s="91"/>
      <c r="K342" s="100" t="s">
        <v>5495</v>
      </c>
      <c r="L342" s="51" t="s">
        <v>5496</v>
      </c>
      <c r="M342" s="53" t="s">
        <v>6365</v>
      </c>
      <c r="N342" s="54" t="s">
        <v>6366</v>
      </c>
      <c r="O342" s="53"/>
      <c r="P342" s="54"/>
      <c r="Q342" s="53"/>
      <c r="R342" s="54"/>
      <c r="S342" s="53"/>
      <c r="T342" s="54"/>
      <c r="U342" s="53"/>
      <c r="V342" s="54"/>
      <c r="W342" s="53"/>
      <c r="X342" s="54"/>
      <c r="Y342" s="53"/>
      <c r="Z342" s="54"/>
      <c r="AA342" s="53"/>
      <c r="AB342" s="54"/>
      <c r="AC342" s="53"/>
      <c r="AD342" s="54"/>
      <c r="AE342" s="53"/>
      <c r="AF342" s="54"/>
      <c r="AG342" s="53"/>
      <c r="AH342" s="54"/>
      <c r="AI342" s="53"/>
      <c r="AJ342" s="54"/>
      <c r="AK342" s="53"/>
      <c r="AL342" s="54"/>
      <c r="AM342" s="54"/>
      <c r="AN342" s="54"/>
      <c r="AO342" s="53"/>
      <c r="AP342" s="54"/>
      <c r="AQ342" s="53"/>
      <c r="AR342" s="54"/>
      <c r="AS342" s="53"/>
      <c r="AT342" s="54"/>
      <c r="AU342" s="53"/>
      <c r="AV342" s="54"/>
      <c r="AW342" s="53"/>
      <c r="AX342" s="54"/>
      <c r="AY342" s="53"/>
      <c r="AZ342" s="54"/>
      <c r="BA342" s="53"/>
      <c r="BB342" s="51"/>
      <c r="BC342" s="53"/>
      <c r="BD342" s="51"/>
      <c r="BE342" s="53"/>
      <c r="BF342" s="51"/>
      <c r="BG342" s="53"/>
      <c r="BH342" s="51"/>
      <c r="BI342" s="53"/>
      <c r="BJ342" s="51"/>
      <c r="BK342" s="53"/>
      <c r="BL342" s="51"/>
      <c r="BM342" s="53"/>
      <c r="BN342" s="51"/>
      <c r="BO342" s="53"/>
      <c r="BP342" s="51"/>
      <c r="BQ342" s="53"/>
      <c r="BR342" s="55"/>
    </row>
    <row r="343" spans="1:70" ht="28.5" customHeight="1">
      <c r="A343" s="67" t="str">
        <f>IF(games!A343="", "", games!A343)</f>
        <v>God Breaker：弒神者</v>
      </c>
      <c r="B343" s="51"/>
      <c r="C343" s="51" t="str">
        <f t="shared" si="14"/>
        <v>giftcodesbanner/God Breaker：弒神者-禮包碼.jpg</v>
      </c>
      <c r="D343" s="51" t="str">
        <f t="shared" si="15"/>
        <v>https://www.ssbuy.tw/gift-codes.html?game=God Breaker：弒神者</v>
      </c>
      <c r="E343" s="91"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2" t="s">
        <v>6367</v>
      </c>
      <c r="G343" s="51"/>
      <c r="H343" s="51"/>
      <c r="I343" s="51"/>
      <c r="J343" s="91"/>
      <c r="K343" s="100" t="s">
        <v>5495</v>
      </c>
      <c r="L343" s="51" t="s">
        <v>5496</v>
      </c>
      <c r="M343" s="53"/>
      <c r="N343" s="54"/>
      <c r="O343" s="53"/>
      <c r="P343" s="54"/>
      <c r="Q343" s="53"/>
      <c r="R343" s="54"/>
      <c r="S343" s="53"/>
      <c r="T343" s="54"/>
      <c r="U343" s="53"/>
      <c r="V343" s="54"/>
      <c r="W343" s="53"/>
      <c r="X343" s="54"/>
      <c r="Y343" s="53"/>
      <c r="Z343" s="54"/>
      <c r="AA343" s="53"/>
      <c r="AB343" s="54"/>
      <c r="AC343" s="53"/>
      <c r="AD343" s="54"/>
      <c r="AE343" s="53"/>
      <c r="AF343" s="54"/>
      <c r="AG343" s="53"/>
      <c r="AH343" s="54"/>
      <c r="AI343" s="53"/>
      <c r="AJ343" s="54"/>
      <c r="AK343" s="53"/>
      <c r="AL343" s="54"/>
      <c r="AM343" s="53"/>
      <c r="AN343" s="54"/>
      <c r="AO343" s="53"/>
      <c r="AP343" s="54"/>
      <c r="AQ343" s="53"/>
      <c r="AR343" s="54"/>
      <c r="AS343" s="53"/>
      <c r="AT343" s="54"/>
      <c r="AU343" s="53"/>
      <c r="AV343" s="54"/>
      <c r="AW343" s="53"/>
      <c r="AX343" s="54"/>
      <c r="AY343" s="53"/>
      <c r="AZ343" s="54"/>
      <c r="BA343" s="53"/>
      <c r="BB343" s="51"/>
      <c r="BC343" s="53"/>
      <c r="BD343" s="51"/>
      <c r="BE343" s="53"/>
      <c r="BF343" s="51"/>
      <c r="BG343" s="53"/>
      <c r="BH343" s="51"/>
      <c r="BI343" s="53"/>
      <c r="BJ343" s="51"/>
      <c r="BK343" s="53"/>
      <c r="BL343" s="51"/>
      <c r="BM343" s="53"/>
      <c r="BN343" s="51"/>
      <c r="BO343" s="53"/>
      <c r="BP343" s="51"/>
      <c r="BQ343" s="53"/>
      <c r="BR343" s="55"/>
    </row>
    <row r="344" spans="1:70" ht="28.5" customHeight="1">
      <c r="A344" s="67" t="str">
        <f>IF(games!A344="", "", games!A344)</f>
        <v>美食手札</v>
      </c>
      <c r="B344" s="51"/>
      <c r="C344" s="51" t="str">
        <f t="shared" si="14"/>
        <v>giftcodesbanner/美食手札-禮包碼.jpg</v>
      </c>
      <c r="D344" s="51" t="str">
        <f t="shared" si="15"/>
        <v>https://www.ssbuy.tw/gift-codes.html?game=美食手札</v>
      </c>
      <c r="E344" s="91"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2" t="s">
        <v>5232</v>
      </c>
      <c r="G344" s="51"/>
      <c r="H344" s="51"/>
      <c r="I344" s="51"/>
      <c r="J344" s="91"/>
      <c r="K344" s="100" t="s">
        <v>6343</v>
      </c>
      <c r="L344" s="51" t="s">
        <v>5496</v>
      </c>
      <c r="M344" s="53"/>
      <c r="N344" s="54"/>
      <c r="O344" s="53"/>
      <c r="P344" s="54"/>
      <c r="Q344" s="53"/>
      <c r="R344" s="54"/>
      <c r="S344" s="53"/>
      <c r="T344" s="54"/>
      <c r="U344" s="53"/>
      <c r="V344" s="54"/>
      <c r="W344" s="53"/>
      <c r="X344" s="54"/>
      <c r="Y344" s="53"/>
      <c r="Z344" s="54"/>
      <c r="AA344" s="53"/>
      <c r="AB344" s="54"/>
      <c r="AC344" s="53"/>
      <c r="AD344" s="54"/>
      <c r="AE344" s="53"/>
      <c r="AF344" s="54"/>
      <c r="AG344" s="53"/>
      <c r="AH344" s="54"/>
      <c r="AI344" s="53"/>
      <c r="AJ344" s="54"/>
      <c r="AK344" s="53"/>
      <c r="AL344" s="54"/>
      <c r="AM344" s="53"/>
      <c r="AN344" s="54"/>
      <c r="AO344" s="53"/>
      <c r="AP344" s="54"/>
      <c r="AQ344" s="53"/>
      <c r="AR344" s="54"/>
      <c r="AS344" s="53"/>
      <c r="AT344" s="54"/>
      <c r="AU344" s="53"/>
      <c r="AV344" s="54"/>
      <c r="AW344" s="53"/>
      <c r="AX344" s="54"/>
      <c r="AY344" s="53"/>
      <c r="AZ344" s="54"/>
      <c r="BA344" s="53"/>
      <c r="BB344" s="51"/>
      <c r="BC344" s="53"/>
      <c r="BD344" s="51"/>
      <c r="BE344" s="53"/>
      <c r="BF344" s="51"/>
      <c r="BG344" s="53"/>
      <c r="BH344" s="51"/>
      <c r="BI344" s="53"/>
      <c r="BJ344" s="51"/>
      <c r="BK344" s="53"/>
      <c r="BL344" s="51"/>
      <c r="BM344" s="53"/>
      <c r="BN344" s="51"/>
      <c r="BO344" s="53"/>
      <c r="BP344" s="51"/>
      <c r="BQ344" s="53"/>
      <c r="BR344" s="55"/>
    </row>
    <row r="345" spans="1:70" ht="28.5" customHeight="1">
      <c r="A345" s="67" t="str">
        <f>IF(games!A345="", "", games!A345)</f>
        <v>超次元驅動</v>
      </c>
      <c r="B345" s="51"/>
      <c r="C345" s="51" t="str">
        <f t="shared" si="14"/>
        <v>giftcodesbanner/超次元驅動-禮包碼.jpg</v>
      </c>
      <c r="D345" s="51" t="str">
        <f t="shared" si="15"/>
        <v>https://www.ssbuy.tw/gift-codes.html?game=超次元驅動</v>
      </c>
      <c r="E345" s="91"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2" t="s">
        <v>5232</v>
      </c>
      <c r="G345" s="51"/>
      <c r="H345" s="51"/>
      <c r="I345" s="51"/>
      <c r="J345" s="91"/>
      <c r="K345" s="100" t="s">
        <v>6343</v>
      </c>
      <c r="L345" s="51" t="s">
        <v>5496</v>
      </c>
      <c r="M345" s="53"/>
      <c r="N345" s="54"/>
      <c r="O345" s="53"/>
      <c r="P345" s="54"/>
      <c r="Q345" s="53"/>
      <c r="R345" s="54"/>
      <c r="S345" s="53"/>
      <c r="T345" s="54"/>
      <c r="U345" s="53"/>
      <c r="V345" s="54"/>
      <c r="W345" s="53"/>
      <c r="X345" s="54"/>
      <c r="Y345" s="53"/>
      <c r="Z345" s="54"/>
      <c r="AA345" s="53"/>
      <c r="AB345" s="54"/>
      <c r="AC345" s="53"/>
      <c r="AD345" s="54"/>
      <c r="AE345" s="53"/>
      <c r="AF345" s="54"/>
      <c r="AG345" s="53"/>
      <c r="AH345" s="54"/>
      <c r="AI345" s="53"/>
      <c r="AJ345" s="54"/>
      <c r="AK345" s="53"/>
      <c r="AL345" s="54"/>
      <c r="AM345" s="53"/>
      <c r="AN345" s="54"/>
      <c r="AO345" s="53"/>
      <c r="AP345" s="54"/>
      <c r="AQ345" s="53"/>
      <c r="AR345" s="54"/>
      <c r="AS345" s="53"/>
      <c r="AT345" s="54"/>
      <c r="AU345" s="53"/>
      <c r="AV345" s="54"/>
      <c r="AW345" s="53"/>
      <c r="AX345" s="54"/>
      <c r="AY345" s="53"/>
      <c r="AZ345" s="54"/>
      <c r="BA345" s="53"/>
      <c r="BB345" s="51"/>
      <c r="BC345" s="53"/>
      <c r="BD345" s="51"/>
      <c r="BE345" s="53"/>
      <c r="BF345" s="51"/>
      <c r="BG345" s="53"/>
      <c r="BH345" s="51"/>
      <c r="BI345" s="53"/>
      <c r="BJ345" s="51"/>
      <c r="BK345" s="53"/>
      <c r="BL345" s="51"/>
      <c r="BM345" s="53"/>
      <c r="BN345" s="51"/>
      <c r="BO345" s="53"/>
      <c r="BP345" s="51"/>
      <c r="BQ345" s="53"/>
      <c r="BR345" s="55"/>
    </row>
    <row r="346" spans="1:70" ht="28.5" customHeight="1">
      <c r="A346" s="67" t="str">
        <f>IF(games!A346="", "", games!A346)</f>
        <v>龍族幻想：勇者集結</v>
      </c>
      <c r="B346" s="51"/>
      <c r="C346" s="51" t="str">
        <f t="shared" si="14"/>
        <v>giftcodesbanner/龍族幻想：勇者集結-禮包碼.jpg</v>
      </c>
      <c r="D346" s="51" t="str">
        <f t="shared" si="15"/>
        <v>https://www.ssbuy.tw/gift-codes.html?game=龍族幻想：勇者集結</v>
      </c>
      <c r="E346" s="91"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07" t="s">
        <v>6380</v>
      </c>
      <c r="G346" s="51" t="s">
        <v>6381</v>
      </c>
      <c r="H346" s="51" t="s">
        <v>6246</v>
      </c>
      <c r="I346" s="51"/>
      <c r="J346" s="91"/>
      <c r="K346" s="100" t="s">
        <v>6343</v>
      </c>
      <c r="L346" s="51" t="s">
        <v>5496</v>
      </c>
      <c r="M346" s="83" t="s">
        <v>6378</v>
      </c>
      <c r="N346" s="84" t="s">
        <v>6383</v>
      </c>
      <c r="O346" s="83" t="s">
        <v>1715</v>
      </c>
      <c r="P346" s="84" t="s">
        <v>6384</v>
      </c>
      <c r="Q346" s="83" t="s">
        <v>1714</v>
      </c>
      <c r="R346" s="84" t="s">
        <v>6385</v>
      </c>
      <c r="S346" s="83" t="s">
        <v>6382</v>
      </c>
      <c r="T346" s="84" t="s">
        <v>6386</v>
      </c>
      <c r="U346" s="83" t="s">
        <v>6387</v>
      </c>
      <c r="V346" s="84" t="s">
        <v>6388</v>
      </c>
      <c r="W346" s="83" t="s">
        <v>6389</v>
      </c>
      <c r="X346" s="84" t="s">
        <v>6390</v>
      </c>
      <c r="Y346" s="83" t="s">
        <v>6391</v>
      </c>
      <c r="Z346" s="84" t="s">
        <v>6392</v>
      </c>
      <c r="AA346" s="83" t="s">
        <v>6393</v>
      </c>
      <c r="AB346" s="84" t="s">
        <v>6394</v>
      </c>
      <c r="AC346" s="83" t="s">
        <v>1820</v>
      </c>
      <c r="AD346" s="84" t="s">
        <v>6395</v>
      </c>
      <c r="AE346" s="83" t="s">
        <v>6396</v>
      </c>
      <c r="AF346" s="84" t="s">
        <v>6386</v>
      </c>
      <c r="AG346" s="83" t="s">
        <v>6397</v>
      </c>
      <c r="AH346" s="84" t="s">
        <v>6398</v>
      </c>
      <c r="AI346" s="83" t="s">
        <v>6399</v>
      </c>
      <c r="AJ346" s="84" t="s">
        <v>6394</v>
      </c>
      <c r="AK346" s="83" t="s">
        <v>6400</v>
      </c>
      <c r="AL346" s="84" t="s">
        <v>6386</v>
      </c>
      <c r="AM346" s="83" t="s">
        <v>6401</v>
      </c>
      <c r="AN346" s="84" t="s">
        <v>6386</v>
      </c>
      <c r="AO346" s="83" t="s">
        <v>6402</v>
      </c>
      <c r="AP346" s="84" t="s">
        <v>6386</v>
      </c>
      <c r="AQ346" s="83" t="s">
        <v>6403</v>
      </c>
      <c r="AR346" s="84" t="s">
        <v>6394</v>
      </c>
      <c r="AS346" s="83" t="s">
        <v>6404</v>
      </c>
      <c r="AT346" s="84" t="s">
        <v>6394</v>
      </c>
      <c r="AU346" s="83" t="s">
        <v>6405</v>
      </c>
      <c r="AV346" s="84" t="s">
        <v>6406</v>
      </c>
      <c r="AW346" s="83" t="s">
        <v>6407</v>
      </c>
      <c r="AX346" s="84" t="s">
        <v>6386</v>
      </c>
      <c r="AY346" s="83" t="s">
        <v>6408</v>
      </c>
      <c r="AZ346" s="84" t="s">
        <v>6394</v>
      </c>
      <c r="BA346" s="53"/>
      <c r="BB346" s="51"/>
      <c r="BC346" s="53"/>
      <c r="BD346" s="51"/>
      <c r="BE346" s="53"/>
      <c r="BF346" s="51"/>
      <c r="BG346" s="53"/>
      <c r="BH346" s="51"/>
      <c r="BI346" s="53"/>
      <c r="BJ346" s="51"/>
      <c r="BK346" s="53"/>
      <c r="BL346" s="51"/>
      <c r="BM346" s="53"/>
      <c r="BN346" s="51"/>
      <c r="BO346" s="53"/>
      <c r="BP346" s="51"/>
      <c r="BQ346" s="53"/>
      <c r="BR346" s="55"/>
    </row>
    <row r="347" spans="1:70" ht="28.5" customHeight="1">
      <c r="A347" s="67" t="str">
        <f>IF(games!A347="", "", games!A347)</f>
        <v>少女騎士團：放置RPG</v>
      </c>
      <c r="B347" s="51"/>
      <c r="C347" s="51" t="str">
        <f t="shared" si="14"/>
        <v>giftcodesbanner/少女騎士團：放置RPG-禮包碼.jpg</v>
      </c>
      <c r="D347" s="51" t="str">
        <f t="shared" si="15"/>
        <v>https://www.ssbuy.tw/gift-codes.html?game=少女騎士團：放置RPG</v>
      </c>
      <c r="E347" s="91"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07" t="s">
        <v>6458</v>
      </c>
      <c r="G347" s="51" t="s">
        <v>6418</v>
      </c>
      <c r="H347" s="51" t="s">
        <v>6246</v>
      </c>
      <c r="I347" s="51"/>
      <c r="J347" s="91"/>
      <c r="K347" s="100" t="s">
        <v>6343</v>
      </c>
      <c r="L347" s="51" t="s">
        <v>5496</v>
      </c>
      <c r="M347" s="53" t="s">
        <v>6415</v>
      </c>
      <c r="N347" s="54"/>
      <c r="O347" s="53" t="s">
        <v>6416</v>
      </c>
      <c r="P347" s="54" t="s">
        <v>6417</v>
      </c>
      <c r="Q347" s="53" t="s">
        <v>6459</v>
      </c>
      <c r="R347" s="54"/>
      <c r="S347" s="53" t="s">
        <v>6460</v>
      </c>
      <c r="T347" s="54"/>
      <c r="U347" s="53" t="s">
        <v>6461</v>
      </c>
      <c r="V347" s="54"/>
      <c r="W347" s="53" t="s">
        <v>6462</v>
      </c>
      <c r="X347" s="54"/>
      <c r="Y347" s="53" t="s">
        <v>6463</v>
      </c>
      <c r="Z347" s="54"/>
      <c r="AA347" s="53"/>
      <c r="AB347" s="54"/>
      <c r="AC347" s="53"/>
      <c r="AD347" s="54"/>
      <c r="AE347" s="53"/>
      <c r="AF347" s="54"/>
      <c r="AG347" s="53"/>
      <c r="AH347" s="54"/>
      <c r="AI347" s="53"/>
      <c r="AJ347" s="54"/>
      <c r="AK347" s="53"/>
      <c r="AL347" s="54"/>
      <c r="AM347" s="53"/>
      <c r="AN347" s="54"/>
      <c r="AO347" s="53"/>
      <c r="AP347" s="54"/>
      <c r="AQ347" s="53"/>
      <c r="AR347" s="54"/>
      <c r="AS347" s="53"/>
      <c r="AT347" s="54"/>
      <c r="AU347" s="53"/>
      <c r="AV347" s="54"/>
      <c r="AW347" s="53"/>
      <c r="AX347" s="54"/>
      <c r="AY347" s="53"/>
      <c r="AZ347" s="54"/>
      <c r="BA347" s="53"/>
      <c r="BB347" s="51"/>
      <c r="BC347" s="53"/>
      <c r="BD347" s="51"/>
      <c r="BE347" s="53"/>
      <c r="BF347" s="51"/>
      <c r="BG347" s="53"/>
      <c r="BH347" s="51"/>
      <c r="BI347" s="53"/>
      <c r="BJ347" s="51"/>
      <c r="BK347" s="53"/>
      <c r="BL347" s="51"/>
      <c r="BM347" s="53"/>
      <c r="BN347" s="51"/>
      <c r="BO347" s="53"/>
      <c r="BP347" s="51"/>
      <c r="BQ347" s="53"/>
      <c r="BR347" s="55"/>
    </row>
    <row r="348" spans="1:70" ht="28.5" customHeight="1">
      <c r="A348" s="67" t="str">
        <f>IF(games!A348="", "", games!A348)</f>
        <v>Obey Me! Till Death Do Us Part</v>
      </c>
      <c r="B348" s="51"/>
      <c r="C348" s="51" t="str">
        <f t="shared" si="14"/>
        <v>giftcodesbanner/Obey Me! Till Death Do Us Part-禮包碼.jpg</v>
      </c>
      <c r="D348" s="51" t="str">
        <f t="shared" si="15"/>
        <v>https://www.ssbuy.tw/gift-codes.html?game=Obey Me! Till Death Do Us Part</v>
      </c>
      <c r="E348" s="91"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2" t="s">
        <v>5232</v>
      </c>
      <c r="G348" s="51"/>
      <c r="H348" s="51"/>
      <c r="I348" s="51"/>
      <c r="J348" s="91"/>
      <c r="K348" s="100" t="s">
        <v>6343</v>
      </c>
      <c r="L348" s="51" t="s">
        <v>5496</v>
      </c>
      <c r="M348" s="53"/>
      <c r="N348" s="54"/>
      <c r="O348" s="53"/>
      <c r="P348" s="54"/>
      <c r="Q348" s="53"/>
      <c r="R348" s="54"/>
      <c r="S348" s="53"/>
      <c r="T348" s="54"/>
      <c r="U348" s="53"/>
      <c r="V348" s="54"/>
      <c r="W348" s="53"/>
      <c r="X348" s="54"/>
      <c r="Y348" s="53"/>
      <c r="Z348" s="54"/>
      <c r="AA348" s="53"/>
      <c r="AB348" s="54"/>
      <c r="AC348" s="53"/>
      <c r="AD348" s="54"/>
      <c r="AE348" s="53"/>
      <c r="AF348" s="54"/>
      <c r="AG348" s="53"/>
      <c r="AH348" s="54"/>
      <c r="AI348" s="53"/>
      <c r="AJ348" s="54"/>
      <c r="AK348" s="53"/>
      <c r="AL348" s="54"/>
      <c r="AM348" s="53"/>
      <c r="AN348" s="54"/>
      <c r="AO348" s="53"/>
      <c r="AP348" s="54"/>
      <c r="AQ348" s="53"/>
      <c r="AR348" s="54"/>
      <c r="AS348" s="53"/>
      <c r="AT348" s="54"/>
      <c r="AU348" s="53"/>
      <c r="AV348" s="54"/>
      <c r="AW348" s="53"/>
      <c r="AX348" s="54"/>
      <c r="AY348" s="53"/>
      <c r="AZ348" s="54"/>
      <c r="BA348" s="53"/>
      <c r="BB348" s="51"/>
      <c r="BC348" s="53"/>
      <c r="BD348" s="51"/>
      <c r="BE348" s="53"/>
      <c r="BF348" s="51"/>
      <c r="BG348" s="53"/>
      <c r="BH348" s="51"/>
      <c r="BI348" s="53"/>
      <c r="BJ348" s="51"/>
      <c r="BK348" s="53"/>
      <c r="BL348" s="51"/>
      <c r="BM348" s="53"/>
      <c r="BN348" s="51"/>
      <c r="BO348" s="53"/>
      <c r="BP348" s="51"/>
      <c r="BQ348" s="53"/>
      <c r="BR348" s="55"/>
    </row>
    <row r="349" spans="1:70" ht="28.5" customHeight="1">
      <c r="A349" s="67" t="str">
        <f>IF(games!A349="", "", games!A349)</f>
        <v>魔力寶貝：重返法蘭</v>
      </c>
      <c r="B349" s="51"/>
      <c r="C349" s="51" t="str">
        <f t="shared" si="14"/>
        <v>giftcodesbanner/魔力寶貝：重返法蘭-禮包碼.jpg</v>
      </c>
      <c r="D349" s="51" t="str">
        <f t="shared" si="15"/>
        <v>https://www.ssbuy.tw/gift-codes.html?game=魔力寶貝：重返法蘭</v>
      </c>
      <c r="E349" s="91"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2" t="s">
        <v>6484</v>
      </c>
      <c r="G349" s="51" t="s">
        <v>6485</v>
      </c>
      <c r="H349" s="51" t="s">
        <v>6486</v>
      </c>
      <c r="I349" s="51" t="s">
        <v>6246</v>
      </c>
      <c r="J349" s="91"/>
      <c r="K349" s="100" t="s">
        <v>6343</v>
      </c>
      <c r="L349" s="51" t="s">
        <v>5496</v>
      </c>
      <c r="M349" s="53" t="s">
        <v>6483</v>
      </c>
      <c r="N349" s="54"/>
      <c r="O349" s="53" t="s">
        <v>6493</v>
      </c>
      <c r="P349" s="54"/>
      <c r="Q349" s="53" t="s">
        <v>6494</v>
      </c>
      <c r="R349" s="54"/>
      <c r="S349" s="53"/>
      <c r="T349" s="54"/>
      <c r="U349" s="53"/>
      <c r="V349" s="54"/>
      <c r="W349" s="53"/>
      <c r="X349" s="54"/>
      <c r="Y349" s="53"/>
      <c r="Z349" s="54"/>
      <c r="AA349" s="53"/>
      <c r="AB349" s="54"/>
      <c r="AC349" s="53"/>
      <c r="AD349" s="54"/>
      <c r="AE349" s="53"/>
      <c r="AF349" s="54"/>
      <c r="AG349" s="53"/>
      <c r="AH349" s="54"/>
      <c r="AI349" s="53"/>
      <c r="AJ349" s="54"/>
      <c r="AK349" s="53"/>
      <c r="AL349" s="54"/>
      <c r="AM349" s="53"/>
      <c r="AN349" s="54"/>
      <c r="AO349" s="53"/>
      <c r="AP349" s="54"/>
      <c r="AQ349" s="53"/>
      <c r="AR349" s="54"/>
      <c r="AS349" s="53"/>
      <c r="AT349" s="54"/>
      <c r="AU349" s="53"/>
      <c r="AV349" s="54"/>
      <c r="AW349" s="53"/>
      <c r="AX349" s="54"/>
      <c r="AY349" s="53"/>
      <c r="AZ349" s="54"/>
      <c r="BA349" s="53"/>
      <c r="BB349" s="51"/>
      <c r="BC349" s="53"/>
      <c r="BD349" s="51"/>
      <c r="BE349" s="53"/>
      <c r="BF349" s="51"/>
      <c r="BG349" s="53"/>
      <c r="BH349" s="51"/>
      <c r="BI349" s="53"/>
      <c r="BJ349" s="51"/>
      <c r="BK349" s="53"/>
      <c r="BL349" s="51"/>
      <c r="BM349" s="53"/>
      <c r="BN349" s="51"/>
      <c r="BO349" s="53"/>
      <c r="BP349" s="51"/>
      <c r="BQ349" s="53"/>
      <c r="BR349" s="55"/>
    </row>
    <row r="350" spans="1:70" ht="28.5" customHeight="1">
      <c r="A350" s="67" t="str">
        <f>IF(games!A350="", "", games!A350)</f>
        <v>像素大暴走</v>
      </c>
      <c r="B350" s="51"/>
      <c r="C350" s="51" t="str">
        <f t="shared" si="14"/>
        <v>giftcodesbanner/像素大暴走-禮包碼.jpg</v>
      </c>
      <c r="D350" s="51" t="str">
        <f t="shared" si="15"/>
        <v>https://www.ssbuy.tw/gift-codes.html?game=像素大暴走</v>
      </c>
      <c r="E350" s="91"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2" t="s">
        <v>5232</v>
      </c>
      <c r="G350" s="51"/>
      <c r="H350" s="51"/>
      <c r="I350" s="51"/>
      <c r="J350" s="91"/>
      <c r="K350" s="100" t="s">
        <v>6343</v>
      </c>
      <c r="L350" s="51" t="s">
        <v>5496</v>
      </c>
      <c r="M350" s="53"/>
      <c r="N350" s="54"/>
      <c r="O350" s="53"/>
      <c r="P350" s="54"/>
      <c r="Q350" s="53"/>
      <c r="R350" s="54"/>
      <c r="S350" s="53"/>
      <c r="T350" s="54"/>
      <c r="U350" s="53"/>
      <c r="V350" s="54"/>
      <c r="W350" s="53"/>
      <c r="X350" s="54"/>
      <c r="Y350" s="53"/>
      <c r="Z350" s="54"/>
      <c r="AA350" s="53"/>
      <c r="AB350" s="54"/>
      <c r="AC350" s="53"/>
      <c r="AD350" s="54"/>
      <c r="AE350" s="53"/>
      <c r="AF350" s="54"/>
      <c r="AG350" s="53"/>
      <c r="AH350" s="54"/>
      <c r="AI350" s="53"/>
      <c r="AJ350" s="54"/>
      <c r="AK350" s="53"/>
      <c r="AL350" s="54"/>
      <c r="AM350" s="53"/>
      <c r="AN350" s="54"/>
      <c r="AO350" s="53"/>
      <c r="AP350" s="54"/>
      <c r="AQ350" s="53"/>
      <c r="AR350" s="54"/>
      <c r="AS350" s="53"/>
      <c r="AT350" s="54"/>
      <c r="AU350" s="53"/>
      <c r="AV350" s="54"/>
      <c r="AW350" s="53"/>
      <c r="AX350" s="54"/>
      <c r="AY350" s="53"/>
      <c r="AZ350" s="54"/>
      <c r="BA350" s="53"/>
      <c r="BB350" s="51"/>
      <c r="BC350" s="53"/>
      <c r="BD350" s="51"/>
      <c r="BE350" s="53"/>
      <c r="BF350" s="51"/>
      <c r="BG350" s="53"/>
      <c r="BH350" s="51"/>
      <c r="BI350" s="53"/>
      <c r="BJ350" s="51"/>
      <c r="BK350" s="53"/>
      <c r="BL350" s="51"/>
      <c r="BM350" s="53"/>
      <c r="BN350" s="51"/>
      <c r="BO350" s="53"/>
      <c r="BP350" s="51"/>
      <c r="BQ350" s="53"/>
      <c r="BR350" s="55"/>
    </row>
    <row r="351" spans="1:70" ht="28.5" customHeight="1">
      <c r="A351" s="67" t="str">
        <f>IF(games!A351="", "", games!A351)</f>
        <v>Warventure：火柴人對決</v>
      </c>
      <c r="B351" s="51"/>
      <c r="C351" s="51" t="str">
        <f t="shared" si="14"/>
        <v>giftcodesbanner/Warventure：火柴人對決-禮包碼.jpg</v>
      </c>
      <c r="D351" s="51" t="str">
        <f t="shared" si="15"/>
        <v>https://www.ssbuy.tw/gift-codes.html?game=Warventure：火柴人對決</v>
      </c>
      <c r="E351" s="91"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2" t="s">
        <v>5232</v>
      </c>
      <c r="G351" s="51"/>
      <c r="H351" s="51"/>
      <c r="I351" s="51"/>
      <c r="J351" s="91"/>
      <c r="K351" s="100" t="s">
        <v>6343</v>
      </c>
      <c r="L351" s="51" t="s">
        <v>5496</v>
      </c>
      <c r="M351" s="53"/>
      <c r="N351" s="54"/>
      <c r="O351" s="53"/>
      <c r="P351" s="54"/>
      <c r="Q351" s="53"/>
      <c r="R351" s="54"/>
      <c r="S351" s="53"/>
      <c r="T351" s="54"/>
      <c r="U351" s="53"/>
      <c r="V351" s="54"/>
      <c r="W351" s="53"/>
      <c r="X351" s="54"/>
      <c r="Y351" s="53"/>
      <c r="Z351" s="54"/>
      <c r="AA351" s="53"/>
      <c r="AB351" s="54"/>
      <c r="AC351" s="53"/>
      <c r="AD351" s="54"/>
      <c r="AE351" s="53"/>
      <c r="AF351" s="54"/>
      <c r="AG351" s="53"/>
      <c r="AH351" s="54"/>
      <c r="AI351" s="53"/>
      <c r="AJ351" s="54"/>
      <c r="AK351" s="53"/>
      <c r="AL351" s="54"/>
      <c r="AM351" s="53"/>
      <c r="AN351" s="54"/>
      <c r="AO351" s="53"/>
      <c r="AP351" s="54"/>
      <c r="AQ351" s="53"/>
      <c r="AR351" s="54"/>
      <c r="AS351" s="53"/>
      <c r="AT351" s="54"/>
      <c r="AU351" s="53"/>
      <c r="AV351" s="54"/>
      <c r="AW351" s="53"/>
      <c r="AX351" s="54"/>
      <c r="AY351" s="53"/>
      <c r="AZ351" s="54"/>
      <c r="BA351" s="53"/>
      <c r="BB351" s="51"/>
      <c r="BC351" s="53"/>
      <c r="BD351" s="51"/>
      <c r="BE351" s="53"/>
      <c r="BF351" s="51"/>
      <c r="BG351" s="53"/>
      <c r="BH351" s="51"/>
      <c r="BI351" s="53"/>
      <c r="BJ351" s="51"/>
      <c r="BK351" s="53"/>
      <c r="BL351" s="51"/>
      <c r="BM351" s="53"/>
      <c r="BN351" s="51"/>
      <c r="BO351" s="53"/>
      <c r="BP351" s="51"/>
      <c r="BQ351" s="53"/>
      <c r="BR351" s="55"/>
    </row>
    <row r="352" spans="1:70" ht="28.5" customHeight="1">
      <c r="A352" s="67" t="str">
        <f>IF(games!A352="", "", games!A352)</f>
        <v>仙發制人</v>
      </c>
      <c r="B352" s="51"/>
      <c r="C352" s="51" t="str">
        <f t="shared" si="14"/>
        <v>giftcodesbanner/仙發制人-禮包碼.jpg</v>
      </c>
      <c r="D352" s="51" t="str">
        <f t="shared" si="15"/>
        <v>https://www.ssbuy.tw/gift-codes.html?game=仙發制人</v>
      </c>
      <c r="E352" s="91"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07" t="s">
        <v>6470</v>
      </c>
      <c r="G352" s="51" t="s">
        <v>6246</v>
      </c>
      <c r="H352" s="51"/>
      <c r="I352" s="51"/>
      <c r="J352" s="91"/>
      <c r="K352" s="100" t="s">
        <v>6343</v>
      </c>
      <c r="L352" s="51" t="s">
        <v>5496</v>
      </c>
      <c r="M352" s="53" t="s">
        <v>6468</v>
      </c>
      <c r="N352" s="54" t="s">
        <v>6472</v>
      </c>
      <c r="O352" s="53" t="s">
        <v>6469</v>
      </c>
      <c r="P352" s="54" t="s">
        <v>6473</v>
      </c>
      <c r="Q352" s="53"/>
      <c r="R352" s="54"/>
      <c r="S352" s="53"/>
      <c r="T352" s="54"/>
      <c r="U352" s="53"/>
      <c r="V352" s="54"/>
      <c r="W352" s="53"/>
      <c r="X352" s="54"/>
      <c r="Y352" s="53"/>
      <c r="Z352" s="54"/>
      <c r="AA352" s="53"/>
      <c r="AB352" s="54"/>
      <c r="AC352" s="53"/>
      <c r="AD352" s="54"/>
      <c r="AE352" s="53"/>
      <c r="AF352" s="54"/>
      <c r="AG352" s="53"/>
      <c r="AH352" s="54"/>
      <c r="AI352" s="53"/>
      <c r="AJ352" s="54"/>
      <c r="AK352" s="53"/>
      <c r="AL352" s="54"/>
      <c r="AM352" s="53"/>
      <c r="AN352" s="54"/>
      <c r="AO352" s="53"/>
      <c r="AP352" s="54"/>
      <c r="AQ352" s="53"/>
      <c r="AR352" s="54"/>
      <c r="AS352" s="53"/>
      <c r="AT352" s="54"/>
      <c r="AU352" s="53"/>
      <c r="AV352" s="54"/>
      <c r="AW352" s="53"/>
      <c r="AX352" s="54"/>
      <c r="AY352" s="53"/>
      <c r="AZ352" s="54"/>
      <c r="BA352" s="53"/>
      <c r="BB352" s="51"/>
      <c r="BC352" s="53"/>
      <c r="BD352" s="51"/>
      <c r="BE352" s="53"/>
      <c r="BF352" s="51"/>
      <c r="BG352" s="53"/>
      <c r="BH352" s="51"/>
      <c r="BI352" s="53"/>
      <c r="BJ352" s="51"/>
      <c r="BK352" s="53"/>
      <c r="BL352" s="51"/>
      <c r="BM352" s="53"/>
      <c r="BN352" s="51"/>
      <c r="BO352" s="53"/>
      <c r="BP352" s="51"/>
      <c r="BQ352" s="53"/>
      <c r="BR352" s="55"/>
    </row>
    <row r="353" spans="1:70" ht="28.5" customHeight="1">
      <c r="A353" s="67" t="str">
        <f>IF(games!A353="", "", games!A353)</f>
        <v>我的異世界</v>
      </c>
      <c r="B353" s="51"/>
      <c r="C353" s="51" t="str">
        <f t="shared" si="14"/>
        <v>giftcodesbanner/我的異世界-禮包碼.jpg</v>
      </c>
      <c r="D353" s="51" t="str">
        <f t="shared" si="15"/>
        <v>https://www.ssbuy.tw/gift-codes.html?game=我的異世界</v>
      </c>
      <c r="E353" s="91"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07" t="s">
        <v>6505</v>
      </c>
      <c r="G353" s="51" t="s">
        <v>6506</v>
      </c>
      <c r="H353" s="51" t="s">
        <v>6246</v>
      </c>
      <c r="I353" s="51"/>
      <c r="J353" s="91"/>
      <c r="K353" s="100" t="s">
        <v>6343</v>
      </c>
      <c r="L353" s="51" t="s">
        <v>5496</v>
      </c>
      <c r="M353" s="53" t="s">
        <v>6503</v>
      </c>
      <c r="N353" s="54" t="s">
        <v>6507</v>
      </c>
      <c r="O353" s="53" t="s">
        <v>6504</v>
      </c>
      <c r="P353" s="54" t="s">
        <v>6508</v>
      </c>
      <c r="Q353" s="53"/>
      <c r="R353" s="54"/>
      <c r="S353" s="53"/>
      <c r="T353" s="54"/>
      <c r="U353" s="53"/>
      <c r="V353" s="54"/>
      <c r="W353" s="53"/>
      <c r="X353" s="54"/>
      <c r="Y353" s="53"/>
      <c r="Z353" s="54"/>
      <c r="AA353" s="53"/>
      <c r="AB353" s="54"/>
      <c r="AC353" s="53"/>
      <c r="AD353" s="54"/>
      <c r="AE353" s="53"/>
      <c r="AF353" s="54"/>
      <c r="AG353" s="53"/>
      <c r="AH353" s="54"/>
      <c r="AI353" s="53"/>
      <c r="AJ353" s="54"/>
      <c r="AK353" s="53"/>
      <c r="AL353" s="54"/>
      <c r="AM353" s="53"/>
      <c r="AN353" s="54"/>
      <c r="AO353" s="53"/>
      <c r="AP353" s="54"/>
      <c r="AQ353" s="53"/>
      <c r="AR353" s="54"/>
      <c r="AS353" s="53"/>
      <c r="AT353" s="54"/>
      <c r="AU353" s="53"/>
      <c r="AV353" s="54"/>
      <c r="AW353" s="53"/>
      <c r="AX353" s="54"/>
      <c r="AY353" s="53"/>
      <c r="AZ353" s="54"/>
      <c r="BA353" s="53"/>
      <c r="BB353" s="51"/>
      <c r="BC353" s="53"/>
      <c r="BD353" s="51"/>
      <c r="BE353" s="53"/>
      <c r="BF353" s="51"/>
      <c r="BG353" s="53"/>
      <c r="BH353" s="51"/>
      <c r="BI353" s="53"/>
      <c r="BJ353" s="51"/>
      <c r="BK353" s="53"/>
      <c r="BL353" s="51"/>
      <c r="BM353" s="53"/>
      <c r="BN353" s="51"/>
      <c r="BO353" s="53"/>
      <c r="BP353" s="51"/>
      <c r="BQ353" s="53"/>
      <c r="BR353" s="55"/>
    </row>
    <row r="354" spans="1:70" ht="28.5" customHeight="1">
      <c r="A354" s="67" t="str">
        <f>IF(games!A354="", "", games!A354)</f>
        <v>這個三國超扯的</v>
      </c>
      <c r="B354" s="51"/>
      <c r="C354" s="51" t="str">
        <f t="shared" si="14"/>
        <v>giftcodesbanner/這個三國超扯的-禮包碼.jpg</v>
      </c>
      <c r="D354" s="51" t="str">
        <f t="shared" si="15"/>
        <v>https://www.ssbuy.tw/gift-codes.html?game=這個三國超扯的</v>
      </c>
      <c r="E354" s="91"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2" t="s">
        <v>6654</v>
      </c>
      <c r="G354" s="51" t="s">
        <v>6655</v>
      </c>
      <c r="H354" s="51" t="s">
        <v>6656</v>
      </c>
      <c r="I354" s="51"/>
      <c r="J354" s="91"/>
      <c r="K354" s="100" t="s">
        <v>6343</v>
      </c>
      <c r="L354" s="51" t="s">
        <v>5496</v>
      </c>
      <c r="M354" s="53" t="s">
        <v>6054</v>
      </c>
      <c r="N354" s="54"/>
      <c r="O354" s="53" t="s">
        <v>2056</v>
      </c>
      <c r="P354" s="54"/>
      <c r="Q354" s="53" t="s">
        <v>1841</v>
      </c>
      <c r="R354" s="54"/>
      <c r="S354" s="53" t="s">
        <v>6653</v>
      </c>
      <c r="T354" s="54"/>
      <c r="U354" s="53"/>
      <c r="V354" s="54"/>
      <c r="W354" s="53"/>
      <c r="X354" s="54"/>
      <c r="Y354" s="53"/>
      <c r="Z354" s="54"/>
      <c r="AA354" s="53"/>
      <c r="AB354" s="54"/>
      <c r="AC354" s="53"/>
      <c r="AD354" s="54"/>
      <c r="AE354" s="53"/>
      <c r="AF354" s="54"/>
      <c r="AG354" s="53"/>
      <c r="AH354" s="54"/>
      <c r="AI354" s="53"/>
      <c r="AJ354" s="54"/>
      <c r="AK354" s="53"/>
      <c r="AL354" s="54"/>
      <c r="AM354" s="53"/>
      <c r="AN354" s="54"/>
      <c r="AO354" s="53"/>
      <c r="AP354" s="54"/>
      <c r="AQ354" s="53"/>
      <c r="AR354" s="54"/>
      <c r="AS354" s="53"/>
      <c r="AT354" s="54"/>
      <c r="AU354" s="53"/>
      <c r="AV354" s="54"/>
      <c r="AW354" s="53"/>
      <c r="AX354" s="54"/>
      <c r="AY354" s="53"/>
      <c r="AZ354" s="54"/>
      <c r="BA354" s="53"/>
      <c r="BB354" s="51"/>
      <c r="BC354" s="53"/>
      <c r="BD354" s="51"/>
      <c r="BE354" s="53"/>
      <c r="BF354" s="51"/>
      <c r="BG354" s="53"/>
      <c r="BH354" s="51"/>
      <c r="BI354" s="53"/>
      <c r="BJ354" s="51"/>
      <c r="BK354" s="53"/>
      <c r="BL354" s="51"/>
      <c r="BM354" s="53"/>
      <c r="BN354" s="51"/>
      <c r="BO354" s="53"/>
      <c r="BP354" s="51"/>
      <c r="BQ354" s="53"/>
      <c r="BR354" s="55"/>
    </row>
    <row r="355" spans="1:70" ht="28.5" customHeight="1">
      <c r="A355" s="67" t="str">
        <f>IF(games!A355="", "", games!A355)</f>
        <v>基地：星界無間</v>
      </c>
      <c r="B355" s="51"/>
      <c r="C355" s="51" t="str">
        <f t="shared" si="14"/>
        <v>giftcodesbanner/基地：星界無間-禮包碼.jpg</v>
      </c>
      <c r="D355" s="51" t="str">
        <f t="shared" si="15"/>
        <v>https://www.ssbuy.tw/gift-codes.html?game=基地：星界無間</v>
      </c>
      <c r="E355" s="91"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2" t="s">
        <v>6665</v>
      </c>
      <c r="G355" s="51" t="s">
        <v>6666</v>
      </c>
      <c r="H355" s="51" t="s">
        <v>6656</v>
      </c>
      <c r="I355" s="51"/>
      <c r="J355" s="91"/>
      <c r="K355" s="100" t="s">
        <v>6343</v>
      </c>
      <c r="L355" s="51" t="s">
        <v>5496</v>
      </c>
      <c r="M355" s="53" t="s">
        <v>6657</v>
      </c>
      <c r="N355" s="54"/>
      <c r="O355" s="53" t="s">
        <v>6658</v>
      </c>
      <c r="P355" s="54"/>
      <c r="Q355" s="53" t="s">
        <v>6659</v>
      </c>
      <c r="R355" s="54"/>
      <c r="S355" s="53" t="s">
        <v>6660</v>
      </c>
      <c r="T355" s="54"/>
      <c r="U355" s="53" t="s">
        <v>6661</v>
      </c>
      <c r="V355" s="54"/>
      <c r="W355" s="53" t="s">
        <v>6662</v>
      </c>
      <c r="X355" s="54"/>
      <c r="Y355" s="53" t="s">
        <v>6663</v>
      </c>
      <c r="Z355" s="54"/>
      <c r="AA355" s="53" t="s">
        <v>6664</v>
      </c>
      <c r="AB355" s="54"/>
      <c r="AC355" s="53"/>
      <c r="AD355" s="54"/>
      <c r="AE355" s="53"/>
      <c r="AF355" s="54"/>
      <c r="AG355" s="53"/>
      <c r="AH355" s="54"/>
      <c r="AI355" s="53"/>
      <c r="AJ355" s="54"/>
      <c r="AK355" s="53"/>
      <c r="AL355" s="54"/>
      <c r="AM355" s="53"/>
      <c r="AN355" s="54"/>
      <c r="AO355" s="53"/>
      <c r="AP355" s="54"/>
      <c r="AQ355" s="53"/>
      <c r="AR355" s="54"/>
      <c r="AS355" s="53"/>
      <c r="AT355" s="54"/>
      <c r="AU355" s="53"/>
      <c r="AV355" s="54"/>
      <c r="AW355" s="53"/>
      <c r="AX355" s="54"/>
      <c r="AY355" s="53"/>
      <c r="AZ355" s="54"/>
      <c r="BA355" s="53"/>
      <c r="BB355" s="51"/>
      <c r="BC355" s="53"/>
      <c r="BD355" s="51"/>
      <c r="BE355" s="53"/>
      <c r="BF355" s="51"/>
      <c r="BG355" s="53"/>
      <c r="BH355" s="51"/>
      <c r="BI355" s="53"/>
      <c r="BJ355" s="51"/>
      <c r="BK355" s="53"/>
      <c r="BL355" s="51"/>
      <c r="BM355" s="53"/>
      <c r="BN355" s="51"/>
      <c r="BO355" s="53"/>
      <c r="BP355" s="51"/>
      <c r="BQ355" s="53"/>
      <c r="BR355" s="55"/>
    </row>
    <row r="356" spans="1:70" ht="28.5" customHeight="1">
      <c r="A356" s="67" t="str">
        <f>IF(games!A356="", "", games!A356)</f>
        <v>夢幻茶樓</v>
      </c>
      <c r="B356" s="51"/>
      <c r="C356" s="51" t="str">
        <f t="shared" si="14"/>
        <v>giftcodesbanner/夢幻茶樓-禮包碼.jpg</v>
      </c>
      <c r="D356" s="51" t="str">
        <f t="shared" si="15"/>
        <v>https://www.ssbuy.tw/gift-codes.html?game=夢幻茶樓</v>
      </c>
      <c r="E356" s="91"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2" t="s">
        <v>4605</v>
      </c>
      <c r="G356" s="51" t="s">
        <v>6760</v>
      </c>
      <c r="H356" s="51" t="s">
        <v>6656</v>
      </c>
      <c r="I356" s="51"/>
      <c r="J356" s="91"/>
      <c r="K356" s="100" t="s">
        <v>6343</v>
      </c>
      <c r="L356" s="51" t="s">
        <v>5496</v>
      </c>
      <c r="M356" s="53" t="s">
        <v>6755</v>
      </c>
      <c r="N356" s="54"/>
      <c r="O356" s="53" t="s">
        <v>6756</v>
      </c>
      <c r="P356" s="54"/>
      <c r="Q356" s="53" t="s">
        <v>6757</v>
      </c>
      <c r="R356" s="54"/>
      <c r="S356" s="53" t="s">
        <v>6758</v>
      </c>
      <c r="T356" s="54"/>
      <c r="U356" s="53" t="s">
        <v>6759</v>
      </c>
      <c r="V356" s="54"/>
      <c r="W356" s="53"/>
      <c r="X356" s="54"/>
      <c r="Y356" s="53"/>
      <c r="Z356" s="54"/>
      <c r="AA356" s="53"/>
      <c r="AB356" s="54"/>
      <c r="AC356" s="53"/>
      <c r="AD356" s="54"/>
      <c r="AE356" s="53"/>
      <c r="AF356" s="54"/>
      <c r="AG356" s="53"/>
      <c r="AH356" s="54"/>
      <c r="AI356" s="53"/>
      <c r="AJ356" s="54"/>
      <c r="AK356" s="53"/>
      <c r="AL356" s="54"/>
      <c r="AM356" s="53"/>
      <c r="AN356" s="54"/>
      <c r="AO356" s="53"/>
      <c r="AP356" s="54"/>
      <c r="AQ356" s="53"/>
      <c r="AR356" s="54"/>
      <c r="AS356" s="53"/>
      <c r="AT356" s="54"/>
      <c r="AU356" s="53"/>
      <c r="AV356" s="54"/>
      <c r="AW356" s="53"/>
      <c r="AX356" s="54"/>
      <c r="AY356" s="53"/>
      <c r="AZ356" s="54"/>
      <c r="BA356" s="53"/>
      <c r="BB356" s="51"/>
      <c r="BC356" s="53"/>
      <c r="BD356" s="51"/>
      <c r="BE356" s="53"/>
      <c r="BF356" s="51"/>
      <c r="BG356" s="53"/>
      <c r="BH356" s="51"/>
      <c r="BI356" s="53"/>
      <c r="BJ356" s="51"/>
      <c r="BK356" s="53"/>
      <c r="BL356" s="51"/>
      <c r="BM356" s="53"/>
      <c r="BN356" s="51"/>
      <c r="BO356" s="53"/>
      <c r="BP356" s="51"/>
      <c r="BQ356" s="53"/>
      <c r="BR356" s="55"/>
    </row>
    <row r="357" spans="1:70" ht="28.5" customHeight="1">
      <c r="A357" s="67" t="str">
        <f>IF(games!A357="", "", games!A357)</f>
        <v>MU：熱血開戰</v>
      </c>
      <c r="B357" s="51"/>
      <c r="C357" s="51" t="str">
        <f t="shared" si="14"/>
        <v>giftcodesbanner/MU：熱血開戰-禮包碼.jpg</v>
      </c>
      <c r="D357" s="51" t="str">
        <f t="shared" si="15"/>
        <v>https://www.ssbuy.tw/gift-codes.html?game=MU：熱血開戰</v>
      </c>
      <c r="E357" s="91"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2" t="s">
        <v>6900</v>
      </c>
      <c r="G357" s="51" t="s">
        <v>6901</v>
      </c>
      <c r="H357" s="51" t="s">
        <v>6656</v>
      </c>
      <c r="I357" s="51"/>
      <c r="J357" s="91"/>
      <c r="K357" s="100" t="s">
        <v>6343</v>
      </c>
      <c r="L357" s="51" t="s">
        <v>5496</v>
      </c>
      <c r="M357" s="53" t="s">
        <v>6898</v>
      </c>
      <c r="N357" s="54" t="s">
        <v>6899</v>
      </c>
      <c r="O357" s="53"/>
      <c r="P357" s="54"/>
      <c r="Q357" s="53"/>
      <c r="R357" s="54"/>
      <c r="S357" s="53"/>
      <c r="T357" s="54"/>
      <c r="U357" s="53"/>
      <c r="V357" s="54"/>
      <c r="W357" s="53"/>
      <c r="X357" s="54"/>
      <c r="Y357" s="53"/>
      <c r="Z357" s="54"/>
      <c r="AA357" s="53"/>
      <c r="AB357" s="54"/>
      <c r="AC357" s="53"/>
      <c r="AD357" s="54"/>
      <c r="AE357" s="53"/>
      <c r="AF357" s="54"/>
      <c r="AG357" s="53"/>
      <c r="AH357" s="54"/>
      <c r="AI357" s="53"/>
      <c r="AJ357" s="54"/>
      <c r="AK357" s="53"/>
      <c r="AL357" s="54"/>
      <c r="AM357" s="53"/>
      <c r="AN357" s="54"/>
      <c r="AO357" s="53"/>
      <c r="AP357" s="54"/>
      <c r="AQ357" s="53"/>
      <c r="AR357" s="54"/>
      <c r="AS357" s="53"/>
      <c r="AT357" s="54"/>
      <c r="AU357" s="53"/>
      <c r="AV357" s="54"/>
      <c r="AW357" s="53"/>
      <c r="AX357" s="54"/>
      <c r="AY357" s="53"/>
      <c r="AZ357" s="54"/>
      <c r="BA357" s="53"/>
      <c r="BB357" s="51"/>
      <c r="BC357" s="53"/>
      <c r="BD357" s="51"/>
      <c r="BE357" s="53"/>
      <c r="BF357" s="51"/>
      <c r="BG357" s="53"/>
      <c r="BH357" s="51"/>
      <c r="BI357" s="53"/>
      <c r="BJ357" s="51"/>
      <c r="BK357" s="53"/>
      <c r="BL357" s="51"/>
      <c r="BM357" s="53"/>
      <c r="BN357" s="51"/>
      <c r="BO357" s="53"/>
      <c r="BP357" s="51"/>
      <c r="BQ357" s="53"/>
      <c r="BR357" s="55"/>
    </row>
    <row r="358" spans="1:70" ht="28.5" customHeight="1">
      <c r="A358" s="67" t="str">
        <f>IF(games!A358="", "", games!A358)</f>
        <v>堡壘傳說：蒸汽龐克</v>
      </c>
      <c r="B358" s="51"/>
      <c r="C358" s="51" t="str">
        <f t="shared" si="14"/>
        <v>giftcodesbanner/堡壘傳說：蒸汽龐克-禮包碼.jpg</v>
      </c>
      <c r="D358" s="51" t="str">
        <f t="shared" si="15"/>
        <v>https://www.ssbuy.tw/gift-codes.html?game=堡壘傳說：蒸汽龐克</v>
      </c>
      <c r="E358" s="91"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07" t="s">
        <v>6559</v>
      </c>
      <c r="G358" s="51" t="s">
        <v>6560</v>
      </c>
      <c r="H358" s="51" t="s">
        <v>6246</v>
      </c>
      <c r="I358" s="51"/>
      <c r="J358" s="91"/>
      <c r="K358" s="100" t="s">
        <v>6343</v>
      </c>
      <c r="L358" s="51" t="s">
        <v>5496</v>
      </c>
      <c r="M358" s="53" t="s">
        <v>6597</v>
      </c>
      <c r="N358" s="54"/>
      <c r="O358" s="53" t="s">
        <v>6598</v>
      </c>
      <c r="P358" s="54"/>
      <c r="Q358" s="53" t="s">
        <v>6599</v>
      </c>
      <c r="R358" s="54"/>
      <c r="S358" s="53" t="s">
        <v>6600</v>
      </c>
      <c r="T358" s="54"/>
      <c r="U358" s="53" t="s">
        <v>6601</v>
      </c>
      <c r="V358" s="54"/>
      <c r="W358" s="53" t="s">
        <v>6602</v>
      </c>
      <c r="X358" s="54"/>
      <c r="Y358" s="53" t="s">
        <v>2141</v>
      </c>
      <c r="Z358" s="54"/>
      <c r="AA358" s="53" t="s">
        <v>6603</v>
      </c>
      <c r="AB358" s="54"/>
      <c r="AC358" s="53" t="s">
        <v>6556</v>
      </c>
      <c r="AD358" s="54"/>
      <c r="AE358" s="53" t="s">
        <v>6604</v>
      </c>
      <c r="AF358" s="54"/>
      <c r="AG358" s="53" t="s">
        <v>6605</v>
      </c>
      <c r="AH358" s="54"/>
      <c r="AI358" s="53" t="s">
        <v>6557</v>
      </c>
      <c r="AJ358" s="54"/>
      <c r="AK358" s="53" t="s">
        <v>6606</v>
      </c>
      <c r="AL358" s="54"/>
      <c r="AM358" s="53" t="s">
        <v>6554</v>
      </c>
      <c r="AN358" s="54"/>
      <c r="AO358" s="53" t="s">
        <v>6555</v>
      </c>
      <c r="AP358" s="54"/>
      <c r="AQ358" s="53" t="s">
        <v>6558</v>
      </c>
      <c r="AR358" s="54"/>
      <c r="AS358" s="53"/>
      <c r="AT358" s="54"/>
      <c r="AU358" s="53"/>
      <c r="AV358" s="54"/>
      <c r="AW358" s="53"/>
      <c r="AX358" s="54"/>
      <c r="AY358" s="53"/>
      <c r="AZ358" s="54"/>
      <c r="BA358" s="53"/>
      <c r="BB358" s="51"/>
      <c r="BC358" s="53"/>
      <c r="BD358" s="51"/>
      <c r="BE358" s="53"/>
      <c r="BF358" s="51"/>
      <c r="BG358" s="53"/>
      <c r="BH358" s="51"/>
      <c r="BI358" s="53"/>
      <c r="BJ358" s="51"/>
      <c r="BK358" s="53"/>
      <c r="BL358" s="51"/>
      <c r="BM358" s="53"/>
      <c r="BN358" s="51"/>
      <c r="BO358" s="53"/>
      <c r="BP358" s="51"/>
      <c r="BQ358" s="53"/>
      <c r="BR358" s="55"/>
    </row>
    <row r="359" spans="1:70" ht="28.5" customHeight="1">
      <c r="A359" s="67" t="str">
        <f>IF(games!A359="", "", games!A359)</f>
        <v>指尖棋兵</v>
      </c>
      <c r="B359" s="51"/>
      <c r="C359" s="51" t="str">
        <f t="shared" si="14"/>
        <v>giftcodesbanner/指尖棋兵-禮包碼.jpg</v>
      </c>
      <c r="D359" s="51" t="str">
        <f t="shared" si="15"/>
        <v>https://www.ssbuy.tw/gift-codes.html?game=指尖棋兵</v>
      </c>
      <c r="E359" s="91"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07" t="s">
        <v>5835</v>
      </c>
      <c r="G359" s="51" t="s">
        <v>6685</v>
      </c>
      <c r="H359" s="51" t="s">
        <v>6246</v>
      </c>
      <c r="I359" s="51"/>
      <c r="J359" s="91"/>
      <c r="K359" s="100" t="s">
        <v>6343</v>
      </c>
      <c r="L359" s="51" t="s">
        <v>5496</v>
      </c>
      <c r="M359" s="53" t="s">
        <v>6607</v>
      </c>
      <c r="N359" s="54"/>
      <c r="O359" s="53" t="s">
        <v>2056</v>
      </c>
      <c r="P359" s="54"/>
      <c r="Q359" s="53" t="s">
        <v>6379</v>
      </c>
      <c r="R359" s="54"/>
      <c r="S359" s="53" t="s">
        <v>6608</v>
      </c>
      <c r="T359" s="54"/>
      <c r="U359" s="53" t="s">
        <v>6609</v>
      </c>
      <c r="V359" s="54"/>
      <c r="W359" s="53" t="s">
        <v>6610</v>
      </c>
      <c r="X359" s="54"/>
      <c r="Y359" s="53" t="s">
        <v>6611</v>
      </c>
      <c r="Z359" s="54"/>
      <c r="AA359" s="53" t="s">
        <v>6612</v>
      </c>
      <c r="AB359" s="54"/>
      <c r="AC359" s="53" t="s">
        <v>6613</v>
      </c>
      <c r="AD359" s="54"/>
      <c r="AE359" s="53" t="s">
        <v>6614</v>
      </c>
      <c r="AF359" s="54"/>
      <c r="AG359" s="53" t="s">
        <v>6615</v>
      </c>
      <c r="AH359" s="54"/>
      <c r="AI359" s="53" t="s">
        <v>6616</v>
      </c>
      <c r="AJ359" s="54"/>
      <c r="AK359" s="53" t="s">
        <v>6617</v>
      </c>
      <c r="AL359" s="54"/>
      <c r="AM359" s="53" t="s">
        <v>6618</v>
      </c>
      <c r="AN359" s="54"/>
      <c r="AO359" s="53" t="s">
        <v>6619</v>
      </c>
      <c r="AP359" s="54"/>
      <c r="AQ359" s="53"/>
      <c r="AR359" s="54"/>
      <c r="AS359" s="53"/>
      <c r="AT359" s="54"/>
      <c r="AU359" s="53"/>
      <c r="AV359" s="54"/>
      <c r="AW359" s="53"/>
      <c r="AX359" s="54"/>
      <c r="AY359" s="53"/>
      <c r="AZ359" s="54"/>
      <c r="BA359" s="53"/>
      <c r="BB359" s="51"/>
      <c r="BC359" s="53"/>
      <c r="BD359" s="51"/>
      <c r="BE359" s="53"/>
      <c r="BF359" s="51"/>
      <c r="BG359" s="53"/>
      <c r="BH359" s="51"/>
      <c r="BI359" s="53"/>
      <c r="BJ359" s="51"/>
      <c r="BK359" s="53"/>
      <c r="BL359" s="51"/>
      <c r="BM359" s="53"/>
      <c r="BN359" s="51"/>
      <c r="BO359" s="53"/>
      <c r="BP359" s="51"/>
      <c r="BQ359" s="53"/>
      <c r="BR359" s="55"/>
    </row>
    <row r="360" spans="1:70" ht="28.5" customHeight="1">
      <c r="A360" s="67" t="str">
        <f>IF(games!A360="", "", games!A360)</f>
        <v>錫葛尼斯：紅月再臨</v>
      </c>
      <c r="B360" s="51"/>
      <c r="C360" s="51" t="str">
        <f t="shared" si="14"/>
        <v>giftcodesbanner/錫葛尼斯：紅月再臨-禮包碼.jpg</v>
      </c>
      <c r="D360" s="51" t="str">
        <f t="shared" si="15"/>
        <v>https://www.ssbuy.tw/gift-codes.html?game=錫葛尼斯：紅月再臨</v>
      </c>
      <c r="E360" s="91"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07" t="s">
        <v>6622</v>
      </c>
      <c r="G360" s="51" t="s">
        <v>6623</v>
      </c>
      <c r="H360" s="51" t="s">
        <v>6246</v>
      </c>
      <c r="I360" s="51"/>
      <c r="J360" s="91"/>
      <c r="K360" s="100" t="s">
        <v>6343</v>
      </c>
      <c r="L360" s="51" t="s">
        <v>5496</v>
      </c>
      <c r="M360" s="53" t="s">
        <v>6620</v>
      </c>
      <c r="N360" s="54" t="s">
        <v>6621</v>
      </c>
      <c r="O360" s="53" t="s">
        <v>6667</v>
      </c>
      <c r="P360" s="54" t="s">
        <v>6677</v>
      </c>
      <c r="Q360" s="53" t="s">
        <v>6686</v>
      </c>
      <c r="R360" s="54"/>
      <c r="S360" s="53" t="s">
        <v>6291</v>
      </c>
      <c r="T360" s="54"/>
      <c r="U360" s="53" t="s">
        <v>6379</v>
      </c>
      <c r="V360" s="54"/>
      <c r="W360" s="53"/>
      <c r="X360" s="54"/>
      <c r="Y360" s="53"/>
      <c r="Z360" s="54"/>
      <c r="AA360" s="53"/>
      <c r="AB360" s="54"/>
      <c r="AC360" s="53"/>
      <c r="AD360" s="54"/>
      <c r="AE360" s="53"/>
      <c r="AF360" s="54"/>
      <c r="AG360" s="53"/>
      <c r="AH360" s="54"/>
      <c r="AI360" s="53"/>
      <c r="AJ360" s="54"/>
      <c r="AK360" s="53"/>
      <c r="AL360" s="54"/>
      <c r="AM360" s="53"/>
      <c r="AN360" s="54"/>
      <c r="AO360" s="53"/>
      <c r="AP360" s="54"/>
      <c r="AQ360" s="53"/>
      <c r="AR360" s="54"/>
      <c r="AS360" s="53"/>
      <c r="AT360" s="54"/>
      <c r="AU360" s="53"/>
      <c r="AV360" s="54"/>
      <c r="AW360" s="53"/>
      <c r="AX360" s="54"/>
      <c r="AY360" s="53"/>
      <c r="AZ360" s="54"/>
      <c r="BA360" s="53"/>
      <c r="BB360" s="51"/>
      <c r="BC360" s="53"/>
      <c r="BD360" s="51"/>
      <c r="BE360" s="53"/>
      <c r="BF360" s="51"/>
      <c r="BG360" s="53"/>
      <c r="BH360" s="51"/>
      <c r="BI360" s="53"/>
      <c r="BJ360" s="51"/>
      <c r="BK360" s="53"/>
      <c r="BL360" s="51"/>
      <c r="BM360" s="53"/>
      <c r="BN360" s="51"/>
      <c r="BO360" s="53"/>
      <c r="BP360" s="51"/>
      <c r="BQ360" s="53"/>
      <c r="BR360" s="55"/>
    </row>
    <row r="361" spans="1:70" ht="28.5" customHeight="1">
      <c r="A361" s="67" t="str">
        <f>IF(games!A361="", "", games!A361)</f>
        <v>魔女與龍：光暗篇章</v>
      </c>
      <c r="B361" s="51"/>
      <c r="C361" s="51" t="str">
        <f t="shared" si="14"/>
        <v>giftcodesbanner/魔女與龍：光暗篇章-禮包碼.jpg</v>
      </c>
      <c r="D361" s="51" t="str">
        <f t="shared" si="15"/>
        <v>https://www.ssbuy.tw/gift-codes.html?game=魔女與龍：光暗篇章</v>
      </c>
      <c r="E361" s="91"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2" t="s">
        <v>6707</v>
      </c>
      <c r="G361" s="51" t="s">
        <v>6708</v>
      </c>
      <c r="H361" s="51" t="s">
        <v>6246</v>
      </c>
      <c r="I361" s="51"/>
      <c r="J361" s="91"/>
      <c r="K361" s="100" t="s">
        <v>6343</v>
      </c>
      <c r="L361" s="51" t="s">
        <v>5496</v>
      </c>
      <c r="M361" s="53" t="s">
        <v>6678</v>
      </c>
      <c r="N361" s="54"/>
      <c r="O361" s="53" t="s">
        <v>6680</v>
      </c>
      <c r="P361" s="54"/>
      <c r="Q361" s="53" t="s">
        <v>6679</v>
      </c>
      <c r="R361" s="54"/>
      <c r="S361" s="53" t="s">
        <v>6681</v>
      </c>
      <c r="T361" s="54"/>
      <c r="U361" s="53" t="s">
        <v>2141</v>
      </c>
      <c r="V361" s="54"/>
      <c r="W361" s="53" t="s">
        <v>6711</v>
      </c>
      <c r="X361" s="54"/>
      <c r="Y361" s="53" t="s">
        <v>6712</v>
      </c>
      <c r="Z361" s="54"/>
      <c r="AA361" s="53" t="s">
        <v>6713</v>
      </c>
      <c r="AB361" s="54"/>
      <c r="AC361" s="53" t="s">
        <v>6714</v>
      </c>
      <c r="AD361" s="54"/>
      <c r="AE361" s="53"/>
      <c r="AF361" s="54"/>
      <c r="AG361" s="53"/>
      <c r="AH361" s="54"/>
      <c r="AI361" s="53"/>
      <c r="AJ361" s="54"/>
      <c r="AK361" s="53"/>
      <c r="AL361" s="54"/>
      <c r="AM361" s="53"/>
      <c r="AN361" s="54"/>
      <c r="AO361" s="53"/>
      <c r="AP361" s="54"/>
      <c r="AQ361" s="53"/>
      <c r="AR361" s="54"/>
      <c r="AS361" s="53"/>
      <c r="AT361" s="54"/>
      <c r="AU361" s="53"/>
      <c r="AV361" s="54"/>
      <c r="AW361" s="53"/>
      <c r="AX361" s="54"/>
      <c r="AY361" s="53"/>
      <c r="AZ361" s="54"/>
      <c r="BA361" s="53"/>
      <c r="BB361" s="51"/>
      <c r="BC361" s="53"/>
      <c r="BD361" s="51"/>
      <c r="BE361" s="53"/>
      <c r="BF361" s="51"/>
      <c r="BG361" s="53"/>
      <c r="BH361" s="51"/>
      <c r="BI361" s="53"/>
      <c r="BJ361" s="51"/>
      <c r="BK361" s="53"/>
      <c r="BL361" s="51"/>
      <c r="BM361" s="53"/>
      <c r="BN361" s="51"/>
      <c r="BO361" s="53"/>
      <c r="BP361" s="51"/>
      <c r="BQ361" s="53"/>
      <c r="BR361" s="55"/>
    </row>
    <row r="362" spans="1:70" ht="28.5" customHeight="1">
      <c r="A362" s="67" t="str">
        <f>IF(games!A362="", "", games!A362)</f>
        <v>熾熱戰姬</v>
      </c>
      <c r="B362" s="51"/>
      <c r="C362" s="51" t="str">
        <f t="shared" si="14"/>
        <v>giftcodesbanner/熾熱戰姬-禮包碼.jpg</v>
      </c>
      <c r="D362" s="51" t="str">
        <f t="shared" si="15"/>
        <v>https://www.ssbuy.tw/gift-codes.html?game=熾熱戰姬</v>
      </c>
      <c r="E362" s="91"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2" t="s">
        <v>4285</v>
      </c>
      <c r="G362" s="51" t="s">
        <v>6706</v>
      </c>
      <c r="H362" s="51" t="s">
        <v>6246</v>
      </c>
      <c r="I362" s="51"/>
      <c r="J362" s="91"/>
      <c r="K362" s="100" t="s">
        <v>6343</v>
      </c>
      <c r="L362" s="51" t="s">
        <v>5496</v>
      </c>
      <c r="M362" s="53" t="s">
        <v>6596</v>
      </c>
      <c r="N362" s="54" t="s">
        <v>6626</v>
      </c>
      <c r="O362" s="53" t="s">
        <v>6624</v>
      </c>
      <c r="P362" s="54" t="s">
        <v>6627</v>
      </c>
      <c r="Q362" s="53" t="s">
        <v>6625</v>
      </c>
      <c r="R362" s="54" t="s">
        <v>6628</v>
      </c>
      <c r="S362" s="53" t="s">
        <v>6705</v>
      </c>
      <c r="T362" s="54"/>
      <c r="U362" s="53"/>
      <c r="V362" s="54"/>
      <c r="W362" s="53"/>
      <c r="X362" s="54"/>
      <c r="Y362" s="53"/>
      <c r="Z362" s="54"/>
      <c r="AA362" s="53"/>
      <c r="AB362" s="54"/>
      <c r="AC362" s="53"/>
      <c r="AD362" s="54"/>
      <c r="AE362" s="53"/>
      <c r="AF362" s="54"/>
      <c r="AG362" s="53"/>
      <c r="AH362" s="54"/>
      <c r="AI362" s="53"/>
      <c r="AJ362" s="54"/>
      <c r="AK362" s="53"/>
      <c r="AL362" s="54"/>
      <c r="AM362" s="53"/>
      <c r="AN362" s="54"/>
      <c r="AO362" s="53"/>
      <c r="AP362" s="54"/>
      <c r="AQ362" s="53"/>
      <c r="AR362" s="54"/>
      <c r="AS362" s="53"/>
      <c r="AT362" s="54"/>
      <c r="AU362" s="53"/>
      <c r="AV362" s="54"/>
      <c r="AW362" s="53"/>
      <c r="AX362" s="54"/>
      <c r="AY362" s="53"/>
      <c r="AZ362" s="54"/>
      <c r="BA362" s="53"/>
      <c r="BB362" s="51"/>
      <c r="BC362" s="53"/>
      <c r="BD362" s="51"/>
      <c r="BE362" s="53"/>
      <c r="BF362" s="51"/>
      <c r="BG362" s="53"/>
      <c r="BH362" s="51"/>
      <c r="BI362" s="53"/>
      <c r="BJ362" s="51"/>
      <c r="BK362" s="53"/>
      <c r="BL362" s="51"/>
      <c r="BM362" s="53"/>
      <c r="BN362" s="51"/>
      <c r="BO362" s="53"/>
      <c r="BP362" s="51"/>
      <c r="BQ362" s="53"/>
      <c r="BR362" s="55"/>
    </row>
    <row r="363" spans="1:70" ht="28.5" customHeight="1">
      <c r="A363" s="67" t="str">
        <f>IF(games!A363="", "", games!A363)</f>
        <v>心動小鎮</v>
      </c>
      <c r="B363" s="51"/>
      <c r="C363" s="51" t="str">
        <f t="shared" si="14"/>
        <v>giftcodesbanner/心動小鎮-禮包碼.jpg</v>
      </c>
      <c r="D363" s="51" t="str">
        <f t="shared" si="15"/>
        <v>https://www.ssbuy.tw/gift-codes.html?game=心動小鎮</v>
      </c>
      <c r="E363" s="91"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07" t="s">
        <v>6684</v>
      </c>
      <c r="G363" s="51" t="s">
        <v>6685</v>
      </c>
      <c r="H363" s="51" t="s">
        <v>6246</v>
      </c>
      <c r="I363" s="51"/>
      <c r="J363" s="91"/>
      <c r="K363" s="100" t="s">
        <v>6343</v>
      </c>
      <c r="L363" s="51" t="s">
        <v>5496</v>
      </c>
      <c r="M363" s="53" t="s">
        <v>6629</v>
      </c>
      <c r="N363" s="54" t="s">
        <v>6632</v>
      </c>
      <c r="O363" s="53" t="s">
        <v>6630</v>
      </c>
      <c r="P363" s="54" t="s">
        <v>6633</v>
      </c>
      <c r="Q363" s="53" t="s">
        <v>6631</v>
      </c>
      <c r="R363" s="54" t="s">
        <v>6632</v>
      </c>
      <c r="S363" s="53" t="s">
        <v>6682</v>
      </c>
      <c r="T363" s="54"/>
      <c r="U363" s="53" t="s">
        <v>6683</v>
      </c>
      <c r="V363" s="54"/>
      <c r="W363" s="53" t="s">
        <v>6724</v>
      </c>
      <c r="X363" s="54"/>
      <c r="Y363" s="53" t="s">
        <v>6725</v>
      </c>
      <c r="Z363" s="54"/>
      <c r="AA363" s="53" t="s">
        <v>6726</v>
      </c>
      <c r="AB363" s="54"/>
      <c r="AC363" s="53" t="s">
        <v>6727</v>
      </c>
      <c r="AD363" s="54"/>
      <c r="AE363" s="53" t="s">
        <v>6728</v>
      </c>
      <c r="AF363" s="54"/>
      <c r="AG363" s="53" t="s">
        <v>6729</v>
      </c>
      <c r="AH363" s="54"/>
      <c r="AI363" s="53" t="s">
        <v>6730</v>
      </c>
      <c r="AJ363" s="54"/>
      <c r="AK363" s="53" t="s">
        <v>6731</v>
      </c>
      <c r="AL363" s="54"/>
      <c r="AM363" s="53"/>
      <c r="AN363" s="54"/>
      <c r="AO363" s="53"/>
      <c r="AP363" s="54"/>
      <c r="AQ363" s="53"/>
      <c r="AR363" s="54"/>
      <c r="AS363" s="53"/>
      <c r="AT363" s="54"/>
      <c r="AU363" s="53"/>
      <c r="AV363" s="54"/>
      <c r="AW363" s="53"/>
      <c r="AX363" s="54"/>
      <c r="AY363" s="53"/>
      <c r="AZ363" s="54"/>
      <c r="BA363" s="53"/>
      <c r="BB363" s="51"/>
      <c r="BC363" s="53"/>
      <c r="BD363" s="51"/>
      <c r="BE363" s="53"/>
      <c r="BF363" s="51"/>
      <c r="BG363" s="53"/>
      <c r="BH363" s="51"/>
      <c r="BI363" s="53"/>
      <c r="BJ363" s="51"/>
      <c r="BK363" s="53"/>
      <c r="BL363" s="51"/>
      <c r="BM363" s="53"/>
      <c r="BN363" s="51"/>
      <c r="BO363" s="53"/>
      <c r="BP363" s="51"/>
      <c r="BQ363" s="53"/>
      <c r="BR363" s="55"/>
    </row>
    <row r="364" spans="1:70" ht="28.5" customHeight="1">
      <c r="A364" s="67" t="str">
        <f>IF(games!A364="", "", games!A364)</f>
        <v>彈彈英雄</v>
      </c>
      <c r="B364" s="51"/>
      <c r="C364" s="51" t="str">
        <f t="shared" si="14"/>
        <v>giftcodesbanner/彈彈英雄-禮包碼.jpg</v>
      </c>
      <c r="D364" s="51" t="str">
        <f t="shared" si="15"/>
        <v>https://www.ssbuy.tw/gift-codes.html?game=彈彈英雄</v>
      </c>
      <c r="E364" s="91"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07" t="s">
        <v>6691</v>
      </c>
      <c r="G364" s="118" t="s">
        <v>6692</v>
      </c>
      <c r="H364" s="51"/>
      <c r="I364" s="51"/>
      <c r="J364" s="91"/>
      <c r="K364" s="100" t="s">
        <v>6343</v>
      </c>
      <c r="L364" s="51" t="s">
        <v>5496</v>
      </c>
      <c r="M364" s="53" t="s">
        <v>6709</v>
      </c>
      <c r="N364" s="54"/>
      <c r="O364" s="53" t="s">
        <v>6710</v>
      </c>
      <c r="P364" s="54"/>
      <c r="Q364" s="53" t="s">
        <v>6715</v>
      </c>
      <c r="R364" s="54"/>
      <c r="S364" s="53" t="s">
        <v>6716</v>
      </c>
      <c r="T364" s="54"/>
      <c r="U364" s="53" t="s">
        <v>6717</v>
      </c>
      <c r="V364" s="54"/>
      <c r="W364" s="53" t="s">
        <v>6718</v>
      </c>
      <c r="X364" s="54"/>
      <c r="Y364" s="53" t="s">
        <v>2147</v>
      </c>
      <c r="Z364" s="54"/>
      <c r="AA364" s="53" t="s">
        <v>2983</v>
      </c>
      <c r="AB364" s="54"/>
      <c r="AC364" s="53" t="s">
        <v>2146</v>
      </c>
      <c r="AD364" s="54"/>
      <c r="AE364" s="53" t="s">
        <v>6719</v>
      </c>
      <c r="AF364" s="54"/>
      <c r="AG364" s="53" t="s">
        <v>6720</v>
      </c>
      <c r="AH364" s="54"/>
      <c r="AI364" s="53" t="s">
        <v>6721</v>
      </c>
      <c r="AJ364" s="54"/>
      <c r="AK364" s="53" t="s">
        <v>6722</v>
      </c>
      <c r="AL364" s="54"/>
      <c r="AM364" s="53" t="s">
        <v>6723</v>
      </c>
      <c r="AN364" s="54"/>
      <c r="AO364" s="53" t="s">
        <v>6788</v>
      </c>
      <c r="AP364" s="54"/>
      <c r="AQ364" s="53" t="s">
        <v>6860</v>
      </c>
      <c r="AR364" s="54"/>
      <c r="AS364" s="53"/>
      <c r="AT364" s="54"/>
      <c r="AU364" s="53"/>
      <c r="AV364" s="54"/>
      <c r="AW364" s="53"/>
      <c r="AX364" s="54"/>
      <c r="AY364" s="53"/>
      <c r="AZ364" s="54"/>
      <c r="BA364" s="53"/>
      <c r="BB364" s="51"/>
      <c r="BC364" s="53"/>
      <c r="BD364" s="51"/>
      <c r="BE364" s="53"/>
      <c r="BF364" s="51"/>
      <c r="BG364" s="53"/>
      <c r="BH364" s="51"/>
      <c r="BI364" s="53"/>
      <c r="BJ364" s="51"/>
      <c r="BK364" s="53"/>
      <c r="BL364" s="51"/>
      <c r="BM364" s="53"/>
      <c r="BN364" s="51"/>
      <c r="BO364" s="53"/>
      <c r="BP364" s="51"/>
      <c r="BQ364" s="53"/>
      <c r="BR364" s="55"/>
    </row>
    <row r="365" spans="1:70" ht="28.5" customHeight="1">
      <c r="A365" s="67" t="str">
        <f>IF(games!A365="", "", games!A365)</f>
        <v>動物幫派</v>
      </c>
      <c r="B365" s="51"/>
      <c r="C365" s="51" t="str">
        <f t="shared" si="14"/>
        <v>giftcodesbanner/動物幫派-禮包碼.jpg</v>
      </c>
      <c r="D365" s="51" t="str">
        <f t="shared" si="15"/>
        <v>https://www.ssbuy.tw/gift-codes.html?game=動物幫派</v>
      </c>
      <c r="E365" s="91"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2" t="s">
        <v>5232</v>
      </c>
      <c r="G365" s="51"/>
      <c r="H365" s="51"/>
      <c r="I365" s="51"/>
      <c r="J365" s="91"/>
      <c r="K365" s="100" t="s">
        <v>6343</v>
      </c>
      <c r="L365" s="51" t="s">
        <v>5496</v>
      </c>
      <c r="M365" s="53"/>
      <c r="N365" s="54"/>
      <c r="O365" s="53"/>
      <c r="P365" s="54"/>
      <c r="Q365" s="53"/>
      <c r="R365" s="54"/>
      <c r="S365" s="53"/>
      <c r="T365" s="54"/>
      <c r="U365" s="53"/>
      <c r="V365" s="54"/>
      <c r="W365" s="53"/>
      <c r="X365" s="54"/>
      <c r="Y365" s="53"/>
      <c r="Z365" s="54"/>
      <c r="AA365" s="53"/>
      <c r="AB365" s="54"/>
      <c r="AC365" s="53"/>
      <c r="AD365" s="54"/>
      <c r="AE365" s="53"/>
      <c r="AF365" s="54"/>
      <c r="AG365" s="53"/>
      <c r="AH365" s="54"/>
      <c r="AI365" s="53"/>
      <c r="AJ365" s="54"/>
      <c r="AK365" s="53"/>
      <c r="AL365" s="54"/>
      <c r="AM365" s="53"/>
      <c r="AN365" s="54"/>
      <c r="AO365" s="53"/>
      <c r="AP365" s="54"/>
      <c r="AQ365" s="53"/>
      <c r="AR365" s="54"/>
      <c r="AS365" s="53"/>
      <c r="AT365" s="54"/>
      <c r="AU365" s="53"/>
      <c r="AV365" s="54"/>
      <c r="AW365" s="53"/>
      <c r="AX365" s="54"/>
      <c r="AY365" s="53"/>
      <c r="AZ365" s="54"/>
      <c r="BA365" s="53"/>
      <c r="BB365" s="51"/>
      <c r="BC365" s="53"/>
      <c r="BD365" s="51"/>
      <c r="BE365" s="53"/>
      <c r="BF365" s="51"/>
      <c r="BG365" s="53"/>
      <c r="BH365" s="51"/>
      <c r="BI365" s="53"/>
      <c r="BJ365" s="51"/>
      <c r="BK365" s="53"/>
      <c r="BL365" s="51"/>
      <c r="BM365" s="53"/>
      <c r="BN365" s="51"/>
      <c r="BO365" s="53"/>
      <c r="BP365" s="51"/>
      <c r="BQ365" s="53"/>
      <c r="BR365" s="55"/>
    </row>
    <row r="366" spans="1:70" ht="28.5" customHeight="1">
      <c r="A366" s="67" t="str">
        <f>IF(games!A366="", "", games!A366)</f>
        <v>Academy of Heroes</v>
      </c>
      <c r="B366" s="51"/>
      <c r="C366" s="51" t="str">
        <f t="shared" si="14"/>
        <v>giftcodesbanner/Academy of Heroes-禮包碼.jpg</v>
      </c>
      <c r="D366" s="51" t="str">
        <f t="shared" si="15"/>
        <v>https://www.ssbuy.tw/gift-codes.html?game=Academy of Heroes</v>
      </c>
      <c r="E366" s="91"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2" t="s">
        <v>5232</v>
      </c>
      <c r="G366" s="51"/>
      <c r="H366" s="51"/>
      <c r="I366" s="51"/>
      <c r="J366" s="91"/>
      <c r="K366" s="100" t="s">
        <v>6343</v>
      </c>
      <c r="L366" s="51" t="s">
        <v>5496</v>
      </c>
      <c r="M366" s="53"/>
      <c r="N366" s="54"/>
      <c r="O366" s="53"/>
      <c r="P366" s="54"/>
      <c r="Q366" s="53"/>
      <c r="R366" s="54"/>
      <c r="S366" s="53"/>
      <c r="T366" s="54"/>
      <c r="U366" s="53"/>
      <c r="V366" s="54"/>
      <c r="W366" s="53"/>
      <c r="X366" s="54"/>
      <c r="Y366" s="53"/>
      <c r="Z366" s="54"/>
      <c r="AA366" s="53"/>
      <c r="AB366" s="54"/>
      <c r="AC366" s="53"/>
      <c r="AD366" s="54"/>
      <c r="AE366" s="53"/>
      <c r="AF366" s="54"/>
      <c r="AG366" s="53"/>
      <c r="AH366" s="54"/>
      <c r="AI366" s="53"/>
      <c r="AJ366" s="54"/>
      <c r="AK366" s="53"/>
      <c r="AL366" s="54"/>
      <c r="AM366" s="53"/>
      <c r="AN366" s="54"/>
      <c r="AO366" s="53"/>
      <c r="AP366" s="54"/>
      <c r="AQ366" s="53"/>
      <c r="AR366" s="54"/>
      <c r="AS366" s="53"/>
      <c r="AT366" s="54"/>
      <c r="AU366" s="53"/>
      <c r="AV366" s="54"/>
      <c r="AW366" s="53"/>
      <c r="AX366" s="54"/>
      <c r="AY366" s="53"/>
      <c r="AZ366" s="54"/>
      <c r="BA366" s="53"/>
      <c r="BB366" s="51"/>
      <c r="BC366" s="53"/>
      <c r="BD366" s="51"/>
      <c r="BE366" s="53"/>
      <c r="BF366" s="51"/>
      <c r="BG366" s="53"/>
      <c r="BH366" s="51"/>
      <c r="BI366" s="53"/>
      <c r="BJ366" s="51"/>
      <c r="BK366" s="53"/>
      <c r="BL366" s="51"/>
      <c r="BM366" s="53"/>
      <c r="BN366" s="51"/>
      <c r="BO366" s="53"/>
      <c r="BP366" s="51"/>
      <c r="BQ366" s="53"/>
      <c r="BR366" s="55"/>
    </row>
    <row r="367" spans="1:70" ht="28.5" customHeight="1">
      <c r="A367" s="67" t="str">
        <f>IF(games!A367="", "", games!A367)</f>
        <v>魔女的傳說</v>
      </c>
      <c r="B367" s="51"/>
      <c r="C367" s="51" t="str">
        <f t="shared" ref="C367:C417" si="16">IF(A367="","", "giftcodesbanner/" &amp; A367 &amp; "-禮包碼.jpg")</f>
        <v>giftcodesbanner/魔女的傳說-禮包碼.jpg</v>
      </c>
      <c r="D367" s="51" t="str">
        <f t="shared" ref="D367:D417" si="17">IF(A367="","", "https://www.ssbuy.tw/gift-codes.html?game="&amp;A367)</f>
        <v>https://www.ssbuy.tw/gift-codes.html?game=魔女的傳說</v>
      </c>
      <c r="E367" s="91"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2" t="s">
        <v>5232</v>
      </c>
      <c r="G367" s="51"/>
      <c r="H367" s="51"/>
      <c r="I367" s="51"/>
      <c r="J367" s="91"/>
      <c r="K367" s="100" t="s">
        <v>6343</v>
      </c>
      <c r="L367" s="51" t="s">
        <v>5496</v>
      </c>
      <c r="M367" s="53"/>
      <c r="N367" s="54"/>
      <c r="O367" s="53"/>
      <c r="P367" s="54"/>
      <c r="Q367" s="53"/>
      <c r="R367" s="54"/>
      <c r="S367" s="53"/>
      <c r="T367" s="54"/>
      <c r="U367" s="53"/>
      <c r="V367" s="54"/>
      <c r="W367" s="53"/>
      <c r="X367" s="54"/>
      <c r="Y367" s="53"/>
      <c r="Z367" s="54"/>
      <c r="AA367" s="53"/>
      <c r="AB367" s="54"/>
      <c r="AC367" s="53"/>
      <c r="AD367" s="54"/>
      <c r="AE367" s="53"/>
      <c r="AF367" s="54"/>
      <c r="AG367" s="53"/>
      <c r="AH367" s="54"/>
      <c r="AI367" s="53"/>
      <c r="AJ367" s="54"/>
      <c r="AK367" s="53"/>
      <c r="AL367" s="54"/>
      <c r="AM367" s="53"/>
      <c r="AN367" s="54"/>
      <c r="AO367" s="53"/>
      <c r="AP367" s="54"/>
      <c r="AQ367" s="53"/>
      <c r="AR367" s="54"/>
      <c r="AS367" s="53"/>
      <c r="AT367" s="54"/>
      <c r="AU367" s="53"/>
      <c r="AV367" s="54"/>
      <c r="AW367" s="53"/>
      <c r="AX367" s="54"/>
      <c r="AY367" s="53"/>
      <c r="AZ367" s="54"/>
      <c r="BA367" s="53"/>
      <c r="BB367" s="51"/>
      <c r="BC367" s="53"/>
      <c r="BD367" s="51"/>
      <c r="BE367" s="53"/>
      <c r="BF367" s="51"/>
      <c r="BG367" s="53"/>
      <c r="BH367" s="51"/>
      <c r="BI367" s="53"/>
      <c r="BJ367" s="51"/>
      <c r="BK367" s="53"/>
      <c r="BL367" s="51"/>
      <c r="BM367" s="53"/>
      <c r="BN367" s="51"/>
      <c r="BO367" s="53"/>
      <c r="BP367" s="51"/>
      <c r="BQ367" s="53"/>
      <c r="BR367" s="55"/>
    </row>
    <row r="368" spans="1:70" ht="28.5" customHeight="1">
      <c r="A368" s="67" t="str">
        <f>IF(games!A368="", "", games!A368)</f>
        <v>華夏繪世錄</v>
      </c>
      <c r="B368" s="51"/>
      <c r="C368" s="51" t="str">
        <f t="shared" si="16"/>
        <v>giftcodesbanner/華夏繪世錄-禮包碼.jpg</v>
      </c>
      <c r="D368" s="51" t="str">
        <f t="shared" si="17"/>
        <v>https://www.ssbuy.tw/gift-codes.html?game=華夏繪世錄</v>
      </c>
      <c r="E368" s="91"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2" t="s">
        <v>7012</v>
      </c>
      <c r="G368" s="51" t="s">
        <v>7013</v>
      </c>
      <c r="H368" s="51" t="s">
        <v>7014</v>
      </c>
      <c r="I368" s="51" t="s">
        <v>6988</v>
      </c>
      <c r="J368" s="91"/>
      <c r="K368" s="100" t="s">
        <v>6343</v>
      </c>
      <c r="L368" s="51" t="s">
        <v>5496</v>
      </c>
      <c r="M368" s="53" t="s">
        <v>6789</v>
      </c>
      <c r="N368" s="54" t="s">
        <v>6790</v>
      </c>
      <c r="O368" s="53" t="s">
        <v>7010</v>
      </c>
      <c r="P368" s="54" t="s">
        <v>7011</v>
      </c>
      <c r="Q368" s="54" t="s">
        <v>6790</v>
      </c>
      <c r="R368" s="54"/>
      <c r="S368" s="53"/>
      <c r="T368" s="54"/>
      <c r="U368" s="53"/>
      <c r="V368" s="54"/>
      <c r="W368" s="53"/>
      <c r="X368" s="54"/>
      <c r="Y368" s="53"/>
      <c r="Z368" s="54"/>
      <c r="AA368" s="53"/>
      <c r="AB368" s="54"/>
      <c r="AC368" s="53"/>
      <c r="AD368" s="54"/>
      <c r="AE368" s="53"/>
      <c r="AF368" s="54"/>
      <c r="AG368" s="53"/>
      <c r="AH368" s="54"/>
      <c r="AI368" s="53"/>
      <c r="AJ368" s="54"/>
      <c r="AK368" s="53"/>
      <c r="AL368" s="54"/>
      <c r="AM368" s="53"/>
      <c r="AN368" s="54"/>
      <c r="AO368" s="53"/>
      <c r="AP368" s="54"/>
      <c r="AQ368" s="53"/>
      <c r="AR368" s="54"/>
      <c r="AS368" s="53"/>
      <c r="AT368" s="54"/>
      <c r="AU368" s="53"/>
      <c r="AV368" s="54"/>
      <c r="AW368" s="53"/>
      <c r="AX368" s="54"/>
      <c r="AY368" s="53"/>
      <c r="AZ368" s="54"/>
      <c r="BA368" s="53"/>
      <c r="BB368" s="51"/>
      <c r="BC368" s="53"/>
      <c r="BD368" s="51"/>
      <c r="BE368" s="53"/>
      <c r="BF368" s="51"/>
      <c r="BG368" s="53"/>
      <c r="BH368" s="51"/>
      <c r="BI368" s="53"/>
      <c r="BJ368" s="51"/>
      <c r="BK368" s="53"/>
      <c r="BL368" s="51"/>
      <c r="BM368" s="53"/>
      <c r="BN368" s="51"/>
      <c r="BO368" s="53"/>
      <c r="BP368" s="51"/>
      <c r="BQ368" s="53"/>
      <c r="BR368" s="55"/>
    </row>
    <row r="369" spans="1:70" ht="28.5" customHeight="1">
      <c r="A369" s="67" t="str">
        <f>IF(games!A369="", "", games!A369)</f>
        <v>三國：謀定天下</v>
      </c>
      <c r="B369" s="51"/>
      <c r="C369" s="51" t="str">
        <f t="shared" si="16"/>
        <v>giftcodesbanner/三國：謀定天下-禮包碼.jpg</v>
      </c>
      <c r="D369" s="51" t="str">
        <f t="shared" si="17"/>
        <v>https://www.ssbuy.tw/gift-codes.html?game=三國：謀定天下</v>
      </c>
      <c r="E369" s="91"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07" t="s">
        <v>6810</v>
      </c>
      <c r="G369" s="51" t="s">
        <v>6907</v>
      </c>
      <c r="H369" s="51" t="s">
        <v>6908</v>
      </c>
      <c r="I369" s="51"/>
      <c r="J369" s="91"/>
      <c r="K369" s="100" t="s">
        <v>6343</v>
      </c>
      <c r="L369" s="51" t="s">
        <v>5496</v>
      </c>
      <c r="M369" s="53" t="s">
        <v>6906</v>
      </c>
      <c r="N369" s="54"/>
      <c r="O369" s="53"/>
      <c r="P369" s="54"/>
      <c r="Q369" s="53"/>
      <c r="R369" s="54"/>
      <c r="S369" s="53"/>
      <c r="T369" s="54"/>
      <c r="U369" s="53"/>
      <c r="V369" s="54"/>
      <c r="W369" s="53"/>
      <c r="X369" s="54"/>
      <c r="Y369" s="53"/>
      <c r="Z369" s="54"/>
      <c r="AA369" s="53"/>
      <c r="AB369" s="54"/>
      <c r="AC369" s="53"/>
      <c r="AD369" s="54"/>
      <c r="AE369" s="53"/>
      <c r="AF369" s="54"/>
      <c r="AG369" s="53"/>
      <c r="AH369" s="54"/>
      <c r="AI369" s="53"/>
      <c r="AJ369" s="54"/>
      <c r="AK369" s="53"/>
      <c r="AL369" s="54"/>
      <c r="AM369" s="53"/>
      <c r="AN369" s="54"/>
      <c r="AO369" s="53"/>
      <c r="AP369" s="54"/>
      <c r="AQ369" s="53"/>
      <c r="AR369" s="54"/>
      <c r="AS369" s="53"/>
      <c r="AT369" s="54"/>
      <c r="AU369" s="53"/>
      <c r="AV369" s="54"/>
      <c r="AW369" s="53"/>
      <c r="AX369" s="54"/>
      <c r="AY369" s="53"/>
      <c r="AZ369" s="54"/>
      <c r="BA369" s="53"/>
      <c r="BB369" s="51"/>
      <c r="BC369" s="53"/>
      <c r="BD369" s="51"/>
      <c r="BE369" s="53"/>
      <c r="BF369" s="51"/>
      <c r="BG369" s="53"/>
      <c r="BH369" s="51"/>
      <c r="BI369" s="53"/>
      <c r="BJ369" s="51"/>
      <c r="BK369" s="53"/>
      <c r="BL369" s="51"/>
      <c r="BM369" s="53"/>
      <c r="BN369" s="51"/>
      <c r="BO369" s="53"/>
      <c r="BP369" s="51"/>
      <c r="BQ369" s="53"/>
      <c r="BR369" s="55"/>
    </row>
    <row r="370" spans="1:70" ht="28.5" customHeight="1">
      <c r="A370" s="67" t="str">
        <f>IF(games!A370="", "", games!A370)</f>
        <v>明日方舟：終末地</v>
      </c>
      <c r="B370" s="51"/>
      <c r="C370" s="51" t="str">
        <f t="shared" si="16"/>
        <v>giftcodesbanner/明日方舟：終末地-禮包碼.jpg</v>
      </c>
      <c r="D370" s="51" t="str">
        <f t="shared" si="17"/>
        <v>https://www.ssbuy.tw/gift-codes.html?game=明日方舟：終末地</v>
      </c>
      <c r="E370" s="91"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2" t="s">
        <v>6928</v>
      </c>
      <c r="G370" s="51" t="s">
        <v>6929</v>
      </c>
      <c r="H370" s="51"/>
      <c r="I370" s="51"/>
      <c r="J370" s="91"/>
      <c r="K370" s="100" t="s">
        <v>6343</v>
      </c>
      <c r="L370" s="51" t="s">
        <v>5496</v>
      </c>
      <c r="M370" s="53" t="s">
        <v>6791</v>
      </c>
      <c r="N370" s="54" t="s">
        <v>6793</v>
      </c>
      <c r="O370" s="53" t="s">
        <v>6792</v>
      </c>
      <c r="P370" s="54" t="s">
        <v>6794</v>
      </c>
      <c r="Q370" s="53" t="s">
        <v>6902</v>
      </c>
      <c r="R370" s="54" t="s">
        <v>6904</v>
      </c>
      <c r="S370" s="53" t="s">
        <v>6903</v>
      </c>
      <c r="T370" s="54" t="s">
        <v>6905</v>
      </c>
      <c r="U370" s="53"/>
      <c r="V370" s="54"/>
      <c r="W370" s="53"/>
      <c r="X370" s="54"/>
      <c r="Y370" s="53"/>
      <c r="Z370" s="54"/>
      <c r="AA370" s="53"/>
      <c r="AB370" s="54"/>
      <c r="AC370" s="53"/>
      <c r="AD370" s="54"/>
      <c r="AE370" s="53"/>
      <c r="AF370" s="54"/>
      <c r="AG370" s="53"/>
      <c r="AH370" s="54"/>
      <c r="AI370" s="53"/>
      <c r="AJ370" s="54"/>
      <c r="AK370" s="53"/>
      <c r="AL370" s="54"/>
      <c r="AM370" s="53"/>
      <c r="AN370" s="54"/>
      <c r="AO370" s="53"/>
      <c r="AP370" s="54"/>
      <c r="AQ370" s="53"/>
      <c r="AR370" s="54"/>
      <c r="AS370" s="53"/>
      <c r="AT370" s="54"/>
      <c r="AU370" s="53"/>
      <c r="AV370" s="54"/>
      <c r="AW370" s="53"/>
      <c r="AX370" s="54"/>
      <c r="AY370" s="53"/>
      <c r="AZ370" s="54"/>
      <c r="BA370" s="53"/>
      <c r="BB370" s="51"/>
      <c r="BC370" s="53"/>
      <c r="BD370" s="51"/>
      <c r="BE370" s="53"/>
      <c r="BF370" s="51"/>
      <c r="BG370" s="53"/>
      <c r="BH370" s="51"/>
      <c r="BI370" s="53"/>
      <c r="BJ370" s="51"/>
      <c r="BK370" s="53"/>
      <c r="BL370" s="51"/>
      <c r="BM370" s="53"/>
      <c r="BN370" s="51"/>
      <c r="BO370" s="53"/>
      <c r="BP370" s="51"/>
      <c r="BQ370" s="53"/>
      <c r="BR370" s="55"/>
    </row>
    <row r="371" spans="1:70" ht="28.5" customHeight="1">
      <c r="A371" s="67" t="str">
        <f>IF(games!A371="", "", games!A371)</f>
        <v>半獸人傳說</v>
      </c>
      <c r="B371" s="51"/>
      <c r="C371" s="51" t="str">
        <f t="shared" si="16"/>
        <v>giftcodesbanner/半獸人傳說-禮包碼.jpg</v>
      </c>
      <c r="D371" s="51" t="str">
        <f t="shared" si="17"/>
        <v>https://www.ssbuy.tw/gift-codes.html?game=半獸人傳說</v>
      </c>
      <c r="E371" s="91"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07" t="s">
        <v>6810</v>
      </c>
      <c r="G371" s="51" t="s">
        <v>6811</v>
      </c>
      <c r="H371" s="51" t="s">
        <v>6246</v>
      </c>
      <c r="I371" s="51"/>
      <c r="J371" s="91"/>
      <c r="K371" s="100" t="s">
        <v>6343</v>
      </c>
      <c r="L371" s="51" t="s">
        <v>5496</v>
      </c>
      <c r="M371" s="53" t="s">
        <v>6800</v>
      </c>
      <c r="N371" s="54" t="s">
        <v>6812</v>
      </c>
      <c r="O371" s="53" t="s">
        <v>6801</v>
      </c>
      <c r="P371" s="54" t="s">
        <v>6812</v>
      </c>
      <c r="Q371" s="53" t="s">
        <v>6802</v>
      </c>
      <c r="R371" s="54" t="s">
        <v>6813</v>
      </c>
      <c r="S371" s="53" t="s">
        <v>6803</v>
      </c>
      <c r="T371" s="54" t="s">
        <v>6812</v>
      </c>
      <c r="U371" s="53" t="s">
        <v>6804</v>
      </c>
      <c r="V371" s="54" t="s">
        <v>6814</v>
      </c>
      <c r="W371" s="53" t="s">
        <v>6805</v>
      </c>
      <c r="X371" s="54" t="s">
        <v>6812</v>
      </c>
      <c r="Y371" s="53" t="s">
        <v>6806</v>
      </c>
      <c r="Z371" s="54" t="s">
        <v>6812</v>
      </c>
      <c r="AA371" s="53" t="s">
        <v>6807</v>
      </c>
      <c r="AB371" s="54" t="s">
        <v>6815</v>
      </c>
      <c r="AC371" s="53" t="s">
        <v>6808</v>
      </c>
      <c r="AD371" s="54" t="s">
        <v>6816</v>
      </c>
      <c r="AE371" s="53" t="s">
        <v>6809</v>
      </c>
      <c r="AF371" s="54" t="s">
        <v>6817</v>
      </c>
      <c r="AG371" s="53" t="s">
        <v>6610</v>
      </c>
      <c r="AH371" s="54" t="s">
        <v>6818</v>
      </c>
      <c r="AJ371" s="54"/>
      <c r="AK371" s="53"/>
      <c r="AL371" s="54"/>
      <c r="AM371" s="53"/>
      <c r="AN371" s="54"/>
      <c r="AO371" s="53"/>
      <c r="AP371" s="54"/>
      <c r="AQ371" s="53"/>
      <c r="AR371" s="54"/>
      <c r="AS371" s="53"/>
      <c r="AT371" s="54"/>
      <c r="AU371" s="53"/>
      <c r="AV371" s="54"/>
      <c r="AW371" s="53"/>
      <c r="AX371" s="54"/>
      <c r="AY371" s="53"/>
      <c r="AZ371" s="54"/>
      <c r="BA371" s="53"/>
      <c r="BB371" s="51"/>
      <c r="BC371" s="53"/>
      <c r="BD371" s="51"/>
      <c r="BE371" s="53"/>
      <c r="BF371" s="51"/>
      <c r="BG371" s="53"/>
      <c r="BH371" s="51"/>
      <c r="BI371" s="53"/>
      <c r="BJ371" s="51"/>
      <c r="BK371" s="53"/>
      <c r="BL371" s="51"/>
      <c r="BM371" s="53"/>
      <c r="BN371" s="51"/>
      <c r="BO371" s="53"/>
      <c r="BP371" s="51"/>
      <c r="BQ371" s="53"/>
      <c r="BR371" s="55"/>
    </row>
    <row r="372" spans="1:70" ht="28.5" customHeight="1">
      <c r="A372" s="67" t="str">
        <f>IF(games!A372="", "", games!A372)</f>
        <v>暗月十二</v>
      </c>
      <c r="B372" s="51"/>
      <c r="C372" s="51" t="str">
        <f t="shared" si="16"/>
        <v>giftcodesbanner/暗月十二-禮包碼.jpg</v>
      </c>
      <c r="D372" s="51" t="str">
        <f t="shared" si="17"/>
        <v>https://www.ssbuy.tw/gift-codes.html?game=暗月十二</v>
      </c>
      <c r="E372" s="91"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2" t="s">
        <v>5232</v>
      </c>
      <c r="G372" s="51"/>
      <c r="H372" s="51"/>
      <c r="I372" s="51"/>
      <c r="J372" s="91"/>
      <c r="K372" s="100" t="s">
        <v>6343</v>
      </c>
      <c r="L372" s="51" t="s">
        <v>5496</v>
      </c>
      <c r="M372" s="53"/>
      <c r="N372" s="54"/>
      <c r="O372" s="53"/>
      <c r="P372" s="54"/>
      <c r="Q372" s="53"/>
      <c r="R372" s="54"/>
      <c r="S372" s="53"/>
      <c r="T372" s="54"/>
      <c r="U372" s="53"/>
      <c r="V372" s="54"/>
      <c r="W372" s="53"/>
      <c r="X372" s="54"/>
      <c r="Y372" s="53"/>
      <c r="Z372" s="54"/>
      <c r="AA372" s="53"/>
      <c r="AB372" s="54"/>
      <c r="AC372" s="53"/>
      <c r="AD372" s="54"/>
      <c r="AE372" s="53"/>
      <c r="AF372" s="54"/>
      <c r="AG372" s="53"/>
      <c r="AH372" s="54"/>
      <c r="AI372" s="53"/>
      <c r="AJ372" s="54"/>
      <c r="AK372" s="53"/>
      <c r="AL372" s="54"/>
      <c r="AM372" s="53"/>
      <c r="AN372" s="54"/>
      <c r="AO372" s="53"/>
      <c r="AP372" s="54"/>
      <c r="AQ372" s="53"/>
      <c r="AR372" s="54"/>
      <c r="AS372" s="53"/>
      <c r="AT372" s="54"/>
      <c r="AU372" s="53"/>
      <c r="AV372" s="54"/>
      <c r="AW372" s="53"/>
      <c r="AX372" s="54"/>
      <c r="AY372" s="53"/>
      <c r="AZ372" s="54"/>
      <c r="BA372" s="53"/>
      <c r="BB372" s="51"/>
      <c r="BC372" s="53"/>
      <c r="BD372" s="51"/>
      <c r="BE372" s="53"/>
      <c r="BF372" s="51"/>
      <c r="BG372" s="53"/>
      <c r="BH372" s="51"/>
      <c r="BI372" s="53"/>
      <c r="BJ372" s="51"/>
      <c r="BK372" s="53"/>
      <c r="BL372" s="51"/>
      <c r="BM372" s="53"/>
      <c r="BN372" s="51"/>
      <c r="BO372" s="53"/>
      <c r="BP372" s="51"/>
      <c r="BQ372" s="53"/>
      <c r="BR372" s="55"/>
    </row>
    <row r="373" spans="1:70" ht="28.5" customHeight="1">
      <c r="A373" s="67" t="str">
        <f>IF(games!A373="", "", games!A373)</f>
        <v>像素騎士：放置角色扮演遊戲</v>
      </c>
      <c r="B373" s="51"/>
      <c r="C373" s="51" t="str">
        <f t="shared" si="16"/>
        <v>giftcodesbanner/像素騎士：放置角色扮演遊戲-禮包碼.jpg</v>
      </c>
      <c r="D373" s="51" t="str">
        <f t="shared" si="17"/>
        <v>https://www.ssbuy.tw/gift-codes.html?game=像素騎士：放置角色扮演遊戲</v>
      </c>
      <c r="E373" s="91"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2" t="s">
        <v>5232</v>
      </c>
      <c r="G373" s="51"/>
      <c r="H373" s="51"/>
      <c r="I373" s="51"/>
      <c r="J373" s="91"/>
      <c r="K373" s="100" t="s">
        <v>6343</v>
      </c>
      <c r="L373" s="51" t="s">
        <v>5496</v>
      </c>
      <c r="M373" s="53"/>
      <c r="N373" s="54"/>
      <c r="O373" s="53"/>
      <c r="P373" s="54"/>
      <c r="Q373" s="53"/>
      <c r="R373" s="54"/>
      <c r="S373" s="53"/>
      <c r="T373" s="54"/>
      <c r="U373" s="53"/>
      <c r="V373" s="54"/>
      <c r="W373" s="53"/>
      <c r="X373" s="54"/>
      <c r="Y373" s="53"/>
      <c r="Z373" s="54"/>
      <c r="AA373" s="53"/>
      <c r="AB373" s="54"/>
      <c r="AC373" s="53"/>
      <c r="AD373" s="54"/>
      <c r="AE373" s="53"/>
      <c r="AF373" s="54"/>
      <c r="AG373" s="53"/>
      <c r="AH373" s="54"/>
      <c r="AI373" s="53"/>
      <c r="AJ373" s="54"/>
      <c r="AK373" s="53"/>
      <c r="AL373" s="54"/>
      <c r="AM373" s="53"/>
      <c r="AN373" s="54"/>
      <c r="AO373" s="53"/>
      <c r="AP373" s="54"/>
      <c r="AQ373" s="53"/>
      <c r="AR373" s="54"/>
      <c r="AS373" s="53"/>
      <c r="AT373" s="54"/>
      <c r="AU373" s="53"/>
      <c r="AV373" s="54"/>
      <c r="AW373" s="53"/>
      <c r="AX373" s="54"/>
      <c r="AY373" s="53"/>
      <c r="AZ373" s="54"/>
      <c r="BA373" s="53"/>
      <c r="BB373" s="51"/>
      <c r="BC373" s="53"/>
      <c r="BD373" s="51"/>
      <c r="BE373" s="53"/>
      <c r="BF373" s="51"/>
      <c r="BG373" s="53"/>
      <c r="BH373" s="51"/>
      <c r="BI373" s="53"/>
      <c r="BJ373" s="51"/>
      <c r="BK373" s="53"/>
      <c r="BL373" s="51"/>
      <c r="BM373" s="53"/>
      <c r="BN373" s="51"/>
      <c r="BO373" s="53"/>
      <c r="BP373" s="51"/>
      <c r="BQ373" s="53"/>
      <c r="BR373" s="55"/>
    </row>
    <row r="374" spans="1:70" ht="28.5" customHeight="1">
      <c r="A374" s="67" t="str">
        <f>IF(games!A374="", "", games!A374)</f>
        <v>小骷髏超能斬</v>
      </c>
      <c r="B374" s="51"/>
      <c r="C374" s="51" t="str">
        <f t="shared" si="16"/>
        <v>giftcodesbanner/小骷髏超能斬-禮包碼.jpg</v>
      </c>
      <c r="D374" s="51" t="str">
        <f t="shared" si="17"/>
        <v>https://www.ssbuy.tw/gift-codes.html?game=小骷髏超能斬</v>
      </c>
      <c r="E374" s="91"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2" t="s">
        <v>5232</v>
      </c>
      <c r="G374" s="51"/>
      <c r="H374" s="51"/>
      <c r="I374" s="51"/>
      <c r="J374" s="91"/>
      <c r="K374" s="100" t="s">
        <v>6343</v>
      </c>
      <c r="L374" s="51" t="s">
        <v>5496</v>
      </c>
      <c r="M374" s="53"/>
      <c r="N374" s="54"/>
      <c r="O374" s="53"/>
      <c r="P374" s="54"/>
      <c r="Q374" s="53"/>
      <c r="R374" s="54"/>
      <c r="S374" s="53"/>
      <c r="T374" s="54"/>
      <c r="U374" s="53"/>
      <c r="V374" s="54"/>
      <c r="W374" s="53"/>
      <c r="X374" s="54"/>
      <c r="Y374" s="53"/>
      <c r="Z374" s="54"/>
      <c r="AA374" s="53"/>
      <c r="AB374" s="54"/>
      <c r="AC374" s="53"/>
      <c r="AD374" s="54"/>
      <c r="AE374" s="53"/>
      <c r="AF374" s="54"/>
      <c r="AG374" s="53"/>
      <c r="AH374" s="54"/>
      <c r="AI374" s="53"/>
      <c r="AJ374" s="54"/>
      <c r="AK374" s="53"/>
      <c r="AL374" s="54"/>
      <c r="AM374" s="53"/>
      <c r="AN374" s="54"/>
      <c r="AO374" s="53"/>
      <c r="AP374" s="54"/>
      <c r="AQ374" s="53"/>
      <c r="AR374" s="54"/>
      <c r="AS374" s="53"/>
      <c r="AT374" s="54"/>
      <c r="AU374" s="53"/>
      <c r="AV374" s="54"/>
      <c r="AW374" s="53"/>
      <c r="AX374" s="54"/>
      <c r="AY374" s="53"/>
      <c r="AZ374" s="54"/>
      <c r="BA374" s="53"/>
      <c r="BB374" s="51"/>
      <c r="BC374" s="53"/>
      <c r="BD374" s="51"/>
      <c r="BE374" s="53"/>
      <c r="BF374" s="51"/>
      <c r="BG374" s="53"/>
      <c r="BH374" s="51"/>
      <c r="BI374" s="53"/>
      <c r="BJ374" s="51"/>
      <c r="BK374" s="53"/>
      <c r="BL374" s="51"/>
      <c r="BM374" s="53"/>
      <c r="BN374" s="51"/>
      <c r="BO374" s="53"/>
      <c r="BP374" s="51"/>
      <c r="BQ374" s="53"/>
      <c r="BR374" s="55"/>
    </row>
    <row r="375" spans="1:70" ht="28.5" customHeight="1">
      <c r="A375" s="67" t="str">
        <f>IF(games!A375="", "", games!A375)</f>
        <v>靈寵工坊</v>
      </c>
      <c r="B375" s="51"/>
      <c r="C375" s="51" t="str">
        <f t="shared" si="16"/>
        <v>giftcodesbanner/靈寵工坊-禮包碼.jpg</v>
      </c>
      <c r="D375" s="51" t="str">
        <f t="shared" si="17"/>
        <v>https://www.ssbuy.tw/gift-codes.html?game=靈寵工坊</v>
      </c>
      <c r="E375" s="91"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2" t="s">
        <v>6986</v>
      </c>
      <c r="G375" s="51" t="s">
        <v>6987</v>
      </c>
      <c r="H375" s="51" t="s">
        <v>6988</v>
      </c>
      <c r="I375" s="51"/>
      <c r="J375" s="91"/>
      <c r="K375" s="100" t="s">
        <v>6343</v>
      </c>
      <c r="L375" s="51" t="s">
        <v>5496</v>
      </c>
      <c r="M375" s="53" t="s">
        <v>6985</v>
      </c>
      <c r="N375" s="54"/>
      <c r="O375" s="53" t="s">
        <v>6990</v>
      </c>
      <c r="P375" s="54"/>
      <c r="Q375" s="53"/>
      <c r="R375" s="54"/>
      <c r="S375" s="53"/>
      <c r="T375" s="54"/>
      <c r="U375" s="53"/>
      <c r="V375" s="54"/>
      <c r="W375" s="53"/>
      <c r="X375" s="54"/>
      <c r="Y375" s="53"/>
      <c r="Z375" s="54"/>
      <c r="AA375" s="53"/>
      <c r="AB375" s="54"/>
      <c r="AC375" s="53"/>
      <c r="AD375" s="54"/>
      <c r="AE375" s="53"/>
      <c r="AF375" s="54"/>
      <c r="AG375" s="53"/>
      <c r="AH375" s="54"/>
      <c r="AI375" s="53"/>
      <c r="AJ375" s="54"/>
      <c r="AK375" s="53"/>
      <c r="AL375" s="54"/>
      <c r="AM375" s="53"/>
      <c r="AN375" s="54"/>
      <c r="AO375" s="53"/>
      <c r="AP375" s="54"/>
      <c r="AQ375" s="53"/>
      <c r="AR375" s="54"/>
      <c r="AS375" s="53"/>
      <c r="AT375" s="54"/>
      <c r="AU375" s="53"/>
      <c r="AV375" s="54"/>
      <c r="AW375" s="53"/>
      <c r="AX375" s="54"/>
      <c r="AY375" s="53"/>
      <c r="AZ375" s="54"/>
      <c r="BA375" s="53"/>
      <c r="BB375" s="51"/>
      <c r="BC375" s="53"/>
      <c r="BD375" s="51"/>
      <c r="BE375" s="53"/>
      <c r="BF375" s="51"/>
      <c r="BG375" s="53"/>
      <c r="BH375" s="51"/>
      <c r="BI375" s="53"/>
      <c r="BJ375" s="51"/>
      <c r="BK375" s="53"/>
      <c r="BL375" s="51"/>
      <c r="BM375" s="53"/>
      <c r="BN375" s="51"/>
      <c r="BO375" s="53"/>
      <c r="BP375" s="51"/>
      <c r="BQ375" s="53"/>
      <c r="BR375" s="55"/>
    </row>
    <row r="376" spans="1:70" ht="28.5" customHeight="1">
      <c r="A376" s="67" t="str">
        <f>IF(games!A376="", "", games!A376)</f>
        <v>天命傳說</v>
      </c>
      <c r="B376" s="51"/>
      <c r="C376" s="51" t="str">
        <f t="shared" si="16"/>
        <v>giftcodesbanner/天命傳說-禮包碼.jpg</v>
      </c>
      <c r="D376" s="51" t="str">
        <f t="shared" si="17"/>
        <v>https://www.ssbuy.tw/gift-codes.html?game=天命傳說</v>
      </c>
      <c r="E376" s="91"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07" t="s">
        <v>6948</v>
      </c>
      <c r="G376" s="51" t="s">
        <v>6949</v>
      </c>
      <c r="H376" s="51" t="s">
        <v>6246</v>
      </c>
      <c r="I376" s="51"/>
      <c r="J376" s="91"/>
      <c r="K376" s="100" t="s">
        <v>6343</v>
      </c>
      <c r="L376" s="51" t="s">
        <v>5496</v>
      </c>
      <c r="M376" s="53" t="s">
        <v>6938</v>
      </c>
      <c r="N376" s="54"/>
      <c r="O376" s="53" t="s">
        <v>6939</v>
      </c>
      <c r="P376" s="54"/>
      <c r="Q376" s="53" t="s">
        <v>6940</v>
      </c>
      <c r="R376" s="54"/>
      <c r="S376" s="53" t="s">
        <v>6941</v>
      </c>
      <c r="T376" s="54"/>
      <c r="U376" s="53" t="s">
        <v>6942</v>
      </c>
      <c r="V376" s="54"/>
      <c r="W376" s="25" t="s">
        <v>2491</v>
      </c>
      <c r="X376" s="54"/>
      <c r="Y376" s="53" t="s">
        <v>6943</v>
      </c>
      <c r="Z376" s="54"/>
      <c r="AA376" s="53" t="s">
        <v>6944</v>
      </c>
      <c r="AB376" s="54"/>
      <c r="AC376" s="25" t="s">
        <v>6945</v>
      </c>
      <c r="AD376" s="54"/>
      <c r="AE376" s="53" t="s">
        <v>6946</v>
      </c>
      <c r="AF376" s="54"/>
      <c r="AG376" s="53" t="s">
        <v>6947</v>
      </c>
      <c r="AH376" s="54"/>
      <c r="AI376" s="53"/>
      <c r="AJ376" s="54"/>
      <c r="AK376" s="53"/>
      <c r="AL376" s="54"/>
      <c r="AM376" s="53"/>
      <c r="AN376" s="54"/>
      <c r="AO376" s="53"/>
      <c r="AP376" s="54"/>
      <c r="AQ376" s="53"/>
      <c r="AR376" s="54"/>
      <c r="AS376" s="53"/>
      <c r="AT376" s="54"/>
      <c r="AU376" s="53"/>
      <c r="AV376" s="54"/>
      <c r="AW376" s="53"/>
      <c r="AX376" s="54"/>
      <c r="AY376" s="53"/>
      <c r="AZ376" s="54"/>
      <c r="BA376" s="53"/>
      <c r="BB376" s="51"/>
      <c r="BC376" s="53"/>
      <c r="BD376" s="51"/>
      <c r="BE376" s="53"/>
      <c r="BF376" s="51"/>
      <c r="BG376" s="53"/>
      <c r="BH376" s="51"/>
      <c r="BI376" s="53"/>
      <c r="BJ376" s="51"/>
      <c r="BK376" s="53"/>
      <c r="BL376" s="51"/>
      <c r="BM376" s="53"/>
      <c r="BN376" s="51"/>
      <c r="BO376" s="53"/>
      <c r="BP376" s="51"/>
      <c r="BQ376" s="53"/>
      <c r="BR376" s="55"/>
    </row>
    <row r="377" spans="1:70" ht="28.5" customHeight="1">
      <c r="A377" s="67" t="str">
        <f>IF(games!A377="", "", games!A377)</f>
        <v>最遊幻想</v>
      </c>
      <c r="B377" s="51"/>
      <c r="C377" s="51" t="str">
        <f t="shared" si="16"/>
        <v>giftcodesbanner/最遊幻想-禮包碼.jpg</v>
      </c>
      <c r="D377" s="51" t="str">
        <f t="shared" si="17"/>
        <v>https://www.ssbuy.tw/gift-codes.html?game=最遊幻想</v>
      </c>
      <c r="E377" s="91"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07" t="s">
        <v>6920</v>
      </c>
      <c r="G377" s="51" t="s">
        <v>6921</v>
      </c>
      <c r="H377" s="51" t="s">
        <v>6246</v>
      </c>
      <c r="I377" s="51"/>
      <c r="J377" s="91"/>
      <c r="K377" s="100" t="s">
        <v>6343</v>
      </c>
      <c r="L377" s="51" t="s">
        <v>5496</v>
      </c>
      <c r="M377" s="53" t="s">
        <v>6991</v>
      </c>
      <c r="N377" s="54" t="s">
        <v>6992</v>
      </c>
      <c r="O377" s="53" t="s">
        <v>6995</v>
      </c>
      <c r="P377" s="54"/>
      <c r="Q377" s="53" t="s">
        <v>6996</v>
      </c>
      <c r="R377" s="54"/>
      <c r="S377" s="53" t="s">
        <v>6997</v>
      </c>
      <c r="T377" s="54"/>
      <c r="U377" s="53" t="s">
        <v>6608</v>
      </c>
      <c r="V377" s="54"/>
      <c r="W377" s="53" t="s">
        <v>7029</v>
      </c>
      <c r="X377" s="54" t="s">
        <v>7030</v>
      </c>
      <c r="Y377" s="53" t="s">
        <v>7031</v>
      </c>
      <c r="Z377" s="54" t="s">
        <v>7030</v>
      </c>
      <c r="AA377" s="53" t="s">
        <v>7032</v>
      </c>
      <c r="AB377" s="54" t="s">
        <v>7030</v>
      </c>
      <c r="AC377" s="53" t="s">
        <v>7054</v>
      </c>
      <c r="AD377" s="54"/>
      <c r="AE377" s="53" t="s">
        <v>7055</v>
      </c>
      <c r="AF377" s="54"/>
      <c r="AG377" s="25" t="s">
        <v>7056</v>
      </c>
      <c r="AH377" s="54" t="s">
        <v>7030</v>
      </c>
      <c r="AI377" s="53" t="s">
        <v>7057</v>
      </c>
      <c r="AJ377" s="54" t="s">
        <v>7030</v>
      </c>
      <c r="AK377" s="53" t="s">
        <v>7058</v>
      </c>
      <c r="AL377" s="54" t="s">
        <v>7030</v>
      </c>
      <c r="AM377" s="53" t="s">
        <v>7081</v>
      </c>
      <c r="AN377" s="54" t="s">
        <v>7030</v>
      </c>
      <c r="AO377" s="53"/>
      <c r="AP377" s="54"/>
      <c r="AQ377" s="53"/>
      <c r="AR377" s="54"/>
      <c r="AS377" s="53"/>
      <c r="AT377" s="54"/>
      <c r="AU377" s="53"/>
      <c r="AV377" s="54"/>
      <c r="AW377" s="53"/>
      <c r="AX377" s="54"/>
      <c r="AY377" s="53"/>
      <c r="AZ377" s="54"/>
      <c r="BA377" s="53"/>
      <c r="BB377" s="51"/>
      <c r="BC377" s="53"/>
      <c r="BD377" s="51"/>
      <c r="BE377" s="53"/>
      <c r="BF377" s="51"/>
      <c r="BG377" s="53"/>
      <c r="BH377" s="51"/>
      <c r="BI377" s="53"/>
      <c r="BJ377" s="51"/>
      <c r="BK377" s="53"/>
      <c r="BL377" s="51"/>
      <c r="BM377" s="53"/>
      <c r="BN377" s="51"/>
      <c r="BO377" s="53"/>
      <c r="BP377" s="51"/>
      <c r="BQ377" s="53"/>
      <c r="BR377" s="55"/>
    </row>
    <row r="378" spans="1:70" ht="28.5" customHeight="1">
      <c r="A378" s="67" t="str">
        <f>IF(games!A378="", "", games!A378)</f>
        <v>強棒出擊：ALL IN</v>
      </c>
      <c r="B378" s="51"/>
      <c r="C378" s="51" t="str">
        <f t="shared" si="16"/>
        <v>giftcodesbanner/強棒出擊：ALL IN-禮包碼.jpg</v>
      </c>
      <c r="D378" s="51" t="str">
        <f t="shared" si="17"/>
        <v>https://www.ssbuy.tw/gift-codes.html?game=強棒出擊：ALL IN</v>
      </c>
      <c r="E378" s="91"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07" t="s">
        <v>6951</v>
      </c>
      <c r="G378" s="51" t="s">
        <v>6952</v>
      </c>
      <c r="H378" s="51" t="s">
        <v>6953</v>
      </c>
      <c r="I378" s="51" t="s">
        <v>6954</v>
      </c>
      <c r="J378" s="91"/>
      <c r="K378" s="100" t="s">
        <v>6343</v>
      </c>
      <c r="L378" s="51" t="s">
        <v>5496</v>
      </c>
      <c r="M378" s="53" t="s">
        <v>6934</v>
      </c>
      <c r="N378" s="54" t="s">
        <v>6950</v>
      </c>
      <c r="O378" s="53" t="s">
        <v>6935</v>
      </c>
      <c r="P378" s="54"/>
      <c r="Q378" s="53" t="s">
        <v>6936</v>
      </c>
      <c r="R378" s="54" t="s">
        <v>6950</v>
      </c>
      <c r="S378" s="53"/>
      <c r="T378" s="54"/>
      <c r="U378" s="53"/>
      <c r="V378" s="54"/>
      <c r="W378" s="53"/>
      <c r="X378" s="54"/>
      <c r="Y378" s="53"/>
      <c r="Z378" s="54"/>
      <c r="AA378" s="53"/>
      <c r="AB378" s="54"/>
      <c r="AC378" s="53"/>
      <c r="AD378" s="54"/>
      <c r="AE378" s="53"/>
      <c r="AF378" s="54"/>
      <c r="AG378" s="53"/>
      <c r="AH378" s="54"/>
      <c r="AI378" s="53"/>
      <c r="AJ378" s="54"/>
      <c r="AK378" s="53"/>
      <c r="AL378" s="54"/>
      <c r="AM378" s="53"/>
      <c r="AN378" s="54"/>
      <c r="AO378" s="53"/>
      <c r="AP378" s="54"/>
      <c r="AQ378" s="53"/>
      <c r="AR378" s="54"/>
      <c r="AS378" s="53"/>
      <c r="AT378" s="54"/>
      <c r="AU378" s="53"/>
      <c r="AV378" s="54"/>
      <c r="AW378" s="53"/>
      <c r="AX378" s="54"/>
      <c r="AY378" s="53"/>
      <c r="AZ378" s="54"/>
      <c r="BA378" s="53"/>
      <c r="BB378" s="51"/>
      <c r="BC378" s="53"/>
      <c r="BD378" s="51"/>
      <c r="BE378" s="53"/>
      <c r="BF378" s="51"/>
      <c r="BG378" s="53"/>
      <c r="BH378" s="51"/>
      <c r="BI378" s="53"/>
      <c r="BJ378" s="51"/>
      <c r="BK378" s="53"/>
      <c r="BL378" s="51"/>
      <c r="BM378" s="53"/>
      <c r="BN378" s="51"/>
      <c r="BO378" s="53"/>
      <c r="BP378" s="51"/>
      <c r="BQ378" s="53"/>
      <c r="BR378" s="55"/>
    </row>
    <row r="379" spans="1:70" ht="28.5" customHeight="1">
      <c r="A379" s="67" t="str">
        <f>IF(games!A379="", "", games!A379)</f>
        <v>獸寶特攻隊</v>
      </c>
      <c r="B379" s="51"/>
      <c r="C379" s="51" t="str">
        <f t="shared" si="16"/>
        <v>giftcodesbanner/獸寶特攻隊-禮包碼.jpg</v>
      </c>
      <c r="D379" s="51" t="str">
        <f t="shared" si="17"/>
        <v>https://www.ssbuy.tw/gift-codes.html?game=獸寶特攻隊</v>
      </c>
      <c r="E379" s="91"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2" t="s">
        <v>5232</v>
      </c>
      <c r="G379" s="51"/>
      <c r="H379" s="51"/>
      <c r="I379" s="51"/>
      <c r="J379" s="91"/>
      <c r="K379" s="100" t="s">
        <v>6343</v>
      </c>
      <c r="L379" s="51" t="s">
        <v>5496</v>
      </c>
      <c r="M379" s="53"/>
      <c r="N379" s="54"/>
      <c r="O379" s="53"/>
      <c r="P379" s="54"/>
      <c r="Q379" s="53"/>
      <c r="R379" s="54"/>
      <c r="S379" s="53"/>
      <c r="T379" s="54"/>
      <c r="U379" s="53"/>
      <c r="V379" s="54"/>
      <c r="W379" s="53"/>
      <c r="X379" s="54"/>
      <c r="Y379" s="53"/>
      <c r="Z379" s="54"/>
      <c r="AA379" s="53"/>
      <c r="AB379" s="54"/>
      <c r="AC379" s="53"/>
      <c r="AD379" s="54"/>
      <c r="AE379" s="53"/>
      <c r="AF379" s="54"/>
      <c r="AG379" s="53"/>
      <c r="AH379" s="54"/>
      <c r="AI379" s="53"/>
      <c r="AJ379" s="54"/>
      <c r="AK379" s="53"/>
      <c r="AL379" s="54"/>
      <c r="AM379" s="53"/>
      <c r="AN379" s="54"/>
      <c r="AO379" s="53"/>
      <c r="AP379" s="54"/>
      <c r="AQ379" s="53"/>
      <c r="AR379" s="54"/>
      <c r="AS379" s="53"/>
      <c r="AT379" s="54"/>
      <c r="AU379" s="53"/>
      <c r="AV379" s="54"/>
      <c r="AW379" s="53"/>
      <c r="AX379" s="54"/>
      <c r="AY379" s="53"/>
      <c r="AZ379" s="54"/>
      <c r="BA379" s="53"/>
      <c r="BB379" s="51"/>
      <c r="BC379" s="53"/>
      <c r="BD379" s="51"/>
      <c r="BE379" s="53"/>
      <c r="BF379" s="51"/>
      <c r="BG379" s="53"/>
      <c r="BH379" s="51"/>
      <c r="BI379" s="53"/>
      <c r="BJ379" s="51"/>
      <c r="BK379" s="53"/>
      <c r="BL379" s="51"/>
      <c r="BM379" s="53"/>
      <c r="BN379" s="51"/>
      <c r="BO379" s="53"/>
      <c r="BP379" s="51"/>
      <c r="BQ379" s="53"/>
      <c r="BR379" s="55"/>
    </row>
    <row r="380" spans="1:70" ht="28.5" customHeight="1">
      <c r="A380" s="67" t="str">
        <f>IF(games!A380="", "", games!A380)</f>
        <v>傭兵砰砰團：防衛戰</v>
      </c>
      <c r="B380" s="51"/>
      <c r="C380" s="51" t="str">
        <f t="shared" si="16"/>
        <v>giftcodesbanner/傭兵砰砰團：防衛戰-禮包碼.jpg</v>
      </c>
      <c r="D380" s="51" t="str">
        <f t="shared" si="17"/>
        <v>https://www.ssbuy.tw/gift-codes.html?game=傭兵砰砰團：防衛戰</v>
      </c>
      <c r="E380" s="91"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2" t="s">
        <v>5232</v>
      </c>
      <c r="G380" s="51"/>
      <c r="H380" s="51"/>
      <c r="I380" s="51"/>
      <c r="J380" s="91"/>
      <c r="K380" s="100" t="s">
        <v>6343</v>
      </c>
      <c r="L380" s="51" t="s">
        <v>5496</v>
      </c>
      <c r="M380" s="53"/>
      <c r="N380" s="54"/>
      <c r="O380" s="53"/>
      <c r="P380" s="54"/>
      <c r="Q380" s="53"/>
      <c r="R380" s="54"/>
      <c r="S380" s="53"/>
      <c r="T380" s="54"/>
      <c r="U380" s="53"/>
      <c r="V380" s="54"/>
      <c r="W380" s="53"/>
      <c r="X380" s="54"/>
      <c r="Y380" s="53"/>
      <c r="Z380" s="54"/>
      <c r="AA380" s="53"/>
      <c r="AB380" s="54"/>
      <c r="AC380" s="53"/>
      <c r="AD380" s="54"/>
      <c r="AE380" s="53"/>
      <c r="AF380" s="54"/>
      <c r="AG380" s="53"/>
      <c r="AH380" s="54"/>
      <c r="AI380" s="53"/>
      <c r="AJ380" s="54"/>
      <c r="AK380" s="53"/>
      <c r="AL380" s="54"/>
      <c r="AM380" s="53"/>
      <c r="AN380" s="54"/>
      <c r="AO380" s="53"/>
      <c r="AP380" s="54"/>
      <c r="AQ380" s="53"/>
      <c r="AR380" s="54"/>
      <c r="AS380" s="53"/>
      <c r="AT380" s="54"/>
      <c r="AU380" s="53"/>
      <c r="AV380" s="54"/>
      <c r="AW380" s="53"/>
      <c r="AX380" s="54"/>
      <c r="AY380" s="53"/>
      <c r="AZ380" s="54"/>
      <c r="BA380" s="53"/>
      <c r="BB380" s="51"/>
      <c r="BC380" s="53"/>
      <c r="BD380" s="51"/>
      <c r="BE380" s="53"/>
      <c r="BF380" s="51"/>
      <c r="BG380" s="53"/>
      <c r="BH380" s="51"/>
      <c r="BI380" s="53"/>
      <c r="BJ380" s="51"/>
      <c r="BK380" s="53"/>
      <c r="BL380" s="51"/>
      <c r="BM380" s="53"/>
      <c r="BN380" s="51"/>
      <c r="BO380" s="53"/>
      <c r="BP380" s="51"/>
      <c r="BQ380" s="53"/>
      <c r="BR380" s="55"/>
    </row>
    <row r="381" spans="1:70" ht="28.5" customHeight="1">
      <c r="A381" s="67" t="str">
        <f>IF(games!A381="", "", games!A381)</f>
        <v>矮人小酒館</v>
      </c>
      <c r="B381" s="51"/>
      <c r="C381" s="51" t="str">
        <f t="shared" si="16"/>
        <v>giftcodesbanner/矮人小酒館-禮包碼.jpg</v>
      </c>
      <c r="D381" s="51" t="str">
        <f t="shared" si="17"/>
        <v>https://www.ssbuy.tw/gift-codes.html?game=矮人小酒館</v>
      </c>
      <c r="E381" s="91"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2" t="s">
        <v>5232</v>
      </c>
      <c r="G381" s="51"/>
      <c r="H381" s="51"/>
      <c r="I381" s="51"/>
      <c r="J381" s="91"/>
      <c r="K381" s="100" t="s">
        <v>6343</v>
      </c>
      <c r="L381" s="51" t="s">
        <v>5496</v>
      </c>
      <c r="M381" s="53" t="s">
        <v>6993</v>
      </c>
      <c r="N381" s="54"/>
      <c r="O381" s="53" t="s">
        <v>6994</v>
      </c>
      <c r="P381" s="54"/>
      <c r="Q381" s="53"/>
      <c r="R381" s="54"/>
      <c r="S381" s="53"/>
      <c r="T381" s="54"/>
      <c r="U381" s="53"/>
      <c r="V381" s="54"/>
      <c r="W381" s="53"/>
      <c r="X381" s="54"/>
      <c r="Y381" s="53"/>
      <c r="Z381" s="54"/>
      <c r="AA381" s="53"/>
      <c r="AB381" s="54"/>
      <c r="AC381" s="53"/>
      <c r="AD381" s="54"/>
      <c r="AE381" s="53"/>
      <c r="AF381" s="54"/>
      <c r="AG381" s="53"/>
      <c r="AH381" s="54"/>
      <c r="AI381" s="53"/>
      <c r="AJ381" s="54"/>
      <c r="AK381" s="53"/>
      <c r="AL381" s="54"/>
      <c r="AM381" s="53"/>
      <c r="AN381" s="54"/>
      <c r="AO381" s="53"/>
      <c r="AP381" s="54"/>
      <c r="AQ381" s="53"/>
      <c r="AR381" s="54"/>
      <c r="AS381" s="53"/>
      <c r="AT381" s="54"/>
      <c r="AU381" s="53"/>
      <c r="AV381" s="54"/>
      <c r="AW381" s="53"/>
      <c r="AX381" s="54"/>
      <c r="AY381" s="53"/>
      <c r="AZ381" s="54"/>
      <c r="BA381" s="53"/>
      <c r="BB381" s="51"/>
      <c r="BC381" s="53"/>
      <c r="BD381" s="51"/>
      <c r="BE381" s="53"/>
      <c r="BF381" s="51"/>
      <c r="BG381" s="53"/>
      <c r="BH381" s="51"/>
      <c r="BI381" s="53"/>
      <c r="BJ381" s="51"/>
      <c r="BK381" s="53"/>
      <c r="BL381" s="51"/>
      <c r="BM381" s="53"/>
      <c r="BN381" s="51"/>
      <c r="BO381" s="53"/>
      <c r="BP381" s="51"/>
      <c r="BQ381" s="53"/>
      <c r="BR381" s="55"/>
    </row>
    <row r="382" spans="1:70" ht="28.5" customHeight="1">
      <c r="A382" s="67" t="str">
        <f>IF(games!A382="", "", games!A382)</f>
        <v>星際守護者</v>
      </c>
      <c r="B382" s="51"/>
      <c r="C382" s="51" t="str">
        <f t="shared" si="16"/>
        <v>giftcodesbanner/星際守護者-禮包碼.jpg</v>
      </c>
      <c r="D382" s="51" t="str">
        <f t="shared" si="17"/>
        <v>https://www.ssbuy.tw/gift-codes.html?game=星際守護者</v>
      </c>
      <c r="E382" s="91"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2" t="s">
        <v>5232</v>
      </c>
      <c r="G382" s="51"/>
      <c r="H382" s="51"/>
      <c r="I382" s="51"/>
      <c r="J382" s="91"/>
      <c r="K382" s="100" t="s">
        <v>6343</v>
      </c>
      <c r="L382" s="51" t="s">
        <v>5496</v>
      </c>
      <c r="M382" s="53"/>
      <c r="N382" s="54"/>
      <c r="O382" s="53"/>
      <c r="P382" s="54"/>
      <c r="Q382" s="53"/>
      <c r="R382" s="54"/>
      <c r="S382" s="53"/>
      <c r="T382" s="54"/>
      <c r="U382" s="53"/>
      <c r="V382" s="54"/>
      <c r="W382" s="53"/>
      <c r="X382" s="54"/>
      <c r="Y382" s="53"/>
      <c r="Z382" s="54"/>
      <c r="AA382" s="53"/>
      <c r="AB382" s="54"/>
      <c r="AC382" s="53"/>
      <c r="AD382" s="54"/>
      <c r="AE382" s="53"/>
      <c r="AF382" s="54"/>
      <c r="AG382" s="53"/>
      <c r="AH382" s="54"/>
      <c r="AI382" s="53"/>
      <c r="AJ382" s="54"/>
      <c r="AK382" s="53"/>
      <c r="AL382" s="54"/>
      <c r="AM382" s="53"/>
      <c r="AN382" s="54"/>
      <c r="AO382" s="53"/>
      <c r="AP382" s="54"/>
      <c r="AQ382" s="53"/>
      <c r="AR382" s="54"/>
      <c r="AS382" s="53"/>
      <c r="AT382" s="54"/>
      <c r="AU382" s="53"/>
      <c r="AV382" s="54"/>
      <c r="AW382" s="53"/>
      <c r="AX382" s="54"/>
      <c r="AY382" s="53"/>
      <c r="AZ382" s="54"/>
      <c r="BA382" s="53"/>
      <c r="BB382" s="51"/>
      <c r="BC382" s="53"/>
      <c r="BD382" s="51"/>
      <c r="BE382" s="53"/>
      <c r="BF382" s="51"/>
      <c r="BG382" s="53"/>
      <c r="BH382" s="51"/>
      <c r="BI382" s="53"/>
      <c r="BJ382" s="51"/>
      <c r="BK382" s="53"/>
      <c r="BL382" s="51"/>
      <c r="BM382" s="53"/>
      <c r="BN382" s="51"/>
      <c r="BO382" s="53"/>
      <c r="BP382" s="51"/>
      <c r="BQ382" s="53"/>
      <c r="BR382" s="55"/>
    </row>
    <row r="383" spans="1:70" ht="28.5" customHeight="1">
      <c r="A383" s="67" t="str">
        <f>IF(games!A383="", "", games!A383)</f>
        <v>霹靂蘑菇</v>
      </c>
      <c r="B383" s="51"/>
      <c r="C383" s="51" t="str">
        <f t="shared" si="16"/>
        <v>giftcodesbanner/霹靂蘑菇-禮包碼.jpg</v>
      </c>
      <c r="D383" s="51" t="str">
        <f t="shared" si="17"/>
        <v>https://www.ssbuy.tw/gift-codes.html?game=霹靂蘑菇</v>
      </c>
      <c r="E383" s="91"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2" t="s">
        <v>7061</v>
      </c>
      <c r="G383" s="51" t="s">
        <v>7062</v>
      </c>
      <c r="H383" s="51" t="s">
        <v>6988</v>
      </c>
      <c r="I383" s="51"/>
      <c r="J383" s="91"/>
      <c r="K383" s="100" t="s">
        <v>6343</v>
      </c>
      <c r="L383" s="51" t="s">
        <v>5496</v>
      </c>
      <c r="M383" s="53" t="s">
        <v>1841</v>
      </c>
      <c r="N383" s="54" t="s">
        <v>7063</v>
      </c>
      <c r="O383" s="53" t="s">
        <v>7064</v>
      </c>
      <c r="P383" s="54" t="s">
        <v>7068</v>
      </c>
      <c r="Q383" s="53" t="s">
        <v>7065</v>
      </c>
      <c r="R383" s="54" t="s">
        <v>7069</v>
      </c>
      <c r="S383" s="53" t="s">
        <v>1932</v>
      </c>
      <c r="T383" s="54" t="s">
        <v>7070</v>
      </c>
      <c r="U383" s="53" t="s">
        <v>7066</v>
      </c>
      <c r="V383" s="54" t="s">
        <v>7071</v>
      </c>
      <c r="W383" s="53" t="s">
        <v>7067</v>
      </c>
      <c r="X383" s="54" t="s">
        <v>7072</v>
      </c>
      <c r="Y383" s="53" t="s">
        <v>7363</v>
      </c>
      <c r="Z383" s="54"/>
      <c r="AA383" s="53" t="s">
        <v>7364</v>
      </c>
      <c r="AB383" s="54"/>
      <c r="AC383" s="53" t="s">
        <v>7365</v>
      </c>
      <c r="AD383" s="54"/>
      <c r="AE383" s="53" t="s">
        <v>7366</v>
      </c>
      <c r="AF383" s="54"/>
      <c r="AG383" s="53" t="s">
        <v>7367</v>
      </c>
      <c r="AH383" s="54"/>
      <c r="AI383" s="53" t="s">
        <v>7368</v>
      </c>
      <c r="AJ383" s="54"/>
      <c r="AK383" s="53" t="s">
        <v>7369</v>
      </c>
      <c r="AL383" s="54"/>
      <c r="AM383" s="53" t="s">
        <v>7370</v>
      </c>
      <c r="AN383" s="54"/>
      <c r="AO383" s="53"/>
      <c r="AP383" s="54"/>
      <c r="AQ383" s="53"/>
      <c r="AR383" s="54"/>
      <c r="AS383" s="53"/>
      <c r="AT383" s="54"/>
      <c r="AU383" s="53"/>
      <c r="AV383" s="54"/>
      <c r="AW383" s="53"/>
      <c r="AX383" s="54"/>
      <c r="AY383" s="53"/>
      <c r="AZ383" s="54"/>
      <c r="BA383" s="53"/>
      <c r="BB383" s="51"/>
      <c r="BC383" s="53"/>
      <c r="BD383" s="51"/>
      <c r="BE383" s="53"/>
      <c r="BF383" s="51"/>
      <c r="BG383" s="53"/>
      <c r="BH383" s="51"/>
      <c r="BI383" s="53"/>
      <c r="BJ383" s="51"/>
      <c r="BK383" s="53"/>
      <c r="BL383" s="51"/>
      <c r="BM383" s="53"/>
      <c r="BN383" s="51"/>
      <c r="BO383" s="53"/>
      <c r="BP383" s="51"/>
      <c r="BQ383" s="53"/>
      <c r="BR383" s="55"/>
    </row>
    <row r="384" spans="1:70" ht="28.5" customHeight="1">
      <c r="A384" s="67" t="str">
        <f>IF(games!A384="", "", games!A384)</f>
        <v>小將超兇</v>
      </c>
      <c r="B384" s="51"/>
      <c r="C384" s="51" t="str">
        <f t="shared" si="16"/>
        <v>giftcodesbanner/小將超兇-禮包碼.jpg</v>
      </c>
      <c r="D384" s="51" t="str">
        <f t="shared" si="17"/>
        <v>https://www.ssbuy.tw/gift-codes.html?game=小將超兇</v>
      </c>
      <c r="E384" s="91"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07" t="s">
        <v>7060</v>
      </c>
      <c r="G384" s="51"/>
      <c r="H384" s="51" t="s">
        <v>6988</v>
      </c>
      <c r="I384" s="51"/>
      <c r="J384" s="91"/>
      <c r="K384" s="100" t="s">
        <v>6343</v>
      </c>
      <c r="L384" s="51" t="s">
        <v>5496</v>
      </c>
      <c r="M384" s="53" t="s">
        <v>7059</v>
      </c>
      <c r="N384" s="54"/>
      <c r="O384" s="53" t="s">
        <v>7079</v>
      </c>
      <c r="P384" s="54" t="s">
        <v>7080</v>
      </c>
      <c r="Q384" s="53" t="s">
        <v>7145</v>
      </c>
      <c r="R384" s="54" t="s">
        <v>7147</v>
      </c>
      <c r="S384" s="53" t="s">
        <v>7144</v>
      </c>
      <c r="T384" s="54" t="s">
        <v>7147</v>
      </c>
      <c r="U384" s="53" t="s">
        <v>7146</v>
      </c>
      <c r="V384" s="54" t="s">
        <v>7148</v>
      </c>
      <c r="W384" s="53"/>
      <c r="X384" s="54"/>
      <c r="Y384" s="53"/>
      <c r="Z384" s="54"/>
      <c r="AA384" s="53"/>
      <c r="AB384" s="54"/>
      <c r="AC384" s="53"/>
      <c r="AD384" s="54"/>
      <c r="AE384" s="53"/>
      <c r="AF384" s="54"/>
      <c r="AG384" s="53"/>
      <c r="AH384" s="54"/>
      <c r="AI384" s="53"/>
      <c r="AJ384" s="54"/>
      <c r="AK384" s="53"/>
      <c r="AL384" s="54"/>
      <c r="AM384" s="53"/>
      <c r="AN384" s="54"/>
      <c r="AO384" s="53"/>
      <c r="AP384" s="54"/>
      <c r="AQ384" s="53"/>
      <c r="AR384" s="54"/>
      <c r="AS384" s="53"/>
      <c r="AT384" s="54"/>
      <c r="AU384" s="53"/>
      <c r="AV384" s="54"/>
      <c r="AW384" s="53"/>
      <c r="AX384" s="54"/>
      <c r="AY384" s="53"/>
      <c r="AZ384" s="54"/>
      <c r="BA384" s="53"/>
      <c r="BB384" s="51"/>
      <c r="BC384" s="53"/>
      <c r="BD384" s="51"/>
      <c r="BE384" s="53"/>
      <c r="BF384" s="51"/>
      <c r="BG384" s="53"/>
      <c r="BH384" s="51"/>
      <c r="BI384" s="53"/>
      <c r="BJ384" s="51"/>
      <c r="BK384" s="53"/>
      <c r="BL384" s="51"/>
      <c r="BM384" s="53"/>
      <c r="BN384" s="51"/>
      <c r="BO384" s="53"/>
      <c r="BP384" s="51"/>
      <c r="BQ384" s="53"/>
      <c r="BR384" s="55"/>
    </row>
    <row r="385" spans="1:70" ht="28.5" customHeight="1">
      <c r="A385" s="67" t="str">
        <f>IF(games!A385="", "", games!A385)</f>
        <v>勇者逗逗龍</v>
      </c>
      <c r="B385" s="51"/>
      <c r="C385" s="51" t="str">
        <f t="shared" si="16"/>
        <v>giftcodesbanner/勇者逗逗龍-禮包碼.jpg</v>
      </c>
      <c r="D385" s="51" t="str">
        <f t="shared" si="17"/>
        <v>https://www.ssbuy.tw/gift-codes.html?game=勇者逗逗龍</v>
      </c>
      <c r="E385" s="91"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07" t="s">
        <v>5464</v>
      </c>
      <c r="G385" s="51" t="s">
        <v>7098</v>
      </c>
      <c r="H385" s="51" t="s">
        <v>6988</v>
      </c>
      <c r="I385" s="51"/>
      <c r="J385" s="91"/>
      <c r="K385" s="100" t="s">
        <v>6343</v>
      </c>
      <c r="L385" s="51" t="s">
        <v>5496</v>
      </c>
      <c r="M385" s="53" t="s">
        <v>1932</v>
      </c>
      <c r="N385" s="54" t="s">
        <v>7075</v>
      </c>
      <c r="O385" s="53" t="s">
        <v>6291</v>
      </c>
      <c r="P385" s="54" t="s">
        <v>7076</v>
      </c>
      <c r="Q385" s="53" t="s">
        <v>6997</v>
      </c>
      <c r="R385" s="54" t="s">
        <v>7077</v>
      </c>
      <c r="S385" s="53" t="s">
        <v>7073</v>
      </c>
      <c r="T385" s="54" t="s">
        <v>7078</v>
      </c>
      <c r="U385" s="53" t="s">
        <v>7074</v>
      </c>
      <c r="V385" s="54" t="s">
        <v>7075</v>
      </c>
      <c r="W385" s="53" t="s">
        <v>7809</v>
      </c>
      <c r="X385" s="54" t="s">
        <v>7810</v>
      </c>
      <c r="Y385" s="53"/>
      <c r="Z385" s="54"/>
      <c r="AA385" s="53"/>
      <c r="AB385" s="54"/>
      <c r="AC385" s="53"/>
      <c r="AD385" s="54"/>
      <c r="AE385" s="53"/>
      <c r="AF385" s="54"/>
      <c r="AG385" s="53"/>
      <c r="AH385" s="54"/>
      <c r="AI385" s="53"/>
      <c r="AJ385" s="54"/>
      <c r="AK385" s="53"/>
      <c r="AL385" s="54"/>
      <c r="AM385" s="53"/>
      <c r="AN385" s="54"/>
      <c r="AO385" s="53"/>
      <c r="AP385" s="54"/>
      <c r="AQ385" s="53"/>
      <c r="AR385" s="54"/>
      <c r="AS385" s="53"/>
      <c r="AT385" s="54"/>
      <c r="AU385" s="53"/>
      <c r="AV385" s="54"/>
      <c r="AW385" s="53"/>
      <c r="AX385" s="54"/>
      <c r="AY385" s="53"/>
      <c r="AZ385" s="54"/>
      <c r="BA385" s="53"/>
      <c r="BB385" s="51"/>
      <c r="BC385" s="53"/>
      <c r="BD385" s="51"/>
      <c r="BE385" s="53"/>
      <c r="BF385" s="51"/>
      <c r="BG385" s="53"/>
      <c r="BH385" s="51"/>
      <c r="BI385" s="53"/>
      <c r="BJ385" s="51"/>
      <c r="BK385" s="53"/>
      <c r="BL385" s="51"/>
      <c r="BM385" s="53"/>
      <c r="BN385" s="51"/>
      <c r="BO385" s="53"/>
      <c r="BP385" s="51"/>
      <c r="BQ385" s="53"/>
      <c r="BR385" s="55"/>
    </row>
    <row r="386" spans="1:70" ht="28.5" customHeight="1">
      <c r="A386" s="67" t="str">
        <f>IF(games!A386="", "", games!A386)</f>
        <v>姬不可失：據點不設防</v>
      </c>
      <c r="B386" s="51"/>
      <c r="C386" s="51" t="str">
        <f t="shared" si="16"/>
        <v>giftcodesbanner/姬不可失：據點不設防-禮包碼.jpg</v>
      </c>
      <c r="D386" s="51" t="str">
        <f t="shared" si="17"/>
        <v>https://www.ssbuy.tw/gift-codes.html?game=姬不可失：據點不設防</v>
      </c>
      <c r="E386" s="91"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07" t="s">
        <v>5464</v>
      </c>
      <c r="G386" s="51" t="s">
        <v>7098</v>
      </c>
      <c r="H386" s="51" t="s">
        <v>6988</v>
      </c>
      <c r="I386" s="51"/>
      <c r="J386" s="91"/>
      <c r="K386" s="100" t="s">
        <v>6343</v>
      </c>
      <c r="L386" s="51" t="s">
        <v>5496</v>
      </c>
      <c r="M386" s="53" t="s">
        <v>7096</v>
      </c>
      <c r="N386" s="54" t="s">
        <v>7097</v>
      </c>
      <c r="O386" s="53"/>
      <c r="P386" s="54"/>
      <c r="Q386" s="53"/>
      <c r="R386" s="54"/>
      <c r="S386" s="53"/>
      <c r="T386" s="54"/>
      <c r="U386" s="53"/>
      <c r="V386" s="54"/>
      <c r="W386" s="53"/>
      <c r="X386" s="54"/>
      <c r="Y386" s="53"/>
      <c r="Z386" s="54"/>
      <c r="AA386" s="53"/>
      <c r="AB386" s="54"/>
      <c r="AC386" s="53"/>
      <c r="AD386" s="54"/>
      <c r="AE386" s="53"/>
      <c r="AF386" s="54"/>
      <c r="AG386" s="53"/>
      <c r="AH386" s="54"/>
      <c r="AI386" s="53"/>
      <c r="AJ386" s="54"/>
      <c r="AK386" s="53"/>
      <c r="AL386" s="54"/>
      <c r="AM386" s="53"/>
      <c r="AN386" s="54"/>
      <c r="AO386" s="53"/>
      <c r="AP386" s="54"/>
      <c r="AQ386" s="53"/>
      <c r="AR386" s="54"/>
      <c r="AS386" s="53"/>
      <c r="AT386" s="54"/>
      <c r="AU386" s="53"/>
      <c r="AV386" s="54"/>
      <c r="AW386" s="53"/>
      <c r="AX386" s="54"/>
      <c r="AY386" s="53"/>
      <c r="AZ386" s="54"/>
      <c r="BA386" s="53"/>
      <c r="BB386" s="51"/>
      <c r="BC386" s="53"/>
      <c r="BD386" s="51"/>
      <c r="BE386" s="53"/>
      <c r="BF386" s="51"/>
      <c r="BG386" s="53"/>
      <c r="BH386" s="51"/>
      <c r="BI386" s="53"/>
      <c r="BJ386" s="51"/>
      <c r="BK386" s="53"/>
      <c r="BL386" s="51"/>
      <c r="BM386" s="53"/>
      <c r="BN386" s="51"/>
      <c r="BO386" s="53"/>
      <c r="BP386" s="51"/>
      <c r="BQ386" s="53"/>
      <c r="BR386" s="55"/>
    </row>
    <row r="387" spans="1:70" ht="28.5" customHeight="1">
      <c r="A387" s="67" t="str">
        <f>IF(games!A387="", "", games!A387)</f>
        <v>集結啦！帕萌獸</v>
      </c>
      <c r="B387" s="51"/>
      <c r="C387" s="51" t="str">
        <f t="shared" si="16"/>
        <v>giftcodesbanner/集結啦！帕萌獸-禮包碼.jpg</v>
      </c>
      <c r="D387" s="51" t="str">
        <f t="shared" si="17"/>
        <v>https://www.ssbuy.tw/gift-codes.html?game=集結啦！帕萌獸</v>
      </c>
      <c r="E387" s="91"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07" t="s">
        <v>7100</v>
      </c>
      <c r="G387" s="51" t="s">
        <v>7184</v>
      </c>
      <c r="H387" s="51" t="s">
        <v>7185</v>
      </c>
      <c r="I387" s="51" t="s">
        <v>6988</v>
      </c>
      <c r="J387" s="91"/>
      <c r="K387" s="100" t="s">
        <v>6343</v>
      </c>
      <c r="L387" s="51" t="s">
        <v>5496</v>
      </c>
      <c r="M387" s="53" t="s">
        <v>7099</v>
      </c>
      <c r="N387" s="54"/>
      <c r="O387" s="53" t="s">
        <v>7183</v>
      </c>
      <c r="P387" s="54"/>
      <c r="Q387" s="53"/>
      <c r="R387" s="54"/>
      <c r="S387" s="53"/>
      <c r="T387" s="54"/>
      <c r="U387" s="53"/>
      <c r="V387" s="54"/>
      <c r="W387" s="53"/>
      <c r="X387" s="54"/>
      <c r="Y387" s="53"/>
      <c r="Z387" s="54"/>
      <c r="AA387" s="53"/>
      <c r="AB387" s="54"/>
      <c r="AC387" s="53"/>
      <c r="AD387" s="54"/>
      <c r="AE387" s="53"/>
      <c r="AF387" s="54"/>
      <c r="AG387" s="53"/>
      <c r="AH387" s="54"/>
      <c r="AI387" s="53"/>
      <c r="AJ387" s="54"/>
      <c r="AK387" s="53"/>
      <c r="AL387" s="54"/>
      <c r="AM387" s="53"/>
      <c r="AN387" s="54"/>
      <c r="AO387" s="53"/>
      <c r="AP387" s="54"/>
      <c r="AQ387" s="53"/>
      <c r="AR387" s="54"/>
      <c r="AS387" s="53"/>
      <c r="AT387" s="54"/>
      <c r="AU387" s="53"/>
      <c r="AV387" s="54"/>
      <c r="AW387" s="53"/>
      <c r="AX387" s="54"/>
      <c r="AY387" s="53"/>
      <c r="AZ387" s="54"/>
      <c r="BA387" s="53"/>
      <c r="BB387" s="51"/>
      <c r="BC387" s="53"/>
      <c r="BD387" s="51"/>
      <c r="BE387" s="53"/>
      <c r="BF387" s="51"/>
      <c r="BG387" s="53"/>
      <c r="BH387" s="51"/>
      <c r="BI387" s="53"/>
      <c r="BJ387" s="51"/>
      <c r="BK387" s="53"/>
      <c r="BL387" s="51"/>
      <c r="BM387" s="53"/>
      <c r="BN387" s="51"/>
      <c r="BO387" s="53"/>
      <c r="BP387" s="51"/>
      <c r="BQ387" s="53"/>
      <c r="BR387" s="55"/>
    </row>
    <row r="388" spans="1:70" ht="28.5" customHeight="1">
      <c r="A388" s="67" t="str">
        <f>IF(games!A388="", "", games!A388)</f>
        <v>超限進化：界域崩解</v>
      </c>
      <c r="B388" s="51"/>
      <c r="C388" s="51" t="str">
        <f t="shared" si="16"/>
        <v>giftcodesbanner/超限進化：界域崩解-禮包碼.jpg</v>
      </c>
      <c r="D388" s="51" t="str">
        <f t="shared" si="17"/>
        <v>https://www.ssbuy.tw/gift-codes.html?game=超限進化：界域崩解</v>
      </c>
      <c r="E388" s="91"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07" t="s">
        <v>7100</v>
      </c>
      <c r="G388" s="119" t="s">
        <v>7101</v>
      </c>
      <c r="H388" s="51" t="s">
        <v>6988</v>
      </c>
      <c r="I388" s="51"/>
      <c r="J388" s="91"/>
      <c r="K388" s="100" t="s">
        <v>6343</v>
      </c>
      <c r="L388" s="51" t="s">
        <v>5496</v>
      </c>
      <c r="M388" s="53" t="s">
        <v>7102</v>
      </c>
      <c r="N388" s="54"/>
      <c r="O388" s="53" t="s">
        <v>7103</v>
      </c>
      <c r="P388" s="54"/>
      <c r="Q388" s="53" t="s">
        <v>7104</v>
      </c>
      <c r="R388" s="54"/>
      <c r="S388" s="53" t="s">
        <v>7105</v>
      </c>
      <c r="T388" s="54"/>
      <c r="U388" s="53" t="s">
        <v>7106</v>
      </c>
      <c r="V388" s="54"/>
      <c r="W388" s="53" t="s">
        <v>7107</v>
      </c>
      <c r="X388" s="54"/>
      <c r="Y388" s="53" t="s">
        <v>7108</v>
      </c>
      <c r="Z388" s="54"/>
      <c r="AA388" s="53" t="s">
        <v>7109</v>
      </c>
      <c r="AB388" s="54"/>
      <c r="AC388" s="53" t="s">
        <v>7110</v>
      </c>
      <c r="AD388" s="54"/>
      <c r="AE388" s="53" t="s">
        <v>7111</v>
      </c>
      <c r="AF388" s="54"/>
      <c r="AG388" s="53" t="s">
        <v>7112</v>
      </c>
      <c r="AH388" s="54"/>
      <c r="AI388" s="53" t="s">
        <v>7113</v>
      </c>
      <c r="AJ388" s="54"/>
      <c r="AK388" s="53" t="s">
        <v>7114</v>
      </c>
      <c r="AL388" s="54"/>
      <c r="AM388" s="53" t="s">
        <v>7115</v>
      </c>
      <c r="AN388" s="54"/>
      <c r="AO388" s="53" t="s">
        <v>7116</v>
      </c>
      <c r="AP388" s="54"/>
      <c r="AQ388" s="53" t="s">
        <v>7129</v>
      </c>
      <c r="AR388" s="54" t="s">
        <v>7130</v>
      </c>
      <c r="AS388" s="53" t="s">
        <v>7151</v>
      </c>
      <c r="AT388" s="54"/>
      <c r="AU388" s="53" t="s">
        <v>7400</v>
      </c>
      <c r="AV388" s="54"/>
      <c r="AW388" s="53" t="s">
        <v>7401</v>
      </c>
      <c r="AX388" s="54"/>
      <c r="AY388" s="53"/>
      <c r="AZ388" s="54"/>
      <c r="BA388" s="53"/>
      <c r="BB388" s="51"/>
      <c r="BC388" s="53"/>
      <c r="BD388" s="51"/>
      <c r="BE388" s="53"/>
      <c r="BF388" s="51"/>
      <c r="BG388" s="53"/>
      <c r="BH388" s="51"/>
      <c r="BI388" s="53"/>
      <c r="BJ388" s="51"/>
      <c r="BK388" s="53"/>
      <c r="BL388" s="51"/>
      <c r="BM388" s="53"/>
      <c r="BN388" s="51"/>
      <c r="BO388" s="53"/>
      <c r="BP388" s="51"/>
      <c r="BQ388" s="53"/>
      <c r="BR388" s="55"/>
    </row>
    <row r="389" spans="1:70" ht="28.5" customHeight="1">
      <c r="A389" s="67" t="str">
        <f>IF(games!A389="", "", games!A389)</f>
        <v>魔法少女小圓 Magia Exedra</v>
      </c>
      <c r="B389" s="51"/>
      <c r="C389" s="51" t="str">
        <f t="shared" si="16"/>
        <v>giftcodesbanner/魔法少女小圓 Magia Exedra-禮包碼.jpg</v>
      </c>
      <c r="D389" s="51" t="str">
        <f t="shared" si="17"/>
        <v>https://www.ssbuy.tw/gift-codes.html?game=魔法少女小圓 Magia Exedra</v>
      </c>
      <c r="E389" s="91"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07" t="s">
        <v>7235</v>
      </c>
      <c r="G389" s="51" t="s">
        <v>7236</v>
      </c>
      <c r="H389" s="51" t="s">
        <v>6988</v>
      </c>
      <c r="I389" s="51"/>
      <c r="J389" s="91"/>
      <c r="K389" s="100" t="s">
        <v>6343</v>
      </c>
      <c r="L389" s="51" t="s">
        <v>5496</v>
      </c>
      <c r="M389" s="53" t="s">
        <v>7227</v>
      </c>
      <c r="N389" s="54" t="s">
        <v>7228</v>
      </c>
      <c r="O389" s="53"/>
      <c r="P389" s="54"/>
      <c r="Q389" s="53"/>
      <c r="R389" s="54"/>
      <c r="S389" s="53"/>
      <c r="T389" s="54"/>
      <c r="U389" s="120"/>
      <c r="V389" s="54"/>
      <c r="W389" s="53"/>
      <c r="X389" s="54"/>
      <c r="Y389" s="53"/>
      <c r="Z389" s="54"/>
      <c r="AA389" s="53"/>
      <c r="AB389" s="54"/>
      <c r="AC389" s="53"/>
      <c r="AD389" s="54"/>
      <c r="AE389" s="53"/>
      <c r="AF389" s="54"/>
      <c r="AG389" s="53"/>
      <c r="AH389" s="54"/>
      <c r="AI389" s="53"/>
      <c r="AJ389" s="54"/>
      <c r="AK389" s="53"/>
      <c r="AL389" s="54"/>
      <c r="AM389" s="53"/>
      <c r="AN389" s="54"/>
      <c r="AO389" s="53"/>
      <c r="AP389" s="54"/>
      <c r="AQ389" s="53"/>
      <c r="AR389" s="54"/>
      <c r="AS389" s="53"/>
      <c r="AT389" s="54"/>
      <c r="AU389" s="53"/>
      <c r="AV389" s="54"/>
      <c r="AW389" s="53"/>
      <c r="AX389" s="54"/>
      <c r="AY389" s="53"/>
      <c r="AZ389" s="54"/>
      <c r="BA389" s="53"/>
      <c r="BB389" s="51"/>
      <c r="BC389" s="53"/>
      <c r="BD389" s="51"/>
      <c r="BE389" s="53"/>
      <c r="BF389" s="51"/>
      <c r="BG389" s="53"/>
      <c r="BH389" s="51"/>
      <c r="BI389" s="53"/>
      <c r="BJ389" s="51"/>
      <c r="BK389" s="53"/>
      <c r="BL389" s="51"/>
      <c r="BM389" s="53"/>
      <c r="BN389" s="51"/>
      <c r="BO389" s="53"/>
      <c r="BP389" s="51"/>
      <c r="BQ389" s="53"/>
      <c r="BR389" s="55"/>
    </row>
    <row r="390" spans="1:70" ht="28.5" customHeight="1">
      <c r="A390" s="67" t="str">
        <f>IF(games!A390="", "", games!A390)</f>
        <v>無職轉生江湖為了回家只好拿出真本事了</v>
      </c>
      <c r="B390" s="51"/>
      <c r="C390" s="51" t="str">
        <f t="shared" si="16"/>
        <v>giftcodesbanner/無職轉生江湖為了回家只好拿出真本事了-禮包碼.jpg</v>
      </c>
      <c r="D390" s="51" t="str">
        <f t="shared" si="17"/>
        <v>https://www.ssbuy.tw/gift-codes.html?game=無職轉生江湖為了回家只好拿出真本事了</v>
      </c>
      <c r="E390" s="91"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07" t="s">
        <v>7100</v>
      </c>
      <c r="G390" s="51" t="s">
        <v>7209</v>
      </c>
      <c r="H390" s="51" t="s">
        <v>6988</v>
      </c>
      <c r="J390" s="91"/>
      <c r="K390" s="100" t="s">
        <v>6343</v>
      </c>
      <c r="L390" s="51" t="s">
        <v>5496</v>
      </c>
      <c r="M390" s="53" t="s">
        <v>5249</v>
      </c>
      <c r="N390" s="54"/>
      <c r="O390" s="53" t="s">
        <v>6686</v>
      </c>
      <c r="P390" s="54"/>
      <c r="Q390" s="53" t="s">
        <v>2056</v>
      </c>
      <c r="R390" s="54"/>
      <c r="S390" s="53" t="s">
        <v>7210</v>
      </c>
      <c r="T390" s="54"/>
      <c r="U390" s="53" t="s">
        <v>1933</v>
      </c>
      <c r="V390" s="54"/>
      <c r="W390" s="53" t="s">
        <v>2400</v>
      </c>
      <c r="X390" s="54"/>
      <c r="Y390" s="53" t="s">
        <v>6612</v>
      </c>
      <c r="Z390" s="54"/>
      <c r="AA390" s="53" t="s">
        <v>7211</v>
      </c>
      <c r="AB390" s="54"/>
      <c r="AC390" s="53" t="s">
        <v>6610</v>
      </c>
      <c r="AD390" s="54"/>
      <c r="AE390" s="53" t="s">
        <v>7229</v>
      </c>
      <c r="AF390" s="54"/>
      <c r="AG390" s="53" t="s">
        <v>7230</v>
      </c>
      <c r="AH390" s="54"/>
      <c r="AI390" s="53" t="s">
        <v>7231</v>
      </c>
      <c r="AJ390" s="54"/>
      <c r="AK390" s="53" t="s">
        <v>7232</v>
      </c>
      <c r="AL390" s="54"/>
      <c r="AM390" s="53" t="s">
        <v>7233</v>
      </c>
      <c r="AN390" s="54"/>
      <c r="AO390" s="53" t="s">
        <v>7234</v>
      </c>
      <c r="AP390" s="54"/>
      <c r="AQ390" s="53"/>
      <c r="AR390" s="54"/>
      <c r="AS390" s="53"/>
      <c r="AT390" s="54"/>
      <c r="AU390" s="53"/>
      <c r="AV390" s="54"/>
      <c r="AW390" s="53"/>
      <c r="AX390" s="54"/>
      <c r="AY390" s="53"/>
      <c r="AZ390" s="54"/>
      <c r="BA390" s="53"/>
      <c r="BB390" s="51"/>
      <c r="BC390" s="53"/>
      <c r="BD390" s="51"/>
      <c r="BE390" s="53"/>
      <c r="BF390" s="51"/>
      <c r="BG390" s="53"/>
      <c r="BH390" s="51"/>
      <c r="BI390" s="53"/>
      <c r="BJ390" s="51"/>
      <c r="BK390" s="53"/>
      <c r="BL390" s="51"/>
      <c r="BM390" s="53"/>
      <c r="BN390" s="51"/>
      <c r="BO390" s="53"/>
      <c r="BP390" s="51"/>
      <c r="BQ390" s="53"/>
      <c r="BR390" s="55"/>
    </row>
    <row r="391" spans="1:70" ht="28.5" customHeight="1">
      <c r="A391" s="67" t="str">
        <f>IF(games!A391="", "", games!A391)</f>
        <v>永夜降臨：雙面魅影</v>
      </c>
      <c r="B391" s="51"/>
      <c r="C391" s="51" t="str">
        <f t="shared" si="16"/>
        <v>giftcodesbanner/永夜降臨：雙面魅影-禮包碼.jpg</v>
      </c>
      <c r="D391" s="51" t="str">
        <f t="shared" si="17"/>
        <v>https://www.ssbuy.tw/gift-codes.html?game=永夜降臨：雙面魅影</v>
      </c>
      <c r="E391" s="91"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07" t="s">
        <v>7100</v>
      </c>
      <c r="G391" s="51" t="s">
        <v>7149</v>
      </c>
      <c r="H391" s="51" t="s">
        <v>7150</v>
      </c>
      <c r="I391" s="51" t="s">
        <v>6988</v>
      </c>
      <c r="J391" s="91"/>
      <c r="K391" s="100" t="s">
        <v>6343</v>
      </c>
      <c r="L391" s="51" t="s">
        <v>5496</v>
      </c>
      <c r="M391" s="53" t="s">
        <v>7118</v>
      </c>
      <c r="N391" s="54"/>
      <c r="O391" s="53" t="s">
        <v>7134</v>
      </c>
      <c r="P391" s="54"/>
      <c r="Q391" s="53" t="s">
        <v>7135</v>
      </c>
      <c r="R391" s="54"/>
      <c r="S391" s="53" t="s">
        <v>7136</v>
      </c>
      <c r="T391" s="54"/>
      <c r="U391" s="53" t="s">
        <v>2983</v>
      </c>
      <c r="V391" s="54"/>
      <c r="W391" s="53" t="s">
        <v>2146</v>
      </c>
      <c r="X391" s="54"/>
      <c r="Y391" s="53" t="s">
        <v>7186</v>
      </c>
      <c r="Z391" s="54"/>
      <c r="AA391" s="53"/>
      <c r="AB391" s="54"/>
      <c r="AC391" s="53"/>
      <c r="AD391" s="54"/>
      <c r="AE391" s="53"/>
      <c r="AF391" s="54"/>
      <c r="AG391" s="53"/>
      <c r="AH391" s="54"/>
      <c r="AI391" s="53"/>
      <c r="AJ391" s="54"/>
      <c r="AK391" s="53"/>
      <c r="AL391" s="54"/>
      <c r="AM391" s="53"/>
      <c r="AN391" s="54"/>
      <c r="AO391" s="53"/>
      <c r="AP391" s="54"/>
      <c r="AQ391" s="53"/>
      <c r="AR391" s="54"/>
      <c r="AS391" s="53"/>
      <c r="AT391" s="54"/>
      <c r="AU391" s="53"/>
      <c r="AV391" s="54"/>
      <c r="AW391" s="53"/>
      <c r="AX391" s="54"/>
      <c r="AY391" s="53"/>
      <c r="AZ391" s="54"/>
      <c r="BA391" s="53"/>
      <c r="BB391" s="51"/>
      <c r="BC391" s="53"/>
      <c r="BD391" s="51"/>
      <c r="BE391" s="53"/>
      <c r="BF391" s="51"/>
      <c r="BG391" s="53"/>
      <c r="BH391" s="51"/>
      <c r="BI391" s="53"/>
      <c r="BJ391" s="51"/>
      <c r="BK391" s="53"/>
      <c r="BL391" s="51"/>
      <c r="BM391" s="53"/>
      <c r="BN391" s="51"/>
      <c r="BO391" s="53"/>
      <c r="BP391" s="51"/>
      <c r="BQ391" s="53"/>
      <c r="BR391" s="55"/>
    </row>
    <row r="392" spans="1:70" ht="28.5" customHeight="1">
      <c r="A392" s="67" t="str">
        <f>IF(games!A392="", "", games!A392)</f>
        <v>裝甲前線：戰區</v>
      </c>
      <c r="B392" s="51"/>
      <c r="C392" s="51" t="str">
        <f t="shared" si="16"/>
        <v>giftcodesbanner/裝甲前線：戰區-禮包碼.jpg</v>
      </c>
      <c r="D392" s="51" t="str">
        <f t="shared" si="17"/>
        <v>https://www.ssbuy.tw/gift-codes.html?game=裝甲前線：戰區</v>
      </c>
      <c r="E392" s="91"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2" t="s">
        <v>5232</v>
      </c>
      <c r="G392" s="51"/>
      <c r="H392" s="51"/>
      <c r="I392" s="51"/>
      <c r="J392" s="91"/>
      <c r="K392" s="100" t="s">
        <v>6343</v>
      </c>
      <c r="L392" s="51" t="s">
        <v>5496</v>
      </c>
      <c r="M392" s="53"/>
      <c r="N392" s="54"/>
      <c r="O392" s="53"/>
      <c r="P392" s="54"/>
      <c r="Q392" s="53"/>
      <c r="R392" s="54"/>
      <c r="S392" s="53"/>
      <c r="T392" s="54"/>
      <c r="U392" s="53"/>
      <c r="V392" s="54"/>
      <c r="W392" s="53"/>
      <c r="X392" s="54"/>
      <c r="Y392" s="53"/>
      <c r="Z392" s="54"/>
      <c r="AA392" s="53"/>
      <c r="AB392" s="54"/>
      <c r="AC392" s="53"/>
      <c r="AD392" s="54"/>
      <c r="AE392" s="53"/>
      <c r="AF392" s="54"/>
      <c r="AG392" s="53"/>
      <c r="AH392" s="54"/>
      <c r="AI392" s="53"/>
      <c r="AJ392" s="54"/>
      <c r="AK392" s="53"/>
      <c r="AL392" s="54"/>
      <c r="AM392" s="53"/>
      <c r="AN392" s="54"/>
      <c r="AO392" s="53"/>
      <c r="AP392" s="54"/>
      <c r="AQ392" s="53"/>
      <c r="AR392" s="54"/>
      <c r="AS392" s="53"/>
      <c r="AT392" s="54"/>
      <c r="AU392" s="53"/>
      <c r="AV392" s="54"/>
      <c r="AW392" s="53"/>
      <c r="AX392" s="54"/>
      <c r="AY392" s="53"/>
      <c r="AZ392" s="54"/>
      <c r="BA392" s="53"/>
      <c r="BB392" s="51"/>
      <c r="BC392" s="53"/>
      <c r="BD392" s="51"/>
      <c r="BE392" s="53"/>
      <c r="BF392" s="51"/>
      <c r="BG392" s="53"/>
      <c r="BH392" s="51"/>
      <c r="BI392" s="53"/>
      <c r="BJ392" s="51"/>
      <c r="BK392" s="53"/>
      <c r="BL392" s="51"/>
      <c r="BM392" s="53"/>
      <c r="BN392" s="51"/>
      <c r="BO392" s="53"/>
      <c r="BP392" s="51"/>
      <c r="BQ392" s="53"/>
      <c r="BR392" s="55"/>
    </row>
    <row r="393" spans="1:70" ht="28.5" customHeight="1">
      <c r="A393" s="67" t="str">
        <f>IF(games!A393="", "", games!A393)</f>
        <v>星神世界</v>
      </c>
      <c r="B393" s="51"/>
      <c r="C393" s="51" t="str">
        <f t="shared" si="16"/>
        <v>giftcodesbanner/星神世界-禮包碼.jpg</v>
      </c>
      <c r="D393" s="51" t="str">
        <f t="shared" si="17"/>
        <v>https://www.ssbuy.tw/gift-codes.html?game=星神世界</v>
      </c>
      <c r="E393" s="91"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2" t="s">
        <v>5232</v>
      </c>
      <c r="G393" s="51"/>
      <c r="H393" s="51"/>
      <c r="I393" s="51"/>
      <c r="J393" s="91"/>
      <c r="K393" s="100" t="s">
        <v>6343</v>
      </c>
      <c r="L393" s="51" t="s">
        <v>5496</v>
      </c>
      <c r="M393" s="53"/>
      <c r="N393" s="54"/>
      <c r="O393" s="53"/>
      <c r="P393" s="54"/>
      <c r="Q393" s="53"/>
      <c r="R393" s="54"/>
      <c r="S393" s="53"/>
      <c r="T393" s="54"/>
      <c r="U393" s="53"/>
      <c r="V393" s="54"/>
      <c r="W393" s="53"/>
      <c r="X393" s="54"/>
      <c r="Y393" s="53"/>
      <c r="Z393" s="54"/>
      <c r="AA393" s="53"/>
      <c r="AB393" s="54"/>
      <c r="AC393" s="53"/>
      <c r="AD393" s="54"/>
      <c r="AE393" s="53"/>
      <c r="AF393" s="54"/>
      <c r="AG393" s="53"/>
      <c r="AH393" s="54"/>
      <c r="AI393" s="53"/>
      <c r="AJ393" s="54"/>
      <c r="AK393" s="53"/>
      <c r="AL393" s="54"/>
      <c r="AM393" s="53"/>
      <c r="AN393" s="54"/>
      <c r="AO393" s="53"/>
      <c r="AP393" s="54"/>
      <c r="AQ393" s="53"/>
      <c r="AR393" s="54"/>
      <c r="AS393" s="53"/>
      <c r="AT393" s="54"/>
      <c r="AU393" s="53"/>
      <c r="AV393" s="54"/>
      <c r="AW393" s="53"/>
      <c r="AX393" s="54"/>
      <c r="AY393" s="53"/>
      <c r="AZ393" s="54"/>
      <c r="BA393" s="53"/>
      <c r="BB393" s="51"/>
      <c r="BC393" s="53"/>
      <c r="BD393" s="51"/>
      <c r="BE393" s="53"/>
      <c r="BF393" s="51"/>
      <c r="BG393" s="53"/>
      <c r="BH393" s="51"/>
      <c r="BI393" s="53"/>
      <c r="BJ393" s="51"/>
      <c r="BK393" s="53"/>
      <c r="BL393" s="51"/>
      <c r="BM393" s="53"/>
      <c r="BN393" s="51"/>
      <c r="BO393" s="53"/>
      <c r="BP393" s="51"/>
      <c r="BQ393" s="53"/>
      <c r="BR393" s="55"/>
    </row>
    <row r="394" spans="1:70" ht="28.5" customHeight="1">
      <c r="A394" s="67" t="str">
        <f>IF(games!A394="", "", games!A394)</f>
        <v>大神駕到： 來囉！來囉！</v>
      </c>
      <c r="B394" s="51"/>
      <c r="C394" s="51" t="str">
        <f t="shared" si="16"/>
        <v>giftcodesbanner/大神駕到： 來囉！來囉！-禮包碼.jpg</v>
      </c>
      <c r="D394" s="51" t="str">
        <f t="shared" si="17"/>
        <v>https://www.ssbuy.tw/gift-codes.html?game=大神駕到： 來囉！來囉！</v>
      </c>
      <c r="E394" s="91"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07" t="s">
        <v>7100</v>
      </c>
      <c r="G394" s="51" t="s">
        <v>7198</v>
      </c>
      <c r="H394" s="51" t="s">
        <v>7150</v>
      </c>
      <c r="I394" s="51" t="s">
        <v>6988</v>
      </c>
      <c r="J394" s="91"/>
      <c r="K394" s="100" t="s">
        <v>6343</v>
      </c>
      <c r="L394" s="51" t="s">
        <v>5496</v>
      </c>
      <c r="M394" s="53" t="s">
        <v>7199</v>
      </c>
      <c r="N394" s="54"/>
      <c r="O394" s="53" t="s">
        <v>7200</v>
      </c>
      <c r="P394" s="54"/>
      <c r="Q394" s="53" t="s">
        <v>7201</v>
      </c>
      <c r="R394" s="54"/>
      <c r="S394" s="53" t="s">
        <v>7202</v>
      </c>
      <c r="T394" s="54"/>
      <c r="U394" s="53" t="s">
        <v>7203</v>
      </c>
      <c r="V394" s="54"/>
      <c r="W394" s="53" t="s">
        <v>7204</v>
      </c>
      <c r="X394" s="54"/>
      <c r="Y394" s="53" t="s">
        <v>7205</v>
      </c>
      <c r="Z394" s="54"/>
      <c r="AA394" s="53" t="s">
        <v>7206</v>
      </c>
      <c r="AB394" s="54"/>
      <c r="AC394" s="53" t="s">
        <v>2983</v>
      </c>
      <c r="AD394" s="54"/>
      <c r="AE394" s="53" t="s">
        <v>7207</v>
      </c>
      <c r="AF394" s="54"/>
      <c r="AG394" s="53" t="s">
        <v>7277</v>
      </c>
      <c r="AH394" s="54"/>
      <c r="AI394" s="53"/>
      <c r="AJ394" s="54"/>
      <c r="AK394" s="53"/>
      <c r="AL394" s="54"/>
      <c r="AM394" s="53"/>
      <c r="AN394" s="54"/>
      <c r="AO394" s="53"/>
      <c r="AP394" s="54"/>
      <c r="AQ394" s="53"/>
      <c r="AR394" s="54"/>
      <c r="AS394" s="53"/>
      <c r="AT394" s="54"/>
      <c r="AU394" s="53"/>
      <c r="AV394" s="54"/>
      <c r="AW394" s="53"/>
      <c r="AX394" s="54"/>
      <c r="AY394" s="53"/>
      <c r="AZ394" s="54"/>
      <c r="BA394" s="53"/>
      <c r="BB394" s="51"/>
      <c r="BC394" s="53"/>
      <c r="BD394" s="51"/>
      <c r="BE394" s="53"/>
      <c r="BF394" s="51"/>
      <c r="BG394" s="53"/>
      <c r="BH394" s="51"/>
      <c r="BI394" s="53"/>
      <c r="BJ394" s="51"/>
      <c r="BK394" s="53"/>
      <c r="BL394" s="51"/>
      <c r="BM394" s="53"/>
      <c r="BN394" s="51"/>
      <c r="BO394" s="53"/>
      <c r="BP394" s="51"/>
      <c r="BQ394" s="53"/>
      <c r="BR394" s="55"/>
    </row>
    <row r="395" spans="1:70" ht="28.5" customHeight="1">
      <c r="A395" s="67" t="str">
        <f>IF(games!A395="", "", games!A395)</f>
        <v>百鬼異聞錄</v>
      </c>
      <c r="B395" s="51"/>
      <c r="C395" s="51" t="str">
        <f t="shared" si="16"/>
        <v>giftcodesbanner/百鬼異聞錄-禮包碼.jpg</v>
      </c>
      <c r="D395" s="51" t="str">
        <f t="shared" si="17"/>
        <v>https://www.ssbuy.tw/gift-codes.html?game=百鬼異聞錄</v>
      </c>
      <c r="E395" s="91"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2" t="s">
        <v>7876</v>
      </c>
      <c r="G395" s="51" t="s">
        <v>7877</v>
      </c>
      <c r="H395" s="51" t="s">
        <v>6988</v>
      </c>
      <c r="I395" s="51"/>
      <c r="J395" s="91"/>
      <c r="K395" s="100" t="s">
        <v>6343</v>
      </c>
      <c r="L395" s="51" t="s">
        <v>5496</v>
      </c>
      <c r="M395" s="53" t="s">
        <v>7254</v>
      </c>
      <c r="N395" s="54"/>
      <c r="O395" s="53" t="s">
        <v>7255</v>
      </c>
      <c r="P395" s="54"/>
      <c r="Q395" s="53" t="s">
        <v>7256</v>
      </c>
      <c r="R395" s="54"/>
      <c r="S395" s="53" t="s">
        <v>2422</v>
      </c>
      <c r="T395" s="54"/>
      <c r="U395" s="53" t="s">
        <v>7257</v>
      </c>
      <c r="V395" s="54"/>
      <c r="W395" s="53" t="s">
        <v>7874</v>
      </c>
      <c r="X395" s="54"/>
      <c r="Y395" s="53" t="s">
        <v>7875</v>
      </c>
      <c r="Z395" s="54"/>
      <c r="AA395" s="53"/>
      <c r="AB395" s="54"/>
      <c r="AC395" s="53"/>
      <c r="AD395" s="54"/>
      <c r="AE395" s="53"/>
      <c r="AF395" s="54"/>
      <c r="AG395" s="53"/>
      <c r="AH395" s="54"/>
      <c r="AI395" s="53"/>
      <c r="AJ395" s="54"/>
      <c r="AK395" s="53"/>
      <c r="AL395" s="54"/>
      <c r="AM395" s="53"/>
      <c r="AN395" s="54"/>
      <c r="AO395" s="53"/>
      <c r="AP395" s="54"/>
      <c r="AQ395" s="53"/>
      <c r="AR395" s="54"/>
      <c r="AS395" s="53"/>
      <c r="AT395" s="54"/>
      <c r="AU395" s="53"/>
      <c r="AV395" s="54"/>
      <c r="AW395" s="53"/>
      <c r="AX395" s="54"/>
      <c r="AY395" s="53"/>
      <c r="AZ395" s="54"/>
      <c r="BA395" s="53"/>
      <c r="BB395" s="51"/>
      <c r="BC395" s="53"/>
      <c r="BD395" s="51"/>
      <c r="BE395" s="53"/>
      <c r="BF395" s="51"/>
      <c r="BG395" s="53"/>
      <c r="BH395" s="51"/>
      <c r="BI395" s="53"/>
      <c r="BJ395" s="51"/>
      <c r="BK395" s="53"/>
      <c r="BL395" s="51"/>
      <c r="BM395" s="53"/>
      <c r="BN395" s="51"/>
      <c r="BO395" s="53"/>
      <c r="BP395" s="51"/>
      <c r="BQ395" s="53"/>
      <c r="BR395" s="55"/>
    </row>
    <row r="396" spans="1:70" ht="28.5" customHeight="1">
      <c r="A396" s="67" t="str">
        <f>IF(games!A396="", "", games!A396)</f>
        <v>巡夢少女~異世界宮廷綺譚~</v>
      </c>
      <c r="B396" s="51"/>
      <c r="C396" s="51" t="str">
        <f t="shared" si="16"/>
        <v>giftcodesbanner/巡夢少女~異世界宮廷綺譚~-禮包碼.jpg</v>
      </c>
      <c r="D396" s="51" t="str">
        <f t="shared" si="17"/>
        <v>https://www.ssbuy.tw/gift-codes.html?game=巡夢少女~異世界宮廷綺譚~</v>
      </c>
      <c r="E396" s="91"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2" t="s">
        <v>7259</v>
      </c>
      <c r="G396" s="51" t="s">
        <v>7260</v>
      </c>
      <c r="H396" s="51" t="s">
        <v>7261</v>
      </c>
      <c r="I396" s="51" t="s">
        <v>6988</v>
      </c>
      <c r="J396" s="91"/>
      <c r="K396" s="100" t="s">
        <v>6343</v>
      </c>
      <c r="L396" s="51" t="s">
        <v>5496</v>
      </c>
      <c r="M396" s="53" t="s">
        <v>7258</v>
      </c>
      <c r="N396" s="54"/>
      <c r="O396" s="53" t="s">
        <v>7278</v>
      </c>
      <c r="P396" s="54"/>
      <c r="Q396" s="53" t="s">
        <v>7279</v>
      </c>
      <c r="R396" s="54"/>
      <c r="S396" s="53"/>
      <c r="T396" s="54"/>
      <c r="U396" s="53"/>
      <c r="V396" s="54"/>
      <c r="W396" s="53"/>
      <c r="X396" s="54"/>
      <c r="Y396" s="53"/>
      <c r="Z396" s="54"/>
      <c r="AA396" s="53"/>
      <c r="AB396" s="54"/>
      <c r="AC396" s="53"/>
      <c r="AD396" s="54"/>
      <c r="AE396" s="53"/>
      <c r="AF396" s="54"/>
      <c r="AG396" s="53"/>
      <c r="AH396" s="54"/>
      <c r="AI396" s="53"/>
      <c r="AJ396" s="54"/>
      <c r="AK396" s="53"/>
      <c r="AL396" s="54"/>
      <c r="AM396" s="53"/>
      <c r="AN396" s="54"/>
      <c r="AO396" s="53"/>
      <c r="AP396" s="54"/>
      <c r="AQ396" s="53"/>
      <c r="AR396" s="54"/>
      <c r="AS396" s="53"/>
      <c r="AT396" s="54"/>
      <c r="AU396" s="53"/>
      <c r="AV396" s="54"/>
      <c r="AW396" s="53"/>
      <c r="AX396" s="54"/>
      <c r="AY396" s="53"/>
      <c r="AZ396" s="54"/>
      <c r="BA396" s="53"/>
      <c r="BB396" s="51"/>
      <c r="BC396" s="53"/>
      <c r="BD396" s="51"/>
      <c r="BE396" s="53"/>
      <c r="BF396" s="51"/>
      <c r="BG396" s="53"/>
      <c r="BH396" s="51"/>
      <c r="BI396" s="53"/>
      <c r="BJ396" s="51"/>
      <c r="BK396" s="53"/>
      <c r="BL396" s="51"/>
      <c r="BM396" s="53"/>
      <c r="BN396" s="51"/>
      <c r="BO396" s="53"/>
      <c r="BP396" s="51"/>
      <c r="BQ396" s="53"/>
      <c r="BR396" s="55"/>
    </row>
    <row r="397" spans="1:70" ht="28.5" customHeight="1">
      <c r="A397" s="67" t="str">
        <f>IF(games!A397="", "", games!A397)</f>
        <v>軟泥星球</v>
      </c>
      <c r="B397" s="51"/>
      <c r="C397" s="51" t="str">
        <f t="shared" si="16"/>
        <v>giftcodesbanner/軟泥星球-禮包碼.jpg</v>
      </c>
      <c r="D397" s="51" t="str">
        <f t="shared" si="17"/>
        <v>https://www.ssbuy.tw/gift-codes.html?game=軟泥星球</v>
      </c>
      <c r="E397" s="91"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07" t="s">
        <v>7100</v>
      </c>
      <c r="G397" s="51" t="s">
        <v>7252</v>
      </c>
      <c r="H397" s="51" t="s">
        <v>6988</v>
      </c>
      <c r="J397" s="91"/>
      <c r="K397" s="100" t="s">
        <v>6343</v>
      </c>
      <c r="L397" s="51" t="s">
        <v>5496</v>
      </c>
      <c r="M397" s="53" t="s">
        <v>7251</v>
      </c>
      <c r="N397" s="54"/>
      <c r="O397" s="53" t="s">
        <v>6054</v>
      </c>
      <c r="P397" s="54"/>
      <c r="Q397" s="53" t="s">
        <v>2056</v>
      </c>
      <c r="R397" s="54"/>
      <c r="S397" s="53" t="s">
        <v>6379</v>
      </c>
      <c r="T397" s="54"/>
      <c r="U397" s="53" t="s">
        <v>1933</v>
      </c>
      <c r="V397" s="54"/>
      <c r="W397" s="53" t="s">
        <v>7360</v>
      </c>
      <c r="X397" s="54"/>
      <c r="Y397" s="53" t="s">
        <v>7361</v>
      </c>
      <c r="Z397" s="54"/>
      <c r="AA397" s="53" t="s">
        <v>7362</v>
      </c>
      <c r="AB397" s="54"/>
      <c r="AC397" s="53"/>
      <c r="AD397" s="54"/>
      <c r="AE397" s="53"/>
      <c r="AF397" s="54"/>
      <c r="AG397" s="53"/>
      <c r="AH397" s="54"/>
      <c r="AI397" s="53"/>
      <c r="AJ397" s="54"/>
      <c r="AK397" s="53"/>
      <c r="AL397" s="54"/>
      <c r="AM397" s="53"/>
      <c r="AN397" s="54"/>
      <c r="AO397" s="53"/>
      <c r="AP397" s="54"/>
      <c r="AQ397" s="53"/>
      <c r="AR397" s="54"/>
      <c r="AS397" s="53"/>
      <c r="AT397" s="54"/>
      <c r="AU397" s="53"/>
      <c r="AV397" s="54"/>
      <c r="AW397" s="53"/>
      <c r="AX397" s="54"/>
      <c r="AY397" s="53"/>
      <c r="AZ397" s="54"/>
      <c r="BA397" s="53"/>
      <c r="BB397" s="51"/>
      <c r="BC397" s="53"/>
      <c r="BD397" s="51"/>
      <c r="BE397" s="53"/>
      <c r="BF397" s="51"/>
      <c r="BG397" s="53"/>
      <c r="BH397" s="51"/>
      <c r="BI397" s="53"/>
      <c r="BJ397" s="51"/>
      <c r="BK397" s="53"/>
      <c r="BL397" s="51"/>
      <c r="BM397" s="53"/>
      <c r="BN397" s="51"/>
      <c r="BO397" s="53"/>
      <c r="BP397" s="51"/>
      <c r="BQ397" s="53"/>
      <c r="BR397" s="55"/>
    </row>
    <row r="398" spans="1:70" ht="28.5" customHeight="1">
      <c r="A398" s="67" t="str">
        <f>IF(games!A398="", "", games!A398)</f>
        <v>K-Demon Hunter</v>
      </c>
      <c r="B398" s="51"/>
      <c r="C398" s="51" t="str">
        <f t="shared" si="16"/>
        <v>giftcodesbanner/K-Demon Hunter-禮包碼.jpg</v>
      </c>
      <c r="D398" s="51" t="str">
        <f t="shared" si="17"/>
        <v>https://www.ssbuy.tw/gift-codes.html?game=K-Demon Hunter</v>
      </c>
      <c r="E398" s="91"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2" t="s">
        <v>5232</v>
      </c>
      <c r="G398" s="51"/>
      <c r="H398" s="51"/>
      <c r="I398" s="51"/>
      <c r="J398" s="91"/>
      <c r="K398" s="100" t="s">
        <v>6343</v>
      </c>
      <c r="L398" s="51" t="s">
        <v>5496</v>
      </c>
      <c r="M398" s="53" t="s">
        <v>7371</v>
      </c>
      <c r="N398" s="54"/>
      <c r="O398" s="53" t="s">
        <v>7372</v>
      </c>
      <c r="P398" s="54"/>
      <c r="Q398" s="53"/>
      <c r="R398" s="54"/>
      <c r="S398" s="53"/>
      <c r="T398" s="54"/>
      <c r="U398" s="53"/>
      <c r="V398" s="54"/>
      <c r="W398" s="53"/>
      <c r="X398" s="54"/>
      <c r="Y398" s="53"/>
      <c r="Z398" s="54"/>
      <c r="AA398" s="53"/>
      <c r="AB398" s="54"/>
      <c r="AC398" s="53"/>
      <c r="AD398" s="54"/>
      <c r="AE398" s="53"/>
      <c r="AF398" s="54"/>
      <c r="AG398" s="53"/>
      <c r="AH398" s="54"/>
      <c r="AI398" s="53"/>
      <c r="AJ398" s="54"/>
      <c r="AK398" s="53"/>
      <c r="AL398" s="54"/>
      <c r="AM398" s="53"/>
      <c r="AN398" s="54"/>
      <c r="AO398" s="53"/>
      <c r="AP398" s="54"/>
      <c r="AQ398" s="53"/>
      <c r="AR398" s="54"/>
      <c r="AS398" s="53"/>
      <c r="AT398" s="54"/>
      <c r="AU398" s="53"/>
      <c r="AV398" s="54"/>
      <c r="AW398" s="53"/>
      <c r="AX398" s="54"/>
      <c r="AY398" s="53"/>
      <c r="AZ398" s="54"/>
      <c r="BA398" s="53"/>
      <c r="BB398" s="51"/>
      <c r="BC398" s="53"/>
      <c r="BD398" s="51"/>
      <c r="BE398" s="53"/>
      <c r="BF398" s="51"/>
      <c r="BG398" s="53"/>
      <c r="BH398" s="51"/>
      <c r="BI398" s="53"/>
      <c r="BJ398" s="51"/>
      <c r="BK398" s="53"/>
      <c r="BL398" s="51"/>
      <c r="BM398" s="53"/>
      <c r="BN398" s="51"/>
      <c r="BO398" s="53"/>
      <c r="BP398" s="51"/>
      <c r="BQ398" s="53"/>
      <c r="BR398" s="55"/>
    </row>
    <row r="399" spans="1:70" ht="28.5" customHeight="1">
      <c r="A399" s="67" t="str">
        <f>IF(games!A399="", "", games!A399)</f>
        <v>傾世仙姬</v>
      </c>
      <c r="B399" s="51"/>
      <c r="C399" s="51" t="str">
        <f t="shared" si="16"/>
        <v>giftcodesbanner/傾世仙姬-禮包碼.jpg</v>
      </c>
      <c r="D399" s="51" t="str">
        <f t="shared" si="17"/>
        <v>https://www.ssbuy.tw/gift-codes.html?game=傾世仙姬</v>
      </c>
      <c r="E399" s="91"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07" t="s">
        <v>7296</v>
      </c>
      <c r="G399" s="51" t="s">
        <v>7297</v>
      </c>
      <c r="H399" s="51" t="s">
        <v>6988</v>
      </c>
      <c r="I399" s="51"/>
      <c r="J399" s="91"/>
      <c r="K399" s="100" t="s">
        <v>6343</v>
      </c>
      <c r="L399" s="51" t="s">
        <v>5496</v>
      </c>
      <c r="M399" s="53" t="s">
        <v>7290</v>
      </c>
      <c r="N399" s="54"/>
      <c r="O399" s="53" t="s">
        <v>7291</v>
      </c>
      <c r="P399" s="54"/>
      <c r="Q399" s="53" t="s">
        <v>7292</v>
      </c>
      <c r="R399" s="54"/>
      <c r="S399" s="53" t="s">
        <v>7293</v>
      </c>
      <c r="T399" s="54"/>
      <c r="U399" s="53" t="s">
        <v>7294</v>
      </c>
      <c r="V399" s="54"/>
      <c r="W399" s="53" t="s">
        <v>7295</v>
      </c>
      <c r="X399" s="54"/>
      <c r="Y399" s="53" t="s">
        <v>4071</v>
      </c>
      <c r="Z399" s="54"/>
      <c r="AA399" s="53" t="s">
        <v>4072</v>
      </c>
      <c r="AB399" s="54"/>
      <c r="AC399" s="53" t="s">
        <v>4073</v>
      </c>
      <c r="AD399" s="54"/>
      <c r="AE399" s="53" t="s">
        <v>7357</v>
      </c>
      <c r="AF399" s="54"/>
      <c r="AG399" s="53" t="s">
        <v>7358</v>
      </c>
      <c r="AH399" s="54"/>
      <c r="AI399" s="53" t="s">
        <v>7359</v>
      </c>
      <c r="AJ399" s="54"/>
      <c r="AK399" s="53"/>
      <c r="AL399" s="54"/>
      <c r="AM399" s="53"/>
      <c r="AN399" s="54"/>
      <c r="AO399" s="53"/>
      <c r="AP399" s="54"/>
      <c r="AQ399" s="53"/>
      <c r="AR399" s="54"/>
      <c r="AS399" s="53"/>
      <c r="AT399" s="54"/>
      <c r="AU399" s="53"/>
      <c r="AV399" s="54"/>
      <c r="AW399" s="53"/>
      <c r="AX399" s="54"/>
      <c r="AY399" s="53"/>
      <c r="AZ399" s="54"/>
      <c r="BA399" s="53"/>
      <c r="BB399" s="51"/>
      <c r="BC399" s="53"/>
      <c r="BD399" s="51"/>
      <c r="BE399" s="53"/>
      <c r="BF399" s="51"/>
      <c r="BG399" s="53"/>
      <c r="BH399" s="51"/>
      <c r="BI399" s="53"/>
      <c r="BJ399" s="51"/>
      <c r="BK399" s="53"/>
      <c r="BL399" s="51"/>
      <c r="BM399" s="53"/>
      <c r="BN399" s="51"/>
      <c r="BO399" s="53"/>
      <c r="BP399" s="51"/>
      <c r="BQ399" s="53"/>
      <c r="BR399" s="55"/>
    </row>
    <row r="400" spans="1:70" ht="28.5" customHeight="1">
      <c r="A400" s="67" t="str">
        <f>IF(games!A400="", "", games!A400)</f>
        <v>生化危機 生存兵種</v>
      </c>
      <c r="B400" s="51"/>
      <c r="C400" s="51" t="str">
        <f t="shared" si="16"/>
        <v>giftcodesbanner/生化危機 生存兵種-禮包碼.jpg</v>
      </c>
      <c r="D400" s="51" t="str">
        <f t="shared" si="17"/>
        <v>https://www.ssbuy.tw/gift-codes.html?game=生化危機 生存兵種</v>
      </c>
      <c r="E400" s="91"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2" t="s">
        <v>7346</v>
      </c>
      <c r="G400" s="51" t="s">
        <v>7347</v>
      </c>
      <c r="H400" s="51" t="s">
        <v>6988</v>
      </c>
      <c r="I400" s="51" t="s">
        <v>7356</v>
      </c>
      <c r="J400" s="91"/>
      <c r="K400" s="100" t="s">
        <v>6343</v>
      </c>
      <c r="L400" s="51" t="s">
        <v>5496</v>
      </c>
      <c r="M400" s="53" t="s">
        <v>7348</v>
      </c>
      <c r="N400" s="54"/>
      <c r="O400" s="53" t="s">
        <v>7349</v>
      </c>
      <c r="P400" s="54"/>
      <c r="Q400" s="53" t="s">
        <v>7350</v>
      </c>
      <c r="R400" s="54"/>
      <c r="S400" s="53" t="s">
        <v>7351</v>
      </c>
      <c r="T400" s="54"/>
      <c r="U400" s="53" t="s">
        <v>7352</v>
      </c>
      <c r="V400" s="54"/>
      <c r="W400" s="53" t="s">
        <v>7353</v>
      </c>
      <c r="X400" s="54"/>
      <c r="Y400" s="53" t="s">
        <v>7354</v>
      </c>
      <c r="Z400" s="54"/>
      <c r="AA400" s="53" t="s">
        <v>7355</v>
      </c>
      <c r="AB400" s="54"/>
      <c r="AC400" s="53"/>
      <c r="AD400" s="54"/>
      <c r="AE400" s="53"/>
      <c r="AF400" s="54"/>
      <c r="AG400" s="53"/>
      <c r="AH400" s="54"/>
      <c r="AI400" s="53"/>
      <c r="AJ400" s="54"/>
      <c r="AK400" s="53"/>
      <c r="AL400" s="54"/>
      <c r="AM400" s="53"/>
      <c r="AN400" s="54"/>
      <c r="AO400" s="53"/>
      <c r="AP400" s="54"/>
      <c r="AQ400" s="53"/>
      <c r="AR400" s="54"/>
      <c r="AS400" s="53"/>
      <c r="AT400" s="54"/>
      <c r="AU400" s="53"/>
      <c r="AV400" s="54"/>
      <c r="AW400" s="53"/>
      <c r="AX400" s="54"/>
      <c r="AY400" s="53"/>
      <c r="AZ400" s="54"/>
      <c r="BA400" s="53"/>
      <c r="BB400" s="51"/>
      <c r="BC400" s="53"/>
      <c r="BD400" s="51"/>
      <c r="BE400" s="53"/>
      <c r="BF400" s="51"/>
      <c r="BG400" s="53"/>
      <c r="BH400" s="51"/>
      <c r="BI400" s="53"/>
      <c r="BJ400" s="51"/>
      <c r="BK400" s="53"/>
      <c r="BL400" s="51"/>
      <c r="BM400" s="53"/>
      <c r="BN400" s="51"/>
      <c r="BO400" s="53"/>
      <c r="BP400" s="51"/>
      <c r="BQ400" s="53"/>
      <c r="BR400" s="55"/>
    </row>
    <row r="401" spans="1:70" ht="28.5" customHeight="1">
      <c r="A401" s="67" t="str">
        <f>IF(games!A401="", "", games!A401)</f>
        <v>魔法門：命運</v>
      </c>
      <c r="B401" s="51"/>
      <c r="C401" s="51" t="str">
        <f t="shared" si="16"/>
        <v>giftcodesbanner/魔法門：命運-禮包碼.jpg</v>
      </c>
      <c r="D401" s="51" t="str">
        <f t="shared" si="17"/>
        <v>https://www.ssbuy.tw/gift-codes.html?game=魔法門：命運</v>
      </c>
      <c r="E401" s="91"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2" t="s">
        <v>5232</v>
      </c>
      <c r="G401" s="51"/>
      <c r="H401" s="51"/>
      <c r="I401" s="51"/>
      <c r="J401" s="91"/>
      <c r="K401" s="100" t="s">
        <v>6343</v>
      </c>
      <c r="L401" s="51" t="s">
        <v>5496</v>
      </c>
      <c r="M401" s="53"/>
      <c r="N401" s="54"/>
      <c r="O401" s="53"/>
      <c r="P401" s="54"/>
      <c r="Q401" s="53"/>
      <c r="R401" s="54"/>
      <c r="S401" s="53"/>
      <c r="T401" s="54"/>
      <c r="U401" s="53"/>
      <c r="V401" s="54"/>
      <c r="W401" s="53"/>
      <c r="X401" s="54"/>
      <c r="Y401" s="53"/>
      <c r="Z401" s="54"/>
      <c r="AA401" s="53"/>
      <c r="AB401" s="54"/>
      <c r="AC401" s="53"/>
      <c r="AD401" s="54"/>
      <c r="AE401" s="53"/>
      <c r="AF401" s="54"/>
      <c r="AG401" s="53"/>
      <c r="AH401" s="54"/>
      <c r="AI401" s="53"/>
      <c r="AJ401" s="54"/>
      <c r="AK401" s="53"/>
      <c r="AL401" s="54"/>
      <c r="AM401" s="53"/>
      <c r="AN401" s="54"/>
      <c r="AO401" s="53"/>
      <c r="AP401" s="54"/>
      <c r="AQ401" s="53"/>
      <c r="AR401" s="54"/>
      <c r="AS401" s="53"/>
      <c r="AT401" s="54"/>
      <c r="AU401" s="53"/>
      <c r="AV401" s="54"/>
      <c r="AW401" s="53"/>
      <c r="AX401" s="54"/>
      <c r="AY401" s="53"/>
      <c r="AZ401" s="54"/>
      <c r="BA401" s="53"/>
      <c r="BB401" s="51"/>
      <c r="BC401" s="53"/>
      <c r="BD401" s="51"/>
      <c r="BE401" s="53"/>
      <c r="BF401" s="51"/>
      <c r="BG401" s="53"/>
      <c r="BH401" s="51"/>
      <c r="BI401" s="53"/>
      <c r="BJ401" s="51"/>
      <c r="BK401" s="53"/>
      <c r="BL401" s="51"/>
      <c r="BM401" s="53"/>
      <c r="BN401" s="51"/>
      <c r="BO401" s="53"/>
      <c r="BP401" s="51"/>
      <c r="BQ401" s="53"/>
      <c r="BR401" s="55"/>
    </row>
    <row r="402" spans="1:70" ht="28.5" customHeight="1">
      <c r="A402" s="67" t="str">
        <f>IF(games!A402="", "", games!A402)</f>
        <v>HUNTER×HUNTER NEN×SURVIVOR</v>
      </c>
      <c r="B402" s="51"/>
      <c r="C402" s="51" t="str">
        <f t="shared" si="16"/>
        <v>giftcodesbanner/HUNTER×HUNTER NEN×SURVIVOR-禮包碼.jpg</v>
      </c>
      <c r="D402" s="51" t="str">
        <f t="shared" si="17"/>
        <v>https://www.ssbuy.tw/gift-codes.html?game=HUNTER×HUNTER NEN×SURVIVOR</v>
      </c>
      <c r="E402" s="91"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2" t="s">
        <v>5232</v>
      </c>
      <c r="G402" s="51"/>
      <c r="H402" s="51"/>
      <c r="I402" s="51"/>
      <c r="J402" s="91"/>
      <c r="K402" s="100" t="s">
        <v>6343</v>
      </c>
      <c r="L402" s="51" t="s">
        <v>5496</v>
      </c>
      <c r="M402" s="53"/>
      <c r="N402" s="54"/>
      <c r="O402" s="53"/>
      <c r="P402" s="54"/>
      <c r="Q402" s="53"/>
      <c r="R402" s="54"/>
      <c r="S402" s="53"/>
      <c r="T402" s="54"/>
      <c r="U402" s="53"/>
      <c r="V402" s="54"/>
      <c r="W402" s="53"/>
      <c r="X402" s="54"/>
      <c r="Y402" s="53"/>
      <c r="Z402" s="54"/>
      <c r="AA402" s="53"/>
      <c r="AB402" s="54"/>
      <c r="AC402" s="53"/>
      <c r="AD402" s="54"/>
      <c r="AE402" s="53"/>
      <c r="AF402" s="54"/>
      <c r="AG402" s="53"/>
      <c r="AH402" s="54"/>
      <c r="AI402" s="53"/>
      <c r="AJ402" s="54"/>
      <c r="AK402" s="53"/>
      <c r="AL402" s="54"/>
      <c r="AM402" s="53"/>
      <c r="AN402" s="54"/>
      <c r="AO402" s="53"/>
      <c r="AP402" s="54"/>
      <c r="AQ402" s="53"/>
      <c r="AR402" s="54"/>
      <c r="AS402" s="53"/>
      <c r="AT402" s="54"/>
      <c r="AU402" s="53"/>
      <c r="AV402" s="54"/>
      <c r="AW402" s="53"/>
      <c r="AX402" s="54"/>
      <c r="AY402" s="53"/>
      <c r="AZ402" s="54"/>
      <c r="BA402" s="53"/>
      <c r="BB402" s="51"/>
      <c r="BC402" s="53"/>
      <c r="BD402" s="51"/>
      <c r="BE402" s="53"/>
      <c r="BF402" s="51"/>
      <c r="BG402" s="53"/>
      <c r="BH402" s="51"/>
      <c r="BI402" s="53"/>
      <c r="BJ402" s="51"/>
      <c r="BK402" s="53"/>
      <c r="BL402" s="51"/>
      <c r="BM402" s="53"/>
      <c r="BN402" s="51"/>
      <c r="BO402" s="53"/>
      <c r="BP402" s="51"/>
      <c r="BQ402" s="53"/>
      <c r="BR402" s="55"/>
    </row>
    <row r="403" spans="1:70" ht="28.5" customHeight="1">
      <c r="A403" s="67" t="str">
        <f>IF(games!A403="", "", games!A403)</f>
        <v>喵喵特工隊</v>
      </c>
      <c r="B403" s="51"/>
      <c r="C403" s="51" t="str">
        <f t="shared" si="16"/>
        <v>giftcodesbanner/喵喵特工隊-禮包碼.jpg</v>
      </c>
      <c r="D403" s="51" t="str">
        <f t="shared" si="17"/>
        <v>https://www.ssbuy.tw/gift-codes.html?game=喵喵特工隊</v>
      </c>
      <c r="E403" s="91"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07" t="s">
        <v>7286</v>
      </c>
      <c r="G403" s="51" t="s">
        <v>7287</v>
      </c>
      <c r="H403" s="51" t="s">
        <v>6988</v>
      </c>
      <c r="I403" s="51"/>
      <c r="J403" s="91"/>
      <c r="K403" s="100" t="s">
        <v>6343</v>
      </c>
      <c r="L403" s="51" t="s">
        <v>5496</v>
      </c>
      <c r="M403" s="53" t="s">
        <v>7285</v>
      </c>
      <c r="N403" s="54" t="s">
        <v>7302</v>
      </c>
      <c r="O403" s="53" t="s">
        <v>7298</v>
      </c>
      <c r="P403" s="54" t="s">
        <v>7303</v>
      </c>
      <c r="Q403" s="53" t="s">
        <v>7299</v>
      </c>
      <c r="R403" s="54" t="s">
        <v>7304</v>
      </c>
      <c r="S403" s="53" t="s">
        <v>7300</v>
      </c>
      <c r="T403" s="54" t="s">
        <v>7305</v>
      </c>
      <c r="U403" s="53" t="s">
        <v>7301</v>
      </c>
      <c r="V403" s="54" t="s">
        <v>7306</v>
      </c>
      <c r="W403" s="121" t="s">
        <v>7345</v>
      </c>
      <c r="X403" s="54"/>
      <c r="Y403" s="53"/>
      <c r="Z403" s="54"/>
      <c r="AA403" s="53"/>
      <c r="AB403" s="54"/>
      <c r="AC403" s="53"/>
      <c r="AD403" s="54"/>
      <c r="AE403" s="53"/>
      <c r="AF403" s="54"/>
      <c r="AG403" s="53"/>
      <c r="AH403" s="54"/>
      <c r="AI403" s="53"/>
      <c r="AJ403" s="54"/>
      <c r="AK403" s="53"/>
      <c r="AL403" s="54"/>
      <c r="AM403" s="53"/>
      <c r="AN403" s="54"/>
      <c r="AO403" s="53"/>
      <c r="AP403" s="54"/>
      <c r="AQ403" s="53"/>
      <c r="AR403" s="54"/>
      <c r="AS403" s="53"/>
      <c r="AT403" s="54"/>
      <c r="AU403" s="53"/>
      <c r="AV403" s="54"/>
      <c r="AW403" s="53"/>
      <c r="AX403" s="54"/>
      <c r="AY403" s="53"/>
      <c r="AZ403" s="54"/>
      <c r="BA403" s="53"/>
      <c r="BB403" s="51"/>
      <c r="BC403" s="53"/>
      <c r="BD403" s="51"/>
      <c r="BE403" s="53"/>
      <c r="BF403" s="51"/>
      <c r="BG403" s="53"/>
      <c r="BH403" s="51"/>
      <c r="BI403" s="53"/>
      <c r="BJ403" s="51"/>
      <c r="BK403" s="53"/>
      <c r="BL403" s="51"/>
      <c r="BM403" s="53"/>
      <c r="BN403" s="51"/>
      <c r="BO403" s="53"/>
      <c r="BP403" s="51"/>
      <c r="BQ403" s="53"/>
      <c r="BR403" s="55"/>
    </row>
    <row r="404" spans="1:70" ht="28.5" customHeight="1">
      <c r="A404" s="67" t="str">
        <f>IF(games!A404="", "", games!A404)</f>
        <v>千年3D：經典重生</v>
      </c>
      <c r="B404" s="51"/>
      <c r="C404" s="51" t="str">
        <f t="shared" si="16"/>
        <v>giftcodesbanner/千年3D：經典重生-禮包碼.jpg</v>
      </c>
      <c r="D404" s="51" t="str">
        <f t="shared" si="17"/>
        <v>https://www.ssbuy.tw/gift-codes.html?game=千年3D：經典重生</v>
      </c>
      <c r="E404" s="91"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2" t="s">
        <v>7584</v>
      </c>
      <c r="G404" s="51" t="s">
        <v>7585</v>
      </c>
      <c r="H404" s="51" t="s">
        <v>6988</v>
      </c>
      <c r="I404" s="51"/>
      <c r="J404" s="91"/>
      <c r="K404" s="100" t="s">
        <v>6343</v>
      </c>
      <c r="L404" s="51" t="s">
        <v>5496</v>
      </c>
      <c r="M404" s="53" t="s">
        <v>7575</v>
      </c>
      <c r="N404" s="54"/>
      <c r="O404" s="53" t="s">
        <v>7576</v>
      </c>
      <c r="P404" s="54"/>
      <c r="Q404" s="53" t="s">
        <v>7577</v>
      </c>
      <c r="R404" s="54"/>
      <c r="S404" s="53" t="s">
        <v>7578</v>
      </c>
      <c r="T404" s="54"/>
      <c r="U404" s="53" t="s">
        <v>7579</v>
      </c>
      <c r="V404" s="54"/>
      <c r="W404" s="53" t="s">
        <v>7580</v>
      </c>
      <c r="X404" s="54"/>
      <c r="Y404" s="53" t="s">
        <v>7581</v>
      </c>
      <c r="Z404" s="54"/>
      <c r="AA404" s="68" t="s">
        <v>7582</v>
      </c>
      <c r="AB404" s="54"/>
      <c r="AC404" s="53" t="s">
        <v>7583</v>
      </c>
      <c r="AD404" s="54"/>
      <c r="AE404" s="53"/>
      <c r="AF404" s="54"/>
      <c r="AG404" s="53"/>
      <c r="AH404" s="54"/>
      <c r="AI404" s="53"/>
      <c r="AJ404" s="54"/>
      <c r="AK404" s="53"/>
      <c r="AL404" s="54"/>
      <c r="AM404" s="53"/>
      <c r="AN404" s="54"/>
      <c r="AO404" s="53"/>
      <c r="AP404" s="54"/>
      <c r="AQ404" s="53"/>
      <c r="AR404" s="54"/>
      <c r="AS404" s="53"/>
      <c r="AT404" s="54"/>
      <c r="AU404" s="53"/>
      <c r="AV404" s="54"/>
      <c r="AW404" s="53"/>
      <c r="AX404" s="54"/>
      <c r="AY404" s="53"/>
      <c r="AZ404" s="54"/>
      <c r="BA404" s="53"/>
      <c r="BB404" s="51"/>
      <c r="BC404" s="53"/>
      <c r="BD404" s="51"/>
      <c r="BE404" s="53"/>
      <c r="BF404" s="51"/>
      <c r="BG404" s="53"/>
      <c r="BH404" s="51"/>
      <c r="BI404" s="53"/>
      <c r="BJ404" s="51"/>
      <c r="BK404" s="53"/>
      <c r="BL404" s="51"/>
      <c r="BM404" s="53"/>
      <c r="BN404" s="51"/>
      <c r="BO404" s="53"/>
      <c r="BP404" s="51"/>
      <c r="BQ404" s="53"/>
      <c r="BR404" s="55"/>
    </row>
    <row r="405" spans="1:70" ht="28.5" customHeight="1">
      <c r="A405" s="67" t="str">
        <f>IF(games!A405="", "", games!A405)</f>
        <v>虹彩六號M</v>
      </c>
      <c r="B405" s="51"/>
      <c r="C405" s="51" t="str">
        <f t="shared" si="16"/>
        <v>giftcodesbanner/虹彩六號M-禮包碼.jpg</v>
      </c>
      <c r="D405" s="51" t="str">
        <f t="shared" si="17"/>
        <v>https://www.ssbuy.tw/gift-codes.html?game=虹彩六號M</v>
      </c>
      <c r="E405" s="91"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2" t="s">
        <v>7397</v>
      </c>
      <c r="G405" s="51" t="s">
        <v>7398</v>
      </c>
      <c r="H405" s="51" t="s">
        <v>7399</v>
      </c>
      <c r="I405" s="51"/>
      <c r="J405" s="91"/>
      <c r="K405" s="100" t="s">
        <v>6343</v>
      </c>
      <c r="L405" s="51" t="s">
        <v>5496</v>
      </c>
      <c r="M405" s="53"/>
      <c r="N405" s="54" t="s">
        <v>7396</v>
      </c>
      <c r="O405" s="53"/>
      <c r="P405" s="54"/>
      <c r="Q405" s="53"/>
      <c r="R405" s="54"/>
      <c r="S405" s="53"/>
      <c r="T405" s="54"/>
      <c r="U405" s="53"/>
      <c r="V405" s="54"/>
      <c r="W405" s="53"/>
      <c r="X405" s="54"/>
      <c r="Y405" s="53"/>
      <c r="Z405" s="54"/>
      <c r="AA405" s="53"/>
      <c r="AB405" s="54"/>
      <c r="AC405" s="53"/>
      <c r="AD405" s="54"/>
      <c r="AE405" s="53"/>
      <c r="AF405" s="54"/>
      <c r="AG405" s="53"/>
      <c r="AH405" s="54"/>
      <c r="AI405" s="53"/>
      <c r="AJ405" s="54"/>
      <c r="AK405" s="53"/>
      <c r="AL405" s="54"/>
      <c r="AM405" s="53"/>
      <c r="AN405" s="54"/>
      <c r="AO405" s="53"/>
      <c r="AP405" s="54"/>
      <c r="AQ405" s="53"/>
      <c r="AR405" s="54"/>
      <c r="AS405" s="53"/>
      <c r="AT405" s="54"/>
      <c r="AU405" s="53"/>
      <c r="AV405" s="54"/>
      <c r="AW405" s="53"/>
      <c r="AX405" s="54"/>
      <c r="AY405" s="53"/>
      <c r="AZ405" s="54"/>
      <c r="BA405" s="53"/>
      <c r="BB405" s="51"/>
      <c r="BC405" s="53"/>
      <c r="BD405" s="51"/>
      <c r="BE405" s="53"/>
      <c r="BF405" s="51"/>
      <c r="BG405" s="53"/>
      <c r="BH405" s="51"/>
      <c r="BI405" s="53"/>
      <c r="BJ405" s="51"/>
      <c r="BK405" s="53"/>
      <c r="BL405" s="51"/>
      <c r="BM405" s="53"/>
      <c r="BN405" s="51"/>
      <c r="BO405" s="53"/>
      <c r="BP405" s="51"/>
      <c r="BQ405" s="53"/>
      <c r="BR405" s="55"/>
    </row>
    <row r="406" spans="1:70" ht="28.5" customHeight="1">
      <c r="A406" s="67" t="str">
        <f>IF(games!A406="", "", games!A406)</f>
        <v>勇者來開團</v>
      </c>
      <c r="B406" s="51"/>
      <c r="C406" s="51" t="str">
        <f t="shared" si="16"/>
        <v>giftcodesbanner/勇者來開團-禮包碼.jpg</v>
      </c>
      <c r="D406" s="51" t="str">
        <f t="shared" si="17"/>
        <v>https://www.ssbuy.tw/gift-codes.html?game=勇者來開團</v>
      </c>
      <c r="E406" s="91"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2" t="s">
        <v>7454</v>
      </c>
      <c r="G406" s="51" t="s">
        <v>7455</v>
      </c>
      <c r="H406" s="51" t="s">
        <v>6988</v>
      </c>
      <c r="I406" s="51"/>
      <c r="J406" s="91"/>
      <c r="K406" s="100" t="s">
        <v>6343</v>
      </c>
      <c r="L406" s="51" t="s">
        <v>5496</v>
      </c>
      <c r="M406" s="53" t="s">
        <v>7410</v>
      </c>
      <c r="N406" s="54"/>
      <c r="O406" s="53" t="s">
        <v>7411</v>
      </c>
      <c r="P406" s="54"/>
      <c r="Q406" s="53" t="s">
        <v>7412</v>
      </c>
      <c r="R406" s="54"/>
      <c r="S406" s="53" t="s">
        <v>7490</v>
      </c>
      <c r="T406" s="54"/>
      <c r="U406" s="53" t="s">
        <v>7491</v>
      </c>
      <c r="V406" s="54"/>
      <c r="W406" s="53" t="s">
        <v>7492</v>
      </c>
      <c r="X406" s="54"/>
      <c r="Y406" s="53" t="s">
        <v>7493</v>
      </c>
      <c r="Z406" s="54"/>
      <c r="AA406" s="53" t="s">
        <v>7494</v>
      </c>
      <c r="AB406" s="54"/>
      <c r="AC406" s="53" t="s">
        <v>7495</v>
      </c>
      <c r="AD406" s="54"/>
      <c r="AE406" s="53" t="s">
        <v>7496</v>
      </c>
      <c r="AF406" s="54"/>
      <c r="AG406" s="53" t="s">
        <v>7497</v>
      </c>
      <c r="AH406" s="54"/>
      <c r="AI406" s="53" t="s">
        <v>7498</v>
      </c>
      <c r="AJ406" s="54"/>
      <c r="AK406" s="53" t="s">
        <v>7499</v>
      </c>
      <c r="AL406" s="54"/>
      <c r="AM406" s="53" t="s">
        <v>7500</v>
      </c>
      <c r="AN406" s="54"/>
      <c r="AO406" s="53" t="s">
        <v>7501</v>
      </c>
      <c r="AP406" s="54"/>
      <c r="AQ406" s="53"/>
      <c r="AR406" s="54"/>
      <c r="AS406" s="53"/>
      <c r="AT406" s="54"/>
      <c r="AU406" s="53"/>
      <c r="AV406" s="54"/>
      <c r="AW406" s="53"/>
      <c r="AX406" s="54"/>
      <c r="AY406" s="53"/>
      <c r="AZ406" s="54"/>
      <c r="BA406" s="53"/>
      <c r="BB406" s="51"/>
      <c r="BC406" s="53"/>
      <c r="BD406" s="51"/>
      <c r="BE406" s="53"/>
      <c r="BF406" s="51"/>
      <c r="BG406" s="53"/>
      <c r="BH406" s="51"/>
      <c r="BI406" s="53"/>
      <c r="BJ406" s="51"/>
      <c r="BK406" s="53"/>
      <c r="BL406" s="51"/>
      <c r="BM406" s="53"/>
      <c r="BN406" s="51"/>
      <c r="BO406" s="53"/>
      <c r="BP406" s="51"/>
      <c r="BQ406" s="53"/>
      <c r="BR406" s="55"/>
    </row>
    <row r="407" spans="1:70" ht="28.5" customHeight="1">
      <c r="A407" s="67" t="str">
        <f>IF(games!A407="", "", games!A407)</f>
        <v>Medabots Survivors</v>
      </c>
      <c r="B407" s="51"/>
      <c r="C407" s="51" t="str">
        <f t="shared" si="16"/>
        <v>giftcodesbanner/Medabots Survivors-禮包碼.jpg</v>
      </c>
      <c r="D407" s="51" t="str">
        <f t="shared" si="17"/>
        <v>https://www.ssbuy.tw/gift-codes.html?game=Medabots Survivors</v>
      </c>
      <c r="E407" s="91"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2" t="s">
        <v>5232</v>
      </c>
      <c r="G407" s="51"/>
      <c r="H407" s="51"/>
      <c r="I407" s="51"/>
      <c r="J407" s="91"/>
      <c r="K407" s="100" t="s">
        <v>6343</v>
      </c>
      <c r="L407" s="51" t="s">
        <v>5496</v>
      </c>
      <c r="M407" s="53"/>
      <c r="N407" s="54"/>
      <c r="O407" s="53"/>
      <c r="P407" s="54"/>
      <c r="Q407" s="53"/>
      <c r="R407" s="54"/>
      <c r="S407" s="53"/>
      <c r="T407" s="54"/>
      <c r="U407" s="53"/>
      <c r="V407" s="54"/>
      <c r="W407" s="53"/>
      <c r="X407" s="54"/>
      <c r="Y407" s="53"/>
      <c r="Z407" s="54"/>
      <c r="AA407" s="53"/>
      <c r="AB407" s="54"/>
      <c r="AC407" s="53"/>
      <c r="AD407" s="54"/>
      <c r="AE407" s="53"/>
      <c r="AF407" s="54"/>
      <c r="AG407" s="53"/>
      <c r="AH407" s="54"/>
      <c r="AI407" s="53"/>
      <c r="AJ407" s="54"/>
      <c r="AK407" s="53"/>
      <c r="AL407" s="54"/>
      <c r="AM407" s="53"/>
      <c r="AN407" s="54"/>
      <c r="AO407" s="53"/>
      <c r="AP407" s="54"/>
      <c r="AQ407" s="53"/>
      <c r="AR407" s="54"/>
      <c r="AS407" s="53"/>
      <c r="AT407" s="54"/>
      <c r="AU407" s="53"/>
      <c r="AV407" s="54"/>
      <c r="AW407" s="53"/>
      <c r="AX407" s="54"/>
      <c r="AY407" s="53"/>
      <c r="AZ407" s="54"/>
      <c r="BA407" s="53"/>
      <c r="BB407" s="51"/>
      <c r="BC407" s="53"/>
      <c r="BD407" s="51"/>
      <c r="BE407" s="53"/>
      <c r="BF407" s="51"/>
      <c r="BG407" s="53"/>
      <c r="BH407" s="51"/>
      <c r="BI407" s="53"/>
      <c r="BJ407" s="51"/>
      <c r="BK407" s="53"/>
      <c r="BL407" s="51"/>
      <c r="BM407" s="53"/>
      <c r="BN407" s="51"/>
      <c r="BO407" s="53"/>
      <c r="BP407" s="51"/>
      <c r="BQ407" s="53"/>
      <c r="BR407" s="55"/>
    </row>
    <row r="408" spans="1:70" ht="28.5" customHeight="1">
      <c r="A408" s="67" t="str">
        <f>IF(games!A408="", "", games!A408)</f>
        <v>新三國志曹操傳</v>
      </c>
      <c r="B408" s="51"/>
      <c r="C408" s="51" t="str">
        <f t="shared" si="16"/>
        <v>giftcodesbanner/新三國志曹操傳-禮包碼.jpg</v>
      </c>
      <c r="D408" s="51" t="str">
        <f t="shared" si="17"/>
        <v>https://www.ssbuy.tw/gift-codes.html?game=新三國志曹操傳</v>
      </c>
      <c r="E408" s="91"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2" t="s">
        <v>5232</v>
      </c>
      <c r="G408" s="51"/>
      <c r="H408" s="51"/>
      <c r="I408" s="51"/>
      <c r="J408" s="91"/>
      <c r="K408" s="100" t="s">
        <v>6343</v>
      </c>
      <c r="L408" s="51" t="s">
        <v>5496</v>
      </c>
      <c r="M408" s="53"/>
      <c r="N408" s="54"/>
      <c r="O408" s="53"/>
      <c r="P408" s="54"/>
      <c r="Q408" s="53"/>
      <c r="R408" s="54"/>
      <c r="S408" s="53"/>
      <c r="T408" s="54"/>
      <c r="U408" s="53"/>
      <c r="V408" s="54"/>
      <c r="W408" s="53"/>
      <c r="X408" s="54"/>
      <c r="Y408" s="53"/>
      <c r="Z408" s="54"/>
      <c r="AA408" s="53"/>
      <c r="AB408" s="54"/>
      <c r="AC408" s="53"/>
      <c r="AD408" s="54"/>
      <c r="AE408" s="53"/>
      <c r="AF408" s="54"/>
      <c r="AG408" s="53"/>
      <c r="AH408" s="54"/>
      <c r="AI408" s="53"/>
      <c r="AJ408" s="54"/>
      <c r="AK408" s="53"/>
      <c r="AL408" s="54"/>
      <c r="AM408" s="53"/>
      <c r="AN408" s="54"/>
      <c r="AO408" s="53"/>
      <c r="AP408" s="54"/>
      <c r="AQ408" s="53"/>
      <c r="AR408" s="54"/>
      <c r="AS408" s="53"/>
      <c r="AT408" s="54"/>
      <c r="AU408" s="53"/>
      <c r="AV408" s="54"/>
      <c r="AW408" s="53"/>
      <c r="AX408" s="54"/>
      <c r="AY408" s="53"/>
      <c r="AZ408" s="54"/>
      <c r="BA408" s="53"/>
      <c r="BB408" s="51"/>
      <c r="BC408" s="53"/>
      <c r="BD408" s="51"/>
      <c r="BE408" s="53"/>
      <c r="BF408" s="51"/>
      <c r="BG408" s="53"/>
      <c r="BH408" s="51"/>
      <c r="BI408" s="53"/>
      <c r="BJ408" s="51"/>
      <c r="BK408" s="53"/>
      <c r="BL408" s="51"/>
      <c r="BM408" s="53"/>
      <c r="BN408" s="51"/>
      <c r="BO408" s="53"/>
      <c r="BP408" s="51"/>
      <c r="BQ408" s="53"/>
      <c r="BR408" s="55"/>
    </row>
    <row r="409" spans="1:70" ht="28.5" customHeight="1">
      <c r="A409" s="67" t="str">
        <f>IF(games!A409="", "", games!A409)</f>
        <v>物華彌新</v>
      </c>
      <c r="B409" s="51"/>
      <c r="C409" s="51" t="str">
        <f t="shared" si="16"/>
        <v>giftcodesbanner/物華彌新-禮包碼.jpg</v>
      </c>
      <c r="D409" s="51" t="str">
        <f t="shared" si="17"/>
        <v>https://www.ssbuy.tw/gift-codes.html?game=物華彌新</v>
      </c>
      <c r="E409" s="91"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2" t="s">
        <v>7454</v>
      </c>
      <c r="G409" s="51" t="s">
        <v>7456</v>
      </c>
      <c r="H409" s="51" t="s">
        <v>6988</v>
      </c>
      <c r="I409" s="51"/>
      <c r="J409" s="91"/>
      <c r="K409" s="100" t="s">
        <v>6343</v>
      </c>
      <c r="L409" s="51" t="s">
        <v>5496</v>
      </c>
      <c r="M409" s="53" t="s">
        <v>7574</v>
      </c>
      <c r="N409" s="54" t="s">
        <v>7661</v>
      </c>
      <c r="O409" s="53" t="s">
        <v>7657</v>
      </c>
      <c r="P409" s="54" t="s">
        <v>7660</v>
      </c>
      <c r="Q409" s="53" t="s">
        <v>7658</v>
      </c>
      <c r="R409" s="54" t="s">
        <v>7662</v>
      </c>
      <c r="S409" s="53" t="s">
        <v>7659</v>
      </c>
      <c r="T409" s="54" t="s">
        <v>7663</v>
      </c>
      <c r="U409" s="53" t="s">
        <v>7937</v>
      </c>
      <c r="V409" s="54" t="s">
        <v>7938</v>
      </c>
      <c r="W409" s="53"/>
      <c r="X409" s="54"/>
      <c r="Y409" s="53"/>
      <c r="Z409" s="54"/>
      <c r="AA409" s="53"/>
      <c r="AB409" s="54"/>
      <c r="AC409" s="53"/>
      <c r="AD409" s="54"/>
      <c r="AE409" s="53"/>
      <c r="AF409" s="54"/>
      <c r="AG409" s="53"/>
      <c r="AH409" s="54"/>
      <c r="AI409" s="53"/>
      <c r="AJ409" s="54"/>
      <c r="AK409" s="53"/>
      <c r="AL409" s="54"/>
      <c r="AM409" s="53"/>
      <c r="AN409" s="54"/>
      <c r="AO409" s="53"/>
      <c r="AP409" s="54"/>
      <c r="AQ409" s="53"/>
      <c r="AR409" s="54"/>
      <c r="AS409" s="53"/>
      <c r="AT409" s="54"/>
      <c r="AU409" s="53"/>
      <c r="AV409" s="54"/>
      <c r="AW409" s="53"/>
      <c r="AX409" s="54"/>
      <c r="AY409" s="53"/>
      <c r="AZ409" s="54"/>
      <c r="BA409" s="53"/>
      <c r="BB409" s="51"/>
      <c r="BC409" s="53"/>
      <c r="BD409" s="51"/>
      <c r="BE409" s="53"/>
      <c r="BF409" s="51"/>
      <c r="BG409" s="53"/>
      <c r="BH409" s="51"/>
      <c r="BI409" s="53"/>
      <c r="BJ409" s="51"/>
      <c r="BK409" s="53"/>
      <c r="BL409" s="51"/>
      <c r="BM409" s="53"/>
      <c r="BN409" s="51"/>
      <c r="BO409" s="53"/>
      <c r="BP409" s="51"/>
      <c r="BQ409" s="53"/>
      <c r="BR409" s="55"/>
    </row>
    <row r="410" spans="1:70" ht="28.5" customHeight="1">
      <c r="A410" s="67" t="str">
        <f>IF(games!A410="", "", games!A410)</f>
        <v>進擊的喵喵</v>
      </c>
      <c r="B410" s="51"/>
      <c r="C410" s="51" t="str">
        <f t="shared" si="16"/>
        <v>giftcodesbanner/進擊的喵喵-禮包碼.jpg</v>
      </c>
      <c r="D410" s="51" t="str">
        <f t="shared" si="17"/>
        <v>https://www.ssbuy.tw/gift-codes.html?game=進擊的喵喵</v>
      </c>
      <c r="E410" s="91"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2" t="s">
        <v>5232</v>
      </c>
      <c r="G410" s="51"/>
      <c r="H410" s="51"/>
      <c r="I410" s="51"/>
      <c r="J410" s="91"/>
      <c r="K410" s="100" t="s">
        <v>6343</v>
      </c>
      <c r="L410" s="51" t="s">
        <v>5496</v>
      </c>
      <c r="M410" s="53"/>
      <c r="N410" s="54"/>
      <c r="O410" s="53"/>
      <c r="P410" s="54"/>
      <c r="Q410" s="53"/>
      <c r="R410" s="54"/>
      <c r="S410" s="53"/>
      <c r="T410" s="54"/>
      <c r="U410" s="53"/>
      <c r="V410" s="54"/>
      <c r="W410" s="53"/>
      <c r="X410" s="54"/>
      <c r="Y410" s="53"/>
      <c r="Z410" s="54"/>
      <c r="AA410" s="53"/>
      <c r="AB410" s="54"/>
      <c r="AC410" s="53"/>
      <c r="AD410" s="54"/>
      <c r="AE410" s="53"/>
      <c r="AF410" s="54"/>
      <c r="AG410" s="53"/>
      <c r="AH410" s="54"/>
      <c r="AI410" s="53"/>
      <c r="AJ410" s="54"/>
      <c r="AK410" s="53"/>
      <c r="AL410" s="54"/>
      <c r="AM410" s="53"/>
      <c r="AN410" s="54"/>
      <c r="AO410" s="53"/>
      <c r="AP410" s="54"/>
      <c r="AQ410" s="53"/>
      <c r="AR410" s="54"/>
      <c r="AS410" s="53"/>
      <c r="AT410" s="54"/>
      <c r="AU410" s="53"/>
      <c r="AV410" s="54"/>
      <c r="AW410" s="53"/>
      <c r="AX410" s="54"/>
      <c r="AY410" s="53"/>
      <c r="AZ410" s="54"/>
      <c r="BA410" s="53"/>
      <c r="BB410" s="51"/>
      <c r="BC410" s="53"/>
      <c r="BD410" s="51"/>
      <c r="BE410" s="53"/>
      <c r="BF410" s="51"/>
      <c r="BG410" s="53"/>
      <c r="BH410" s="51"/>
      <c r="BI410" s="53"/>
      <c r="BJ410" s="51"/>
      <c r="BK410" s="53"/>
      <c r="BL410" s="51"/>
      <c r="BM410" s="53"/>
      <c r="BN410" s="51"/>
      <c r="BO410" s="53"/>
      <c r="BP410" s="51"/>
      <c r="BQ410" s="53"/>
      <c r="BR410" s="55"/>
    </row>
    <row r="411" spans="1:70" ht="28.5" customHeight="1">
      <c r="A411" s="67" t="str">
        <f>IF(games!A411="", "", games!A411)</f>
        <v>迷你英雄：重返部落</v>
      </c>
      <c r="B411" s="51"/>
      <c r="C411" s="51" t="str">
        <f t="shared" si="16"/>
        <v>giftcodesbanner/迷你英雄：重返部落-禮包碼.jpg</v>
      </c>
      <c r="D411" s="51" t="str">
        <f t="shared" si="17"/>
        <v>https://www.ssbuy.tw/gift-codes.html?game=迷你英雄：重返部落</v>
      </c>
      <c r="E411" s="91"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07" t="s">
        <v>7467</v>
      </c>
      <c r="G411" s="51" t="s">
        <v>7473</v>
      </c>
      <c r="H411" s="3" t="s">
        <v>7474</v>
      </c>
      <c r="I411" s="51" t="s">
        <v>6988</v>
      </c>
      <c r="J411" s="91"/>
      <c r="K411" s="100" t="s">
        <v>6343</v>
      </c>
      <c r="L411" s="51" t="s">
        <v>5496</v>
      </c>
      <c r="M411" s="53" t="s">
        <v>7466</v>
      </c>
      <c r="N411" s="54"/>
      <c r="O411" s="53" t="s">
        <v>7468</v>
      </c>
      <c r="P411" s="54"/>
      <c r="Q411" s="53" t="s">
        <v>7469</v>
      </c>
      <c r="R411" s="54"/>
      <c r="S411" s="53" t="s">
        <v>7470</v>
      </c>
      <c r="T411" s="54"/>
      <c r="U411" s="53" t="s">
        <v>7471</v>
      </c>
      <c r="V411" s="54"/>
      <c r="W411" s="53" t="s">
        <v>7472</v>
      </c>
      <c r="X411" s="54"/>
      <c r="Y411" s="53" t="s">
        <v>7475</v>
      </c>
      <c r="Z411" s="54"/>
      <c r="AA411" s="53"/>
      <c r="AB411" s="54"/>
      <c r="AC411" s="53"/>
      <c r="AD411" s="54"/>
      <c r="AE411" s="53"/>
      <c r="AF411" s="54"/>
      <c r="AG411" s="53"/>
      <c r="AH411" s="54"/>
      <c r="AI411" s="53"/>
      <c r="AJ411" s="54"/>
      <c r="AK411" s="53"/>
      <c r="AL411" s="54"/>
      <c r="AM411" s="53"/>
      <c r="AN411" s="54"/>
      <c r="AO411" s="53"/>
      <c r="AP411" s="54"/>
      <c r="AQ411" s="53"/>
      <c r="AR411" s="54"/>
      <c r="AS411" s="53"/>
      <c r="AT411" s="54"/>
      <c r="AU411" s="53"/>
      <c r="AV411" s="54"/>
      <c r="AW411" s="53"/>
      <c r="AX411" s="54"/>
      <c r="AY411" s="53"/>
      <c r="AZ411" s="54"/>
      <c r="BA411" s="53"/>
      <c r="BB411" s="51"/>
      <c r="BC411" s="53"/>
      <c r="BD411" s="51"/>
      <c r="BE411" s="53"/>
      <c r="BF411" s="51"/>
      <c r="BG411" s="53"/>
      <c r="BH411" s="51"/>
      <c r="BI411" s="53"/>
      <c r="BJ411" s="51"/>
      <c r="BK411" s="53"/>
      <c r="BL411" s="51"/>
      <c r="BM411" s="53"/>
      <c r="BN411" s="51"/>
      <c r="BO411" s="53"/>
      <c r="BP411" s="51"/>
      <c r="BQ411" s="53"/>
      <c r="BR411" s="55"/>
    </row>
    <row r="412" spans="1:70" ht="28.5" customHeight="1">
      <c r="A412" s="67" t="str">
        <f>IF(games!A412="", "", games!A412)</f>
        <v>石器時代：放置冒險</v>
      </c>
      <c r="B412" s="51"/>
      <c r="C412" s="51" t="str">
        <f t="shared" si="16"/>
        <v>giftcodesbanner/石器時代：放置冒險-禮包碼.jpg</v>
      </c>
      <c r="D412" s="51" t="str">
        <f t="shared" si="17"/>
        <v>https://www.ssbuy.tw/gift-codes.html?game=石器時代：放置冒險</v>
      </c>
      <c r="E412" s="91"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07" t="s">
        <v>7484</v>
      </c>
      <c r="G412" s="51" t="s">
        <v>7485</v>
      </c>
      <c r="H412" s="51" t="s">
        <v>7486</v>
      </c>
      <c r="I412" s="51" t="s">
        <v>7487</v>
      </c>
      <c r="J412" s="51" t="s">
        <v>6988</v>
      </c>
      <c r="K412" s="100" t="s">
        <v>6343</v>
      </c>
      <c r="L412" s="51" t="s">
        <v>5496</v>
      </c>
      <c r="M412" s="53" t="s">
        <v>7482</v>
      </c>
      <c r="N412" s="54" t="s">
        <v>7483</v>
      </c>
      <c r="O412" s="53"/>
      <c r="P412" s="54"/>
      <c r="Q412" s="53"/>
      <c r="R412" s="54"/>
      <c r="S412" s="53"/>
      <c r="T412" s="54"/>
      <c r="U412" s="53"/>
      <c r="V412" s="54"/>
      <c r="W412" s="53"/>
      <c r="X412" s="54"/>
      <c r="Y412" s="53"/>
      <c r="Z412" s="54"/>
      <c r="AA412" s="53"/>
      <c r="AB412" s="54"/>
      <c r="AC412" s="53"/>
      <c r="AD412" s="54"/>
      <c r="AE412" s="53"/>
      <c r="AF412" s="54"/>
      <c r="AG412" s="53"/>
      <c r="AH412" s="54"/>
      <c r="AI412" s="53"/>
      <c r="AJ412" s="54"/>
      <c r="AK412" s="53"/>
      <c r="AL412" s="54"/>
      <c r="AM412" s="53"/>
      <c r="AN412" s="54"/>
      <c r="AO412" s="53"/>
      <c r="AP412" s="54"/>
      <c r="AQ412" s="53"/>
      <c r="AR412" s="54"/>
      <c r="AS412" s="53"/>
      <c r="AT412" s="54"/>
      <c r="AU412" s="53"/>
      <c r="AV412" s="54"/>
      <c r="AW412" s="53"/>
      <c r="AX412" s="54"/>
      <c r="AY412" s="53"/>
      <c r="AZ412" s="54"/>
      <c r="BA412" s="53"/>
      <c r="BB412" s="51"/>
      <c r="BC412" s="53"/>
      <c r="BD412" s="51"/>
      <c r="BE412" s="53"/>
      <c r="BF412" s="51"/>
      <c r="BG412" s="53"/>
      <c r="BH412" s="51"/>
      <c r="BI412" s="53"/>
      <c r="BJ412" s="51"/>
      <c r="BK412" s="53"/>
      <c r="BL412" s="51"/>
      <c r="BM412" s="53"/>
      <c r="BN412" s="51"/>
      <c r="BO412" s="53"/>
      <c r="BP412" s="51"/>
      <c r="BQ412" s="53"/>
      <c r="BR412" s="55"/>
    </row>
    <row r="413" spans="1:70" ht="28.5" customHeight="1">
      <c r="A413" s="67" t="str">
        <f>IF(games!A413="", "", games!A413)</f>
        <v>靈龍谷 - 孵化與養成</v>
      </c>
      <c r="B413" s="51"/>
      <c r="C413" s="51" t="str">
        <f t="shared" si="16"/>
        <v>giftcodesbanner/靈龍谷 - 孵化與養成-禮包碼.jpg</v>
      </c>
      <c r="D413" s="51" t="str">
        <f t="shared" si="17"/>
        <v>https://www.ssbuy.tw/gift-codes.html?game=靈龍谷 - 孵化與養成</v>
      </c>
      <c r="E413" s="91"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2" t="s">
        <v>5232</v>
      </c>
      <c r="G413" s="51"/>
      <c r="H413" s="51"/>
      <c r="I413" s="51"/>
      <c r="J413" s="91"/>
      <c r="K413" s="100" t="s">
        <v>6343</v>
      </c>
      <c r="L413" s="51" t="s">
        <v>5496</v>
      </c>
      <c r="M413" s="53"/>
      <c r="N413" s="54"/>
      <c r="O413" s="53"/>
      <c r="P413" s="54"/>
      <c r="Q413" s="53"/>
      <c r="R413" s="54"/>
      <c r="S413" s="53"/>
      <c r="T413" s="54"/>
      <c r="U413" s="53"/>
      <c r="V413" s="54"/>
      <c r="W413" s="53"/>
      <c r="X413" s="54"/>
      <c r="Y413" s="53"/>
      <c r="Z413" s="54"/>
      <c r="AA413" s="53"/>
      <c r="AB413" s="54"/>
      <c r="AC413" s="53"/>
      <c r="AD413" s="54"/>
      <c r="AE413" s="53"/>
      <c r="AF413" s="54"/>
      <c r="AG413" s="53"/>
      <c r="AH413" s="54"/>
      <c r="AI413" s="53"/>
      <c r="AJ413" s="54"/>
      <c r="AK413" s="53"/>
      <c r="AL413" s="54"/>
      <c r="AM413" s="53"/>
      <c r="AN413" s="54"/>
      <c r="AO413" s="53"/>
      <c r="AP413" s="54"/>
      <c r="AQ413" s="53"/>
      <c r="AR413" s="54"/>
      <c r="AS413" s="53"/>
      <c r="AT413" s="54"/>
      <c r="AU413" s="53"/>
      <c r="AV413" s="54"/>
      <c r="AW413" s="53"/>
      <c r="AX413" s="54"/>
      <c r="AY413" s="53"/>
      <c r="AZ413" s="54"/>
      <c r="BA413" s="53"/>
      <c r="BB413" s="51"/>
      <c r="BC413" s="53"/>
      <c r="BD413" s="51"/>
      <c r="BE413" s="53"/>
      <c r="BF413" s="51"/>
      <c r="BG413" s="53"/>
      <c r="BH413" s="51"/>
      <c r="BI413" s="53"/>
      <c r="BJ413" s="51"/>
      <c r="BK413" s="53"/>
      <c r="BL413" s="51"/>
      <c r="BM413" s="53"/>
      <c r="BN413" s="51"/>
      <c r="BO413" s="53"/>
      <c r="BP413" s="51"/>
      <c r="BQ413" s="53"/>
      <c r="BR413" s="55"/>
    </row>
    <row r="414" spans="1:70" ht="28.5" customHeight="1">
      <c r="A414" s="67" t="str">
        <f>IF(games!A414="", "", games!A414)</f>
        <v>對魔忍特遣隊</v>
      </c>
      <c r="B414" s="51"/>
      <c r="C414" s="51" t="str">
        <f t="shared" si="16"/>
        <v>giftcodesbanner/對魔忍特遣隊-禮包碼.jpg</v>
      </c>
      <c r="D414" s="51" t="str">
        <f t="shared" si="17"/>
        <v>https://www.ssbuy.tw/gift-codes.html?game=對魔忍特遣隊</v>
      </c>
      <c r="E414" s="91"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2" t="s">
        <v>5232</v>
      </c>
      <c r="G414" s="51"/>
      <c r="H414" s="51"/>
      <c r="I414" s="51"/>
      <c r="J414" s="91"/>
      <c r="K414" s="100" t="s">
        <v>6343</v>
      </c>
      <c r="L414" s="51" t="s">
        <v>5496</v>
      </c>
      <c r="M414" s="53"/>
      <c r="N414" s="54"/>
      <c r="O414" s="53"/>
      <c r="P414" s="54"/>
      <c r="Q414" s="53"/>
      <c r="R414" s="54"/>
      <c r="S414" s="53"/>
      <c r="T414" s="54"/>
      <c r="U414" s="53"/>
      <c r="V414" s="54"/>
      <c r="W414" s="53"/>
      <c r="X414" s="54"/>
      <c r="Y414" s="53"/>
      <c r="Z414" s="54"/>
      <c r="AA414" s="53"/>
      <c r="AB414" s="54"/>
      <c r="AC414" s="53"/>
      <c r="AD414" s="54"/>
      <c r="AE414" s="53"/>
      <c r="AF414" s="54"/>
      <c r="AG414" s="53"/>
      <c r="AH414" s="54"/>
      <c r="AI414" s="53"/>
      <c r="AJ414" s="54"/>
      <c r="AK414" s="53"/>
      <c r="AL414" s="54"/>
      <c r="AM414" s="53"/>
      <c r="AN414" s="54"/>
      <c r="AO414" s="53"/>
      <c r="AP414" s="54"/>
      <c r="AQ414" s="53"/>
      <c r="AR414" s="54"/>
      <c r="AS414" s="53"/>
      <c r="AT414" s="54"/>
      <c r="AU414" s="53"/>
      <c r="AV414" s="54"/>
      <c r="AW414" s="53"/>
      <c r="AX414" s="54"/>
      <c r="AY414" s="53"/>
      <c r="AZ414" s="54"/>
      <c r="BA414" s="53"/>
      <c r="BB414" s="51"/>
      <c r="BC414" s="53"/>
      <c r="BD414" s="51"/>
      <c r="BE414" s="53"/>
      <c r="BF414" s="51"/>
      <c r="BG414" s="53"/>
      <c r="BH414" s="51"/>
      <c r="BI414" s="53"/>
      <c r="BJ414" s="51"/>
      <c r="BK414" s="53"/>
      <c r="BL414" s="51"/>
      <c r="BM414" s="53"/>
      <c r="BN414" s="51"/>
      <c r="BO414" s="53"/>
      <c r="BP414" s="51"/>
      <c r="BQ414" s="53"/>
      <c r="BR414" s="55"/>
    </row>
    <row r="415" spans="1:70" ht="28.5" customHeight="1">
      <c r="A415" s="67" t="str">
        <f>IF(games!A415="", "", games!A415)</f>
        <v>刀劍朝鮮</v>
      </c>
      <c r="B415" s="51"/>
      <c r="C415" s="51" t="str">
        <f t="shared" si="16"/>
        <v>giftcodesbanner/刀劍朝鮮-禮包碼.jpg</v>
      </c>
      <c r="D415" s="51" t="str">
        <f t="shared" si="17"/>
        <v>https://www.ssbuy.tw/gift-codes.html?game=刀劍朝鮮</v>
      </c>
      <c r="E415" s="91"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2" t="s">
        <v>5232</v>
      </c>
      <c r="G415" s="51"/>
      <c r="H415" s="51"/>
      <c r="I415" s="51"/>
      <c r="J415" s="91"/>
      <c r="K415" s="100" t="s">
        <v>6343</v>
      </c>
      <c r="L415" s="51" t="s">
        <v>5496</v>
      </c>
      <c r="M415" s="53"/>
      <c r="N415" s="54"/>
      <c r="O415" s="53"/>
      <c r="P415" s="54"/>
      <c r="Q415" s="53"/>
      <c r="R415" s="54"/>
      <c r="S415" s="53"/>
      <c r="T415" s="54"/>
      <c r="U415" s="53"/>
      <c r="V415" s="54"/>
      <c r="W415" s="53"/>
      <c r="X415" s="54"/>
      <c r="Y415" s="53"/>
      <c r="Z415" s="54"/>
      <c r="AA415" s="53"/>
      <c r="AB415" s="54"/>
      <c r="AC415" s="53"/>
      <c r="AD415" s="54"/>
      <c r="AE415" s="53"/>
      <c r="AF415" s="54"/>
      <c r="AG415" s="53"/>
      <c r="AH415" s="54"/>
      <c r="AI415" s="53"/>
      <c r="AJ415" s="54"/>
      <c r="AK415" s="53"/>
      <c r="AL415" s="54"/>
      <c r="AM415" s="53"/>
      <c r="AN415" s="54"/>
      <c r="AO415" s="53"/>
      <c r="AP415" s="54"/>
      <c r="AQ415" s="53"/>
      <c r="AR415" s="54"/>
      <c r="AS415" s="53"/>
      <c r="AT415" s="54"/>
      <c r="AU415" s="53"/>
      <c r="AV415" s="54"/>
      <c r="AW415" s="53"/>
      <c r="AX415" s="54"/>
      <c r="AY415" s="53"/>
      <c r="AZ415" s="54"/>
      <c r="BA415" s="53"/>
      <c r="BB415" s="51"/>
      <c r="BC415" s="53"/>
      <c r="BD415" s="51"/>
      <c r="BE415" s="53"/>
      <c r="BF415" s="51"/>
      <c r="BG415" s="53"/>
      <c r="BH415" s="51"/>
      <c r="BI415" s="53"/>
      <c r="BJ415" s="51"/>
      <c r="BK415" s="53"/>
      <c r="BL415" s="51"/>
      <c r="BM415" s="53"/>
      <c r="BN415" s="51"/>
      <c r="BO415" s="53"/>
      <c r="BP415" s="51"/>
      <c r="BQ415" s="53"/>
      <c r="BR415" s="55"/>
    </row>
    <row r="416" spans="1:70" ht="28.5" customHeight="1">
      <c r="A416" s="67" t="str">
        <f>IF(games!A416="", "", games!A416)</f>
        <v>咻咻史萊姆</v>
      </c>
      <c r="B416" s="51"/>
      <c r="C416" s="51" t="str">
        <f t="shared" si="16"/>
        <v>giftcodesbanner/咻咻史萊姆-禮包碼.jpg</v>
      </c>
      <c r="D416" s="51" t="str">
        <f t="shared" si="17"/>
        <v>https://www.ssbuy.tw/gift-codes.html?game=咻咻史萊姆</v>
      </c>
      <c r="E416" s="91"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2" t="s">
        <v>7286</v>
      </c>
      <c r="G416" s="51" t="s">
        <v>7603</v>
      </c>
      <c r="H416" s="51" t="s">
        <v>6988</v>
      </c>
      <c r="I416" s="51"/>
      <c r="J416" s="91"/>
      <c r="K416" s="100" t="s">
        <v>6343</v>
      </c>
      <c r="L416" s="51" t="s">
        <v>5496</v>
      </c>
      <c r="M416" s="53" t="s">
        <v>7636</v>
      </c>
      <c r="N416" s="54"/>
      <c r="O416" s="53" t="s">
        <v>7637</v>
      </c>
      <c r="P416" s="54"/>
      <c r="Q416" s="53" t="s">
        <v>7640</v>
      </c>
      <c r="R416" s="54"/>
      <c r="S416" s="53" t="s">
        <v>7641</v>
      </c>
      <c r="T416" s="54"/>
      <c r="U416" s="53" t="s">
        <v>7651</v>
      </c>
      <c r="V416" s="54"/>
      <c r="W416" s="53" t="s">
        <v>7652</v>
      </c>
      <c r="X416" s="54"/>
      <c r="Y416" s="53" t="s">
        <v>7653</v>
      </c>
      <c r="Z416" s="54"/>
      <c r="AA416" s="53" t="s">
        <v>7654</v>
      </c>
      <c r="AB416" s="54"/>
      <c r="AC416" s="53" t="s">
        <v>7655</v>
      </c>
      <c r="AD416" s="54"/>
      <c r="AE416" s="53" t="s">
        <v>7656</v>
      </c>
      <c r="AF416" s="54"/>
      <c r="AG416" s="53"/>
      <c r="AH416" s="54"/>
      <c r="AI416" s="53"/>
      <c r="AJ416" s="54"/>
      <c r="AK416" s="53"/>
      <c r="AL416" s="54"/>
      <c r="AM416" s="53"/>
      <c r="AN416" s="54"/>
      <c r="AO416" s="53"/>
      <c r="AP416" s="54"/>
      <c r="AQ416" s="53"/>
      <c r="AR416" s="54"/>
      <c r="AS416" s="53"/>
      <c r="AT416" s="54"/>
      <c r="AU416" s="53"/>
      <c r="AV416" s="54"/>
      <c r="AW416" s="53"/>
      <c r="AX416" s="54"/>
      <c r="AY416" s="53"/>
      <c r="AZ416" s="54"/>
      <c r="BA416" s="53"/>
      <c r="BB416" s="51"/>
      <c r="BC416" s="53"/>
      <c r="BD416" s="51"/>
      <c r="BE416" s="53"/>
      <c r="BF416" s="51"/>
      <c r="BG416" s="53"/>
      <c r="BH416" s="51"/>
      <c r="BI416" s="53"/>
      <c r="BJ416" s="51"/>
      <c r="BK416" s="53"/>
      <c r="BL416" s="51"/>
      <c r="BM416" s="53"/>
      <c r="BN416" s="51"/>
      <c r="BO416" s="53"/>
      <c r="BP416" s="51"/>
      <c r="BQ416" s="53"/>
      <c r="BR416" s="55"/>
    </row>
    <row r="417" spans="1:70" ht="28.5" customHeight="1">
      <c r="A417" s="67" t="str">
        <f>IF(games!A417="", "", games!A417)</f>
        <v>VAMPIR：血之繼承者</v>
      </c>
      <c r="B417" s="51"/>
      <c r="C417" s="51" t="str">
        <f t="shared" si="16"/>
        <v>giftcodesbanner/VAMPIR：血之繼承者-禮包碼.jpg</v>
      </c>
      <c r="D417" s="51" t="str">
        <f t="shared" si="17"/>
        <v>https://www.ssbuy.tw/gift-codes.html?game=VAMPIR：血之繼承者</v>
      </c>
      <c r="E417" s="91"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2" t="s">
        <v>7286</v>
      </c>
      <c r="G417" s="51" t="s">
        <v>7603</v>
      </c>
      <c r="H417" s="51" t="s">
        <v>6988</v>
      </c>
      <c r="I417" s="51"/>
      <c r="J417" s="91"/>
      <c r="K417" s="100" t="s">
        <v>6343</v>
      </c>
      <c r="L417" s="51" t="s">
        <v>5496</v>
      </c>
      <c r="M417" s="53" t="s">
        <v>7602</v>
      </c>
      <c r="N417" s="54"/>
      <c r="O417" s="53"/>
      <c r="P417" s="54"/>
      <c r="Q417" s="53"/>
      <c r="R417" s="54"/>
      <c r="S417" s="53"/>
      <c r="T417" s="54"/>
      <c r="U417" s="53"/>
      <c r="V417" s="54"/>
      <c r="W417" s="53"/>
      <c r="X417" s="54"/>
      <c r="Y417" s="53"/>
      <c r="Z417" s="54"/>
      <c r="AA417" s="53"/>
      <c r="AB417" s="54"/>
      <c r="AC417" s="53"/>
      <c r="AD417" s="54"/>
      <c r="AE417" s="53"/>
      <c r="AF417" s="54"/>
      <c r="AG417" s="53"/>
      <c r="AH417" s="54"/>
      <c r="AI417" s="53"/>
      <c r="AJ417" s="54"/>
      <c r="AK417" s="53"/>
      <c r="AL417" s="54"/>
      <c r="AM417" s="53"/>
      <c r="AN417" s="54"/>
      <c r="AO417" s="53"/>
      <c r="AP417" s="54"/>
      <c r="AQ417" s="53"/>
      <c r="AR417" s="54"/>
      <c r="AS417" s="53"/>
      <c r="AT417" s="54"/>
      <c r="AU417" s="53"/>
      <c r="AV417" s="54"/>
      <c r="AW417" s="53"/>
      <c r="AX417" s="54"/>
      <c r="AY417" s="53"/>
      <c r="AZ417" s="54"/>
      <c r="BA417" s="53"/>
      <c r="BB417" s="51"/>
      <c r="BC417" s="53"/>
      <c r="BD417" s="51"/>
      <c r="BE417" s="53"/>
      <c r="BF417" s="51"/>
      <c r="BG417" s="53"/>
      <c r="BH417" s="51"/>
      <c r="BI417" s="53"/>
      <c r="BJ417" s="51"/>
      <c r="BK417" s="53"/>
      <c r="BL417" s="51"/>
      <c r="BM417" s="53"/>
      <c r="BN417" s="51"/>
      <c r="BO417" s="53"/>
      <c r="BP417" s="51"/>
      <c r="BQ417" s="53"/>
      <c r="BR417" s="55"/>
    </row>
    <row r="418" spans="1:70" ht="28.5" customHeight="1">
      <c r="A418" s="67" t="str">
        <f>IF(games!A418="", "", games!A418)</f>
        <v>決勝之心</v>
      </c>
      <c r="B418" s="51"/>
      <c r="C418" s="51" t="str">
        <f t="shared" ref="C418:C480" si="18">IF(A418="","", "giftcodesbanner/" &amp; A418 &amp; "-禮包碼.jpg")</f>
        <v>giftcodesbanner/決勝之心-禮包碼.jpg</v>
      </c>
      <c r="D418" s="51" t="str">
        <f t="shared" ref="D418:D480" si="19">IF(A418="","", "https://www.ssbuy.tw/gift-codes.html?game="&amp;A418)</f>
        <v>https://www.ssbuy.tw/gift-codes.html?game=決勝之心</v>
      </c>
      <c r="E418" s="91"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2" t="s">
        <v>7484</v>
      </c>
      <c r="G418" s="51" t="s">
        <v>7784</v>
      </c>
      <c r="H418" s="51" t="s">
        <v>6988</v>
      </c>
      <c r="I418" s="51"/>
      <c r="J418" s="91"/>
      <c r="K418" s="100" t="s">
        <v>6343</v>
      </c>
      <c r="L418" s="51" t="s">
        <v>5496</v>
      </c>
      <c r="M418" s="53" t="s">
        <v>6005</v>
      </c>
      <c r="N418" s="54" t="s">
        <v>7780</v>
      </c>
      <c r="O418" s="53" t="s">
        <v>2318</v>
      </c>
      <c r="P418" s="54" t="s">
        <v>7781</v>
      </c>
      <c r="Q418" s="53" t="s">
        <v>2308</v>
      </c>
      <c r="R418" s="54" t="s">
        <v>7782</v>
      </c>
      <c r="S418" s="53" t="s">
        <v>3166</v>
      </c>
      <c r="T418" s="54" t="s">
        <v>7783</v>
      </c>
      <c r="U418" s="53"/>
      <c r="V418" s="54"/>
      <c r="W418" s="53"/>
      <c r="X418" s="54"/>
      <c r="Y418" s="53"/>
      <c r="Z418" s="54"/>
      <c r="AA418" s="53"/>
      <c r="AB418" s="54"/>
      <c r="AC418" s="53"/>
      <c r="AD418" s="54"/>
      <c r="AE418" s="53"/>
      <c r="AF418" s="54"/>
      <c r="AG418" s="53"/>
      <c r="AH418" s="54"/>
      <c r="AI418" s="53"/>
      <c r="AJ418" s="54"/>
      <c r="AK418" s="53"/>
      <c r="AL418" s="54"/>
      <c r="AM418" s="53"/>
      <c r="AN418" s="54"/>
      <c r="AO418" s="53"/>
      <c r="AP418" s="54"/>
      <c r="AQ418" s="53"/>
      <c r="AR418" s="54"/>
      <c r="AS418" s="53"/>
      <c r="AT418" s="54"/>
      <c r="AU418" s="53"/>
      <c r="AV418" s="54"/>
      <c r="AW418" s="53"/>
      <c r="AX418" s="54"/>
      <c r="AY418" s="53"/>
      <c r="AZ418" s="54"/>
      <c r="BA418" s="53"/>
      <c r="BB418" s="51"/>
      <c r="BC418" s="53"/>
      <c r="BD418" s="51"/>
      <c r="BE418" s="53"/>
      <c r="BF418" s="51"/>
      <c r="BG418" s="53"/>
      <c r="BH418" s="51"/>
      <c r="BI418" s="53"/>
      <c r="BJ418" s="51"/>
      <c r="BK418" s="53"/>
      <c r="BL418" s="51"/>
      <c r="BM418" s="53"/>
      <c r="BN418" s="51"/>
      <c r="BO418" s="53"/>
      <c r="BP418" s="51"/>
      <c r="BQ418" s="53"/>
      <c r="BR418" s="55"/>
    </row>
    <row r="419" spans="1:70" ht="28.5" customHeight="1">
      <c r="A419" s="67" t="str">
        <f>IF(games!A419="", "", games!A419)</f>
        <v>我推的浴姬</v>
      </c>
      <c r="B419" s="51"/>
      <c r="C419" s="51" t="str">
        <f t="shared" si="18"/>
        <v>giftcodesbanner/我推的浴姬-禮包碼.jpg</v>
      </c>
      <c r="D419" s="51" t="str">
        <f t="shared" si="19"/>
        <v>https://www.ssbuy.tw/gift-codes.html?game=我推的浴姬</v>
      </c>
      <c r="E419" s="91"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2" t="s">
        <v>7750</v>
      </c>
      <c r="G419" s="51" t="s">
        <v>7751</v>
      </c>
      <c r="H419" s="51"/>
      <c r="I419" s="51" t="s">
        <v>6988</v>
      </c>
      <c r="J419" s="91"/>
      <c r="K419" s="100" t="s">
        <v>6343</v>
      </c>
      <c r="L419" s="51" t="s">
        <v>5496</v>
      </c>
      <c r="M419" s="53" t="s">
        <v>7939</v>
      </c>
      <c r="N419" s="54"/>
      <c r="O419" s="53" t="s">
        <v>7940</v>
      </c>
      <c r="P419" s="54"/>
      <c r="Q419" s="53" t="s">
        <v>7941</v>
      </c>
      <c r="R419" s="54"/>
      <c r="S419" s="53" t="s">
        <v>7942</v>
      </c>
      <c r="T419" s="54"/>
      <c r="U419" s="53" t="s">
        <v>7943</v>
      </c>
      <c r="V419" s="54"/>
      <c r="W419" s="53" t="s">
        <v>7749</v>
      </c>
      <c r="X419" s="54"/>
      <c r="Y419" s="53" t="s">
        <v>7944</v>
      </c>
      <c r="Z419" s="54"/>
      <c r="AA419" s="53" t="s">
        <v>7747</v>
      </c>
      <c r="AB419" s="54"/>
      <c r="AC419" s="53" t="s">
        <v>7748</v>
      </c>
      <c r="AD419" s="54"/>
      <c r="AE419" s="53" t="s">
        <v>7945</v>
      </c>
      <c r="AF419" s="54"/>
      <c r="AG419" s="53" t="s">
        <v>7946</v>
      </c>
      <c r="AH419" s="54"/>
      <c r="AI419" s="53" t="s">
        <v>7746</v>
      </c>
      <c r="AJ419" s="54"/>
      <c r="AK419" s="53" t="s">
        <v>7745</v>
      </c>
      <c r="AL419" s="54"/>
      <c r="AM419" s="53" t="s">
        <v>7947</v>
      </c>
      <c r="AN419" s="54"/>
      <c r="AO419" s="53" t="s">
        <v>7948</v>
      </c>
      <c r="AP419" s="54"/>
      <c r="AQ419" s="53" t="s">
        <v>7949</v>
      </c>
      <c r="AR419" s="54"/>
      <c r="AS419" s="53" t="s">
        <v>7950</v>
      </c>
      <c r="AT419" s="54"/>
      <c r="AU419" s="53" t="s">
        <v>7951</v>
      </c>
      <c r="AV419" s="54"/>
      <c r="AW419" s="53" t="s">
        <v>7952</v>
      </c>
      <c r="AX419" s="54"/>
      <c r="AY419" s="53"/>
      <c r="AZ419" s="54"/>
      <c r="BA419" s="53"/>
      <c r="BB419" s="51"/>
      <c r="BC419" s="53"/>
      <c r="BD419" s="51"/>
      <c r="BE419" s="53"/>
      <c r="BF419" s="51"/>
      <c r="BG419" s="53"/>
      <c r="BH419" s="51"/>
      <c r="BI419" s="53"/>
      <c r="BJ419" s="51"/>
      <c r="BK419" s="53"/>
      <c r="BL419" s="51"/>
      <c r="BM419" s="53"/>
      <c r="BN419" s="51"/>
      <c r="BO419" s="53"/>
      <c r="BP419" s="51"/>
      <c r="BQ419" s="53"/>
      <c r="BR419" s="55"/>
    </row>
    <row r="420" spans="1:70" ht="28.5" customHeight="1">
      <c r="A420" s="67" t="str">
        <f>IF(games!A420="", "", games!A420)</f>
        <v>約定之日</v>
      </c>
      <c r="B420" s="51"/>
      <c r="C420" s="51" t="str">
        <f t="shared" si="18"/>
        <v>giftcodesbanner/約定之日-禮包碼.jpg</v>
      </c>
      <c r="D420" s="51" t="str">
        <f t="shared" si="19"/>
        <v>https://www.ssbuy.tw/gift-codes.html?game=約定之日</v>
      </c>
      <c r="E420" s="91"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07" t="s">
        <v>7633</v>
      </c>
      <c r="G420" s="51" t="s">
        <v>7634</v>
      </c>
      <c r="H420" s="3" t="s">
        <v>7635</v>
      </c>
      <c r="I420" s="51" t="s">
        <v>6988</v>
      </c>
      <c r="J420" s="91"/>
      <c r="K420" s="100" t="s">
        <v>6343</v>
      </c>
      <c r="L420" s="51" t="s">
        <v>5496</v>
      </c>
      <c r="M420" s="53" t="s">
        <v>7604</v>
      </c>
      <c r="N420" s="54"/>
      <c r="O420" s="53" t="s">
        <v>7605</v>
      </c>
      <c r="P420" s="54"/>
      <c r="Q420" s="53" t="s">
        <v>7606</v>
      </c>
      <c r="R420" s="54"/>
      <c r="S420" s="53" t="s">
        <v>1932</v>
      </c>
      <c r="T420" s="54"/>
      <c r="U420" s="53" t="s">
        <v>2056</v>
      </c>
      <c r="V420" s="54"/>
      <c r="W420" s="53" t="s">
        <v>6997</v>
      </c>
      <c r="X420" s="54"/>
      <c r="Y420" s="53" t="s">
        <v>6608</v>
      </c>
      <c r="Z420" s="54"/>
      <c r="AA420" s="53" t="s">
        <v>7638</v>
      </c>
      <c r="AB420" s="54"/>
      <c r="AC420" s="53"/>
      <c r="AD420" s="54"/>
      <c r="AE420" s="53"/>
      <c r="AF420" s="54"/>
      <c r="AG420" s="53"/>
      <c r="AH420" s="54"/>
      <c r="AI420" s="53"/>
      <c r="AJ420" s="54"/>
      <c r="AK420" s="53"/>
      <c r="AL420" s="54"/>
      <c r="AM420" s="53"/>
      <c r="AN420" s="54"/>
      <c r="AO420" s="53"/>
      <c r="AP420" s="54"/>
      <c r="AQ420" s="53"/>
      <c r="AR420" s="54"/>
      <c r="AS420" s="53"/>
      <c r="AT420" s="54"/>
      <c r="AU420" s="53"/>
      <c r="AV420" s="54"/>
      <c r="AW420" s="53"/>
      <c r="AX420" s="54"/>
      <c r="AY420" s="53"/>
      <c r="AZ420" s="54"/>
      <c r="BA420" s="53"/>
      <c r="BB420" s="51"/>
      <c r="BC420" s="53"/>
      <c r="BD420" s="51"/>
      <c r="BE420" s="53"/>
      <c r="BF420" s="51"/>
      <c r="BG420" s="53"/>
      <c r="BH420" s="51"/>
      <c r="BI420" s="53"/>
      <c r="BJ420" s="51"/>
      <c r="BK420" s="53"/>
      <c r="BL420" s="51"/>
      <c r="BM420" s="53"/>
      <c r="BN420" s="51"/>
      <c r="BO420" s="53"/>
      <c r="BP420" s="51"/>
      <c r="BQ420" s="53"/>
      <c r="BR420" s="55"/>
    </row>
    <row r="421" spans="1:70" ht="28.5" customHeight="1">
      <c r="A421" s="67" t="str">
        <f>IF(games!A421="", "", games!A421)</f>
        <v>同盟塔防戰</v>
      </c>
      <c r="B421" s="51"/>
      <c r="C421" s="51" t="str">
        <f t="shared" si="18"/>
        <v>giftcodesbanner/同盟塔防戰-禮包碼.jpg</v>
      </c>
      <c r="D421" s="51" t="str">
        <f t="shared" si="19"/>
        <v>https://www.ssbuy.tw/gift-codes.html?game=同盟塔防戰</v>
      </c>
      <c r="E421" s="91"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07" t="s">
        <v>7621</v>
      </c>
      <c r="G421" s="51" t="s">
        <v>7616</v>
      </c>
      <c r="H421" s="51" t="s">
        <v>6988</v>
      </c>
      <c r="I421" s="51"/>
      <c r="J421" s="91"/>
      <c r="K421" s="100" t="s">
        <v>6343</v>
      </c>
      <c r="L421" s="51" t="s">
        <v>5496</v>
      </c>
      <c r="M421" s="53" t="s">
        <v>7614</v>
      </c>
      <c r="N421" s="54" t="s">
        <v>7624</v>
      </c>
      <c r="O421" s="53" t="s">
        <v>7615</v>
      </c>
      <c r="P421" s="54" t="s">
        <v>7623</v>
      </c>
      <c r="Q421" s="53" t="s">
        <v>7620</v>
      </c>
      <c r="R421" s="54" t="s">
        <v>7622</v>
      </c>
      <c r="S421" s="53" t="s">
        <v>8042</v>
      </c>
      <c r="T421" s="54"/>
      <c r="U421" s="53" t="s">
        <v>8043</v>
      </c>
      <c r="V421" s="54"/>
      <c r="W421" s="53" t="s">
        <v>8044</v>
      </c>
      <c r="X421" s="54"/>
      <c r="Y421" s="53"/>
      <c r="Z421" s="54"/>
      <c r="AA421" s="53"/>
      <c r="AB421" s="54"/>
      <c r="AC421" s="53"/>
      <c r="AD421" s="54"/>
      <c r="AE421" s="53"/>
      <c r="AF421" s="54"/>
      <c r="AG421" s="53"/>
      <c r="AH421" s="54"/>
      <c r="AI421" s="53"/>
      <c r="AJ421" s="54"/>
      <c r="AK421" s="53"/>
      <c r="AL421" s="54"/>
      <c r="AM421" s="53"/>
      <c r="AN421" s="54"/>
      <c r="AO421" s="53"/>
      <c r="AP421" s="54"/>
      <c r="AQ421" s="53"/>
      <c r="AR421" s="54"/>
      <c r="AS421" s="53"/>
      <c r="AT421" s="54"/>
      <c r="AU421" s="53"/>
      <c r="AV421" s="54"/>
      <c r="AW421" s="53"/>
      <c r="AX421" s="54"/>
      <c r="AY421" s="53"/>
      <c r="AZ421" s="54"/>
      <c r="BA421" s="53"/>
      <c r="BB421" s="51"/>
      <c r="BC421" s="53"/>
      <c r="BD421" s="51"/>
      <c r="BE421" s="53"/>
      <c r="BF421" s="51"/>
      <c r="BG421" s="53"/>
      <c r="BH421" s="51"/>
      <c r="BI421" s="53"/>
      <c r="BJ421" s="51"/>
      <c r="BK421" s="53"/>
      <c r="BL421" s="51"/>
      <c r="BM421" s="53"/>
      <c r="BN421" s="51"/>
      <c r="BO421" s="53"/>
      <c r="BP421" s="51"/>
      <c r="BQ421" s="53"/>
      <c r="BR421" s="55"/>
    </row>
    <row r="422" spans="1:70" ht="28.5" customHeight="1">
      <c r="A422" s="67" t="str">
        <f>IF(games!A422="", "", games!A422)</f>
        <v>不正經魔王軍</v>
      </c>
      <c r="B422" s="85"/>
      <c r="C422" s="51" t="str">
        <f t="shared" si="18"/>
        <v>giftcodesbanner/不正經魔王軍-禮包碼.jpg</v>
      </c>
      <c r="D422" s="51" t="str">
        <f t="shared" si="19"/>
        <v>https://www.ssbuy.tw/gift-codes.html?game=不正經魔王軍</v>
      </c>
      <c r="E422" s="91"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2" t="s">
        <v>7286</v>
      </c>
      <c r="G422" s="51" t="s">
        <v>7603</v>
      </c>
      <c r="H422" s="51" t="s">
        <v>6988</v>
      </c>
      <c r="I422" s="51"/>
      <c r="J422" s="101"/>
      <c r="K422" s="100" t="s">
        <v>6343</v>
      </c>
      <c r="L422" s="51" t="s">
        <v>5496</v>
      </c>
      <c r="M422" s="86" t="s">
        <v>7104</v>
      </c>
      <c r="N422" s="87"/>
      <c r="O422" s="86" t="s">
        <v>7644</v>
      </c>
      <c r="P422" s="87"/>
      <c r="Q422" s="86" t="s">
        <v>7645</v>
      </c>
      <c r="R422" s="87"/>
      <c r="S422" s="86" t="s">
        <v>7649</v>
      </c>
      <c r="T422" s="87"/>
      <c r="U422" s="86" t="s">
        <v>7650</v>
      </c>
      <c r="V422" s="87"/>
      <c r="W422" s="86"/>
      <c r="X422" s="87"/>
      <c r="Y422" s="86"/>
      <c r="Z422" s="87"/>
      <c r="AA422" s="86"/>
      <c r="AB422" s="87"/>
      <c r="AC422" s="86"/>
      <c r="AD422" s="87"/>
      <c r="AE422" s="86"/>
      <c r="AF422" s="87"/>
      <c r="AG422" s="86"/>
      <c r="AH422" s="87"/>
      <c r="AI422" s="86"/>
      <c r="AJ422" s="87"/>
      <c r="AK422" s="86"/>
      <c r="AL422" s="87"/>
      <c r="AM422" s="86"/>
      <c r="AN422" s="87"/>
      <c r="AO422" s="86"/>
      <c r="AP422" s="87"/>
      <c r="AQ422" s="86"/>
      <c r="AR422" s="87"/>
      <c r="AS422" s="86"/>
      <c r="AT422" s="87"/>
      <c r="AU422" s="86"/>
      <c r="AV422" s="87"/>
      <c r="AW422" s="86"/>
      <c r="AX422" s="87"/>
      <c r="AY422" s="86"/>
      <c r="AZ422" s="87"/>
      <c r="BA422" s="86"/>
      <c r="BB422" s="85"/>
      <c r="BC422" s="86"/>
      <c r="BD422" s="85"/>
      <c r="BE422" s="86"/>
      <c r="BF422" s="85"/>
      <c r="BG422" s="86"/>
      <c r="BH422" s="85"/>
      <c r="BI422" s="86"/>
      <c r="BJ422" s="85"/>
      <c r="BK422" s="86"/>
      <c r="BL422" s="85"/>
      <c r="BM422" s="86"/>
      <c r="BN422" s="85"/>
      <c r="BO422" s="86"/>
      <c r="BP422" s="85"/>
      <c r="BQ422" s="86"/>
      <c r="BR422" s="88"/>
    </row>
    <row r="423" spans="1:70" ht="28.5" customHeight="1">
      <c r="A423" s="67" t="str">
        <f>IF(games!A423="", "", games!A423)</f>
        <v>星之救援者</v>
      </c>
      <c r="B423" s="2"/>
      <c r="C423" s="51" t="str">
        <f t="shared" si="18"/>
        <v>giftcodesbanner/星之救援者-禮包碼.jpg</v>
      </c>
      <c r="D423" s="51" t="str">
        <f t="shared" si="19"/>
        <v>https://www.ssbuy.tw/gift-codes.html?game=星之救援者</v>
      </c>
      <c r="E423" s="91"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2" t="s">
        <v>7752</v>
      </c>
      <c r="G423" s="2" t="s">
        <v>7753</v>
      </c>
      <c r="H423" s="2" t="s">
        <v>7754</v>
      </c>
      <c r="I423" s="51" t="s">
        <v>6988</v>
      </c>
      <c r="J423" s="41"/>
      <c r="K423" s="100" t="s">
        <v>6343</v>
      </c>
      <c r="L423" s="51" t="s">
        <v>5496</v>
      </c>
      <c r="M423" s="42" t="s">
        <v>7755</v>
      </c>
      <c r="N423" s="43"/>
      <c r="O423" s="42" t="s">
        <v>7756</v>
      </c>
      <c r="P423" s="43"/>
      <c r="Q423" s="42" t="s">
        <v>7757</v>
      </c>
      <c r="R423" s="43"/>
      <c r="S423" s="42"/>
      <c r="T423" s="43"/>
      <c r="U423" s="42"/>
      <c r="V423" s="43"/>
      <c r="W423" s="42"/>
      <c r="X423" s="43"/>
      <c r="Y423" s="42"/>
      <c r="Z423" s="43"/>
      <c r="AA423" s="42"/>
      <c r="AB423" s="43"/>
      <c r="AC423" s="42"/>
      <c r="AD423" s="43"/>
      <c r="AE423" s="42"/>
      <c r="AF423" s="43"/>
      <c r="AG423" s="42"/>
      <c r="AH423" s="43"/>
      <c r="AI423" s="42"/>
      <c r="AJ423" s="43"/>
      <c r="AK423" s="42"/>
      <c r="AL423" s="43"/>
      <c r="AM423" s="42"/>
      <c r="AN423" s="43"/>
      <c r="AO423" s="42"/>
      <c r="AP423" s="43"/>
      <c r="AQ423" s="42"/>
      <c r="AR423" s="43"/>
      <c r="AS423" s="42"/>
      <c r="AT423" s="43"/>
      <c r="AU423" s="42"/>
      <c r="AV423" s="43"/>
      <c r="AW423" s="42"/>
      <c r="AX423" s="43"/>
      <c r="AY423" s="42"/>
      <c r="AZ423" s="43"/>
      <c r="BA423" s="42"/>
      <c r="BB423" s="2"/>
      <c r="BC423" s="42"/>
      <c r="BD423" s="2"/>
      <c r="BE423" s="42"/>
      <c r="BF423" s="2"/>
      <c r="BG423" s="42"/>
      <c r="BH423" s="2"/>
      <c r="BI423" s="42"/>
      <c r="BJ423" s="2"/>
      <c r="BK423" s="42"/>
      <c r="BL423" s="2"/>
      <c r="BM423" s="42"/>
      <c r="BN423" s="2"/>
      <c r="BO423" s="42"/>
      <c r="BP423" s="2"/>
      <c r="BQ423" s="42"/>
      <c r="BR423" s="2"/>
    </row>
    <row r="424" spans="1:70" ht="28.5" customHeight="1">
      <c r="A424" s="67" t="str">
        <f>IF(games!A424="", "", games!A424)</f>
        <v>希望M ON CROSS</v>
      </c>
      <c r="C424" s="51" t="str">
        <f t="shared" si="18"/>
        <v>giftcodesbanner/希望M ON CROSS-禮包碼.jpg</v>
      </c>
      <c r="D424" s="51" t="str">
        <f t="shared" si="19"/>
        <v>https://www.ssbuy.tw/gift-codes.html?game=希望M ON CROSS</v>
      </c>
      <c r="E424" s="91"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2" t="s">
        <v>7742</v>
      </c>
      <c r="G424" s="3" t="s">
        <v>7743</v>
      </c>
      <c r="H424" s="3" t="s">
        <v>7744</v>
      </c>
      <c r="I424" s="51" t="s">
        <v>6988</v>
      </c>
      <c r="J424" s="123" t="s">
        <v>7856</v>
      </c>
      <c r="K424" s="100" t="s">
        <v>6343</v>
      </c>
      <c r="L424" s="51" t="s">
        <v>5496</v>
      </c>
      <c r="M424" s="6" t="s">
        <v>7740</v>
      </c>
      <c r="N424" s="40" t="s">
        <v>7741</v>
      </c>
      <c r="O424" s="6" t="s">
        <v>7855</v>
      </c>
    </row>
    <row r="425" spans="1:70" ht="28.5" customHeight="1">
      <c r="A425" s="67" t="str">
        <f>IF(games!A425="", "", games!A425)</f>
        <v>RO仙境傳說：愛如初見Classic</v>
      </c>
      <c r="C425" s="51" t="str">
        <f t="shared" si="18"/>
        <v>giftcodesbanner/RO仙境傳說：愛如初見Classic-禮包碼.jpg</v>
      </c>
      <c r="D425" s="51" t="str">
        <f t="shared" si="19"/>
        <v>https://www.ssbuy.tw/gift-codes.html?game=RO仙境傳說：愛如初見Classic</v>
      </c>
      <c r="E425" s="91"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2" t="s">
        <v>7854</v>
      </c>
      <c r="G425" s="3" t="s">
        <v>7098</v>
      </c>
      <c r="H425" s="51" t="s">
        <v>6988</v>
      </c>
      <c r="K425" s="100" t="s">
        <v>6343</v>
      </c>
      <c r="L425" s="51" t="s">
        <v>5496</v>
      </c>
      <c r="M425" s="6" t="s">
        <v>7849</v>
      </c>
      <c r="O425" s="6" t="s">
        <v>7850</v>
      </c>
      <c r="Q425" s="6" t="s">
        <v>7851</v>
      </c>
      <c r="S425" s="6" t="s">
        <v>7852</v>
      </c>
      <c r="U425" s="6" t="s">
        <v>7853</v>
      </c>
    </row>
    <row r="426" spans="1:70" ht="28.5" customHeight="1">
      <c r="A426" s="67" t="str">
        <f>IF(games!A426="", "", games!A426)</f>
        <v>鐳明閃擊</v>
      </c>
      <c r="C426" s="51" t="str">
        <f t="shared" si="18"/>
        <v>giftcodesbanner/鐳明閃擊-禮包碼.jpg</v>
      </c>
      <c r="D426" s="51" t="str">
        <f t="shared" si="19"/>
        <v>https://www.ssbuy.tw/gift-codes.html?game=鐳明閃擊</v>
      </c>
      <c r="E426" s="91"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2" t="s">
        <v>7857</v>
      </c>
      <c r="G426" s="3" t="s">
        <v>7858</v>
      </c>
      <c r="H426" s="3" t="s">
        <v>7859</v>
      </c>
      <c r="I426" s="51" t="s">
        <v>6988</v>
      </c>
      <c r="K426" s="100" t="s">
        <v>6343</v>
      </c>
      <c r="L426" s="51" t="s">
        <v>5496</v>
      </c>
      <c r="M426" s="6" t="s">
        <v>7860</v>
      </c>
      <c r="O426" s="6" t="s">
        <v>7861</v>
      </c>
      <c r="Q426" s="6" t="s">
        <v>7862</v>
      </c>
      <c r="S426" s="6" t="s">
        <v>7863</v>
      </c>
      <c r="U426" s="6" t="s">
        <v>7864</v>
      </c>
      <c r="W426" s="6" t="s">
        <v>7865</v>
      </c>
      <c r="Y426" s="6" t="s">
        <v>7866</v>
      </c>
      <c r="AA426" s="6" t="s">
        <v>7867</v>
      </c>
      <c r="AC426" s="6" t="s">
        <v>7868</v>
      </c>
      <c r="AE426" s="6" t="s">
        <v>7869</v>
      </c>
      <c r="AG426" s="6" t="s">
        <v>7870</v>
      </c>
      <c r="AI426" s="6" t="s">
        <v>7871</v>
      </c>
      <c r="AK426" s="6" t="s">
        <v>7872</v>
      </c>
      <c r="AM426" s="6" t="s">
        <v>7873</v>
      </c>
    </row>
    <row r="427" spans="1:70" ht="28.5" customHeight="1">
      <c r="A427" s="67" t="str">
        <f>IF(games!A427="", "", games!A427)</f>
        <v>最後的迴響</v>
      </c>
      <c r="C427" s="51" t="str">
        <f t="shared" si="18"/>
        <v>giftcodesbanner/最後的迴響-禮包碼.jpg</v>
      </c>
      <c r="D427" s="51" t="str">
        <f t="shared" si="19"/>
        <v>https://www.ssbuy.tw/gift-codes.html?game=最後的迴響</v>
      </c>
      <c r="E427" s="91"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2" t="s">
        <v>5232</v>
      </c>
      <c r="K427" s="100" t="s">
        <v>6343</v>
      </c>
      <c r="L427" s="51" t="s">
        <v>5496</v>
      </c>
    </row>
    <row r="428" spans="1:70" ht="28.5" customHeight="1">
      <c r="A428" s="67" t="str">
        <f>IF(games!A428="", "", games!A428)</f>
        <v>極樂仙途</v>
      </c>
      <c r="C428" s="51" t="str">
        <f t="shared" si="18"/>
        <v>giftcodesbanner/極樂仙途-禮包碼.jpg</v>
      </c>
      <c r="D428" s="51" t="str">
        <f t="shared" si="19"/>
        <v>https://www.ssbuy.tw/gift-codes.html?game=極樂仙途</v>
      </c>
      <c r="E428" s="91"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2" t="s">
        <v>7698</v>
      </c>
      <c r="G428" s="3" t="s">
        <v>7699</v>
      </c>
      <c r="H428" s="3" t="s">
        <v>7700</v>
      </c>
      <c r="K428" s="100" t="s">
        <v>6343</v>
      </c>
      <c r="L428" s="51" t="s">
        <v>5496</v>
      </c>
      <c r="M428" s="6" t="s">
        <v>7692</v>
      </c>
      <c r="O428" s="6" t="s">
        <v>7811</v>
      </c>
      <c r="Q428" s="6" t="s">
        <v>7812</v>
      </c>
    </row>
    <row r="429" spans="1:70" ht="28.5" customHeight="1">
      <c r="A429" s="67" t="str">
        <f>IF(games!A429="", "", games!A429)</f>
        <v>七大罪：origin</v>
      </c>
      <c r="C429" s="51" t="str">
        <f t="shared" si="18"/>
        <v>giftcodesbanner/七大罪：origin-禮包碼.jpg</v>
      </c>
      <c r="D429" s="51" t="str">
        <f t="shared" si="19"/>
        <v>https://www.ssbuy.tw/gift-codes.html?game=七大罪：origin</v>
      </c>
      <c r="E429" s="91"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7" t="s">
        <v>7710</v>
      </c>
      <c r="G429" s="3" t="s">
        <v>7711</v>
      </c>
      <c r="H429" s="3" t="s">
        <v>7712</v>
      </c>
      <c r="I429" s="3" t="s">
        <v>7713</v>
      </c>
      <c r="K429" s="100" t="s">
        <v>6343</v>
      </c>
      <c r="L429" s="51" t="s">
        <v>5496</v>
      </c>
      <c r="M429" s="6" t="s">
        <v>7706</v>
      </c>
      <c r="O429" s="6" t="s">
        <v>7707</v>
      </c>
      <c r="Q429" s="6" t="s">
        <v>7708</v>
      </c>
      <c r="S429" s="6" t="s">
        <v>7709</v>
      </c>
    </row>
    <row r="430" spans="1:70" ht="28.5" customHeight="1">
      <c r="A430" s="67" t="str">
        <f>IF(games!A430="", "", games!A430)</f>
        <v>DISSIDIA FF</v>
      </c>
      <c r="C430" s="51" t="str">
        <f t="shared" si="18"/>
        <v>giftcodesbanner/DISSIDIA FF-禮包碼.jpg</v>
      </c>
      <c r="D430" s="51" t="str">
        <f t="shared" si="19"/>
        <v>https://www.ssbuy.tw/gift-codes.html?game=DISSIDIA FF</v>
      </c>
      <c r="E430" s="91"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2" t="s">
        <v>5232</v>
      </c>
      <c r="K430" s="100" t="s">
        <v>6343</v>
      </c>
      <c r="L430" s="51" t="s">
        <v>5496</v>
      </c>
    </row>
    <row r="431" spans="1:70" ht="28.5" customHeight="1">
      <c r="A431" s="67" t="str">
        <f>IF(games!A431="", "", games!A431)</f>
        <v>全境封鎖：曙光</v>
      </c>
      <c r="C431" s="51" t="str">
        <f t="shared" si="18"/>
        <v>giftcodesbanner/全境封鎖：曙光-禮包碼.jpg</v>
      </c>
      <c r="D431" s="51" t="str">
        <f t="shared" si="19"/>
        <v>https://www.ssbuy.tw/gift-codes.html?game=全境封鎖：曙光</v>
      </c>
      <c r="E431" s="91"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2" t="s">
        <v>5232</v>
      </c>
      <c r="K431" s="100" t="s">
        <v>6343</v>
      </c>
      <c r="L431" s="51" t="s">
        <v>5496</v>
      </c>
    </row>
    <row r="432" spans="1:70" ht="28.5" customHeight="1">
      <c r="A432" s="67" t="str">
        <f>IF(games!A432="", "", games!A432)</f>
        <v>天龍八部2：血戰江湖</v>
      </c>
      <c r="C432" s="51" t="str">
        <f t="shared" si="18"/>
        <v>giftcodesbanner/天龍八部2：血戰江湖-禮包碼.jpg</v>
      </c>
      <c r="D432" s="51" t="str">
        <f t="shared" si="19"/>
        <v>https://www.ssbuy.tw/gift-codes.html?game=天龍八部2：血戰江湖</v>
      </c>
      <c r="E432" s="91"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2" t="s">
        <v>7896</v>
      </c>
      <c r="G432" s="3" t="s">
        <v>7897</v>
      </c>
      <c r="H432" s="51" t="s">
        <v>6988</v>
      </c>
      <c r="K432" s="100" t="s">
        <v>6343</v>
      </c>
      <c r="L432" s="51" t="s">
        <v>5496</v>
      </c>
      <c r="M432" s="6" t="s">
        <v>7895</v>
      </c>
      <c r="O432" s="6" t="s">
        <v>7898</v>
      </c>
      <c r="Q432" s="6" t="s">
        <v>7924</v>
      </c>
      <c r="S432" s="6" t="s">
        <v>7915</v>
      </c>
      <c r="U432" s="6" t="s">
        <v>7916</v>
      </c>
      <c r="W432" s="6" t="s">
        <v>7917</v>
      </c>
      <c r="Y432" s="6" t="s">
        <v>7918</v>
      </c>
      <c r="AA432" s="6" t="s">
        <v>1932</v>
      </c>
      <c r="AC432" s="6" t="s">
        <v>7919</v>
      </c>
      <c r="AE432" s="6" t="s">
        <v>7920</v>
      </c>
      <c r="AG432" s="6" t="s">
        <v>7921</v>
      </c>
      <c r="AI432" s="6" t="s">
        <v>7922</v>
      </c>
      <c r="AK432" s="6" t="s">
        <v>7923</v>
      </c>
    </row>
    <row r="433" spans="1:49" ht="28.5" customHeight="1">
      <c r="A433" s="67" t="str">
        <f>IF(games!A433="", "", games!A433)</f>
        <v>永恆迴圈：戰術放置RPG</v>
      </c>
      <c r="C433" s="51" t="str">
        <f t="shared" si="18"/>
        <v>giftcodesbanner/永恆迴圈：戰術放置RPG-禮包碼.jpg</v>
      </c>
      <c r="D433" s="51" t="str">
        <f t="shared" si="19"/>
        <v>https://www.ssbuy.tw/gift-codes.html?game=永恆迴圈：戰術放置RPG</v>
      </c>
      <c r="E433" s="91"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2" t="s">
        <v>5232</v>
      </c>
      <c r="K433" s="100" t="s">
        <v>6343</v>
      </c>
      <c r="L433" s="51" t="s">
        <v>5496</v>
      </c>
    </row>
    <row r="434" spans="1:49" ht="28.5" customHeight="1">
      <c r="A434" s="67" t="str">
        <f>IF(games!A434="", "", games!A434)</f>
        <v>王於興師</v>
      </c>
      <c r="C434" s="51" t="str">
        <f t="shared" si="18"/>
        <v>giftcodesbanner/王於興師-禮包碼.jpg</v>
      </c>
      <c r="D434" s="51" t="str">
        <f t="shared" si="19"/>
        <v>https://www.ssbuy.tw/gift-codes.html?game=王於興師</v>
      </c>
      <c r="E434" s="91"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2" t="s">
        <v>5232</v>
      </c>
      <c r="K434" s="100" t="s">
        <v>6343</v>
      </c>
      <c r="L434" s="51" t="s">
        <v>5496</v>
      </c>
    </row>
    <row r="435" spans="1:49" ht="28.5" customHeight="1">
      <c r="A435" s="67" t="str">
        <f>IF(games!A435="", "", games!A435)</f>
        <v>幻海神域</v>
      </c>
      <c r="C435" s="51" t="str">
        <f t="shared" si="18"/>
        <v>giftcodesbanner/幻海神域-禮包碼.jpg</v>
      </c>
      <c r="D435" s="51" t="str">
        <f t="shared" si="19"/>
        <v>https://www.ssbuy.tw/gift-codes.html?game=幻海神域</v>
      </c>
      <c r="E435" s="91"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7" t="s">
        <v>7825</v>
      </c>
      <c r="G435" s="3" t="s">
        <v>7826</v>
      </c>
      <c r="H435" s="51" t="s">
        <v>6988</v>
      </c>
      <c r="K435" s="100" t="s">
        <v>5495</v>
      </c>
      <c r="L435" s="51" t="s">
        <v>5496</v>
      </c>
      <c r="M435" s="6" t="s">
        <v>2400</v>
      </c>
      <c r="O435" s="6" t="s">
        <v>7828</v>
      </c>
      <c r="Q435" s="6" t="s">
        <v>7829</v>
      </c>
      <c r="S435" s="6" t="s">
        <v>7830</v>
      </c>
      <c r="U435" s="6" t="s">
        <v>7827</v>
      </c>
      <c r="W435" s="6" t="s">
        <v>7831</v>
      </c>
      <c r="Y435" s="6" t="s">
        <v>7832</v>
      </c>
      <c r="AA435" s="6" t="s">
        <v>7833</v>
      </c>
      <c r="AC435" s="6" t="s">
        <v>7834</v>
      </c>
      <c r="AE435" s="6" t="s">
        <v>7835</v>
      </c>
      <c r="AG435" s="6" t="s">
        <v>7836</v>
      </c>
      <c r="AI435" s="6" t="s">
        <v>1841</v>
      </c>
      <c r="AK435" s="6" t="s">
        <v>7837</v>
      </c>
    </row>
    <row r="436" spans="1:49" ht="28.5" customHeight="1">
      <c r="A436" s="67" t="str">
        <f>IF(games!A436="", "", games!A436)</f>
        <v>小小騎士團：開箱放置</v>
      </c>
      <c r="C436" s="51" t="str">
        <f t="shared" si="18"/>
        <v>giftcodesbanner/小小騎士團：開箱放置-禮包碼.jpg</v>
      </c>
      <c r="D436" s="51" t="str">
        <f t="shared" si="19"/>
        <v>https://www.ssbuy.tw/gift-codes.html?game=小小騎士團：開箱放置</v>
      </c>
      <c r="E436" s="91"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2" t="s">
        <v>6370</v>
      </c>
      <c r="G436" s="51" t="s">
        <v>7884</v>
      </c>
      <c r="H436" s="51" t="s">
        <v>6988</v>
      </c>
      <c r="K436" s="100" t="s">
        <v>5495</v>
      </c>
      <c r="L436" s="51" t="s">
        <v>5496</v>
      </c>
      <c r="M436" s="6" t="s">
        <v>7932</v>
      </c>
      <c r="O436" s="6" t="s">
        <v>7933</v>
      </c>
      <c r="Q436" s="6" t="s">
        <v>7934</v>
      </c>
      <c r="S436" s="6" t="s">
        <v>7935</v>
      </c>
      <c r="U436" s="6" t="s">
        <v>7936</v>
      </c>
    </row>
    <row r="437" spans="1:49" ht="28.5" customHeight="1">
      <c r="A437" s="67" t="str">
        <f>IF(games!A437="", "", games!A437)</f>
        <v>好萊塢合成：星夢逆襲</v>
      </c>
      <c r="C437" s="51" t="str">
        <f t="shared" si="18"/>
        <v>giftcodesbanner/好萊塢合成：星夢逆襲-禮包碼.jpg</v>
      </c>
      <c r="D437" s="51" t="str">
        <f t="shared" si="19"/>
        <v>https://www.ssbuy.tw/gift-codes.html?game=好萊塢合成：星夢逆襲</v>
      </c>
      <c r="E437" s="91"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2" t="s">
        <v>5232</v>
      </c>
      <c r="K437" s="100" t="s">
        <v>5495</v>
      </c>
      <c r="L437" s="51" t="s">
        <v>5496</v>
      </c>
    </row>
    <row r="438" spans="1:49" ht="28.5" customHeight="1">
      <c r="A438" s="67" t="str">
        <f>IF(games!A438="", "", games!A438)</f>
        <v>少女喚靈</v>
      </c>
      <c r="C438" s="51" t="str">
        <f t="shared" si="18"/>
        <v>giftcodesbanner/少女喚靈-禮包碼.jpg</v>
      </c>
      <c r="D438" s="51" t="str">
        <f t="shared" si="19"/>
        <v>https://www.ssbuy.tw/gift-codes.html?game=少女喚靈</v>
      </c>
      <c r="E438" s="91"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2" t="s">
        <v>5232</v>
      </c>
      <c r="K438" s="100" t="s">
        <v>5495</v>
      </c>
      <c r="L438" s="51" t="s">
        <v>5496</v>
      </c>
      <c r="M438" s="6" t="s">
        <v>8095</v>
      </c>
      <c r="O438" s="6" t="s">
        <v>8096</v>
      </c>
      <c r="Q438" s="6" t="s">
        <v>8097</v>
      </c>
      <c r="S438" s="6" t="s">
        <v>8098</v>
      </c>
      <c r="U438" s="6" t="s">
        <v>8099</v>
      </c>
      <c r="W438" s="6" t="s">
        <v>8100</v>
      </c>
      <c r="Y438" s="6" t="s">
        <v>6617</v>
      </c>
      <c r="AA438" s="6" t="s">
        <v>8101</v>
      </c>
      <c r="AC438" s="6" t="s">
        <v>8102</v>
      </c>
      <c r="AE438" s="6" t="s">
        <v>8103</v>
      </c>
      <c r="AG438" s="6" t="s">
        <v>8104</v>
      </c>
      <c r="AI438" s="6" t="s">
        <v>8105</v>
      </c>
    </row>
    <row r="439" spans="1:49" ht="28.5" customHeight="1">
      <c r="A439" s="67" t="str">
        <f>IF(games!A439="", "", games!A439)</f>
        <v>逆命女武神</v>
      </c>
      <c r="C439" s="51" t="str">
        <f t="shared" si="18"/>
        <v>giftcodesbanner/逆命女武神-禮包碼.jpg</v>
      </c>
      <c r="D439" s="51" t="str">
        <f t="shared" si="19"/>
        <v>https://www.ssbuy.tw/gift-codes.html?game=逆命女武神</v>
      </c>
      <c r="E439" s="91"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2" t="s">
        <v>5232</v>
      </c>
      <c r="K439" s="100" t="s">
        <v>5495</v>
      </c>
      <c r="L439" s="51" t="s">
        <v>5496</v>
      </c>
    </row>
    <row r="440" spans="1:49" ht="28.5" customHeight="1">
      <c r="A440" s="67" t="str">
        <f>IF(games!A440="", "", games!A440)</f>
        <v>幻想少女公會</v>
      </c>
      <c r="C440" s="51" t="str">
        <f t="shared" si="18"/>
        <v>giftcodesbanner/幻想少女公會-禮包碼.jpg</v>
      </c>
      <c r="D440" s="51" t="str">
        <f t="shared" si="19"/>
        <v>https://www.ssbuy.tw/gift-codes.html?game=幻想少女公會</v>
      </c>
      <c r="E440" s="91"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2" t="s">
        <v>8051</v>
      </c>
      <c r="G440" s="3" t="s">
        <v>8052</v>
      </c>
      <c r="H440" s="51" t="s">
        <v>6988</v>
      </c>
      <c r="K440" s="100" t="s">
        <v>5495</v>
      </c>
      <c r="L440" s="51" t="s">
        <v>5496</v>
      </c>
      <c r="M440" s="6" t="s">
        <v>7914</v>
      </c>
    </row>
    <row r="441" spans="1:49" ht="28.5" customHeight="1">
      <c r="A441" s="67" t="str">
        <f>IF(games!A441="", "", games!A441)</f>
        <v>童話出走中</v>
      </c>
      <c r="C441" s="51" t="str">
        <f t="shared" si="18"/>
        <v>giftcodesbanner/童話出走中-禮包碼.jpg</v>
      </c>
      <c r="D441" s="51" t="str">
        <f t="shared" si="19"/>
        <v>https://www.ssbuy.tw/gift-codes.html?game=童話出走中</v>
      </c>
      <c r="E441" s="91"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2" t="s">
        <v>5232</v>
      </c>
      <c r="K441" s="100" t="s">
        <v>5495</v>
      </c>
      <c r="L441" s="51" t="s">
        <v>5496</v>
      </c>
    </row>
    <row r="442" spans="1:49" ht="28.5" customHeight="1">
      <c r="A442" s="67" t="str">
        <f>IF(games!A442="", "", games!A442)</f>
        <v>織夢花園：森系輕經營</v>
      </c>
      <c r="C442" s="51" t="str">
        <f t="shared" si="18"/>
        <v>giftcodesbanner/織夢花園：森系輕經營-禮包碼.jpg</v>
      </c>
      <c r="D442" s="51" t="str">
        <f t="shared" si="19"/>
        <v>https://www.ssbuy.tw/gift-codes.html?game=織夢花園：森系輕經營</v>
      </c>
      <c r="E442" s="91"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2" t="s">
        <v>4640</v>
      </c>
      <c r="G442" s="3" t="s">
        <v>8119</v>
      </c>
      <c r="H442" s="51" t="s">
        <v>6988</v>
      </c>
      <c r="K442" s="100" t="s">
        <v>5495</v>
      </c>
      <c r="L442" s="51" t="s">
        <v>5496</v>
      </c>
      <c r="M442" s="6" t="s">
        <v>7977</v>
      </c>
      <c r="O442" s="6" t="s">
        <v>1932</v>
      </c>
      <c r="P442" s="40" t="s">
        <v>8118</v>
      </c>
      <c r="Q442" s="6" t="s">
        <v>8107</v>
      </c>
      <c r="R442" s="40" t="s">
        <v>8117</v>
      </c>
      <c r="S442" s="6" t="s">
        <v>1841</v>
      </c>
      <c r="T442" s="40" t="s">
        <v>8116</v>
      </c>
      <c r="U442" s="6" t="s">
        <v>8112</v>
      </c>
      <c r="V442" s="40" t="s">
        <v>8115</v>
      </c>
      <c r="W442" s="6" t="s">
        <v>8113</v>
      </c>
      <c r="X442" s="40" t="s">
        <v>8114</v>
      </c>
    </row>
    <row r="443" spans="1:49" ht="28.5" customHeight="1">
      <c r="A443" s="67" t="str">
        <f>IF(games!A443="", "", games!A443)</f>
        <v>魔御：Star Dive</v>
      </c>
      <c r="C443" s="51" t="str">
        <f t="shared" si="18"/>
        <v>giftcodesbanner/魔御：Star Dive-禮包碼.jpg</v>
      </c>
      <c r="D443" s="51" t="str">
        <f t="shared" si="19"/>
        <v>https://www.ssbuy.tw/gift-codes.html?game=魔御：Star Dive</v>
      </c>
      <c r="E443" s="91"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2" t="s">
        <v>7984</v>
      </c>
      <c r="G443" s="3" t="s">
        <v>7985</v>
      </c>
      <c r="H443" s="51" t="s">
        <v>6988</v>
      </c>
      <c r="K443" s="100" t="s">
        <v>5495</v>
      </c>
      <c r="L443" s="51" t="s">
        <v>5496</v>
      </c>
      <c r="M443" s="6" t="s">
        <v>8239</v>
      </c>
      <c r="O443" s="6" t="s">
        <v>8240</v>
      </c>
      <c r="Q443" s="6" t="s">
        <v>8241</v>
      </c>
      <c r="S443" s="6" t="s">
        <v>8242</v>
      </c>
      <c r="U443" s="6" t="s">
        <v>8243</v>
      </c>
      <c r="W443" s="6" t="s">
        <v>8244</v>
      </c>
    </row>
    <row r="444" spans="1:49" ht="28.5" customHeight="1">
      <c r="A444" s="67" t="str">
        <f>IF(games!A444="", "", games!A444)</f>
        <v>馬賽克騎士團：放置冒險 RPG</v>
      </c>
      <c r="C444" s="51" t="str">
        <f t="shared" si="18"/>
        <v>giftcodesbanner/馬賽克騎士團：放置冒險 RPG-禮包碼.jpg</v>
      </c>
      <c r="D444" s="51" t="str">
        <f t="shared" si="19"/>
        <v>https://www.ssbuy.tw/gift-codes.html?game=馬賽克騎士團：放置冒險 RPG</v>
      </c>
      <c r="E444" s="91"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2" t="s">
        <v>8110</v>
      </c>
      <c r="G444" s="3" t="s">
        <v>8111</v>
      </c>
      <c r="H444" s="51" t="s">
        <v>6988</v>
      </c>
      <c r="K444" s="100" t="s">
        <v>5495</v>
      </c>
      <c r="L444" s="51" t="s">
        <v>5496</v>
      </c>
      <c r="M444" s="6" t="s">
        <v>8106</v>
      </c>
      <c r="O444" s="6" t="s">
        <v>8107</v>
      </c>
      <c r="Q444" s="6" t="s">
        <v>8108</v>
      </c>
      <c r="S444" s="6" t="s">
        <v>8109</v>
      </c>
      <c r="U444" s="6" t="s">
        <v>8139</v>
      </c>
      <c r="V444" s="40" t="s">
        <v>8140</v>
      </c>
    </row>
    <row r="445" spans="1:49" ht="28.5" customHeight="1">
      <c r="A445" s="67" t="str">
        <f>IF(games!A445="", "", games!A445)</f>
        <v>侏羅紀：重啟</v>
      </c>
      <c r="C445" s="51" t="str">
        <f t="shared" si="18"/>
        <v>giftcodesbanner/侏羅紀：重啟-禮包碼.jpg</v>
      </c>
      <c r="D445" s="51" t="str">
        <f t="shared" si="19"/>
        <v>https://www.ssbuy.tw/gift-codes.html?game=侏羅紀：重啟</v>
      </c>
      <c r="E445" s="91"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7" t="s">
        <v>8126</v>
      </c>
      <c r="G445" s="3" t="s">
        <v>8127</v>
      </c>
      <c r="H445" s="3" t="s">
        <v>8128</v>
      </c>
      <c r="I445" s="51" t="s">
        <v>6988</v>
      </c>
      <c r="K445" s="100" t="s">
        <v>5495</v>
      </c>
      <c r="L445" s="51" t="s">
        <v>5496</v>
      </c>
      <c r="M445" s="6" t="s">
        <v>8120</v>
      </c>
      <c r="O445" s="6" t="s">
        <v>8121</v>
      </c>
      <c r="Q445" s="6" t="s">
        <v>8122</v>
      </c>
      <c r="S445" s="6" t="s">
        <v>8123</v>
      </c>
      <c r="U445" s="6" t="s">
        <v>8124</v>
      </c>
      <c r="W445" s="6" t="s">
        <v>8125</v>
      </c>
      <c r="Y445" s="6" t="s">
        <v>8138</v>
      </c>
    </row>
    <row r="446" spans="1:49" ht="28.5" customHeight="1">
      <c r="A446" s="67" t="str">
        <f>IF(games!A446="", "", games!A446)</f>
        <v>寄生噪</v>
      </c>
      <c r="C446" s="51" t="str">
        <f t="shared" si="18"/>
        <v>giftcodesbanner/寄生噪-禮包碼.jpg</v>
      </c>
      <c r="D446" s="51" t="str">
        <f t="shared" si="19"/>
        <v>https://www.ssbuy.tw/gift-codes.html?game=寄生噪</v>
      </c>
      <c r="E446" s="91"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2" t="s">
        <v>5232</v>
      </c>
      <c r="K446" s="100" t="s">
        <v>5495</v>
      </c>
      <c r="L446" s="51" t="s">
        <v>5496</v>
      </c>
    </row>
    <row r="447" spans="1:49" ht="28.5" customHeight="1">
      <c r="A447" s="67" t="str">
        <f>IF(games!A447="", "", games!A447)</f>
        <v>心動防線</v>
      </c>
      <c r="C447" s="51" t="str">
        <f t="shared" si="18"/>
        <v>giftcodesbanner/心動防線-禮包碼.jpg</v>
      </c>
      <c r="D447" s="51" t="str">
        <f t="shared" si="19"/>
        <v>https://www.ssbuy.tw/gift-codes.html?game=心動防線</v>
      </c>
      <c r="E447" s="91"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7" t="s">
        <v>8028</v>
      </c>
      <c r="G447" s="3" t="s">
        <v>8029</v>
      </c>
      <c r="H447" s="51" t="s">
        <v>6988</v>
      </c>
      <c r="K447" s="100" t="s">
        <v>5495</v>
      </c>
      <c r="L447" s="51" t="s">
        <v>5496</v>
      </c>
      <c r="M447" s="6" t="s">
        <v>8008</v>
      </c>
      <c r="O447" s="6" t="s">
        <v>8009</v>
      </c>
      <c r="P447" s="40" t="s">
        <v>8010</v>
      </c>
      <c r="Q447" s="6" t="s">
        <v>8011</v>
      </c>
      <c r="R447" s="40" t="s">
        <v>8012</v>
      </c>
      <c r="S447" s="6" t="s">
        <v>8013</v>
      </c>
      <c r="T447" s="40" t="s">
        <v>8014</v>
      </c>
      <c r="U447" s="6" t="s">
        <v>8015</v>
      </c>
      <c r="W447" s="6" t="s">
        <v>8016</v>
      </c>
      <c r="Y447" s="6" t="s">
        <v>8017</v>
      </c>
      <c r="AA447" s="6" t="s">
        <v>8018</v>
      </c>
      <c r="AC447" s="6" t="s">
        <v>8019</v>
      </c>
      <c r="AE447" s="6" t="s">
        <v>8020</v>
      </c>
      <c r="AG447" s="6" t="s">
        <v>8021</v>
      </c>
      <c r="AI447" s="6" t="s">
        <v>8022</v>
      </c>
      <c r="AK447" s="6" t="s">
        <v>8023</v>
      </c>
      <c r="AM447" s="6" t="s">
        <v>8024</v>
      </c>
      <c r="AO447" s="124" t="s">
        <v>8025</v>
      </c>
      <c r="AQ447" s="6" t="s">
        <v>8026</v>
      </c>
      <c r="AS447" s="6" t="s">
        <v>8027</v>
      </c>
      <c r="AU447" s="6" t="s">
        <v>8030</v>
      </c>
      <c r="AV447" s="40" t="s">
        <v>8031</v>
      </c>
      <c r="AW447" s="6" t="s">
        <v>8032</v>
      </c>
    </row>
    <row r="448" spans="1:49" ht="28.5" customHeight="1">
      <c r="A448" s="67" t="str">
        <f>IF(games!A448="", "", games!A448)</f>
        <v>新熱血江湖：世界</v>
      </c>
      <c r="C448" s="51" t="str">
        <f t="shared" si="18"/>
        <v>giftcodesbanner/新熱血江湖：世界-禮包碼.jpg</v>
      </c>
      <c r="D448" s="51" t="str">
        <f t="shared" si="19"/>
        <v>https://www.ssbuy.tw/gift-codes.html?game=新熱血江湖：世界</v>
      </c>
      <c r="E448" s="91"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c r="F448" s="92" t="s">
        <v>8307</v>
      </c>
      <c r="G448" s="3" t="s">
        <v>8308</v>
      </c>
      <c r="H448" s="51" t="s">
        <v>6988</v>
      </c>
      <c r="K448" s="100" t="s">
        <v>5495</v>
      </c>
      <c r="L448" s="51" t="s">
        <v>5496</v>
      </c>
      <c r="M448" s="6" t="s">
        <v>8238</v>
      </c>
      <c r="N448" s="40" t="s">
        <v>8287</v>
      </c>
      <c r="O448" s="6" t="s">
        <v>8265</v>
      </c>
      <c r="P448" s="40" t="s">
        <v>8289</v>
      </c>
      <c r="Q448" s="6" t="s">
        <v>8266</v>
      </c>
      <c r="R448" s="40" t="s">
        <v>8288</v>
      </c>
      <c r="S448" s="6" t="s">
        <v>8267</v>
      </c>
      <c r="T448" s="40" t="s">
        <v>8286</v>
      </c>
      <c r="U448" s="6" t="s">
        <v>8268</v>
      </c>
      <c r="V448" s="40" t="s">
        <v>8285</v>
      </c>
      <c r="W448" s="6" t="s">
        <v>8269</v>
      </c>
      <c r="X448" s="40" t="s">
        <v>8284</v>
      </c>
      <c r="Y448" s="6" t="s">
        <v>8270</v>
      </c>
      <c r="Z448" s="40" t="s">
        <v>8283</v>
      </c>
      <c r="AA448" s="6" t="s">
        <v>8271</v>
      </c>
      <c r="AB448" s="40" t="s">
        <v>8282</v>
      </c>
      <c r="AC448" s="6" t="s">
        <v>8272</v>
      </c>
      <c r="AD448" s="40" t="s">
        <v>8281</v>
      </c>
      <c r="AE448" s="6" t="s">
        <v>8273</v>
      </c>
      <c r="AF448" s="40" t="s">
        <v>8280</v>
      </c>
      <c r="AG448" s="6" t="s">
        <v>8274</v>
      </c>
      <c r="AH448" s="40" t="s">
        <v>8279</v>
      </c>
      <c r="AI448" s="6" t="s">
        <v>8275</v>
      </c>
      <c r="AJ448" s="40" t="s">
        <v>8278</v>
      </c>
      <c r="AK448" s="6" t="s">
        <v>8276</v>
      </c>
      <c r="AL448" s="40" t="s">
        <v>8277</v>
      </c>
    </row>
    <row r="449" spans="1:69" ht="28.5" customHeight="1">
      <c r="A449" s="67" t="str">
        <f>IF(games!A449="", "", games!A449)</f>
        <v>點點英雄：骰子傳說</v>
      </c>
      <c r="C449" s="51" t="str">
        <f t="shared" si="18"/>
        <v>giftcodesbanner/點點英雄：骰子傳說-禮包碼.jpg</v>
      </c>
      <c r="D449" s="51" t="str">
        <f t="shared" si="19"/>
        <v>https://www.ssbuy.tw/gift-codes.html?game=點點英雄：骰子傳說</v>
      </c>
      <c r="E449" s="91" t="str">
        <f>IF(games!I449&lt;&gt;"", games!I449, "")</f>
        <v>今天來推坑這款快節奏的Roguelite新作《點點英雄：骰子傳說》！在這款遊戲裡，每場戰鬥都由你手中的骰子決定命運，點數化作超狂技能，讓你輕鬆體驗像素英雄對決的極致爽快打擊感！想在無盡挑戰中稱霸全場嗎？我們不僅為你準備了最強的新手攻略，還要大放送超多最新兌換碼與官方禮包碼，保證讓你開局就能贏在起跑點！覺得資源有點不夠用嗎？我們也有提供最專業的代儲值服務，整個流程絕對快速安全，讓你免爆肝就能輕鬆升級！快來轉動骰子展開冒險吧！</v>
      </c>
      <c r="F449" s="92" t="s">
        <v>8367</v>
      </c>
      <c r="G449" s="3" t="s">
        <v>8368</v>
      </c>
      <c r="H449" s="125" t="s">
        <v>8369</v>
      </c>
      <c r="K449" s="100" t="s">
        <v>5495</v>
      </c>
      <c r="L449" s="51" t="s">
        <v>5496</v>
      </c>
      <c r="M449" s="6" t="s">
        <v>8370</v>
      </c>
      <c r="O449" s="6" t="s">
        <v>8371</v>
      </c>
      <c r="Q449" s="6" t="s">
        <v>8372</v>
      </c>
      <c r="S449" s="6" t="s">
        <v>8373</v>
      </c>
      <c r="U449" s="6" t="s">
        <v>8423</v>
      </c>
      <c r="W449" s="6" t="s">
        <v>8504</v>
      </c>
      <c r="Y449" s="6" t="s">
        <v>8505</v>
      </c>
      <c r="AA449" s="6" t="s">
        <v>8506</v>
      </c>
      <c r="AC449" s="6" t="s">
        <v>8507</v>
      </c>
      <c r="AE449" s="6" t="s">
        <v>8571</v>
      </c>
      <c r="AG449" s="6" t="s">
        <v>8572</v>
      </c>
      <c r="AI449" s="6" t="s">
        <v>8573</v>
      </c>
      <c r="AK449" s="6" t="s">
        <v>8574</v>
      </c>
    </row>
    <row r="450" spans="1:69" ht="28.5" customHeight="1">
      <c r="A450" s="67" t="str">
        <f>IF(games!A450="", "", games!A450)</f>
        <v>夢幻旅團</v>
      </c>
      <c r="C450" s="51" t="str">
        <f t="shared" si="18"/>
        <v>giftcodesbanner/夢幻旅團-禮包碼.jpg</v>
      </c>
      <c r="D450" s="51" t="str">
        <f t="shared" si="19"/>
        <v>https://www.ssbuy.tw/gift-codes.html?game=夢幻旅團</v>
      </c>
      <c r="E450" s="91" t="str">
        <f>IF(games!I450&lt;&gt;"", games!I450, "")</f>
        <v>今天要介紹這款治癒系輕冒險MMO《夢幻旅團》！這款遊戲主打放置升級，幫你徹底解放雙手，拒絕無聊爆肝的壓力！還有超萌戰寵陪你一起戰鬥，觸發強大的羈絆合體技逆轉勝負！想要在奇幻世界裡輕鬆脫單嗎？我們特別為你整理了最完整的實用攻略，還有超多最新兌換碼與官方禮包碼大放送，讓你開局就有夢幻陣容！如果覺得抽卡資源有點不夠？我們也有提供超專業的代儲值服務，流程保證絕對快速安全，讓你零壓力爽快變強！快來加入我們快樂冒險吧！</v>
      </c>
      <c r="F450" s="7" t="s">
        <v>8202</v>
      </c>
      <c r="G450" s="7" t="s">
        <v>8202</v>
      </c>
      <c r="H450" s="7" t="s">
        <v>8202</v>
      </c>
      <c r="K450" s="100" t="s">
        <v>5495</v>
      </c>
      <c r="L450" s="51" t="s">
        <v>5496</v>
      </c>
      <c r="M450" s="6" t="s">
        <v>8398</v>
      </c>
      <c r="O450" s="6" t="s">
        <v>7102</v>
      </c>
      <c r="Q450" s="6" t="s">
        <v>8399</v>
      </c>
      <c r="S450" s="6" t="s">
        <v>8400</v>
      </c>
      <c r="U450" s="6" t="s">
        <v>8401</v>
      </c>
    </row>
    <row r="451" spans="1:69" ht="28.5" customHeight="1">
      <c r="A451" s="67" t="str">
        <f>IF(games!A451="", "", games!A451)</f>
        <v>無盡輪迴：鬼域摸金</v>
      </c>
      <c r="C451" s="51" t="str">
        <f t="shared" si="18"/>
        <v>giftcodesbanner/無盡輪迴：鬼域摸金-禮包碼.jpg</v>
      </c>
      <c r="D451" s="51" t="str">
        <f t="shared" si="19"/>
        <v>https://www.ssbuy.tw/gift-codes.html?game=無盡輪迴：鬼域摸金</v>
      </c>
      <c r="E451" s="91" t="str">
        <f>IF(games!I451&lt;&gt;"", games!I451, "")</f>
        <v>各位喜愛摸金題材的朋友注意囉！《無盡輪迴：鬼域摸金》帶你進入最驚悚神祕的地下世界。遊戲結合了玄幻與動作要素，玩家得在地宮裡一邊對抗鬼怪一邊尋寶，畫面氛圍感直接拉滿。為了讓大家少走彎路，我們準備了全方位的開荒攻略，各種通關技巧應有盡有。當然囉，開局必領的最新兌換碼與官方禮包碼我們也幫你準備好了。想更有效率地收集極品裝備嗎？找我們代儲值絕對是第一首選，主打快速安全，現在就加入我們，開啟一場無盡輪迴的鬼域探險，尋找隱藏其中的絕世財寶吧！</v>
      </c>
      <c r="F451" s="92" t="s">
        <v>8290</v>
      </c>
      <c r="G451" s="3" t="s">
        <v>8291</v>
      </c>
      <c r="H451" s="51" t="s">
        <v>6988</v>
      </c>
      <c r="K451" s="100" t="s">
        <v>5495</v>
      </c>
      <c r="L451" s="51" t="s">
        <v>5496</v>
      </c>
      <c r="M451" s="6" t="s">
        <v>8147</v>
      </c>
      <c r="O451" s="6" t="s">
        <v>8148</v>
      </c>
      <c r="Q451" s="6" t="s">
        <v>8149</v>
      </c>
      <c r="S451" s="6" t="s">
        <v>8150</v>
      </c>
      <c r="U451" s="6" t="s">
        <v>8164</v>
      </c>
      <c r="W451" s="6" t="s">
        <v>8165</v>
      </c>
      <c r="Y451" s="6" t="s">
        <v>8166</v>
      </c>
      <c r="AA451" s="6" t="s">
        <v>8217</v>
      </c>
      <c r="AC451" s="6" t="s">
        <v>8218</v>
      </c>
      <c r="AE451" s="6" t="s">
        <v>8219</v>
      </c>
      <c r="AG451" s="6" t="s">
        <v>8220</v>
      </c>
      <c r="AI451" s="6" t="s">
        <v>8221</v>
      </c>
      <c r="AK451" s="6" t="s">
        <v>8222</v>
      </c>
      <c r="AM451" s="6" t="s">
        <v>8223</v>
      </c>
      <c r="AO451" s="6" t="s">
        <v>8224</v>
      </c>
      <c r="AQ451" s="6" t="s">
        <v>8225</v>
      </c>
      <c r="AS451" s="6" t="s">
        <v>8226</v>
      </c>
      <c r="AU451" s="6" t="s">
        <v>8227</v>
      </c>
      <c r="AW451" s="6" t="s">
        <v>8228</v>
      </c>
      <c r="AY451" s="6" t="s">
        <v>8229</v>
      </c>
      <c r="BA451" s="6" t="s">
        <v>8230</v>
      </c>
      <c r="BC451" s="6" t="s">
        <v>8231</v>
      </c>
      <c r="BE451" s="6" t="s">
        <v>8232</v>
      </c>
      <c r="BG451" s="25" t="s">
        <v>8233</v>
      </c>
      <c r="BI451" s="6" t="s">
        <v>8234</v>
      </c>
      <c r="BK451" s="6" t="s">
        <v>8235</v>
      </c>
      <c r="BM451" s="6" t="s">
        <v>8236</v>
      </c>
      <c r="BO451" s="6" t="s">
        <v>8237</v>
      </c>
      <c r="BQ451" s="6" t="s">
        <v>3166</v>
      </c>
    </row>
    <row r="452" spans="1:69" ht="28.5" customHeight="1">
      <c r="A452" s="67" t="str">
        <f>IF(games!A452="", "", games!A452)</f>
        <v>詛咒裝備與地下城</v>
      </c>
      <c r="C452" s="51" t="str">
        <f t="shared" si="18"/>
        <v>giftcodesbanner/詛咒裝備與地下城-禮包碼.jpg</v>
      </c>
      <c r="D452" s="51" t="str">
        <f t="shared" si="19"/>
        <v>https://www.ssbuy.tw/gift-codes.html?game=詛咒裝備與地下城</v>
      </c>
      <c r="E452" s="91" t="str">
        <f>IF(games!I452&lt;&gt;"", games!I452, "")</f>
        <v>《詛咒裝備與地下城》這款暗黑風的地牢冒險手遊終於正式登場啦！遊戲裡最狂的就是那堆又強又詭異的詛咒裝備，穿上它雖然要付出慘痛代價，但那個爆表的數值絕對讓你想冒險一試。我們整理了最專業的實戰攻略，手把手教你如何應對各種機關與Boss。重點來了，領取最新兌換碼以及官方禮包碼是開局必須的，助你輕鬆起飛！若是想快速提升戰力，選我們的代儲值服務，流程快速安全有保障，趕緊加入這場刺激的冒險吧，一起來探索最神祕且危險的地下城世界！</v>
      </c>
      <c r="F452" s="92" t="s">
        <v>5232</v>
      </c>
      <c r="K452" s="100" t="s">
        <v>5495</v>
      </c>
      <c r="L452" s="51" t="s">
        <v>5496</v>
      </c>
    </row>
    <row r="453" spans="1:69" ht="28.5" customHeight="1">
      <c r="A453" s="67" t="str">
        <f>IF(games!A453="", "", games!A453)</f>
        <v>寶石勇者團：破曉</v>
      </c>
      <c r="C453" s="51" t="str">
        <f t="shared" si="18"/>
        <v>giftcodesbanner/寶石勇者團：破曉-禮包碼.jpg</v>
      </c>
      <c r="D453" s="51" t="str">
        <f t="shared" si="19"/>
        <v>https://www.ssbuy.tw/gift-codes.html?game=寶石勇者團：破曉</v>
      </c>
      <c r="E453" s="91" t="str">
        <f>IF(games!I453&lt;&gt;"", games!I453, "")</f>
        <v>各位休閒玩家們看過來！超魔性的三消RPG《寶石勇者團：破曉》正式登場啦！這款結合寶石消除與英雄養成的創新神作，玩法真的超級紓壓又上頭！如果卡關不知道怎麼搭隊伍嗎？網路上已經有滿滿的通關攻略可以無腦抄作業囉！記得先去領取最新兌換碼以及專屬的官方禮包碼，超多開服好康千萬別漏掉！想要擁有神級英雄又不想辛苦農資源？強力推薦使用口碑超好的代儲值服務，不僅到帳快速安全，還能讓你輕鬆解鎖頂級陣容，體驗極致爽感，現在就馬上加入冒險行列吧！</v>
      </c>
      <c r="F453" s="7" t="s">
        <v>8202</v>
      </c>
      <c r="G453" s="7" t="s">
        <v>8202</v>
      </c>
      <c r="H453" s="7" t="s">
        <v>8202</v>
      </c>
      <c r="K453" s="100" t="s">
        <v>5495</v>
      </c>
      <c r="L453" s="51" t="s">
        <v>5496</v>
      </c>
      <c r="M453" s="6" t="s">
        <v>8169</v>
      </c>
      <c r="O453" s="6" t="s">
        <v>8170</v>
      </c>
      <c r="Q453" s="6" t="s">
        <v>8171</v>
      </c>
      <c r="S453" s="6" t="s">
        <v>8172</v>
      </c>
      <c r="U453" s="6" t="s">
        <v>8173</v>
      </c>
      <c r="W453" s="6" t="s">
        <v>8174</v>
      </c>
      <c r="Y453" s="6" t="s">
        <v>8175</v>
      </c>
      <c r="AA453" s="6" t="s">
        <v>8176</v>
      </c>
      <c r="AB453" s="40" t="s">
        <v>8177</v>
      </c>
      <c r="AC453" s="6" t="s">
        <v>8178</v>
      </c>
      <c r="AE453" s="6" t="s">
        <v>8179</v>
      </c>
      <c r="AG453" s="6" t="s">
        <v>8180</v>
      </c>
      <c r="AH453" s="40" t="s">
        <v>8181</v>
      </c>
      <c r="AI453" s="6" t="s">
        <v>8182</v>
      </c>
      <c r="AK453" s="6" t="s">
        <v>8183</v>
      </c>
      <c r="AM453" s="6" t="s">
        <v>8193</v>
      </c>
    </row>
    <row r="454" spans="1:69" ht="28.5" customHeight="1">
      <c r="A454" s="67" t="str">
        <f>IF(games!A454="", "", games!A454)</f>
        <v>武俠自走棋</v>
      </c>
      <c r="C454" s="51" t="str">
        <f t="shared" si="18"/>
        <v>giftcodesbanner/武俠自走棋-禮包碼.jpg</v>
      </c>
      <c r="D454" s="51" t="str">
        <f t="shared" si="19"/>
        <v>https://www.ssbuy.tw/gift-codes.html?game=武俠自走棋</v>
      </c>
      <c r="E454" s="91" t="str">
        <f>IF(games!I454&lt;&gt;"", games!I454, "")</f>
        <v>今天來聊聊超夯的新作《武俠自走棋》！這款結合經典武林題材與燒腦策略的自走棋，絕對讓你玩到停不下來！想要輕鬆搭配出最強陣容嗎？各大論壇已經有超多大神分享的實用攻略啦！當然，新手開局必備的最新兌換碼和官方禮包碼也千萬別錯過，拿滿免費資源就是爽！如果想火速提升戰力、稱霸武林，推薦使用專業的代儲值服務，保證快速安全有保障，讓你的大俠之路順風順水，不用辛苦農也能變強，趕快下載遊戲，與好友們一起享受刺激的對弈樂趣吧！</v>
      </c>
      <c r="F454" s="7" t="s">
        <v>8186</v>
      </c>
      <c r="G454" s="3" t="s">
        <v>8187</v>
      </c>
      <c r="H454" s="51" t="s">
        <v>6988</v>
      </c>
      <c r="K454" s="100" t="s">
        <v>5495</v>
      </c>
      <c r="L454" s="51" t="s">
        <v>5496</v>
      </c>
      <c r="M454" s="6" t="s">
        <v>8184</v>
      </c>
      <c r="O454" s="6" t="s">
        <v>8185</v>
      </c>
      <c r="Q454" s="6" t="s">
        <v>8188</v>
      </c>
      <c r="S454" s="6" t="s">
        <v>8189</v>
      </c>
      <c r="U454" s="6" t="s">
        <v>8190</v>
      </c>
      <c r="W454" s="6" t="s">
        <v>1932</v>
      </c>
      <c r="Y454" s="6" t="s">
        <v>1841</v>
      </c>
      <c r="AA454" s="6" t="s">
        <v>8191</v>
      </c>
      <c r="AC454" s="6" t="s">
        <v>8192</v>
      </c>
    </row>
    <row r="455" spans="1:69" ht="28.5" customHeight="1">
      <c r="A455" s="67" t="str">
        <f>IF(games!A455="", "", games!A455)</f>
        <v>忍者大戰：世界</v>
      </c>
      <c r="C455" s="51" t="str">
        <f t="shared" si="18"/>
        <v>giftcodesbanner/忍者大戰：世界-禮包碼.jpg</v>
      </c>
      <c r="D455" s="51" t="str">
        <f t="shared" si="19"/>
        <v>https://www.ssbuy.tw/gift-codes.html?game=忍者大戰：世界</v>
      </c>
      <c r="E455" s="91" t="str">
        <f>IF(games!I455&lt;&gt;"", games!I455, "")</f>
        <v>各位忍村的夥伴們注意啦！全新大作《忍者大戰：世界》火熱登場！這次你將體驗超爽快的放置戰鬥與忍術搭配，快來打造你的最強專屬忍者小隊吧！剛入坑不知道怎麼玩？論壇上已經有超多大神分享實用攻略啦！新手開局千萬別忘了輸入最新兌換碼與官方禮包碼，滿滿的資源福利讓你前期推圖無壓力、輕鬆霸榜！如果想快速變強、抽爆超稀有角色，我們的代儲值服務絕對是你最強的後盾，保證快速安全不卡關，讓你的忍道之路暢通無阻！趕快加入遊戲，一起守護忍者世界吧！</v>
      </c>
      <c r="F455" s="92" t="s">
        <v>5232</v>
      </c>
      <c r="K455" s="100" t="s">
        <v>5495</v>
      </c>
      <c r="L455" s="51" t="s">
        <v>5496</v>
      </c>
    </row>
    <row r="456" spans="1:69" ht="28.5" customHeight="1">
      <c r="A456" s="67" t="str">
        <f>IF(games!A456="", "", games!A456)</f>
        <v>瘋狂競技場</v>
      </c>
      <c r="C456" s="51" t="str">
        <f t="shared" si="18"/>
        <v>giftcodesbanner/瘋狂競技場-禮包碼.jpg</v>
      </c>
      <c r="D456" s="51" t="str">
        <f t="shared" si="19"/>
        <v>https://www.ssbuy.tw/gift-codes.html?game=瘋狂競技場</v>
      </c>
      <c r="E456" s="91" t="str">
        <f>IF(games!I456&lt;&gt;"", games!I456, "")</f>
        <v>熱血玩家看過來！充滿魔性魅力的《瘋狂競技場》強勢來襲啦！這款遊戲主打超魔性的刺激對決與多樣化陣容搭配，保證讓你玩到停不下來！還在煩惱卡關嗎？趕快去爬爬大神們寫的必勝攻略，保證戰力直線飆升！進場前一定要記得領取最新兌換碼以及官方禮包碼，超多神級裝備跟鑽石直接塞爆你的背包！想要在競技場中稱霸全服、狂虐對手？交給我們的專屬代儲值服務就對啦！流程全程透明且快速安全，讓你毫無後顧之憂地爽爽升級！還在等什麼？馬上登入遊戲大殺四方吧！</v>
      </c>
      <c r="F456" s="92" t="s">
        <v>5232</v>
      </c>
      <c r="K456" s="100" t="s">
        <v>5495</v>
      </c>
      <c r="L456" s="51" t="s">
        <v>5496</v>
      </c>
    </row>
    <row r="457" spans="1:69" ht="28.5" customHeight="1">
      <c r="A457" s="67" t="str">
        <f>IF(games!A457="", "", games!A457)</f>
        <v>全勤守護者：放置型RPG</v>
      </c>
      <c r="C457" s="51" t="str">
        <f t="shared" si="18"/>
        <v>giftcodesbanner/全勤守護者：放置型RPG-禮包碼.jpg</v>
      </c>
      <c r="D457" s="51" t="str">
        <f t="shared" si="19"/>
        <v>https://www.ssbuy.tw/gift-codes.html?game=全勤守護者：放置型RPG</v>
      </c>
      <c r="E457" s="91" t="str">
        <f>IF(games!I457&lt;&gt;"", games!I457, "")</f>
        <v>喜愛輕鬆護肝的玩家們注意囉！全新像素風大作《全勤守護者：放置型RPG》超萌上線！這款主打下線也能狂賺資源，讓你每天躺著也能變強！剛開始不知道怎麼培養角色？網路上早有豐富的攻略教你完美配置陣容啦！新手上路第一件事，絕對是輸入最新兌換碼還有官方禮包碼，海量開局福利直接領到手軟！如果想一步登天、輕鬆解鎖超稀有英雄跟頂級裝備，別忘了找最專業的代儲值為你服務！不僅價格優惠更保證快速安全，讓你無壓力守護城鎮，趕緊下載體驗吧！</v>
      </c>
      <c r="F457" s="92" t="s">
        <v>5232</v>
      </c>
      <c r="K457" s="100" t="s">
        <v>5495</v>
      </c>
      <c r="L457" s="51" t="s">
        <v>5496</v>
      </c>
    </row>
    <row r="458" spans="1:69" ht="28.5" customHeight="1">
      <c r="A458" s="67" t="str">
        <f>IF(games!A458="", "", games!A458)</f>
        <v>龍魂契約</v>
      </c>
      <c r="C458" s="51" t="str">
        <f t="shared" si="18"/>
        <v>giftcodesbanner/龍魂契約-禮包碼.jpg</v>
      </c>
      <c r="D458" s="51" t="str">
        <f t="shared" si="19"/>
        <v>https://www.ssbuy.tw/gift-codes.html?game=龍魂契約</v>
      </c>
      <c r="E458" s="91" t="str">
        <f>IF(games!I458&lt;&gt;"", games!I458, "")</f>
        <v>各位熱血玩家注意啦！全新奇幻RPG大作《龍魂契約》強勢來襲，準備好覺醒專屬龍魂之力了嗎？遊戲畫面超精緻，戰鬥打擊感極度爽快，絕對讓你一玩就愛不釋手。想在伺服器裡輕鬆稱霸全場，除了用心看論壇大神分享的實用攻略，當然也少不了蒐集最新兌換碼跟官方禮包碼拿滿滿的開局好康！如果想更進一步把角色戰力衝上雲端，我們有提供業界最專業的代儲值服務。過程絕對保證快速安全，讓你課金課得超安心，又能省下寶貴時間。趕緊下載遊戲，揪團一起痛快屠龍吧！</v>
      </c>
      <c r="F458" s="7" t="s">
        <v>8202</v>
      </c>
      <c r="G458" s="3" t="s">
        <v>8376</v>
      </c>
      <c r="H458" s="51" t="s">
        <v>6988</v>
      </c>
      <c r="K458" s="100" t="s">
        <v>5495</v>
      </c>
      <c r="L458" s="51" t="s">
        <v>5496</v>
      </c>
      <c r="M458" s="6" t="s">
        <v>8412</v>
      </c>
    </row>
    <row r="459" spans="1:69" ht="28.5" customHeight="1">
      <c r="A459" s="67" t="str">
        <f>IF(games!A459="", "", games!A459)</f>
        <v>挖你老墓</v>
      </c>
      <c r="C459" s="51" t="str">
        <f t="shared" si="18"/>
        <v>giftcodesbanner/挖你老墓-禮包碼.jpg</v>
      </c>
      <c r="D459" s="51" t="str">
        <f t="shared" si="19"/>
        <v>https://www.ssbuy.tw/gift-codes.html?game=挖你老墓</v>
      </c>
      <c r="E459" s="91" t="str">
        <f>IF(games!I459&lt;&gt;"", games!I459, "")</f>
        <v>喜歡盜墓題材的朋友千萬別錯過！超魔性的搞怪手遊《挖你老墓》正式開挖啦！這款遊戲結合了放置與探險元素，畫風逗趣又超級舒壓，保證讓你玩到停不下來。想在地下世界挖出絕世稀世珍寶，建議先去參考老玩家們用心整理的通關攻略，而且絕對不能忘記輸入最新兌換碼以及官方禮包碼，把滿滿的免費資源先塞進口袋！若是想快速提升裝備與挖礦效率，我們也提供最優質的代儲值服務。交易流程不僅快速安全，還能讓你無後顧之憂地瘋狂開挖，趕快加入這場超狂的盜墓派對吧！</v>
      </c>
      <c r="F459" s="7" t="s">
        <v>8202</v>
      </c>
      <c r="G459" s="3" t="s">
        <v>8431</v>
      </c>
      <c r="H459" s="51" t="s">
        <v>6988</v>
      </c>
      <c r="K459" s="100" t="s">
        <v>5495</v>
      </c>
      <c r="L459" s="51" t="s">
        <v>5496</v>
      </c>
      <c r="M459" s="6" t="s">
        <v>8306</v>
      </c>
      <c r="O459" s="6" t="s">
        <v>8413</v>
      </c>
      <c r="Q459" s="6" t="s">
        <v>8414</v>
      </c>
      <c r="S459" s="6" t="s">
        <v>8415</v>
      </c>
      <c r="U459" s="6" t="s">
        <v>8430</v>
      </c>
      <c r="W459" s="6" t="s">
        <v>8416</v>
      </c>
      <c r="Y459" s="6" t="s">
        <v>8424</v>
      </c>
      <c r="AA459" s="6" t="s">
        <v>8425</v>
      </c>
      <c r="AC459" s="6" t="s">
        <v>8426</v>
      </c>
      <c r="AE459" s="6" t="s">
        <v>8427</v>
      </c>
      <c r="AG459" s="6" t="s">
        <v>8428</v>
      </c>
      <c r="AI459" s="6" t="s">
        <v>8429</v>
      </c>
      <c r="AK459" s="6" t="s">
        <v>8646</v>
      </c>
      <c r="AM459" s="6" t="s">
        <v>8647</v>
      </c>
    </row>
    <row r="460" spans="1:69" ht="28.5" customHeight="1">
      <c r="A460" s="67" t="str">
        <f>IF(games!A460="", "", games!A460)</f>
        <v>風與龍之歌</v>
      </c>
      <c r="C460" s="51" t="str">
        <f t="shared" si="18"/>
        <v>giftcodesbanner/風與龍之歌-禮包碼.jpg</v>
      </c>
      <c r="D460" s="51" t="str">
        <f t="shared" si="19"/>
        <v>https://www.ssbuy.tw/gift-codes.html?game=風與龍之歌</v>
      </c>
      <c r="E460" s="91" t="str">
        <f>IF(games!I460&lt;&gt;"", games!I460, "")</f>
        <v>喜愛日系冒險的玩家們有福啦！全新奇幻療癒大作《風與龍之歌》帶你踏上溫馨唯美的旅程。遊戲裡的廣闊大世界超適合到處拍照打卡，帶著萌寵一起戰鬥更是趣味十足。想要在遊戲初期就比別人贏在起跑點，記得多爬文看看高手的陣容攻略，當然最重要的就是趕緊領取最新兌換碼還有官方禮包碼，把各種豪華的登入獎勵通通帶回家！如果你想幫可愛的角色換上華麗時裝或抽限定寵物，我們有超讚的代儲值服務。整個手續保證快速安全，讓你輕鬆無負擔地享受冒險，快來御風飛行吧！</v>
      </c>
      <c r="F460" s="7" t="s">
        <v>8375</v>
      </c>
      <c r="G460" s="3" t="s">
        <v>8523</v>
      </c>
      <c r="H460" s="51" t="s">
        <v>6988</v>
      </c>
      <c r="K460" s="100" t="s">
        <v>5495</v>
      </c>
      <c r="L460" s="51" t="s">
        <v>5496</v>
      </c>
      <c r="M460" s="6" t="s">
        <v>8508</v>
      </c>
      <c r="O460" s="6" t="s">
        <v>8509</v>
      </c>
      <c r="Q460" s="6" t="s">
        <v>8510</v>
      </c>
      <c r="S460" s="6" t="s">
        <v>8511</v>
      </c>
      <c r="U460" s="6" t="s">
        <v>8512</v>
      </c>
      <c r="W460" s="6" t="s">
        <v>8513</v>
      </c>
      <c r="Y460" s="6" t="s">
        <v>8514</v>
      </c>
      <c r="AA460" s="6" t="s">
        <v>7475</v>
      </c>
      <c r="AC460" s="6" t="s">
        <v>8515</v>
      </c>
      <c r="AE460" s="6" t="s">
        <v>8516</v>
      </c>
      <c r="AG460" s="6" t="s">
        <v>8517</v>
      </c>
      <c r="AI460" s="6" t="s">
        <v>8518</v>
      </c>
      <c r="AK460" s="6" t="s">
        <v>8519</v>
      </c>
      <c r="AM460" s="6" t="s">
        <v>8520</v>
      </c>
      <c r="AO460" s="6" t="s">
        <v>8521</v>
      </c>
      <c r="AQ460" s="6" t="s">
        <v>8522</v>
      </c>
    </row>
    <row r="461" spans="1:69" ht="28.5" customHeight="1">
      <c r="A461" s="67" t="str">
        <f>IF(games!A461="", "", games!A461)</f>
        <v>異環</v>
      </c>
      <c r="C461" s="51" t="str">
        <f t="shared" si="18"/>
        <v>giftcodesbanner/異環-禮包碼.jpg</v>
      </c>
      <c r="D461" s="51" t="str">
        <f t="shared" si="19"/>
        <v>https://www.ssbuy.tw/gift-codes.html?game=異環</v>
      </c>
      <c r="E461" s="91" t="str">
        <f>IF(games!I461&lt;&gt;"", games!I461, "")</f>
        <v>各位版友注意啦！《異環》這款超酷的超自然都市開放世界RPG準備震撼登場！你在霓虹閃爍的都市裡化身異象獵人，可以開著超跑四處解謎，還能買房買車享受超chill的同居生活！想開局就當大佬嗎？一定要鎖定最神攻略，還要記得狂刷最新兌換碼和官方禮包碼拿滿好康！如果想抽爆限定角色又怕荷包大失血，找專業代儲值絕對是你的好夥伴，保證快速安全又划算，讓你輕鬆課金無負擔！趕快準備好，跟我們一起在異環世界裡飆車解任務，體驗最自由的都市冒險吧！</v>
      </c>
      <c r="F461" s="3" t="s">
        <v>8357</v>
      </c>
      <c r="G461" s="3" t="s">
        <v>8357</v>
      </c>
      <c r="H461" s="3" t="s">
        <v>8357</v>
      </c>
      <c r="K461" s="100" t="s">
        <v>5495</v>
      </c>
      <c r="L461" s="51" t="s">
        <v>5496</v>
      </c>
      <c r="M461" s="6" t="s">
        <v>8341</v>
      </c>
      <c r="N461" s="40" t="s">
        <v>8354</v>
      </c>
      <c r="O461" s="6" t="s">
        <v>8342</v>
      </c>
      <c r="P461" s="40" t="s">
        <v>8355</v>
      </c>
      <c r="Q461" s="6" t="s">
        <v>8343</v>
      </c>
      <c r="R461" s="40" t="s">
        <v>8356</v>
      </c>
      <c r="S461" s="6" t="s">
        <v>8562</v>
      </c>
      <c r="U461" s="6" t="s">
        <v>8563</v>
      </c>
      <c r="W461" s="6" t="s">
        <v>8564</v>
      </c>
      <c r="Y461" s="6" t="s">
        <v>8648</v>
      </c>
    </row>
    <row r="462" spans="1:69" ht="28.5" customHeight="1">
      <c r="A462" s="67" t="str">
        <f>IF(games!A462="", "", games!A462)</f>
        <v>薑餅人大亂鬥</v>
      </c>
      <c r="C462" s="51" t="str">
        <f t="shared" si="18"/>
        <v>giftcodesbanner/薑餅人大亂鬥-禮包碼.jpg</v>
      </c>
      <c r="D462" s="51" t="str">
        <f t="shared" si="19"/>
        <v>https://www.ssbuy.tw/gift-codes.html?game=薑餅人大亂鬥</v>
      </c>
      <c r="E462" s="91" t="str">
        <f>IF(games!I462&lt;&gt;"", games!I462, "")</f>
        <v>各位餅乾粉注意啦！超夯新手遊《薑餅人大亂鬥》終於登場囉！這次勇敢餅乾將帶大家進入全3D的刺激戰場大展身手啦～想知道哪隻餅乾最實用？卡關不知道怎麼搭配陣容？快來參考我們的超詳盡攻略！當然好康不會少，這裡為大家整理了最新兌換碼與豐富的官方禮包碼，讓你開局就贏在起跑點！若你想輕鬆抽爆限定餅乾，我們有提供專業代儲值服務，保證快速安全無煩惱。準備好了嗎？趕快揪團上線一起歡樂開戰吧！</v>
      </c>
      <c r="F462" s="92" t="s">
        <v>8411</v>
      </c>
      <c r="G462" s="92" t="s">
        <v>8409</v>
      </c>
      <c r="H462" s="125" t="s">
        <v>8410</v>
      </c>
      <c r="I462" s="51" t="s">
        <v>6988</v>
      </c>
      <c r="K462" s="100" t="s">
        <v>5495</v>
      </c>
      <c r="L462" s="51" t="s">
        <v>5496</v>
      </c>
      <c r="M462" s="6" t="s">
        <v>8407</v>
      </c>
      <c r="O462" s="6" t="s">
        <v>8408</v>
      </c>
    </row>
    <row r="463" spans="1:69" ht="28.5" customHeight="1">
      <c r="A463" s="67" t="str">
        <f>IF(games!A463="", "", games!A463)</f>
        <v>貓娘樂園 世界連結</v>
      </c>
      <c r="C463" s="51" t="str">
        <f t="shared" si="18"/>
        <v>giftcodesbanner/貓娘樂園 世界連結-禮包碼.jpg</v>
      </c>
      <c r="D463" s="51" t="str">
        <f t="shared" si="19"/>
        <v>https://www.ssbuy.tw/gift-codes.html?game=貓娘樂園 世界連結</v>
      </c>
      <c r="E463" s="91" t="str">
        <f>IF(games!I463&lt;&gt;"", games!I463, "")</f>
        <v>主人們快點回歸吧！療癒滿點的《貓娘樂園 世界連結》(NEKOPARA: World Connect)暖心上線啦～想跟可愛貓娘們展開全新同居生活嗎？不知道該怎麼培養好感度？別擔心，來看看我們準備的超用心攻略吧！為了慶祝開服，這裡也幫各位收集了最新兌換碼與滿滿的官方禮包碼，讓你開局資源不落後！如果想把最心儀的貓娘帶回家，我們也有提供專業代儲值服務，流程絕對快速安全哦！趕緊下載遊戲，跟香草和巧克力一起享受甜蜜無比的世界吧，喵～</v>
      </c>
      <c r="F463" s="92" t="s">
        <v>5232</v>
      </c>
      <c r="K463" s="100" t="s">
        <v>5495</v>
      </c>
      <c r="L463" s="51" t="s">
        <v>5496</v>
      </c>
    </row>
    <row r="464" spans="1:69" ht="28.5" customHeight="1">
      <c r="A464" s="67" t="str">
        <f>IF(games!A464="", "", games!A464)</f>
        <v>環形戰爭</v>
      </c>
      <c r="C464" s="51" t="str">
        <f t="shared" si="18"/>
        <v>giftcodesbanner/環形戰爭-禮包碼.jpg</v>
      </c>
      <c r="D464" s="51" t="str">
        <f t="shared" si="19"/>
        <v>https://www.ssbuy.tw/gift-codes.html?game=環形戰爭</v>
      </c>
      <c r="E464" s="91" t="str">
        <f>IF(games!I464&lt;&gt;"", games!I464, "")</f>
        <v>喜歡戰棋的玩家絕對不能錯過這款大作！暗黑史詩級《環形戰爭》(Annulus)磅礴降臨啦！這款主打硬核戰略的手遊，非常考驗你的走位與腦力。新手開局不知道怎麼練角？卡關打不過首領？快來研讀我們整理的超詳盡攻略！此外，這裡也送上最新兌換碼以及海量官方禮包碼，助你輕鬆渡過前期難關！若需要強力角色助陣，我們也有提供專業代儲值服務，保證快速安全有保障，讓你安心暢玩。快點下載遊戲，現在就號召戰友們踏上殘酷戰場，寫下專屬於你的史詩傳奇故事吧！</v>
      </c>
      <c r="F464" s="92" t="s">
        <v>5232</v>
      </c>
      <c r="K464" s="100" t="s">
        <v>5495</v>
      </c>
      <c r="L464" s="51" t="s">
        <v>5496</v>
      </c>
      <c r="M464" s="6" t="s">
        <v>8402</v>
      </c>
      <c r="O464" s="6" t="s">
        <v>8403</v>
      </c>
      <c r="Q464" s="6" t="s">
        <v>8404</v>
      </c>
      <c r="S464" s="6" t="s">
        <v>8405</v>
      </c>
      <c r="U464" s="6" t="s">
        <v>8406</v>
      </c>
    </row>
    <row r="465" spans="1:41" ht="28.5" customHeight="1">
      <c r="A465" s="67" t="str">
        <f>IF(games!A465="", "", games!A465)</f>
        <v>Slot &amp; Brave：Roguelike RPG</v>
      </c>
      <c r="C465" s="51" t="str">
        <f t="shared" si="18"/>
        <v>giftcodesbanner/Slot &amp; Brave：Roguelike RPG-禮包碼.jpg</v>
      </c>
      <c r="D465" s="51" t="str">
        <f t="shared" si="19"/>
        <v>https://www.ssbuy.tw/gift-codes.html?game=Slot &amp; Brave：Roguelike RPG</v>
      </c>
      <c r="E465" s="91" t="str">
        <f>IF(games!I465&lt;&gt;"", games!I465, "")</f>
        <v>喜歡隨機挑戰的玩家看過來！像素風神作《Slot &amp; Brave: Roguelike RPG》超毒性上線囉～把老虎機結合冒險，真的會讓人欲罷不能！想知道怎麼搭配技能最猛？一直卡關不知道怎麼破局？馬上來看我們的獨家攻略！為了讓你玩得更爽，這裡也大方公開最新兌換碼與超值官方禮包碼，幫你快速累積資源！若想輕鬆解鎖極品裝備與角色，我們提供最專業代儲值服務，流程絕對快速安全！趕快點擊下載，開啟充滿驚喜的奇幻大冒險，看你能闖到第幾關吧！</v>
      </c>
      <c r="F465" s="92" t="s">
        <v>5232</v>
      </c>
      <c r="K465" s="100" t="s">
        <v>5495</v>
      </c>
      <c r="L465" s="51" t="s">
        <v>5496</v>
      </c>
    </row>
    <row r="466" spans="1:41" ht="28.5" customHeight="1">
      <c r="A466" s="67" t="str">
        <f>IF(games!A466="", "", games!A466)</f>
        <v>小小三國志：暴走群雄傳</v>
      </c>
      <c r="C466" s="51" t="str">
        <f t="shared" si="18"/>
        <v>giftcodesbanner/小小三國志：暴走群雄傳-禮包碼.jpg</v>
      </c>
      <c r="D466" s="51" t="str">
        <f t="shared" si="19"/>
        <v>https://www.ssbuy.tw/gift-codes.html?game=小小三國志：暴走群雄傳</v>
      </c>
      <c r="E466" s="91" t="str">
        <f>IF(games!I466&lt;&gt;"", games!I466, "")</f>
        <v>各位主公注意啦！超魔性Q版手遊《小小三國志：暴走群雄傳》強勢來襲！想在亂世中脫穎而出，怎麼能少了開荒攻略？我們幫你整理了最新兌換碼和官方禮包碼，讓你開局就拿滿資源，輕鬆抽神將！如果想追求更極致的戰力狂飆，推薦使用專業的代儲值服務，不僅快速安全，還能用最划算的價格解鎖各種超值特權與絕版造型。別再猶豫了，現在就招募你的暴走武將，一起稱霸三國吧！不管你是休閒玩家還是課金大佬，這裡都能滿足你的所有需求，打造最強陣容，趕快加入我們吧！</v>
      </c>
      <c r="F466" s="7" t="s">
        <v>8375</v>
      </c>
      <c r="G466" s="3" t="s">
        <v>8376</v>
      </c>
      <c r="H466" s="51" t="s">
        <v>6988</v>
      </c>
      <c r="K466" s="100" t="s">
        <v>5495</v>
      </c>
      <c r="L466" s="51" t="s">
        <v>5496</v>
      </c>
      <c r="M466" s="6" t="s">
        <v>8377</v>
      </c>
      <c r="O466" s="6" t="s">
        <v>8378</v>
      </c>
      <c r="Q466" s="6" t="s">
        <v>8379</v>
      </c>
    </row>
    <row r="467" spans="1:41" ht="28.5" customHeight="1">
      <c r="A467" s="67" t="str">
        <f>IF(games!A467="", "", games!A467)</f>
        <v>勇者鬥惡龍 破限亂鬥</v>
      </c>
      <c r="C467" s="51" t="str">
        <f t="shared" si="18"/>
        <v>giftcodesbanner/勇者鬥惡龍 破限亂鬥-禮包碼.jpg</v>
      </c>
      <c r="D467" s="51" t="str">
        <f t="shared" si="19"/>
        <v>https://www.ssbuy.tw/gift-codes.html?game=勇者鬥惡龍 破限亂鬥</v>
      </c>
      <c r="E467" s="91" t="str">
        <f>IF(games!I467&lt;&gt;"", games!I467, "")</f>
        <v>想體驗熱血沸騰的大亂鬥嗎？《勇者鬥惡龍 破限亂鬥》強勢來襲！這款全新作品帶來顛覆傳統的戰鬥模式，讓你與各方勇者在競技場上大顯身手。無論你是想尋找最強通關攻略，還是需要最新兌換碼與官方禮包碼來抽取稀有裝備，這裡通通都有！遊戲中的爽快連擊絕對讓你停不下來。想讓隊伍戰力瞬間飆升嗎？我們提供專業的代儲值服務，保證快速安全，讓你免除卡關煩惱，輕鬆稱霸天梯排行榜！快點號召三五好友一起加入這場極限亂鬥，創造屬於你的全新勇者傳說吧！趕緊來挑戰！</v>
      </c>
      <c r="F467" s="92" t="s">
        <v>5232</v>
      </c>
      <c r="K467" s="100" t="s">
        <v>5495</v>
      </c>
      <c r="L467" s="51" t="s">
        <v>5496</v>
      </c>
    </row>
    <row r="468" spans="1:41" ht="28.5" customHeight="1">
      <c r="A468" s="67" t="str">
        <f>IF(games!A468="", "", games!A468)</f>
        <v>鬼雄三國：主公有夠鬼</v>
      </c>
      <c r="C468" s="51" t="str">
        <f t="shared" si="18"/>
        <v>giftcodesbanner/鬼雄三國：主公有夠鬼-禮包碼.jpg</v>
      </c>
      <c r="D468" s="51" t="str">
        <f t="shared" si="19"/>
        <v>https://www.ssbuy.tw/gift-codes.html?game=鬼雄三國：主公有夠鬼</v>
      </c>
      <c r="E468" s="91" t="str">
        <f>IF(games!I468&lt;&gt;"", games!I468, "")</f>
        <v>各位玩家注意啦！全新三國手遊《鬼雄三國：主公有夠鬼》搞怪登場！這次你不只要招募歷史名將，還要體驗超特別的鬼畜設定，玩法保證讓你大開眼界。想要稱霸亂世，掌握大神專屬攻略絕對是必備的！我們為大家準備了最新兌換碼以及豐富的官方禮包碼，讓你開局就贏在起跑點，輕鬆拿資源。如果想要進一步強化陣容，我們也提供專業代儲值服務，保證快速安全，讓你的武將瞬間戰力爆表！快來一起加入這場歡樂又刺激的三國大戰，成為最鬼靈精怪的最強主公吧！</v>
      </c>
      <c r="F468" s="7" t="s">
        <v>8375</v>
      </c>
      <c r="G468" s="3" t="s">
        <v>8376</v>
      </c>
      <c r="H468" s="51" t="s">
        <v>6988</v>
      </c>
      <c r="K468" s="100" t="s">
        <v>5495</v>
      </c>
      <c r="L468" s="51" t="s">
        <v>5496</v>
      </c>
      <c r="M468" s="6" t="s">
        <v>8561</v>
      </c>
      <c r="O468" s="6" t="s">
        <v>8639</v>
      </c>
      <c r="Q468" s="6" t="s">
        <v>8640</v>
      </c>
      <c r="S468" s="6" t="s">
        <v>8641</v>
      </c>
      <c r="U468" s="6" t="s">
        <v>8642</v>
      </c>
      <c r="W468" s="6" t="s">
        <v>8643</v>
      </c>
      <c r="Y468" s="6" t="s">
        <v>1933</v>
      </c>
      <c r="AA468" s="6" t="s">
        <v>8644</v>
      </c>
      <c r="AC468" s="6" t="s">
        <v>8645</v>
      </c>
      <c r="AE468" s="6" t="s">
        <v>8715</v>
      </c>
    </row>
    <row r="469" spans="1:41" ht="28.5" customHeight="1">
      <c r="A469" s="67" t="str">
        <f>IF(games!A469="", "", games!A469)</f>
        <v>NBA王朝崛起</v>
      </c>
      <c r="C469" s="51" t="str">
        <f t="shared" si="18"/>
        <v>giftcodesbanner/NBA王朝崛起-禮包碼.jpg</v>
      </c>
      <c r="D469" s="51" t="str">
        <f t="shared" si="19"/>
        <v>https://www.ssbuy.tw/gift-codes.html?game=NBA王朝崛起</v>
      </c>
      <c r="E469" s="91" t="str">
        <f>IF(games!I469&lt;&gt;"", games!I469, "")</f>
        <v>熱愛籃球的玩家們千萬別錯過！年度大作《NBA王朝崛起》火熱上線啦！在這裡你可以親手打造夢幻陣容，帶領超強球星征戰籃壇，享受最真實的比賽快感。想要在賽季中脫穎而出？趕快來看看高手的必勝攻略吧！記得輸入我們整理的最新兌換碼與專屬官方禮包碼，海量球員培養道具直接帶回家。若想迅速抽到神級球員組合，推薦使用我們的代儲值服務，流程絕對快速安全有保障。現在就踏上球場，發揮你的神乎其技，建立屬於你自己的無敵籃球王朝，稱霸聯盟吧！</v>
      </c>
      <c r="F469" s="7" t="s">
        <v>8375</v>
      </c>
      <c r="G469" s="3" t="s">
        <v>8376</v>
      </c>
      <c r="H469" s="51" t="s">
        <v>6988</v>
      </c>
      <c r="K469" s="100" t="s">
        <v>5495</v>
      </c>
      <c r="L469" s="51" t="s">
        <v>5496</v>
      </c>
      <c r="M469" s="6" t="s">
        <v>8488</v>
      </c>
      <c r="O469" s="6" t="s">
        <v>8489</v>
      </c>
      <c r="Q469" s="6" t="s">
        <v>8490</v>
      </c>
      <c r="S469" s="6" t="s">
        <v>8633</v>
      </c>
      <c r="T469" s="40" t="s">
        <v>8634</v>
      </c>
      <c r="U469" s="6" t="s">
        <v>8635</v>
      </c>
      <c r="W469" s="6" t="s">
        <v>8636</v>
      </c>
      <c r="Y469" s="6" t="s">
        <v>8637</v>
      </c>
      <c r="AA469" s="6" t="s">
        <v>8638</v>
      </c>
      <c r="AC469" s="6" t="s">
        <v>8649</v>
      </c>
      <c r="AE469" s="6" t="s">
        <v>8650</v>
      </c>
      <c r="AG469" s="6" t="s">
        <v>8651</v>
      </c>
      <c r="AI469" s="6" t="s">
        <v>8490</v>
      </c>
      <c r="AK469" s="6" t="s">
        <v>8652</v>
      </c>
      <c r="AM469" s="6" t="s">
        <v>8653</v>
      </c>
      <c r="AO469" s="6" t="s">
        <v>8654</v>
      </c>
    </row>
    <row r="470" spans="1:41" ht="28.5" customHeight="1">
      <c r="A470" s="67" t="str">
        <f>IF(games!A470="", "", games!A470)</f>
        <v>仙逆M</v>
      </c>
      <c r="C470" s="51" t="str">
        <f t="shared" si="18"/>
        <v>giftcodesbanner/仙逆M-禮包碼.jpg</v>
      </c>
      <c r="D470" s="51" t="str">
        <f t="shared" si="19"/>
        <v>https://www.ssbuy.tw/gift-codes.html?game=仙逆M</v>
      </c>
      <c r="E470" s="91" t="str">
        <f>IF(games!I470&lt;&gt;"", games!I470, "")</f>
        <v>修仙迷們久等啦！超人氣大作《仙逆M》震撼公測！這款遊戲完美還原了逆天改命的修真大世界，讓你親身體驗從平凡踏上巔峰的熱血旅程。想快速突破境界？絕不能錯過論壇上討論度極高的進階攻略！趕緊領取我們提供的最新兌換碼以及超值官方禮包碼，各種珍稀法寶與修煉靈石讓你拿到手軟。如果需要更多資源，我們也有提供超划算的代儲值方案，交易流程保證快速安全。現在就與道友們一起御劍飛行，闖蕩驚險萬分的仙俠世界，寫下你專屬的傳奇修真錄吧！</v>
      </c>
      <c r="F470" s="92" t="s">
        <v>8559</v>
      </c>
      <c r="G470" s="3" t="s">
        <v>8560</v>
      </c>
      <c r="H470" s="51" t="s">
        <v>6988</v>
      </c>
      <c r="K470" s="100" t="s">
        <v>5495</v>
      </c>
      <c r="L470" s="51" t="s">
        <v>5496</v>
      </c>
      <c r="M470" s="6" t="s">
        <v>8733</v>
      </c>
      <c r="O470" s="6" t="s">
        <v>8726</v>
      </c>
      <c r="Q470" s="6" t="s">
        <v>8734</v>
      </c>
      <c r="R470" s="25"/>
      <c r="S470" s="6" t="s">
        <v>8735</v>
      </c>
      <c r="U470" s="6" t="s">
        <v>8736</v>
      </c>
      <c r="W470" s="6" t="s">
        <v>8737</v>
      </c>
      <c r="Y470" s="6" t="s">
        <v>8738</v>
      </c>
      <c r="AA470" s="6" t="s">
        <v>8739</v>
      </c>
      <c r="AC470" s="6" t="s">
        <v>8740</v>
      </c>
      <c r="AE470" s="6" t="s">
        <v>8741</v>
      </c>
      <c r="AG470" s="6" t="s">
        <v>8742</v>
      </c>
    </row>
    <row r="471" spans="1:41" ht="28.5" customHeight="1">
      <c r="A471" s="67" t="str">
        <f>IF(games!A471="", "", games!A471)</f>
        <v>貓咪與湯：魔法與美食</v>
      </c>
      <c r="C471" s="51" t="str">
        <f t="shared" si="18"/>
        <v>giftcodesbanner/貓咪與湯：魔法與美食-禮包碼.jpg</v>
      </c>
      <c r="D471" s="51" t="str">
        <f t="shared" si="19"/>
        <v>https://www.ssbuy.tw/gift-codes.html?game=貓咪與湯：魔法與美食</v>
      </c>
      <c r="E471" s="91" t="str">
        <f>IF(games!I471&lt;&gt;"", games!I471, "")</f>
        <v>各位貓奴們注意啦！全新療癒系手遊《貓咪和湯 : 魔法與美食》萌爆登場！這次不僅要熬湯，還加入了奇妙的魔法元素，讓你與超萌貓咪們一起踏上美食之旅。想知道如何快速解鎖全圖鑑？網路上已經有超詳細的攻略等你來抄作業囉！新手上路千萬別忘了領取最新兌換碼與官方禮包碼，超多開局資源免費拿，讓你的魔法餐廳輕鬆贏在起跑點。若想極速擴建貓咪樂園、解鎖超稀有裝飾，推薦尋找專業代儲值服務，保證快速安全絕不踩雷。趕快來與療癒貓貓們一起烹飪魔法大餐吧！</v>
      </c>
      <c r="F471" s="92" t="s">
        <v>8569</v>
      </c>
      <c r="G471" s="3" t="s">
        <v>8570</v>
      </c>
      <c r="H471" s="51" t="s">
        <v>6988</v>
      </c>
      <c r="K471" s="100" t="s">
        <v>5495</v>
      </c>
      <c r="L471" s="51" t="s">
        <v>5496</v>
      </c>
      <c r="M471" s="6" t="s">
        <v>8568</v>
      </c>
    </row>
    <row r="472" spans="1:41" ht="28.5" customHeight="1">
      <c r="A472" s="67" t="str">
        <f>IF(games!A472="", "", games!A472)</f>
        <v>終結獵鋒K：首爾</v>
      </c>
      <c r="C472" s="51" t="str">
        <f t="shared" si="18"/>
        <v>giftcodesbanner/終結獵鋒K：首爾-禮包碼.jpg</v>
      </c>
      <c r="D472" s="51" t="str">
        <f t="shared" si="19"/>
        <v>https://www.ssbuy.tw/gift-codes.html?game=終結獵鋒K：首爾</v>
      </c>
      <c r="E472" s="91" t="str">
        <f>IF(games!I472&lt;&gt;"", games!I472, "")</f>
        <v>熱血玩家看過來！硬派動作手遊《終結獵鋒K：首爾》震撼上線！這次舞台來到末日崩壞的首爾街頭，準備好拿起武器展開爽快廝殺了嗎？卡關打不過首領？各大論壇已有神人分享最強連招攻略，讓你輕鬆應對各種強敵！開局必備的最新兌換碼與官方禮包碼絕對要先換起來，海量鑽石與神級裝備直接送，戰力瞬間狂飆。想追求極致輸出、快速抽滿限定角色？強力推薦使用專業的代儲值服務，過程絕對快速安全有保障。立刻登入遊戲，化身最強獵鋒拯救世界，享受極致的打擊快感吧！</v>
      </c>
      <c r="F472" s="92" t="s">
        <v>5232</v>
      </c>
      <c r="K472" s="100" t="s">
        <v>5495</v>
      </c>
      <c r="L472" s="51" t="s">
        <v>5496</v>
      </c>
    </row>
    <row r="473" spans="1:41" ht="28.5" customHeight="1">
      <c r="A473" s="67" t="str">
        <f>IF(games!A473="", "", games!A473)</f>
        <v>霸起：暗影重生</v>
      </c>
      <c r="C473" s="51" t="str">
        <f t="shared" si="18"/>
        <v>giftcodesbanner/霸起：暗影重生-禮包碼.jpg</v>
      </c>
      <c r="D473" s="51" t="str">
        <f t="shared" si="19"/>
        <v>https://www.ssbuy.tw/gift-codes.html?game=霸起：暗影重生</v>
      </c>
      <c r="E473" s="91" t="str">
        <f>IF(games!I473&lt;&gt;"", games!I473, "")</f>
        <v>這款名為《霸起：暗影重生》的放置型動作RPG近期強勢登陸啦！本作主打壓倒性的視覺盛宴與暢快淋漓的打擊感，讓玩家享受自動戰鬥的輕鬆同時，也能體驗動作遊戲極致手感。
故事講述戰神德馬克蘭戰敗後，靈魂附體於人類身上，展開向背叛眾神的復仇之旅。遊戲內建無壓力養成系統，大家可以多參考網路高手攻略，培養專屬獨特英雄。
想在成神路上先發制人？千萬別錯過最新兌換碼與各式官方禮包碼，海量資源等你來拿！若想快速提升戰力，也能選擇代儲值服務，流程保證快速安全！</v>
      </c>
      <c r="F473" s="92" t="s">
        <v>8565</v>
      </c>
      <c r="G473" s="3" t="s">
        <v>8566</v>
      </c>
      <c r="H473" s="3" t="s">
        <v>8567</v>
      </c>
      <c r="I473" s="51" t="s">
        <v>6988</v>
      </c>
      <c r="K473" s="100" t="s">
        <v>5495</v>
      </c>
      <c r="L473" s="51" t="s">
        <v>5496</v>
      </c>
      <c r="M473" s="6" t="s">
        <v>8497</v>
      </c>
      <c r="O473" s="6" t="s">
        <v>8498</v>
      </c>
      <c r="Q473" s="6" t="s">
        <v>8499</v>
      </c>
      <c r="S473" s="6" t="s">
        <v>8500</v>
      </c>
      <c r="U473" s="6" t="s">
        <v>8501</v>
      </c>
      <c r="W473" s="6" t="s">
        <v>8502</v>
      </c>
    </row>
    <row r="474" spans="1:41" ht="28.5" customHeight="1">
      <c r="A474" s="67" t="str">
        <f>IF(games!A474="", "", games!A474)</f>
        <v>心契少女：萌熊覺醒</v>
      </c>
      <c r="C474" s="51" t="str">
        <f t="shared" si="18"/>
        <v>giftcodesbanner/心契少女：萌熊覺醒-禮包碼.jpg</v>
      </c>
      <c r="D474" s="51" t="str">
        <f t="shared" si="19"/>
        <v>https://www.ssbuy.tw/gift-codes.html?game=心契少女：萌熊覺醒</v>
      </c>
      <c r="E474" s="91" t="str">
        <f>IF(games!I474&lt;&gt;"", games!I474, "")</f>
        <v>各位指揮官注意啦！《心契少女: 萌熊覺醒》正式登場，這款結合超萌熊熊與美少女的RPG真的讓人心跳加速。不管是精緻的立繪還是多樣的養成系統，絕對讓你停不下來。想要在冒險中脫穎而出？別忘了關注我們提供的超強攻略，還有大家最期待的最新兌換碼與官方禮包碼，讓豐富資源輕鬆入手！如果想快速跟上大佬腳步，小編真心推薦找代儲值服務，全程保證快速安全且低調，讓你在萌熊世界裡盡情享受養成樂趣，不用再為抽卡苦惱，這波新遊真的超級值得入坑，趕快來下載一起同樂吧</v>
      </c>
      <c r="F474" s="92" t="s">
        <v>5232</v>
      </c>
      <c r="K474" s="100" t="s">
        <v>5495</v>
      </c>
      <c r="L474" s="51" t="s">
        <v>5496</v>
      </c>
    </row>
    <row r="475" spans="1:41" ht="28.5" customHeight="1">
      <c r="A475" s="67" t="str">
        <f>IF(games!A475="", "", games!A475)</f>
        <v>瑞利昂：NPC的生存記</v>
      </c>
      <c r="C475" s="51" t="str">
        <f t="shared" si="18"/>
        <v>giftcodesbanner/瑞利昂：NPC的生存記-禮包碼.jpg</v>
      </c>
      <c r="D475" s="51" t="str">
        <f t="shared" si="19"/>
        <v>https://www.ssbuy.tw/gift-codes.html?game=瑞利昂：NPC的生存記</v>
      </c>
      <c r="E475" s="91" t="str">
        <f>IF(games!I475&lt;&gt;"", games!I475, "")</f>
        <v>你有想過在遊戲中當個NPC是什麼感覺嗎？《瑞利昂：NPC的生存記》帶你換個視角玩RPG！這款遊戲設定新穎，玩家將扮演不起眼的NPC努力求生，反諷與趣味十足。想要在這生存考驗中活得比勇者還久？那就不能錯過我們的深度攻略，還有最新的兌換碼與官方禮包碼，助你資源翻倍！如果想省去肝資源的麻煩，小編推薦找專業代儲值，快速安全且到帳極速，讓你在瑞利昂世界裡輕鬆躺平，享受不一樣的養成樂趣，快來下載這款腦洞大開的新遊吧，保證讓你玩到停不下來！真心大推！</v>
      </c>
      <c r="F475" s="92" t="s">
        <v>5232</v>
      </c>
      <c r="K475" s="100" t="s">
        <v>5495</v>
      </c>
      <c r="L475" s="51" t="s">
        <v>5496</v>
      </c>
    </row>
    <row r="476" spans="1:41" ht="28.5" customHeight="1">
      <c r="A476" s="67" t="str">
        <f>IF(games!A476="", "", games!A476)</f>
        <v>拉蒂亞的骰子之旅</v>
      </c>
      <c r="C476" s="51" t="str">
        <f t="shared" si="18"/>
        <v>giftcodesbanner/拉蒂亞的骰子之旅-禮包碼.jpg</v>
      </c>
      <c r="D476" s="51" t="str">
        <f t="shared" si="19"/>
        <v>https://www.ssbuy.tw/gift-codes.html?game=拉蒂亞的骰子之旅</v>
      </c>
      <c r="E476" s="91" t="str">
        <f>IF(games!I476&lt;&gt;"", games!I476, "")</f>
        <v>想要來場溫馨的冒險嗎？《拉蒂亞的骰子之旅》絕對是療癒系玩家的首選！這款RPG透過骰子機制來進行冒險，畫風清新脫俗，讓你在壓力山大的生活中找到一片淨土。冒險路上如果卡關，記得來參考我們的專業攻略，並領取最新的兌換碼與官方禮包碼，幫你快速提升角色戰力！為了讓遊戲體驗更順暢，許多老司機都推薦搭配代儲值，全程快速安全有保障，不用擔心失敗，讓你在這段驚喜的骰子旅程中隨時展開冒險，快來體驗療癒魅力吧，保證不玩可惜，趕快下載來跟上，真的超讚的啦！</v>
      </c>
      <c r="F476" s="92" t="s">
        <v>5232</v>
      </c>
      <c r="K476" s="100" t="s">
        <v>5495</v>
      </c>
      <c r="L476" s="51" t="s">
        <v>5496</v>
      </c>
    </row>
    <row r="477" spans="1:41" ht="28.5" customHeight="1">
      <c r="A477" s="67" t="str">
        <f>IF(games!A477="", "", games!A477)</f>
        <v>ISEKAI GATE</v>
      </c>
      <c r="C477" s="51" t="str">
        <f t="shared" si="18"/>
        <v>giftcodesbanner/ISEKAI GATE-禮包碼.jpg</v>
      </c>
      <c r="D477" s="51" t="str">
        <f t="shared" si="19"/>
        <v>https://www.ssbuy.tw/gift-codes.html?game=ISEKAI GATE</v>
      </c>
      <c r="E477" s="91" t="str">
        <f>IF(games!I477&lt;&gt;"", games!I477, "")</f>
        <v>Awesomepiece 新作《ISEKAI GATE》終於來啦！這款主打 3 人合作的像素風防禦 RPG，節奏快到讓人刷不停耶！玩家要在遊戲中跟好友聯手，守住衣櫃後的異世界大門，像素英雄的動作感跟特效超精緻。想快速變強的朋友必看這篇詳細攻略，裡面整理了最新兌換碼與官方禮包碼，讓你開局就能領滿資源！如果想收齊造型或衝戰力，推薦找專業代儲值，保證服務快速安全！趕快下載組隊刷爆 Boss 守護伊塞凱，這畫風真的可愛到犯規！</v>
      </c>
      <c r="F477" s="92" t="s">
        <v>8590</v>
      </c>
      <c r="G477" s="3" t="s">
        <v>8591</v>
      </c>
      <c r="H477" s="118" t="s">
        <v>8592</v>
      </c>
      <c r="I477" s="51" t="s">
        <v>6988</v>
      </c>
      <c r="K477" s="100" t="s">
        <v>5495</v>
      </c>
      <c r="L477" s="51" t="s">
        <v>5496</v>
      </c>
      <c r="M477" s="6" t="s">
        <v>8580</v>
      </c>
      <c r="O477" s="6" t="s">
        <v>8581</v>
      </c>
      <c r="Q477" s="6" t="s">
        <v>8582</v>
      </c>
      <c r="S477" s="6" t="s">
        <v>8583</v>
      </c>
      <c r="U477" s="6" t="s">
        <v>8584</v>
      </c>
      <c r="W477" s="6" t="s">
        <v>8585</v>
      </c>
      <c r="Y477" s="6" t="s">
        <v>8586</v>
      </c>
      <c r="AA477" s="6" t="s">
        <v>8588</v>
      </c>
      <c r="AC477" s="6" t="s">
        <v>8589</v>
      </c>
      <c r="AE477" s="6" t="s">
        <v>8655</v>
      </c>
      <c r="AG477" s="6" t="s">
        <v>8656</v>
      </c>
    </row>
    <row r="478" spans="1:41" ht="28.5" customHeight="1">
      <c r="A478" s="67" t="str">
        <f>IF(games!A478="", "", games!A478)</f>
        <v>燃燒紀元：摸魚拯救世界</v>
      </c>
      <c r="C478" s="51" t="str">
        <f t="shared" si="18"/>
        <v>giftcodesbanner/燃燒紀元：摸魚拯救世界-禮包碼.jpg</v>
      </c>
      <c r="D478" s="51" t="str">
        <f t="shared" si="19"/>
        <v>https://www.ssbuy.tw/gift-codes.html?game=燃燒紀元：摸魚拯救世界</v>
      </c>
      <c r="E478" s="91" t="str">
        <f>IF(games!I478&lt;&gt;"", games!I478, "")</f>
        <v>各位勇者好，想拯救世界又不想太累？《燃燒紀元：摸魚拯救世界》這款超佛心的掛機放置手遊正式登場啦！主打輕鬆摸魚也能戰力爆表，讓你在忙碌生活中也能享受養成的樂趣。這裡幫大家整理了最完整的攻略，包含開局角色養成與關卡推圖技巧，還有玩家最期待的最新兌換碼與官方禮包碼，助你輕鬆起步。想在競技場脫穎而出？別忘了利用代儲值服務來快速提升實力，全程提供快速安全的操作體驗。別再猶豫，快來跟我們一起划水救世，開創屬於你的燃燒紀元吧！</v>
      </c>
      <c r="F478" s="92" t="s">
        <v>8731</v>
      </c>
      <c r="G478" s="3" t="s">
        <v>8732</v>
      </c>
      <c r="H478" s="51" t="s">
        <v>6988</v>
      </c>
      <c r="K478" s="100" t="s">
        <v>5495</v>
      </c>
      <c r="L478" s="51" t="s">
        <v>5496</v>
      </c>
      <c r="M478" s="6" t="s">
        <v>8728</v>
      </c>
      <c r="O478" s="6" t="s">
        <v>8729</v>
      </c>
      <c r="Q478" s="6" t="s">
        <v>8730</v>
      </c>
      <c r="S478" s="6" t="s">
        <v>8814</v>
      </c>
      <c r="T478" s="40" t="s">
        <v>8815</v>
      </c>
      <c r="U478" s="6" t="s">
        <v>8901</v>
      </c>
    </row>
    <row r="479" spans="1:41" ht="28.5" customHeight="1">
      <c r="A479" s="67" t="str">
        <f>IF(games!A479="", "", games!A479)</f>
        <v>暗影紀元：魔幻冒險之旅</v>
      </c>
      <c r="C479" s="51" t="str">
        <f t="shared" si="18"/>
        <v>giftcodesbanner/暗影紀元：魔幻冒險之旅-禮包碼.jpg</v>
      </c>
      <c r="D479" s="51" t="str">
        <f t="shared" si="19"/>
        <v>https://www.ssbuy.tw/gift-codes.html?game=暗影紀元：魔幻冒險之旅</v>
      </c>
      <c r="E479" s="91" t="str">
        <f>IF(games!I479&lt;&gt;"", games!I479, "")</f>
        <v>踏入黑暗，尋求光明！《暗影紀元：魔幻冒險之旅》正式開啟你的暗黑奇幻史詩。遊戲以宏大的魔幻世界觀為背景，玩家將化身冒險者探索未知的古老遺跡。為了讓大家在冒險途中更順遂，我們網羅了全網最強攻略，從職業天賦加點到副本 BOSS 打法通通都有，當然也少不了大家最愛的最新兌換碼與官方禮包碼福利資訊。追求效率的冒險者看過來，透過代儲值服務獲取稀有資源是最明智的選擇，快速安全的服務品質讓玩家更放心。快拿起武器，在暗影紀元中書寫屬於你的英雄冒險傳說！</v>
      </c>
      <c r="F479" s="92" t="s">
        <v>8692</v>
      </c>
      <c r="G479" s="3" t="s">
        <v>8693</v>
      </c>
      <c r="H479" s="51" t="s">
        <v>6988</v>
      </c>
      <c r="K479" s="100" t="s">
        <v>5495</v>
      </c>
      <c r="L479" s="51" t="s">
        <v>5496</v>
      </c>
      <c r="M479" s="6" t="s">
        <v>8604</v>
      </c>
      <c r="O479" s="6" t="s">
        <v>2318</v>
      </c>
      <c r="Q479" s="6" t="s">
        <v>8605</v>
      </c>
      <c r="S479" s="6" t="s">
        <v>3166</v>
      </c>
    </row>
    <row r="480" spans="1:41" ht="28.5" customHeight="1">
      <c r="A480" s="67" t="str">
        <f>IF(games!A480="", "", games!A480)</f>
        <v>青丘世界：緣起</v>
      </c>
      <c r="C480" s="51" t="str">
        <f t="shared" si="18"/>
        <v>giftcodesbanner/青丘世界：緣起-禮包碼.jpg</v>
      </c>
      <c r="D480" s="51" t="str">
        <f t="shared" si="19"/>
        <v>https://www.ssbuy.tw/gift-codes.html?game=青丘世界：緣起</v>
      </c>
      <c r="E480" s="91" t="str">
        <f>IF(games!I480&lt;&gt;"", games!I480, "")</f>
        <v>絕美仙俠新作《青丘世界：緣起》火熱上線！喜歡唯美畫風與浪漫情緣的玩家千萬不能錯過，這款遊戲帶你深入神秘的青丘狐域，展開一場驚心動魄的修仙之旅。我們特別準備了詳細的新手攻略，帶你快速掌握幻化系統與靈寵培養技巧，同時彙整了各大論壇瘋傳的最新兌換碼與官方禮包碼，讓你免課金也能拿好禮。若想體驗極致戰力碾壓，推薦使用專業的代儲值管道，保證交易流程快速安全。現在就與命中注定的另一半，在青丘世界共譜一段動人的修仙緣起傳奇！</v>
      </c>
      <c r="F480" s="92" t="s">
        <v>8903</v>
      </c>
      <c r="G480" s="3" t="s">
        <v>8904</v>
      </c>
      <c r="H480" s="51" t="s">
        <v>6988</v>
      </c>
      <c r="K480" s="100" t="s">
        <v>5495</v>
      </c>
      <c r="L480" s="51" t="s">
        <v>5496</v>
      </c>
      <c r="M480" s="6" t="s">
        <v>5279</v>
      </c>
      <c r="N480" s="40" t="s">
        <v>8783</v>
      </c>
      <c r="O480" s="6" t="s">
        <v>8781</v>
      </c>
      <c r="P480" s="40" t="s">
        <v>8784</v>
      </c>
      <c r="Q480" s="6" t="s">
        <v>8782</v>
      </c>
      <c r="R480" s="40" t="s">
        <v>8785</v>
      </c>
      <c r="S480" s="6" t="s">
        <v>8727</v>
      </c>
      <c r="T480" s="40" t="s">
        <v>8780</v>
      </c>
      <c r="U480" s="6" t="s">
        <v>8786</v>
      </c>
      <c r="V480" s="40" t="s">
        <v>8788</v>
      </c>
      <c r="W480" s="6" t="s">
        <v>8787</v>
      </c>
      <c r="X480" s="40" t="s">
        <v>8789</v>
      </c>
      <c r="Y480" s="6" t="s">
        <v>8790</v>
      </c>
      <c r="Z480" s="40" t="s">
        <v>8794</v>
      </c>
      <c r="AA480" s="6" t="s">
        <v>8791</v>
      </c>
      <c r="AB480" s="40" t="s">
        <v>8795</v>
      </c>
      <c r="AC480" s="6" t="s">
        <v>8792</v>
      </c>
      <c r="AD480" s="40" t="s">
        <v>8796</v>
      </c>
      <c r="AE480" s="6" t="s">
        <v>8793</v>
      </c>
      <c r="AF480" s="40" t="s">
        <v>8797</v>
      </c>
      <c r="AG480" s="6" t="s">
        <v>2056</v>
      </c>
      <c r="AH480" s="40" t="s">
        <v>8798</v>
      </c>
      <c r="AI480" s="6" t="s">
        <v>1841</v>
      </c>
      <c r="AJ480" s="40" t="s">
        <v>8799</v>
      </c>
      <c r="AK480" s="6" t="s">
        <v>8902</v>
      </c>
    </row>
    <row r="481" spans="1:33" ht="28.5" customHeight="1">
      <c r="A481" s="67" t="str">
        <f>IF(games!A481="", "", games!A481)</f>
        <v>集團雄兵：疾風作戰</v>
      </c>
      <c r="C481" s="51" t="str">
        <f t="shared" ref="C481:C544" si="20">IF(A481="","", "giftcodesbanner/" &amp; A481 &amp; "-禮包碼.jpg")</f>
        <v>giftcodesbanner/集團雄兵：疾風作戰-禮包碼.jpg</v>
      </c>
      <c r="D481" s="51" t="str">
        <f t="shared" ref="D481:D544" si="21">IF(A481="","", "https://www.ssbuy.tw/gift-codes.html?game="&amp;A481)</f>
        <v>https://www.ssbuy.tw/gift-codes.html?game=集團雄兵：疾風作戰</v>
      </c>
      <c r="E481" s="91" t="str">
        <f>IF(games!I481&lt;&gt;"", games!I481, "")</f>
        <v>號角已響起，長官請就位！《集團雄兵：疾風作戰》為硬核策略玩家帶來最震撼的現代軍事戰場。玩家需要建設基地、統帥雄兵，在疾風般的節奏中指揮部隊擊潰敵方陣線。為了讓你的軍團戰無不勝，我們整理了兵種克制與陣型排布攻略，並即時更新最新兌換碼與官方禮包碼，助你軍備物資拿到手軟。戰況激烈不容等待，想要稱霸全服？利用便利的代儲值服務來強化火力吧，全程快速安全保證讓玩家無後顧之憂。立即加入集團雄兵，在瞬息萬變的戰局中，展現你卓越的軍事統御才華！</v>
      </c>
      <c r="F481" s="92" t="s">
        <v>8694</v>
      </c>
      <c r="G481" s="3" t="s">
        <v>8695</v>
      </c>
      <c r="H481" s="51" t="s">
        <v>6988</v>
      </c>
      <c r="K481" s="100" t="s">
        <v>5495</v>
      </c>
      <c r="L481" s="51" t="s">
        <v>5496</v>
      </c>
      <c r="M481" s="6" t="s">
        <v>8609</v>
      </c>
    </row>
    <row r="482" spans="1:33" ht="28.5" customHeight="1">
      <c r="A482" s="67" t="str">
        <f>IF(games!A482="", "", games!A482)</f>
        <v>SNK：全明星覺醒</v>
      </c>
      <c r="C482" s="51" t="str">
        <f t="shared" si="20"/>
        <v>giftcodesbanner/SNK：全明星覺醒-禮包碼.jpg</v>
      </c>
      <c r="D482" s="51" t="str">
        <f t="shared" si="21"/>
        <v>https://www.ssbuy.tw/gift-codes.html?game=SNK：全明星覺醒</v>
      </c>
      <c r="E482" s="91" t="str">
        <f>IF(games!I482&lt;&gt;"", games!I482, "")</f>
        <v>各位格鬥迷們久等啦！超人氣手遊《SNK：全明星覺醒》熱血開打，歷代經典角色全數霸氣回歸！不知道怎麼組隊才強嗎？快來看看論壇大神們的專屬攻略，保證讓你戰力狂飆。開服好康當然少不了，趕緊輸入最新兌換碼與限量官方禮包碼，海量鑽石道具直接領到手軟！想要快速突破角色星級？我們提供最優質專業的代儲值服務，交易過程絕對快速安全，讓你毫無顧忌地把心儀的格鬥家帶回家，輕鬆制霸競技場！馬上重溫當年的機台感動，一起打出最華麗的Combo連擊吧！</v>
      </c>
      <c r="F482" s="92" t="s">
        <v>8731</v>
      </c>
      <c r="G482" s="3" t="s">
        <v>8875</v>
      </c>
      <c r="H482" s="51" t="s">
        <v>6988</v>
      </c>
      <c r="K482" s="100" t="s">
        <v>5495</v>
      </c>
      <c r="L482" s="51" t="s">
        <v>5496</v>
      </c>
      <c r="M482" s="6" t="s">
        <v>8865</v>
      </c>
      <c r="O482" s="6" t="s">
        <v>1932</v>
      </c>
      <c r="Q482" s="6" t="s">
        <v>8866</v>
      </c>
      <c r="S482" s="6" t="s">
        <v>8867</v>
      </c>
      <c r="U482" s="6" t="s">
        <v>8868</v>
      </c>
      <c r="W482" s="6" t="s">
        <v>8869</v>
      </c>
      <c r="Y482" s="6" t="s">
        <v>8870</v>
      </c>
      <c r="AA482" s="6" t="s">
        <v>8871</v>
      </c>
      <c r="AC482" s="6" t="s">
        <v>8872</v>
      </c>
      <c r="AE482" s="6" t="s">
        <v>8873</v>
      </c>
      <c r="AG482" s="6" t="s">
        <v>8874</v>
      </c>
    </row>
    <row r="483" spans="1:33" ht="28.5" customHeight="1">
      <c r="A483" s="67" t="str">
        <f>IF(games!A483="", "", games!A483)</f>
        <v>超時空街球對決</v>
      </c>
      <c r="C483" s="51" t="str">
        <f t="shared" si="20"/>
        <v>giftcodesbanner/超時空街球對決-禮包碼.jpg</v>
      </c>
      <c r="D483" s="51" t="str">
        <f t="shared" si="21"/>
        <v>https://www.ssbuy.tw/gift-codes.html?game=超時空街球對決</v>
      </c>
      <c r="E483" s="91" t="str">
        <f>IF(games!I483&lt;&gt;"", games!I483, "")</f>
        <v>各位熱血球友注意啦！全新力作《超時空街球對決》重磅登場，帶大家體驗最炫酷的科幻街頭籃球競技！想在球場上稱霸，除了磨練操作技術，超強攻略絕對不能少。小編這裡幫大家整理了開服必備的最新兌換碼以及各種稀有的官方禮包碼，讓你開局就贏在起跑點，輕鬆組建最強陣容！覺得資源不夠用嗎？強烈推薦大家使用專業的代儲值服務，保證快速安全，讓你輕鬆解鎖夢幻球員與酷炫時裝，再也不用為了抽卡煩惱！趕快下載遊戲，揪團上場鬥牛，一起展現你的神乎其技吧！</v>
      </c>
      <c r="F483" s="92" t="s">
        <v>8880</v>
      </c>
      <c r="G483" s="3" t="s">
        <v>8881</v>
      </c>
      <c r="H483" s="51" t="s">
        <v>6988</v>
      </c>
      <c r="K483" s="100" t="s">
        <v>5495</v>
      </c>
      <c r="L483" s="51" t="s">
        <v>5496</v>
      </c>
      <c r="M483" s="6" t="s">
        <v>1932</v>
      </c>
      <c r="N483" s="40" t="s">
        <v>8882</v>
      </c>
      <c r="O483" s="6" t="s">
        <v>8879</v>
      </c>
      <c r="P483" s="40" t="s">
        <v>8883</v>
      </c>
    </row>
    <row r="484" spans="1:33" ht="28.5" customHeight="1">
      <c r="A484" s="67" t="str">
        <f>IF(games!A484="", "", games!A484)</f>
        <v>數碼寶貝UP</v>
      </c>
      <c r="C484" s="51" t="str">
        <f t="shared" si="20"/>
        <v>giftcodesbanner/數碼寶貝UP-禮包碼.jpg</v>
      </c>
      <c r="D484" s="51" t="str">
        <f t="shared" si="21"/>
        <v>https://www.ssbuy.tw/gift-codes.html?game=數碼寶貝UP</v>
      </c>
      <c r="E484" s="91" t="str">
        <f>IF(games!I484&lt;&gt;"", games!I484, "")</f>
        <v>各位被選召的孩子們安安！期待超久的手遊《數碼寶貝UP》(Digimon UP)終於熱血上線啦！這次我們將回到最熟悉的童年，帶著亞古獸跟加布獸一起爽快進化，展開全新數位冒險，經典招式絕對讓你感動滿滿！想要快速培育出最強究極體嗎？別忘了先上網找大神的通關攻略，記得領取最新兌換碼與官方禮包碼，把超肥的進化材料通通帶回家！如果你想馬上抽爆超強數碼獸，交給我們代儲值準沒錯！主打快速安全有保障，讓你瞬間戰力封頂，輕鬆稱霸伺服器！快來抓寶吧！</v>
      </c>
      <c r="F484" s="92" t="s">
        <v>5232</v>
      </c>
      <c r="K484" s="100" t="s">
        <v>5495</v>
      </c>
      <c r="L484" s="51" t="s">
        <v>5496</v>
      </c>
    </row>
    <row r="485" spans="1:33" ht="28.5" customHeight="1">
      <c r="A485" s="67" t="str">
        <f>IF(games!A485="", "", games!A485)</f>
        <v>權力遊戲：國王大道</v>
      </c>
      <c r="C485" s="51" t="str">
        <f t="shared" si="20"/>
        <v>giftcodesbanner/權力遊戲：國王大道-禮包碼.jpg</v>
      </c>
      <c r="D485" s="51" t="str">
        <f t="shared" si="21"/>
        <v>https://www.ssbuy.tw/gift-codes.html?game=權力遊戲：國王大道</v>
      </c>
      <c r="E485" s="91" t="str">
        <f>IF(games!I485&lt;&gt;"", games!I485, "")</f>
        <v>《權力遊戲：國王大道》是首款由 HBO 正版授權的開放世界動作 RPG。玩家將深入維斯特洛大陸，在絕境長城與寒冷北境之間展開壯闊的史詩冒險。遊戲採用 UE5 引擎打造，完美還原影集經典場景與沈浸式劇情，讓你在流暢且極具打擊感的戰鬥中體驗真實的權力紛爭。想要稱霸君臨城？搜尋最強攻略與最新兌換碼是開局必備功課，別忘了領取官方禮包碼來快速提升戰力。若想輕鬆獲取稀有裝備，推薦選擇我們專業的代儲值服務，過程快速安全有保障，助你在此亂世中成就傳奇霸業！</v>
      </c>
      <c r="F485" s="92" t="s">
        <v>8761</v>
      </c>
      <c r="G485" s="3" t="s">
        <v>8762</v>
      </c>
      <c r="K485" s="100" t="s">
        <v>5495</v>
      </c>
      <c r="L485" s="51" t="s">
        <v>5496</v>
      </c>
      <c r="M485" s="6" t="s">
        <v>8876</v>
      </c>
      <c r="O485" s="6" t="s">
        <v>8877</v>
      </c>
      <c r="Q485" s="6" t="s">
        <v>8878</v>
      </c>
    </row>
    <row r="486" spans="1:33" ht="28.5" customHeight="1">
      <c r="A486" s="67" t="str">
        <f>IF(games!A486="", "", games!A486)</f>
        <v>這三國有點獸</v>
      </c>
      <c r="C486" s="51" t="str">
        <f t="shared" si="20"/>
        <v>giftcodesbanner/這三國有點獸-禮包碼.jpg</v>
      </c>
      <c r="D486" s="51" t="str">
        <f t="shared" si="21"/>
        <v>https://www.ssbuy.tw/gift-codes.html?game=這三國有點獸</v>
      </c>
      <c r="E486" s="91" t="str">
        <f>IF(games!I486&lt;&gt;"", games!I486, "")</f>
        <v>《這三國有點獸》是一款將三國名將與Q萌神獸完美結合的創新RPG手遊。玩家將帶領化身靈獸的豪傑們，在幽默逗趣的劇本中體驗熱血征途。遊戲強調策略搭配與輕鬆養成，多樣化的獸化角色讓戰鬥充滿驚喜與視覺衝擊。想在亂世中脫穎而出？別錯過最強攻略與最新兌換碼，並即時關注官方禮包碼動態來大幅強化軍團。為了獲得極致體驗，我們提供最專業的代儲值服務，操作流程快速安全無負擔，絕對是主公成就霸業的最佳夥伴！現在就加入這場充滿獸力的奇幻冒險，讓您的軍隊橫掃三國，成就傳奇！</v>
      </c>
      <c r="F486" s="92" t="s">
        <v>8702</v>
      </c>
      <c r="G486" s="3" t="s">
        <v>8703</v>
      </c>
      <c r="H486" s="51" t="s">
        <v>6988</v>
      </c>
      <c r="K486" s="100" t="s">
        <v>5495</v>
      </c>
      <c r="L486" s="51" t="s">
        <v>5496</v>
      </c>
      <c r="M486" s="6" t="s">
        <v>8704</v>
      </c>
      <c r="O486" s="6" t="s">
        <v>8705</v>
      </c>
      <c r="Q486" s="6" t="s">
        <v>8706</v>
      </c>
      <c r="S486" s="6" t="s">
        <v>1841</v>
      </c>
      <c r="U486" s="6" t="s">
        <v>8707</v>
      </c>
      <c r="W486" s="6" t="s">
        <v>8772</v>
      </c>
      <c r="Y486" s="6" t="s">
        <v>8773</v>
      </c>
      <c r="AA486" s="6" t="s">
        <v>8774</v>
      </c>
    </row>
    <row r="487" spans="1:33" ht="28.5" customHeight="1">
      <c r="A487" s="67" t="str">
        <f>IF(games!A487="", "", games!A487)</f>
        <v>Monster GO</v>
      </c>
      <c r="C487" s="51" t="str">
        <f t="shared" si="20"/>
        <v>giftcodesbanner/Monster GO-禮包碼.jpg</v>
      </c>
      <c r="D487" s="51" t="str">
        <f t="shared" si="21"/>
        <v>https://www.ssbuy.tw/gift-codes.html?game=Monster GO</v>
      </c>
      <c r="E487" s="91" t="str">
        <f>IF(games!I487&lt;&gt;"", games!I487, "")</f>
        <v>《Monster GO》是一款主打自由探索與萌寵收集的冒險手遊，帶領玩家進入奇幻的神祕島嶼。遊戲中擁有豐富的怪獸種類，玩家可以透過捕捉與進階進化，打造專屬的最強怪獸戰隊，並在多樣化的地圖中展開激烈的對戰。想快速成為頂尖馴獸師？記得搜尋專業攻略與最新兌換碼，同時領取豐富的官方禮包碼來獲得稀有資源。若想在競技場中輕鬆取勝，我們提供專業代儲值管道，確保流程快速安全，助您迅速提升寵物戰力！立即開啟您的探索之旅，捕獲心儀的夥伴，在這個充滿驚喜世界開創榮耀！</v>
      </c>
      <c r="F487" s="92" t="s">
        <v>5232</v>
      </c>
      <c r="K487" s="100" t="s">
        <v>5495</v>
      </c>
      <c r="L487" s="51" t="s">
        <v>5496</v>
      </c>
    </row>
    <row r="488" spans="1:33" ht="28.5" customHeight="1">
      <c r="A488" s="67" t="str">
        <f>IF(games!A488="", "", games!A488)</f>
        <v>幻獸之旅：新紀元</v>
      </c>
      <c r="C488" s="51" t="str">
        <f t="shared" si="20"/>
        <v>giftcodesbanner/幻獸之旅：新紀元-禮包碼.jpg</v>
      </c>
      <c r="D488" s="51" t="str">
        <f t="shared" si="21"/>
        <v>https://www.ssbuy.tw/gift-codes.html?game=幻獸之旅：新紀元</v>
      </c>
      <c r="E488" s="91" t="str">
        <f>IF(games!I488&lt;&gt;"", games!I488, "")</f>
        <v>歡迎來到《幻獸之旅：新紀元》！這是一款充滿奇幻色彩的角色扮演冒險手遊，玩家將穿梭神秘大陸，與各式珍稀幻獸締結契約，展開史詩般的旅程。遊戲內建豐富養成系統與策略戰鬥，讓你輕鬆打造專屬的最強幻獸陣容！想要在開局搶佔先機嗎？我們為您整理了最全面的新手攻略，並持續更新最新兌換碼與官方禮包碼，讓您輕鬆獲取豐厚資源。此外，若想快速提升戰力，我們也提供專業的代儲值服務，流程快速安全，保證讓您的冒險之旅暢通無阻！現在就加入我們，一起探索新紀元吧！</v>
      </c>
      <c r="F488" s="92" t="s">
        <v>5232</v>
      </c>
      <c r="K488" s="100" t="s">
        <v>5495</v>
      </c>
      <c r="L488" s="51" t="s">
        <v>5496</v>
      </c>
      <c r="M488" s="6" t="s">
        <v>8765</v>
      </c>
    </row>
    <row r="489" spans="1:33" ht="28.5" customHeight="1">
      <c r="A489" s="67" t="str">
        <f>IF(games!A489="", "", games!A489)</f>
        <v>聖三國蜀漢霸業</v>
      </c>
      <c r="C489" s="51" t="str">
        <f t="shared" si="20"/>
        <v>giftcodesbanner/聖三國蜀漢霸業-禮包碼.jpg</v>
      </c>
      <c r="D489" s="51" t="str">
        <f t="shared" si="21"/>
        <v>https://www.ssbuy.tw/gift-codes.html?game=聖三國蜀漢霸業</v>
      </c>
      <c r="E489" s="91" t="str">
        <f>IF(games!I489&lt;&gt;"", games!I489, "")</f>
        <v>喜歡經典戰棋與三國歷史的玩家千萬別錯過《聖三國蜀漢霸業》！這款策略 RPG 帶你重溫復古像素風，化身劉備征戰沙場。遊戲完美融合豐富劇情與硬核戰鬥，每場戰役都考驗你的排兵布陣與武將搭配。想在亂世中稱王？網路上有超多實用攻略幫你輕鬆通關！此外，我們也整理了最新兌換碼與官方禮包碼，讓你在開局就能獲得豐厚資源。如果想光速提升戰力，推薦使用專業的代儲值服務，流程快速安全，讓你毫無後顧之憂地享受遊戲。立刻下載，招募三國名將，成就你的蜀漢霸業吧！</v>
      </c>
      <c r="F489" s="92" t="s">
        <v>8766</v>
      </c>
      <c r="G489" s="3" t="s">
        <v>8767</v>
      </c>
      <c r="H489" s="51" t="s">
        <v>6988</v>
      </c>
      <c r="K489" s="100" t="s">
        <v>5495</v>
      </c>
      <c r="L489" s="51" t="s">
        <v>5496</v>
      </c>
      <c r="M489" s="6" t="s">
        <v>8763</v>
      </c>
      <c r="O489" s="6" t="s">
        <v>8764</v>
      </c>
      <c r="Q489" s="6" t="s">
        <v>8775</v>
      </c>
    </row>
    <row r="490" spans="1:33" ht="28.5" customHeight="1">
      <c r="A490" s="67" t="str">
        <f>IF(games!A490="", "", games!A490)</f>
        <v>亂世美人傳</v>
      </c>
      <c r="C490" s="51" t="str">
        <f t="shared" si="20"/>
        <v>giftcodesbanner/亂世美人傳-禮包碼.jpg</v>
      </c>
      <c r="D490" s="51" t="str">
        <f t="shared" si="21"/>
        <v>https://www.ssbuy.tw/gift-codes.html?game=亂世美人傳</v>
      </c>
      <c r="E490" s="91" t="str">
        <f>IF(games!I490&lt;&gt;"", games!I490, "")</f>
        <v>踏入《亂世美人傳》的唯美古風世界，體驗一場浪漫與權謀交織的宮廷邂逅！這款養成遊戲擁有精美細膩的角色立繪，讓你結識各路傾國佳人，經營專屬的龐大後宮陣容。想要在後宮爭鬥中脫穎而出？記得多看大神的通關攻略，掌握升級與晉升技巧！同時別忘了領取最新兌換碼與官方禮包碼，海量虛寶直接入袋，讓你開局就領先別人一步。遇到心儀的稀有絕版造型，推薦選擇我們專業的代儲值服務，流程絕對快速安全，幫你輕鬆守護心愛的妃子。立即下載遊戲，譜寫屬於你的浪漫傳奇吧！</v>
      </c>
      <c r="F490" s="92" t="s">
        <v>5232</v>
      </c>
      <c r="K490" s="100" t="s">
        <v>5495</v>
      </c>
      <c r="L490" s="51" t="s">
        <v>5496</v>
      </c>
    </row>
    <row r="491" spans="1:33" ht="28.5" customHeight="1">
      <c r="A491" s="67" t="str">
        <f>IF(games!A491="", "", games!A491)</f>
        <v>Pond Pals</v>
      </c>
      <c r="C491" s="51" t="str">
        <f t="shared" si="20"/>
        <v>giftcodesbanner/Pond Pals-禮包碼.jpg</v>
      </c>
      <c r="D491" s="51" t="str">
        <f t="shared" si="21"/>
        <v>https://www.ssbuy.tw/gift-codes.html?game=Pond Pals</v>
      </c>
      <c r="E491" s="91" t="str">
        <f>IF(games!I491&lt;&gt;"", games!I491, "")</f>
        <v>歡迎來到《Pond Pals》！這是一款超療癒的青蛙豪華露營模擬遊戲。玩家將幫助容易緊張的小青蛙Aaron，將池塘打造成最熱門的度假勝地。遊戲主打輕鬆的放置玩法與高自由度裝飾系統，您可以升級帳篷、烹飪美味餐點，吸引擁有不同個性的可愛青蛙旅客。想快速擴建營地嗎？我們已準備好實用攻略、最新兌換碼以及官方禮包碼，助您輕鬆獲得稀有道具！此外，我們提供專業代儲值服務，保證快速安全，讓您無憂無慮享受美好的池塘假期，快來打造您的專屬營地吧！</v>
      </c>
      <c r="F491" s="92" t="s">
        <v>5232</v>
      </c>
      <c r="K491" s="100" t="s">
        <v>5495</v>
      </c>
      <c r="L491" s="51" t="s">
        <v>5496</v>
      </c>
    </row>
    <row r="492" spans="1:33" ht="28.5" customHeight="1">
      <c r="A492" s="67" t="str">
        <f>IF(games!A492="", "", games!A492)</f>
        <v>永恆迴圈：戰術放置RPG</v>
      </c>
      <c r="C492" s="51" t="str">
        <f t="shared" si="20"/>
        <v>giftcodesbanner/永恆迴圈：戰術放置RPG-禮包碼.jpg</v>
      </c>
      <c r="D492" s="51" t="str">
        <f t="shared" si="21"/>
        <v>https://www.ssbuy.tw/gift-codes.html?game=永恆迴圈：戰術放置RPG</v>
      </c>
      <c r="E492" s="91" t="str">
        <f>IF(games!I492&lt;&gt;"", games!I492, "")</f>
        <v>《永恆迴圈：戰術放置RPG》是一款充滿變數的策略放置遊戲！在這裡，每次世界迴歸都會改變規則，玩家需靈活運用49種戰術卡牌與30位英雄，搭配出最強陣容。共享等級系統讓你輕鬆應對關卡挑戰。
想在變化莫測的世界中脫穎而出？找對攻略是關鍵！我們為您準備了詳盡教學，還有最新兌換碼與官方禮包碼，助您免費獲取豐厚資源，輕鬆贏在起跑點。
若想大幅提升戰力，推薦使用我們的代儲值服務，保證快速安全，專人處理免等待，讓您安心享受遊戲樂趣。立即下載展開屬於你的冒險吧！</v>
      </c>
      <c r="F492" s="92" t="s">
        <v>5232</v>
      </c>
      <c r="K492" s="100" t="s">
        <v>5495</v>
      </c>
      <c r="L492" s="51" t="s">
        <v>5496</v>
      </c>
    </row>
    <row r="493" spans="1:33" ht="28.5" customHeight="1">
      <c r="A493" s="67" t="str">
        <f>IF(games!A493="", "", games!A493)</f>
        <v>嘎嘎奇兵：蛋力來勝</v>
      </c>
      <c r="C493" s="51" t="str">
        <f t="shared" si="20"/>
        <v>giftcodesbanner/嘎嘎奇兵：蛋力來勝-禮包碼.jpg</v>
      </c>
      <c r="D493" s="51" t="str">
        <f t="shared" si="21"/>
        <v>https://www.ssbuy.tw/gift-codes.html?game=嘎嘎奇兵：蛋力來勝</v>
      </c>
      <c r="E493" s="91" t="str">
        <f>IF(games!I493&lt;&gt;"", games!I493, "")</f>
        <v>《嘎嘎奇兵：蛋力來勝》是一款超紓壓的魔性彈射手機遊戲！玩家將化身鴨鴨船長，帶領各種超能鳥類夥伴，利用物理反彈原理在海島關卡中無限彈射，瞬間清場怪物。遊戲單手即可輕鬆操作，更結合了豐富的流派陣容與開蛋盲盒系統，讓你抽卡停不下來！想要快速通關嗎？來看看我們的獨家攻略，搭配最新兌換碼與官方禮包碼，讓海量資源輕鬆入袋！若想打造最強海戰小隊，我們提供專業代儲值服務，流程絕對快速安全，讓你開局就領先眾多群雄，爽快擊碎敵人，現在就立刻展開海上行動吧！</v>
      </c>
      <c r="F493" s="92" t="s">
        <v>8853</v>
      </c>
      <c r="G493" s="3" t="s">
        <v>8854</v>
      </c>
      <c r="H493" s="51" t="s">
        <v>6988</v>
      </c>
      <c r="K493" s="100" t="s">
        <v>5495</v>
      </c>
      <c r="L493" s="51" t="s">
        <v>5496</v>
      </c>
      <c r="M493" s="6" t="s">
        <v>8816</v>
      </c>
      <c r="O493" s="6" t="s">
        <v>8817</v>
      </c>
    </row>
    <row r="494" spans="1:33" ht="28.5" customHeight="1">
      <c r="A494" s="67" t="str">
        <f>IF(games!A494="", "", games!A494)</f>
        <v>三國異將錄</v>
      </c>
      <c r="C494" s="51" t="str">
        <f t="shared" si="20"/>
        <v>giftcodesbanner/三國異將錄-禮包碼.jpg</v>
      </c>
      <c r="D494" s="51" t="str">
        <f t="shared" si="21"/>
        <v>https://www.ssbuy.tw/gift-codes.html?game=三國異將錄</v>
      </c>
      <c r="E494" s="91" t="str">
        <f>IF(games!I494&lt;&gt;"", games!I494, "")</f>
        <v>《三國異將錄》是一款結合山海經與三國歷史的異化卡牌角色扮演遊戲！在這款創新鉅作中，經典三國名將將與遠古神話異獸產生共鳴，獲得狂暴的同化力量。玩家可以體驗超爽快的無損換將系統，輕鬆搭配出專屬的最強異化軍團！想在亂世中拔得頭籌嗎？快來參考我們的獨家攻略，領取最新兌換碼以及官方禮包碼，超值豪華虛寶直接拿到手軟！如果你需要更強大的戰力支援，我們也提供專業的代儲值服務，保證交易流程快速安全，助你輕鬆稱霸三國，享受萬人景仰的無上榮耀與熱血遊戲樂趣！</v>
      </c>
      <c r="F494" s="92" t="s">
        <v>5232</v>
      </c>
      <c r="K494" s="100" t="s">
        <v>5495</v>
      </c>
      <c r="L494" s="51" t="s">
        <v>5496</v>
      </c>
    </row>
    <row r="495" spans="1:33" ht="28.5" customHeight="1">
      <c r="A495" s="67" t="str">
        <f>IF(games!A495="", "", games!A495)</f>
        <v>三國志KING</v>
      </c>
      <c r="C495" s="51" t="str">
        <f t="shared" si="20"/>
        <v>giftcodesbanner/三國志KING-禮包碼.jpg</v>
      </c>
      <c r="D495" s="51" t="str">
        <f t="shared" si="21"/>
        <v>https://www.ssbuy.tw/gift-codes.html?game=三國志KING</v>
      </c>
      <c r="E495" s="91" t="str">
        <f>IF(games!I495&lt;&gt;"", games!I495, "")</f>
        <v>《三國志KING》是一款主打正統策略與熱血國戰的經典三國手遊！玩家將化身主公，在氣勢磅礴的亂世中招兵買馬、建設城池，並與各路諸侯爭奪天下霸權。遊戲內包含多元的武將養成與排兵布陣系統，讓你盡情發揮卓越的戰術才華！想快速拓展勢力嗎？千萬別錯過我們精心整理的實用攻略，搭配最新兌換碼與官方禮包碼，保證讓你開局就擁有超豐富資源！此外，我們更提供最優質的代儲值服務，整體流程絕對快速安全，讓你毫無後顧之憂，輕鬆打造無敵鐵騎，成就屬於你的偉大王者霸業！</v>
      </c>
      <c r="F495" s="92" t="s">
        <v>5232</v>
      </c>
      <c r="K495" s="100" t="s">
        <v>5495</v>
      </c>
      <c r="L495" s="51" t="s">
        <v>5496</v>
      </c>
    </row>
    <row r="496" spans="1:33" ht="28.5" customHeight="1">
      <c r="A496" s="67" t="str">
        <f>IF(games!A496="", "", games!A496)</f>
        <v>骷髏要稱王</v>
      </c>
      <c r="C496" s="51" t="str">
        <f t="shared" si="20"/>
        <v>giftcodesbanner/骷髏要稱王-禮包碼.jpg</v>
      </c>
      <c r="D496" s="51" t="str">
        <f t="shared" si="21"/>
        <v>https://www.ssbuy.tw/gift-codes.html?game=骷髏要稱王</v>
      </c>
      <c r="E496" s="91" t="str">
        <f>IF(games!I496&lt;&gt;"", games!I496, "")</f>
        <v>輕鬆玩轉《骷髏要稱王》！在這款超Chill的放置RPG中，你將化身無名小骷髏，在魔界大陸體驗佛系掛機與花式進化的樂趣，一路輕鬆逆襲成為最強骨王。開局霸氣狂送10000抽，稀有英靈隨手招募，陣容流派自由搭配，戰力瞬間輕鬆爆表！想知道如何快速變強？我們整理了最詳盡的新手攻略，並持續更新最新兌換碼與官方禮包碼等你來領取，助你資源滿倉、通關無壓力！此外，我們提供專業且專屬的代儲值服務，交易流程絕對快速安全，讓你的骷髏軍團神擋殺神，魔界任你馳騁！</v>
      </c>
      <c r="F496" s="92" t="s">
        <v>5232</v>
      </c>
      <c r="K496" s="100" t="s">
        <v>5495</v>
      </c>
      <c r="L496" s="51" t="s">
        <v>5496</v>
      </c>
    </row>
    <row r="497" spans="1:23" ht="28.5" customHeight="1">
      <c r="A497" s="67" t="str">
        <f>IF(games!A497="", "", games!A497)</f>
        <v>丞相請出山：破局</v>
      </c>
      <c r="C497" s="51" t="str">
        <f t="shared" si="20"/>
        <v>giftcodesbanner/丞相請出山：破局-禮包碼.jpg</v>
      </c>
      <c r="D497" s="51" t="str">
        <f t="shared" si="21"/>
        <v>https://www.ssbuy.tw/gift-codes.html?game=丞相請出山：破局</v>
      </c>
      <c r="E497" s="91" t="str">
        <f>IF(games!I497&lt;&gt;"", games!I497, "")</f>
        <v>準備好在《丞相請出山：破局》中一展宏圖了嗎？這款超人氣策略手遊帶您穿越亂世，招募神將、運籌帷幄，體驗最真實刺激的古代戰場與劇情！想要在群雄割據中脫穎而出？我們為您準備了最實用的通關攻略，助您輕鬆破局。千萬別錯過隱藏的最新兌換碼與官方禮包碼，海量珍稀資源免費領取，讓您戰力瞬間狂飆！若想追求極致的遊戲體驗，強烈推薦使用我們的專業代儲值服務，交易過程絕對快速安全，讓您無後顧之憂地享受征戰天下的樂趣。快來下載體驗，現在就立刻加入成就專屬霸業！</v>
      </c>
      <c r="F497" s="92" t="s">
        <v>5232</v>
      </c>
      <c r="K497" s="100" t="s">
        <v>5495</v>
      </c>
      <c r="L497" s="51" t="s">
        <v>5496</v>
      </c>
      <c r="M497" s="6" t="s">
        <v>8899</v>
      </c>
    </row>
    <row r="498" spans="1:23" ht="28.5" customHeight="1">
      <c r="A498" s="67" t="str">
        <f>IF(games!A498="", "", games!A498)</f>
        <v>MLB® The Show™</v>
      </c>
      <c r="C498" s="51" t="str">
        <f t="shared" si="20"/>
        <v>giftcodesbanner/MLB® The Show™-禮包碼.jpg</v>
      </c>
      <c r="D498" s="51" t="str">
        <f t="shared" si="21"/>
        <v>https://www.ssbuy.tw/gift-codes.html?game=MLB® The Show™</v>
      </c>
      <c r="E498" s="91" t="str">
        <f>IF(games!I498&lt;&gt;"", games!I498, "")</f>
        <v>準備好在《MLB® The Show™》中揮出全壘打了嗎？這款頂級棒球手遊為球迷帶來最真實的賽事體驗。您將親自操作大聯盟球星，享受極致細膩的投打操作與球場聲光效果，還能組建專屬於您的夢幻陣容，挑戰世界大賽冠軍！想在球季中稱霸嗎？我們準備了超詳盡的新手攻略，讓您戰術運用更上一層樓。同時提供最新兌換碼與官方禮包碼，幫您輕鬆獲取頂級球員卡包。若想打造鑽石陣容，我們的代儲值服務絕對是首選，流程快速安全，讓您的奪冠之路暢行無阻，立即加入賽季吧！</v>
      </c>
      <c r="F498" s="92" t="s">
        <v>5232</v>
      </c>
      <c r="K498" s="100" t="s">
        <v>5495</v>
      </c>
      <c r="L498" s="51" t="s">
        <v>5496</v>
      </c>
    </row>
    <row r="499" spans="1:23" ht="28.5" customHeight="1">
      <c r="A499" s="67" t="str">
        <f>IF(games!A499="", "", games!A499)</f>
        <v>龍村3</v>
      </c>
      <c r="C499" s="51" t="str">
        <f t="shared" si="20"/>
        <v>giftcodesbanner/龍村3-禮包碼.jpg</v>
      </c>
      <c r="D499" s="51" t="str">
        <f t="shared" si="21"/>
        <v>https://www.ssbuy.tw/gift-codes.html?game=龍村3</v>
      </c>
      <c r="E499" s="91" t="str">
        <f>IF(games!I499&lt;&gt;"", games!I499, "")</f>
        <v>歡迎來到《龍村3》的奇幻世界！這款經典的馴龍RPG手遊讓你盡情體驗收集與培育神龍的樂趣。遊戲擁有數百種獨特外觀的龍種，玩家可以透過繁衍與進化，打造專屬的最強龍族陣容，挑戰刺激的副本與競技場！想成為頂尖馴龍大師嗎？我們為您整理了最實用的遊戲攻略，助您輕鬆上手絕對不卡關。此外，這裡還有最新兌換碼與官方禮包碼，讓您免費領取豐厚資源。若需要升級道具，我們提供專業代儲值服務，保證快速安全，讓您的馴龍之旅更加順暢無阻，快來培育您的專屬神龍吧！</v>
      </c>
      <c r="F499" s="92" t="s">
        <v>5232</v>
      </c>
      <c r="K499" s="100" t="s">
        <v>5495</v>
      </c>
      <c r="L499" s="51" t="s">
        <v>5496</v>
      </c>
    </row>
    <row r="500" spans="1:23" ht="28.5" customHeight="1">
      <c r="A500" s="67" t="str">
        <f>IF(games!A500="", "", games!A500)</f>
        <v>車車屍搭普</v>
      </c>
      <c r="C500" s="51" t="str">
        <f t="shared" si="20"/>
        <v>giftcodesbanner/車車屍搭普-禮包碼.jpg</v>
      </c>
      <c r="D500" s="51" t="str">
        <f t="shared" si="21"/>
        <v>https://www.ssbuy.tw/gift-codes.html?game=車車屍搭普</v>
      </c>
      <c r="E500" s="91" t="str">
        <f>IF(games!I500&lt;&gt;"", games!I500, "")</f>
        <v>首款飆車割草手遊《車車屍搭普》今日火熱上線！打破傳統站樁打怪，主打「無煞車狂飆×滿屏割草爽感」，讓你駕馭改裝神車馳騁末日，極速狂奔碾壓海量殭屍，享受螢幕炸裂的極致紓壓快感。多種隨機技能疊加與火力升級，每次衝鋒都是全新策略體驗！想知道最強改車組合與過關攻略？別忘了領取最新兌換碼與官方禮包碼，超狂裝備直接入手！若想快速強化戰力，我們提供專業代儲值服務，流程快速安全，讓你免等待即刻稱霸荒域。馬上加入我們，與阿西道長一起油門踩到底，狂掃屍潮解壓去！</v>
      </c>
      <c r="F500" s="92" t="s">
        <v>8853</v>
      </c>
      <c r="G500" s="3" t="s">
        <v>8889</v>
      </c>
      <c r="H500" s="51" t="s">
        <v>6988</v>
      </c>
      <c r="K500" s="100" t="s">
        <v>5495</v>
      </c>
      <c r="L500" s="51" t="s">
        <v>5496</v>
      </c>
      <c r="M500" s="6" t="s">
        <v>8890</v>
      </c>
      <c r="N500" s="40" t="s">
        <v>8893</v>
      </c>
      <c r="O500" s="6" t="s">
        <v>8891</v>
      </c>
      <c r="P500" s="40" t="s">
        <v>8894</v>
      </c>
      <c r="Q500" s="6" t="s">
        <v>8892</v>
      </c>
      <c r="R500" s="40" t="s">
        <v>8895</v>
      </c>
      <c r="S500" s="6" t="s">
        <v>8896</v>
      </c>
      <c r="U500" s="6" t="s">
        <v>8897</v>
      </c>
      <c r="W500" s="6" t="s">
        <v>8898</v>
      </c>
    </row>
    <row r="501" spans="1:23" ht="28.5" customHeight="1">
      <c r="A501" s="67" t="str">
        <f>IF(games!A501="", "", games!A501)</f>
        <v/>
      </c>
      <c r="C501" s="51" t="str">
        <f t="shared" si="20"/>
        <v/>
      </c>
      <c r="D501" s="51" t="str">
        <f t="shared" si="21"/>
        <v/>
      </c>
      <c r="E501" s="91" t="str">
        <f>IF(games!I501&lt;&gt;"", games!I501, "")</f>
        <v/>
      </c>
    </row>
    <row r="502" spans="1:23" ht="28.5" customHeight="1">
      <c r="A502" s="67" t="str">
        <f>IF(games!A502="", "", games!A502)</f>
        <v/>
      </c>
      <c r="C502" s="51" t="str">
        <f t="shared" si="20"/>
        <v/>
      </c>
      <c r="D502" s="51" t="str">
        <f t="shared" si="21"/>
        <v/>
      </c>
      <c r="E502" s="91" t="str">
        <f>IF(games!I502&lt;&gt;"", games!I502, "")</f>
        <v/>
      </c>
    </row>
    <row r="503" spans="1:23" ht="28.5" customHeight="1">
      <c r="A503" s="67" t="str">
        <f>IF(games!A503="", "", games!A503)</f>
        <v/>
      </c>
      <c r="C503" s="51" t="str">
        <f t="shared" si="20"/>
        <v/>
      </c>
      <c r="D503" s="51" t="str">
        <f t="shared" si="21"/>
        <v/>
      </c>
      <c r="E503" s="91" t="str">
        <f>IF(games!I503&lt;&gt;"", games!I503, "")</f>
        <v/>
      </c>
    </row>
    <row r="504" spans="1:23" ht="28.5" customHeight="1">
      <c r="A504" s="67" t="str">
        <f>IF(games!A504="", "", games!A504)</f>
        <v/>
      </c>
      <c r="C504" s="51" t="str">
        <f t="shared" si="20"/>
        <v/>
      </c>
      <c r="D504" s="51" t="str">
        <f t="shared" si="21"/>
        <v/>
      </c>
      <c r="E504" s="91" t="str">
        <f>IF(games!I504&lt;&gt;"", games!I504, "")</f>
        <v/>
      </c>
    </row>
    <row r="505" spans="1:23" ht="28.5" customHeight="1">
      <c r="A505" s="67" t="str">
        <f>IF(games!A505="", "", games!A505)</f>
        <v/>
      </c>
      <c r="C505" s="51" t="str">
        <f t="shared" si="20"/>
        <v/>
      </c>
      <c r="D505" s="51" t="str">
        <f t="shared" si="21"/>
        <v/>
      </c>
      <c r="E505" s="91" t="str">
        <f>IF(games!I505&lt;&gt;"", games!I505, "")</f>
        <v/>
      </c>
    </row>
    <row r="506" spans="1:23" ht="28.5" customHeight="1">
      <c r="A506" s="67" t="str">
        <f>IF(games!A506="", "", games!A506)</f>
        <v/>
      </c>
      <c r="C506" s="51" t="str">
        <f t="shared" si="20"/>
        <v/>
      </c>
      <c r="D506" s="51" t="str">
        <f t="shared" si="21"/>
        <v/>
      </c>
      <c r="E506" s="91" t="str">
        <f>IF(games!I506&lt;&gt;"", games!I506, "")</f>
        <v/>
      </c>
    </row>
    <row r="507" spans="1:23" ht="28.5" customHeight="1">
      <c r="A507" s="67" t="str">
        <f>IF(games!A507="", "", games!A507)</f>
        <v/>
      </c>
      <c r="C507" s="51" t="str">
        <f t="shared" si="20"/>
        <v/>
      </c>
      <c r="D507" s="51" t="str">
        <f t="shared" si="21"/>
        <v/>
      </c>
      <c r="E507" s="91" t="str">
        <f>IF(games!I507&lt;&gt;"", games!I507, "")</f>
        <v/>
      </c>
    </row>
    <row r="508" spans="1:23" ht="28.5" customHeight="1">
      <c r="A508" s="67" t="str">
        <f>IF(games!A508="", "", games!A508)</f>
        <v/>
      </c>
      <c r="C508" s="51" t="str">
        <f t="shared" si="20"/>
        <v/>
      </c>
      <c r="D508" s="51" t="str">
        <f t="shared" si="21"/>
        <v/>
      </c>
      <c r="E508" s="91" t="str">
        <f>IF(games!I508&lt;&gt;"", games!I508, "")</f>
        <v/>
      </c>
    </row>
    <row r="509" spans="1:23" ht="28.5" customHeight="1">
      <c r="A509" s="67" t="str">
        <f>IF(games!A509="", "", games!A509)</f>
        <v/>
      </c>
      <c r="C509" s="51" t="str">
        <f t="shared" si="20"/>
        <v/>
      </c>
      <c r="D509" s="51" t="str">
        <f t="shared" si="21"/>
        <v/>
      </c>
      <c r="E509" s="91" t="str">
        <f>IF(games!I509&lt;&gt;"", games!I509, "")</f>
        <v/>
      </c>
    </row>
    <row r="510" spans="1:23" ht="28.5" customHeight="1">
      <c r="A510" s="67" t="str">
        <f>IF(games!A510="", "", games!A510)</f>
        <v/>
      </c>
      <c r="C510" s="51" t="str">
        <f t="shared" si="20"/>
        <v/>
      </c>
      <c r="D510" s="51" t="str">
        <f t="shared" si="21"/>
        <v/>
      </c>
      <c r="E510" s="91" t="str">
        <f>IF(games!I510&lt;&gt;"", games!I510, "")</f>
        <v/>
      </c>
    </row>
    <row r="511" spans="1:23" ht="28.5" customHeight="1">
      <c r="A511" s="67" t="str">
        <f>IF(games!A511="", "", games!A511)</f>
        <v/>
      </c>
      <c r="C511" s="51" t="str">
        <f t="shared" si="20"/>
        <v/>
      </c>
      <c r="D511" s="51" t="str">
        <f t="shared" si="21"/>
        <v/>
      </c>
      <c r="E511" s="91" t="str">
        <f>IF(games!I511&lt;&gt;"", games!I511, "")</f>
        <v/>
      </c>
    </row>
    <row r="512" spans="1:23" ht="28.5" customHeight="1">
      <c r="A512" s="67" t="str">
        <f>IF(games!A512="", "", games!A512)</f>
        <v/>
      </c>
      <c r="C512" s="51" t="str">
        <f t="shared" si="20"/>
        <v/>
      </c>
      <c r="D512" s="51" t="str">
        <f t="shared" si="21"/>
        <v/>
      </c>
      <c r="E512" s="91" t="str">
        <f>IF(games!I512&lt;&gt;"", games!I512, "")</f>
        <v/>
      </c>
    </row>
    <row r="513" spans="1:5" ht="28.5" customHeight="1">
      <c r="A513" s="67" t="str">
        <f>IF(games!A513="", "", games!A513)</f>
        <v/>
      </c>
      <c r="C513" s="51" t="str">
        <f t="shared" si="20"/>
        <v/>
      </c>
      <c r="D513" s="51" t="str">
        <f t="shared" si="21"/>
        <v/>
      </c>
      <c r="E513" s="91" t="str">
        <f>IF(games!I513&lt;&gt;"", games!I513, "")</f>
        <v/>
      </c>
    </row>
    <row r="514" spans="1:5" ht="28.5" customHeight="1">
      <c r="A514" s="67" t="str">
        <f>IF(games!A514="", "", games!A514)</f>
        <v/>
      </c>
      <c r="C514" s="51" t="str">
        <f t="shared" si="20"/>
        <v/>
      </c>
      <c r="D514" s="51" t="str">
        <f t="shared" si="21"/>
        <v/>
      </c>
      <c r="E514" s="91" t="str">
        <f>IF(games!I514&lt;&gt;"", games!I514, "")</f>
        <v/>
      </c>
    </row>
    <row r="515" spans="1:5" ht="28.5" customHeight="1">
      <c r="A515" s="67" t="str">
        <f>IF(games!A515="", "", games!A515)</f>
        <v/>
      </c>
      <c r="C515" s="51" t="str">
        <f t="shared" si="20"/>
        <v/>
      </c>
      <c r="D515" s="51" t="str">
        <f t="shared" si="21"/>
        <v/>
      </c>
      <c r="E515" s="91" t="str">
        <f>IF(games!I515&lt;&gt;"", games!I515, "")</f>
        <v/>
      </c>
    </row>
    <row r="516" spans="1:5" ht="28.5" customHeight="1">
      <c r="A516" s="67" t="str">
        <f>IF(games!A516="", "", games!A516)</f>
        <v/>
      </c>
      <c r="C516" s="51" t="str">
        <f t="shared" si="20"/>
        <v/>
      </c>
      <c r="D516" s="51" t="str">
        <f t="shared" si="21"/>
        <v/>
      </c>
      <c r="E516" s="91" t="str">
        <f>IF(games!I516&lt;&gt;"", games!I516, "")</f>
        <v/>
      </c>
    </row>
    <row r="517" spans="1:5" ht="28.5" customHeight="1">
      <c r="A517" s="67" t="str">
        <f>IF(games!A517="", "", games!A517)</f>
        <v/>
      </c>
      <c r="C517" s="51" t="str">
        <f t="shared" si="20"/>
        <v/>
      </c>
      <c r="D517" s="51" t="str">
        <f t="shared" si="21"/>
        <v/>
      </c>
      <c r="E517" s="91" t="str">
        <f>IF(games!I517&lt;&gt;"", games!I517, "")</f>
        <v/>
      </c>
    </row>
    <row r="518" spans="1:5" ht="28.5" customHeight="1">
      <c r="A518" s="67" t="str">
        <f>IF(games!A518="", "", games!A518)</f>
        <v/>
      </c>
      <c r="C518" s="51" t="str">
        <f t="shared" si="20"/>
        <v/>
      </c>
      <c r="D518" s="51" t="str">
        <f t="shared" si="21"/>
        <v/>
      </c>
      <c r="E518" s="91" t="str">
        <f>IF(games!I518&lt;&gt;"", games!I518, "")</f>
        <v/>
      </c>
    </row>
    <row r="519" spans="1:5" ht="28.5" customHeight="1">
      <c r="A519" s="67" t="str">
        <f>IF(games!A519="", "", games!A519)</f>
        <v/>
      </c>
      <c r="C519" s="51" t="str">
        <f t="shared" si="20"/>
        <v/>
      </c>
      <c r="D519" s="51" t="str">
        <f t="shared" si="21"/>
        <v/>
      </c>
      <c r="E519" s="91" t="str">
        <f>IF(games!I519&lt;&gt;"", games!I519, "")</f>
        <v/>
      </c>
    </row>
    <row r="520" spans="1:5" ht="28.5" customHeight="1">
      <c r="A520" s="67" t="str">
        <f>IF(games!A520="", "", games!A520)</f>
        <v/>
      </c>
      <c r="C520" s="51" t="str">
        <f t="shared" si="20"/>
        <v/>
      </c>
      <c r="D520" s="51" t="str">
        <f t="shared" si="21"/>
        <v/>
      </c>
      <c r="E520" s="91" t="str">
        <f>IF(games!I520&lt;&gt;"", games!I520, "")</f>
        <v/>
      </c>
    </row>
    <row r="521" spans="1:5" ht="28.5" customHeight="1">
      <c r="A521" s="67" t="str">
        <f>IF(games!A521="", "", games!A521)</f>
        <v/>
      </c>
      <c r="C521" s="51" t="str">
        <f t="shared" si="20"/>
        <v/>
      </c>
      <c r="D521" s="51" t="str">
        <f t="shared" si="21"/>
        <v/>
      </c>
      <c r="E521" s="91" t="str">
        <f>IF(games!I521&lt;&gt;"", games!I521, "")</f>
        <v/>
      </c>
    </row>
    <row r="522" spans="1:5" ht="28.5" customHeight="1">
      <c r="A522" s="67" t="str">
        <f>IF(games!A522="", "", games!A522)</f>
        <v/>
      </c>
      <c r="C522" s="51" t="str">
        <f t="shared" si="20"/>
        <v/>
      </c>
      <c r="D522" s="51" t="str">
        <f t="shared" si="21"/>
        <v/>
      </c>
      <c r="E522" s="91" t="str">
        <f>IF(games!I522&lt;&gt;"", games!I522, "")</f>
        <v/>
      </c>
    </row>
    <row r="523" spans="1:5" ht="28.5" customHeight="1">
      <c r="A523" s="67" t="str">
        <f>IF(games!A523="", "", games!A523)</f>
        <v/>
      </c>
      <c r="C523" s="51" t="str">
        <f t="shared" si="20"/>
        <v/>
      </c>
      <c r="D523" s="51" t="str">
        <f t="shared" si="21"/>
        <v/>
      </c>
      <c r="E523" s="91" t="str">
        <f>IF(games!I523&lt;&gt;"", games!I523, "")</f>
        <v/>
      </c>
    </row>
    <row r="524" spans="1:5" ht="28.5" customHeight="1">
      <c r="A524" s="67" t="str">
        <f>IF(games!A524="", "", games!A524)</f>
        <v/>
      </c>
      <c r="C524" s="51" t="str">
        <f t="shared" si="20"/>
        <v/>
      </c>
      <c r="D524" s="51" t="str">
        <f t="shared" si="21"/>
        <v/>
      </c>
      <c r="E524" s="91" t="str">
        <f>IF(games!I524&lt;&gt;"", games!I524, "")</f>
        <v/>
      </c>
    </row>
    <row r="525" spans="1:5" ht="28.5" customHeight="1">
      <c r="A525" s="67" t="str">
        <f>IF(games!A525="", "", games!A525)</f>
        <v/>
      </c>
      <c r="C525" s="51" t="str">
        <f t="shared" si="20"/>
        <v/>
      </c>
      <c r="D525" s="51" t="str">
        <f t="shared" si="21"/>
        <v/>
      </c>
      <c r="E525" s="91" t="str">
        <f>IF(games!I525&lt;&gt;"", games!I525, "")</f>
        <v/>
      </c>
    </row>
    <row r="526" spans="1:5" ht="28.5" customHeight="1">
      <c r="A526" s="67" t="str">
        <f>IF(games!A526="", "", games!A526)</f>
        <v/>
      </c>
      <c r="C526" s="51" t="str">
        <f t="shared" si="20"/>
        <v/>
      </c>
      <c r="D526" s="51" t="str">
        <f t="shared" si="21"/>
        <v/>
      </c>
      <c r="E526" s="91" t="str">
        <f>IF(games!I526&lt;&gt;"", games!I526, "")</f>
        <v/>
      </c>
    </row>
    <row r="527" spans="1:5" ht="28.5" customHeight="1">
      <c r="A527" s="67" t="str">
        <f>IF(games!A527="", "", games!A527)</f>
        <v/>
      </c>
      <c r="C527" s="51" t="str">
        <f t="shared" si="20"/>
        <v/>
      </c>
      <c r="D527" s="51" t="str">
        <f t="shared" si="21"/>
        <v/>
      </c>
      <c r="E527" s="91" t="str">
        <f>IF(games!I527&lt;&gt;"", games!I527, "")</f>
        <v/>
      </c>
    </row>
    <row r="528" spans="1:5" ht="28.5" customHeight="1">
      <c r="A528" s="67" t="str">
        <f>IF(games!A528="", "", games!A528)</f>
        <v/>
      </c>
      <c r="C528" s="51" t="str">
        <f t="shared" si="20"/>
        <v/>
      </c>
      <c r="D528" s="51" t="str">
        <f t="shared" si="21"/>
        <v/>
      </c>
      <c r="E528" s="91" t="str">
        <f>IF(games!I528&lt;&gt;"", games!I528, "")</f>
        <v/>
      </c>
    </row>
    <row r="529" spans="1:5" ht="28.5" customHeight="1">
      <c r="A529" s="67" t="str">
        <f>IF(games!A529="", "", games!A529)</f>
        <v/>
      </c>
      <c r="C529" s="51" t="str">
        <f t="shared" si="20"/>
        <v/>
      </c>
      <c r="D529" s="51" t="str">
        <f t="shared" si="21"/>
        <v/>
      </c>
      <c r="E529" s="91" t="str">
        <f>IF(games!I529&lt;&gt;"", games!I529, "")</f>
        <v/>
      </c>
    </row>
    <row r="530" spans="1:5" ht="28.5" customHeight="1">
      <c r="A530" s="67" t="str">
        <f>IF(games!A530="", "", games!A530)</f>
        <v/>
      </c>
      <c r="C530" s="51" t="str">
        <f t="shared" si="20"/>
        <v/>
      </c>
      <c r="D530" s="51" t="str">
        <f t="shared" si="21"/>
        <v/>
      </c>
      <c r="E530" s="91" t="str">
        <f>IF(games!I530&lt;&gt;"", games!I530, "")</f>
        <v/>
      </c>
    </row>
    <row r="531" spans="1:5" ht="28.5" customHeight="1">
      <c r="A531" s="67" t="str">
        <f>IF(games!A531="", "", games!A531)</f>
        <v/>
      </c>
      <c r="C531" s="51" t="str">
        <f t="shared" si="20"/>
        <v/>
      </c>
      <c r="D531" s="51" t="str">
        <f t="shared" si="21"/>
        <v/>
      </c>
      <c r="E531" s="91" t="str">
        <f>IF(games!I531&lt;&gt;"", games!I531, "")</f>
        <v/>
      </c>
    </row>
    <row r="532" spans="1:5" ht="28.5" customHeight="1">
      <c r="A532" s="67" t="str">
        <f>IF(games!A532="", "", games!A532)</f>
        <v/>
      </c>
      <c r="C532" s="51" t="str">
        <f t="shared" si="20"/>
        <v/>
      </c>
      <c r="D532" s="51" t="str">
        <f t="shared" si="21"/>
        <v/>
      </c>
      <c r="E532" s="91" t="str">
        <f>IF(games!I532&lt;&gt;"", games!I532, "")</f>
        <v/>
      </c>
    </row>
    <row r="533" spans="1:5" ht="28.5" customHeight="1">
      <c r="A533" s="67" t="str">
        <f>IF(games!A533="", "", games!A533)</f>
        <v/>
      </c>
      <c r="C533" s="51" t="str">
        <f t="shared" si="20"/>
        <v/>
      </c>
      <c r="D533" s="51" t="str">
        <f t="shared" si="21"/>
        <v/>
      </c>
      <c r="E533" s="91" t="str">
        <f>IF(games!I533&lt;&gt;"", games!I533, "")</f>
        <v/>
      </c>
    </row>
    <row r="534" spans="1:5" ht="28.5" customHeight="1">
      <c r="A534" s="67" t="str">
        <f>IF(games!A534="", "", games!A534)</f>
        <v/>
      </c>
      <c r="C534" s="51" t="str">
        <f t="shared" si="20"/>
        <v/>
      </c>
      <c r="D534" s="51" t="str">
        <f t="shared" si="21"/>
        <v/>
      </c>
      <c r="E534" s="91" t="str">
        <f>IF(games!I534&lt;&gt;"", games!I534, "")</f>
        <v/>
      </c>
    </row>
    <row r="535" spans="1:5" ht="28.5" customHeight="1">
      <c r="A535" s="67" t="str">
        <f>IF(games!A535="", "", games!A535)</f>
        <v/>
      </c>
      <c r="C535" s="51" t="str">
        <f t="shared" si="20"/>
        <v/>
      </c>
      <c r="D535" s="51" t="str">
        <f t="shared" si="21"/>
        <v/>
      </c>
      <c r="E535" s="91" t="str">
        <f>IF(games!I535&lt;&gt;"", games!I535, "")</f>
        <v/>
      </c>
    </row>
    <row r="536" spans="1:5" ht="28.5" customHeight="1">
      <c r="A536" s="67" t="str">
        <f>IF(games!A536="", "", games!A536)</f>
        <v/>
      </c>
      <c r="C536" s="51" t="str">
        <f t="shared" si="20"/>
        <v/>
      </c>
      <c r="D536" s="51" t="str">
        <f t="shared" si="21"/>
        <v/>
      </c>
      <c r="E536" s="91" t="str">
        <f>IF(games!I536&lt;&gt;"", games!I536, "")</f>
        <v/>
      </c>
    </row>
    <row r="537" spans="1:5" ht="28.5" customHeight="1">
      <c r="A537" s="67" t="str">
        <f>IF(games!A537="", "", games!A537)</f>
        <v/>
      </c>
      <c r="C537" s="51" t="str">
        <f t="shared" si="20"/>
        <v/>
      </c>
      <c r="D537" s="51" t="str">
        <f t="shared" si="21"/>
        <v/>
      </c>
      <c r="E537" s="91" t="str">
        <f>IF(games!I537&lt;&gt;"", games!I537, "")</f>
        <v/>
      </c>
    </row>
    <row r="538" spans="1:5" ht="28.5" customHeight="1">
      <c r="A538" s="67" t="str">
        <f>IF(games!A538="", "", games!A538)</f>
        <v/>
      </c>
      <c r="C538" s="51" t="str">
        <f t="shared" si="20"/>
        <v/>
      </c>
      <c r="D538" s="51" t="str">
        <f t="shared" si="21"/>
        <v/>
      </c>
      <c r="E538" s="91" t="str">
        <f>IF(games!I538&lt;&gt;"", games!I538, "")</f>
        <v/>
      </c>
    </row>
    <row r="539" spans="1:5" ht="28.5" customHeight="1">
      <c r="A539" s="67" t="str">
        <f>IF(games!A539="", "", games!A539)</f>
        <v/>
      </c>
      <c r="C539" s="51" t="str">
        <f t="shared" si="20"/>
        <v/>
      </c>
      <c r="D539" s="51" t="str">
        <f t="shared" si="21"/>
        <v/>
      </c>
      <c r="E539" s="91" t="str">
        <f>IF(games!I539&lt;&gt;"", games!I539, "")</f>
        <v/>
      </c>
    </row>
    <row r="540" spans="1:5" ht="28.5" customHeight="1">
      <c r="A540" s="67" t="str">
        <f>IF(games!A540="", "", games!A540)</f>
        <v/>
      </c>
      <c r="C540" s="51" t="str">
        <f t="shared" si="20"/>
        <v/>
      </c>
      <c r="D540" s="51" t="str">
        <f t="shared" si="21"/>
        <v/>
      </c>
      <c r="E540" s="91" t="str">
        <f>IF(games!I540&lt;&gt;"", games!I540, "")</f>
        <v/>
      </c>
    </row>
    <row r="541" spans="1:5" ht="28.5" customHeight="1">
      <c r="A541" s="67" t="str">
        <f>IF(games!A541="", "", games!A541)</f>
        <v/>
      </c>
      <c r="C541" s="51" t="str">
        <f t="shared" si="20"/>
        <v/>
      </c>
      <c r="D541" s="51" t="str">
        <f t="shared" si="21"/>
        <v/>
      </c>
      <c r="E541" s="91" t="str">
        <f>IF(games!I541&lt;&gt;"", games!I541, "")</f>
        <v/>
      </c>
    </row>
    <row r="542" spans="1:5" ht="28.5" customHeight="1">
      <c r="A542" s="67" t="str">
        <f>IF(games!A542="", "", games!A542)</f>
        <v/>
      </c>
      <c r="C542" s="51" t="str">
        <f t="shared" si="20"/>
        <v/>
      </c>
      <c r="D542" s="51" t="str">
        <f t="shared" si="21"/>
        <v/>
      </c>
      <c r="E542" s="91" t="str">
        <f>IF(games!I542&lt;&gt;"", games!I542, "")</f>
        <v/>
      </c>
    </row>
    <row r="543" spans="1:5" ht="28.5" customHeight="1">
      <c r="A543" s="67" t="str">
        <f>IF(games!A543="", "", games!A543)</f>
        <v/>
      </c>
      <c r="C543" s="51" t="str">
        <f t="shared" si="20"/>
        <v/>
      </c>
      <c r="D543" s="51" t="str">
        <f t="shared" si="21"/>
        <v/>
      </c>
      <c r="E543" s="91" t="str">
        <f>IF(games!I543&lt;&gt;"", games!I543, "")</f>
        <v/>
      </c>
    </row>
    <row r="544" spans="1:5" ht="28.5" customHeight="1">
      <c r="A544" s="67" t="str">
        <f>IF(games!A544="", "", games!A544)</f>
        <v/>
      </c>
      <c r="C544" s="51" t="str">
        <f t="shared" si="20"/>
        <v/>
      </c>
      <c r="D544" s="51" t="str">
        <f t="shared" si="21"/>
        <v/>
      </c>
      <c r="E544" s="91" t="str">
        <f>IF(games!I544&lt;&gt;"", games!I544, "")</f>
        <v/>
      </c>
    </row>
    <row r="545" spans="1:5" ht="28.5" customHeight="1">
      <c r="A545" s="67" t="str">
        <f>IF(games!A545="", "", games!A545)</f>
        <v/>
      </c>
      <c r="C545" s="51" t="str">
        <f t="shared" ref="C545:C580" si="22">IF(A545="","", "giftcodesbanner/" &amp; A545 &amp; "-禮包碼.jpg")</f>
        <v/>
      </c>
      <c r="D545" s="51" t="str">
        <f t="shared" ref="D545:D580" si="23">IF(A545="","", "https://www.ssbuy.tw/gift-codes.html?game="&amp;A545)</f>
        <v/>
      </c>
      <c r="E545" s="91" t="str">
        <f>IF(games!I545&lt;&gt;"", games!I545, "")</f>
        <v/>
      </c>
    </row>
    <row r="546" spans="1:5" ht="28.5" customHeight="1">
      <c r="A546" s="67" t="str">
        <f>IF(games!A546="", "", games!A546)</f>
        <v/>
      </c>
      <c r="C546" s="51" t="str">
        <f t="shared" si="22"/>
        <v/>
      </c>
      <c r="D546" s="51" t="str">
        <f t="shared" si="23"/>
        <v/>
      </c>
      <c r="E546" s="91" t="str">
        <f>IF(games!I546&lt;&gt;"", games!I546, "")</f>
        <v/>
      </c>
    </row>
    <row r="547" spans="1:5" ht="28.5" customHeight="1">
      <c r="A547" s="67" t="str">
        <f>IF(games!A547="", "", games!A547)</f>
        <v/>
      </c>
      <c r="C547" s="51" t="str">
        <f t="shared" si="22"/>
        <v/>
      </c>
      <c r="D547" s="51" t="str">
        <f t="shared" si="23"/>
        <v/>
      </c>
      <c r="E547" s="91" t="str">
        <f>IF(games!I547&lt;&gt;"", games!I547, "")</f>
        <v/>
      </c>
    </row>
    <row r="548" spans="1:5" ht="28.5" customHeight="1">
      <c r="A548" s="67" t="str">
        <f>IF(games!A548="", "", games!A548)</f>
        <v/>
      </c>
      <c r="C548" s="51" t="str">
        <f t="shared" si="22"/>
        <v/>
      </c>
      <c r="D548" s="51" t="str">
        <f t="shared" si="23"/>
        <v/>
      </c>
      <c r="E548" s="91" t="str">
        <f>IF(games!I548&lt;&gt;"", games!I548, "")</f>
        <v/>
      </c>
    </row>
    <row r="549" spans="1:5" ht="28.5" customHeight="1">
      <c r="A549" s="67" t="str">
        <f>IF(games!A549="", "", games!A549)</f>
        <v/>
      </c>
      <c r="C549" s="51" t="str">
        <f t="shared" si="22"/>
        <v/>
      </c>
      <c r="D549" s="51" t="str">
        <f t="shared" si="23"/>
        <v/>
      </c>
      <c r="E549" s="91" t="str">
        <f>IF(games!I549&lt;&gt;"", games!I549, "")</f>
        <v/>
      </c>
    </row>
    <row r="550" spans="1:5" ht="28.5" customHeight="1">
      <c r="A550" s="67" t="str">
        <f>IF(games!A550="", "", games!A550)</f>
        <v/>
      </c>
      <c r="C550" s="51" t="str">
        <f t="shared" si="22"/>
        <v/>
      </c>
      <c r="D550" s="51" t="str">
        <f t="shared" si="23"/>
        <v/>
      </c>
      <c r="E550" s="91" t="str">
        <f>IF(games!I550&lt;&gt;"", games!I550, "")</f>
        <v/>
      </c>
    </row>
    <row r="551" spans="1:5" ht="28.5" customHeight="1">
      <c r="A551" s="67" t="str">
        <f>IF(games!A551="", "", games!A551)</f>
        <v/>
      </c>
      <c r="C551" s="51" t="str">
        <f t="shared" si="22"/>
        <v/>
      </c>
      <c r="D551" s="51" t="str">
        <f t="shared" si="23"/>
        <v/>
      </c>
      <c r="E551" s="91" t="str">
        <f>IF(games!I551&lt;&gt;"", games!I551, "")</f>
        <v/>
      </c>
    </row>
    <row r="552" spans="1:5" ht="28.5" customHeight="1">
      <c r="A552" s="67" t="str">
        <f>IF(games!A552="", "", games!A552)</f>
        <v/>
      </c>
      <c r="C552" s="51" t="str">
        <f t="shared" si="22"/>
        <v/>
      </c>
      <c r="D552" s="51" t="str">
        <f t="shared" si="23"/>
        <v/>
      </c>
      <c r="E552" s="91" t="str">
        <f>IF(games!I552&lt;&gt;"", games!I552, "")</f>
        <v/>
      </c>
    </row>
    <row r="553" spans="1:5" ht="28.5" customHeight="1">
      <c r="A553" s="67" t="str">
        <f>IF(games!A553="", "", games!A553)</f>
        <v/>
      </c>
      <c r="C553" s="51" t="str">
        <f t="shared" si="22"/>
        <v/>
      </c>
      <c r="D553" s="51" t="str">
        <f t="shared" si="23"/>
        <v/>
      </c>
      <c r="E553" s="91" t="str">
        <f>IF(games!I553&lt;&gt;"", games!I553, "")</f>
        <v/>
      </c>
    </row>
    <row r="554" spans="1:5" ht="28.5" customHeight="1">
      <c r="A554" s="67" t="str">
        <f>IF(games!A554="", "", games!A554)</f>
        <v/>
      </c>
      <c r="C554" s="51" t="str">
        <f t="shared" si="22"/>
        <v/>
      </c>
      <c r="D554" s="51" t="str">
        <f t="shared" si="23"/>
        <v/>
      </c>
      <c r="E554" s="91" t="str">
        <f>IF(games!I554&lt;&gt;"", games!I554, "")</f>
        <v/>
      </c>
    </row>
    <row r="555" spans="1:5" ht="28.5" customHeight="1">
      <c r="A555" s="67" t="str">
        <f>IF(games!A555="", "", games!A555)</f>
        <v/>
      </c>
      <c r="C555" s="51" t="str">
        <f t="shared" si="22"/>
        <v/>
      </c>
      <c r="D555" s="51" t="str">
        <f t="shared" si="23"/>
        <v/>
      </c>
      <c r="E555" s="91" t="str">
        <f>IF(games!I555&lt;&gt;"", games!I555, "")</f>
        <v/>
      </c>
    </row>
    <row r="556" spans="1:5" ht="28.5" customHeight="1">
      <c r="A556" s="67" t="str">
        <f>IF(games!A556="", "", games!A556)</f>
        <v/>
      </c>
      <c r="C556" s="51" t="str">
        <f t="shared" si="22"/>
        <v/>
      </c>
      <c r="D556" s="51" t="str">
        <f t="shared" si="23"/>
        <v/>
      </c>
      <c r="E556" s="91" t="str">
        <f>IF(games!I556&lt;&gt;"", games!I556, "")</f>
        <v/>
      </c>
    </row>
    <row r="557" spans="1:5" ht="28.5" customHeight="1">
      <c r="A557" s="67" t="str">
        <f>IF(games!A557="", "", games!A557)</f>
        <v/>
      </c>
      <c r="C557" s="51" t="str">
        <f t="shared" si="22"/>
        <v/>
      </c>
      <c r="D557" s="51" t="str">
        <f t="shared" si="23"/>
        <v/>
      </c>
      <c r="E557" s="91" t="str">
        <f>IF(games!I557&lt;&gt;"", games!I557, "")</f>
        <v/>
      </c>
    </row>
    <row r="558" spans="1:5" ht="28.5" customHeight="1">
      <c r="A558" s="67" t="str">
        <f>IF(games!A558="", "", games!A558)</f>
        <v/>
      </c>
      <c r="C558" s="51" t="str">
        <f t="shared" si="22"/>
        <v/>
      </c>
      <c r="D558" s="51" t="str">
        <f t="shared" si="23"/>
        <v/>
      </c>
      <c r="E558" s="91" t="str">
        <f>IF(games!I558&lt;&gt;"", games!I558, "")</f>
        <v/>
      </c>
    </row>
    <row r="559" spans="1:5" ht="28.5" customHeight="1">
      <c r="A559" s="67" t="str">
        <f>IF(games!A559="", "", games!A559)</f>
        <v/>
      </c>
      <c r="C559" s="51" t="str">
        <f t="shared" si="22"/>
        <v/>
      </c>
      <c r="D559" s="51" t="str">
        <f t="shared" si="23"/>
        <v/>
      </c>
      <c r="E559" s="91" t="str">
        <f>IF(games!I559&lt;&gt;"", games!I559, "")</f>
        <v/>
      </c>
    </row>
    <row r="560" spans="1:5" ht="28.5" customHeight="1">
      <c r="A560" s="67" t="str">
        <f>IF(games!A560="", "", games!A560)</f>
        <v/>
      </c>
      <c r="C560" s="51" t="str">
        <f t="shared" si="22"/>
        <v/>
      </c>
      <c r="D560" s="51" t="str">
        <f t="shared" si="23"/>
        <v/>
      </c>
      <c r="E560" s="91" t="str">
        <f>IF(games!I560&lt;&gt;"", games!I560, "")</f>
        <v/>
      </c>
    </row>
    <row r="561" spans="1:5" ht="28.5" customHeight="1">
      <c r="A561" s="67" t="str">
        <f>IF(games!A561="", "", games!A561)</f>
        <v/>
      </c>
      <c r="C561" s="51" t="str">
        <f t="shared" si="22"/>
        <v/>
      </c>
      <c r="D561" s="51" t="str">
        <f t="shared" si="23"/>
        <v/>
      </c>
      <c r="E561" s="91" t="str">
        <f>IF(games!I561&lt;&gt;"", games!I561, "")</f>
        <v/>
      </c>
    </row>
    <row r="562" spans="1:5" ht="28.5" customHeight="1">
      <c r="A562" s="67" t="str">
        <f>IF(games!A562="", "", games!A562)</f>
        <v/>
      </c>
      <c r="C562" s="51" t="str">
        <f t="shared" si="22"/>
        <v/>
      </c>
      <c r="D562" s="51" t="str">
        <f t="shared" si="23"/>
        <v/>
      </c>
      <c r="E562" s="91" t="str">
        <f>IF(games!I562&lt;&gt;"", games!I562, "")</f>
        <v/>
      </c>
    </row>
    <row r="563" spans="1:5" ht="28.5" customHeight="1">
      <c r="A563" s="67" t="str">
        <f>IF(games!A563="", "", games!A563)</f>
        <v/>
      </c>
      <c r="C563" s="51" t="str">
        <f t="shared" si="22"/>
        <v/>
      </c>
      <c r="D563" s="51" t="str">
        <f t="shared" si="23"/>
        <v/>
      </c>
      <c r="E563" s="91" t="str">
        <f>IF(games!I563&lt;&gt;"", games!I563, "")</f>
        <v/>
      </c>
    </row>
    <row r="564" spans="1:5" ht="28.5" customHeight="1">
      <c r="A564" s="67" t="str">
        <f>IF(games!A564="", "", games!A564)</f>
        <v/>
      </c>
      <c r="C564" s="51" t="str">
        <f t="shared" si="22"/>
        <v/>
      </c>
      <c r="D564" s="51" t="str">
        <f t="shared" si="23"/>
        <v/>
      </c>
      <c r="E564" s="91" t="str">
        <f>IF(games!I564&lt;&gt;"", games!I564, "")</f>
        <v/>
      </c>
    </row>
    <row r="565" spans="1:5" ht="28.5" customHeight="1">
      <c r="A565" s="67" t="str">
        <f>IF(games!A565="", "", games!A565)</f>
        <v/>
      </c>
      <c r="C565" s="51" t="str">
        <f t="shared" si="22"/>
        <v/>
      </c>
      <c r="D565" s="51" t="str">
        <f t="shared" si="23"/>
        <v/>
      </c>
      <c r="E565" s="91" t="str">
        <f>IF(games!I565&lt;&gt;"", games!I565, "")</f>
        <v/>
      </c>
    </row>
    <row r="566" spans="1:5" ht="28.5" customHeight="1">
      <c r="A566" s="67" t="str">
        <f>IF(games!A566="", "", games!A566)</f>
        <v/>
      </c>
      <c r="C566" s="51" t="str">
        <f t="shared" si="22"/>
        <v/>
      </c>
      <c r="D566" s="51" t="str">
        <f t="shared" si="23"/>
        <v/>
      </c>
      <c r="E566" s="91" t="str">
        <f>IF(games!I566&lt;&gt;"", games!I566, "")</f>
        <v/>
      </c>
    </row>
    <row r="567" spans="1:5" ht="28.5" customHeight="1">
      <c r="A567" s="67" t="str">
        <f>IF(games!A567="", "", games!A567)</f>
        <v/>
      </c>
      <c r="C567" s="51" t="str">
        <f t="shared" si="22"/>
        <v/>
      </c>
      <c r="D567" s="51" t="str">
        <f t="shared" si="23"/>
        <v/>
      </c>
      <c r="E567" s="91" t="str">
        <f>IF(games!I567&lt;&gt;"", games!I567, "")</f>
        <v/>
      </c>
    </row>
    <row r="568" spans="1:5" ht="28.5" customHeight="1">
      <c r="A568" s="67" t="str">
        <f>IF(games!A568="", "", games!A568)</f>
        <v/>
      </c>
      <c r="C568" s="51" t="str">
        <f t="shared" si="22"/>
        <v/>
      </c>
      <c r="D568" s="51" t="str">
        <f t="shared" si="23"/>
        <v/>
      </c>
      <c r="E568" s="91" t="str">
        <f>IF(games!I568&lt;&gt;"", games!I568, "")</f>
        <v/>
      </c>
    </row>
    <row r="569" spans="1:5" ht="28.5" customHeight="1">
      <c r="A569" s="67" t="str">
        <f>IF(games!A569="", "", games!A569)</f>
        <v/>
      </c>
      <c r="C569" s="51" t="str">
        <f t="shared" si="22"/>
        <v/>
      </c>
      <c r="D569" s="51" t="str">
        <f t="shared" si="23"/>
        <v/>
      </c>
      <c r="E569" s="91" t="str">
        <f>IF(games!I569&lt;&gt;"", games!I569, "")</f>
        <v/>
      </c>
    </row>
    <row r="570" spans="1:5" ht="28.5" customHeight="1">
      <c r="A570" s="67" t="str">
        <f>IF(games!A570="", "", games!A570)</f>
        <v/>
      </c>
      <c r="C570" s="51" t="str">
        <f t="shared" si="22"/>
        <v/>
      </c>
      <c r="D570" s="51" t="str">
        <f t="shared" si="23"/>
        <v/>
      </c>
      <c r="E570" s="91" t="str">
        <f>IF(games!I570&lt;&gt;"", games!I570, "")</f>
        <v/>
      </c>
    </row>
    <row r="571" spans="1:5" ht="28.5" customHeight="1">
      <c r="A571" s="67" t="str">
        <f>IF(games!A571="", "", games!A571)</f>
        <v/>
      </c>
      <c r="C571" s="51" t="str">
        <f t="shared" si="22"/>
        <v/>
      </c>
      <c r="D571" s="51" t="str">
        <f t="shared" si="23"/>
        <v/>
      </c>
      <c r="E571" s="91" t="str">
        <f>IF(games!I571&lt;&gt;"", games!I571, "")</f>
        <v/>
      </c>
    </row>
    <row r="572" spans="1:5" ht="28.5" customHeight="1">
      <c r="A572" s="67" t="str">
        <f>IF(games!A572="", "", games!A572)</f>
        <v/>
      </c>
      <c r="C572" s="51" t="str">
        <f t="shared" si="22"/>
        <v/>
      </c>
      <c r="D572" s="51" t="str">
        <f t="shared" si="23"/>
        <v/>
      </c>
      <c r="E572" s="91" t="str">
        <f>IF(games!I572&lt;&gt;"", games!I572, "")</f>
        <v/>
      </c>
    </row>
    <row r="573" spans="1:5">
      <c r="A573" s="67" t="str">
        <f>IF(games!A573="", "", games!A573)</f>
        <v/>
      </c>
      <c r="C573" s="51" t="str">
        <f t="shared" si="22"/>
        <v/>
      </c>
      <c r="D573" s="51" t="str">
        <f t="shared" si="23"/>
        <v/>
      </c>
      <c r="E573" s="91" t="str">
        <f>IF(games!I573&lt;&gt;"", games!I573, "")</f>
        <v/>
      </c>
    </row>
    <row r="574" spans="1:5">
      <c r="A574" s="67" t="str">
        <f>IF(games!A574="", "", games!A574)</f>
        <v/>
      </c>
      <c r="C574" s="51" t="str">
        <f t="shared" si="22"/>
        <v/>
      </c>
      <c r="D574" s="51" t="str">
        <f t="shared" si="23"/>
        <v/>
      </c>
      <c r="E574" s="91" t="str">
        <f>IF(games!I574&lt;&gt;"", games!I574, "")</f>
        <v/>
      </c>
    </row>
    <row r="575" spans="1:5">
      <c r="A575" s="67" t="str">
        <f>IF(games!A575="", "", games!A575)</f>
        <v/>
      </c>
      <c r="C575" s="51" t="str">
        <f t="shared" si="22"/>
        <v/>
      </c>
      <c r="D575" s="51" t="str">
        <f t="shared" si="23"/>
        <v/>
      </c>
      <c r="E575" s="91" t="str">
        <f>IF(games!I575&lt;&gt;"", games!I575, "")</f>
        <v/>
      </c>
    </row>
    <row r="576" spans="1:5">
      <c r="A576" s="67" t="str">
        <f>IF(games!A576="", "", games!A576)</f>
        <v/>
      </c>
      <c r="C576" s="51" t="str">
        <f t="shared" si="22"/>
        <v/>
      </c>
      <c r="D576" s="51" t="str">
        <f t="shared" si="23"/>
        <v/>
      </c>
      <c r="E576" s="91" t="str">
        <f>IF(games!I576&lt;&gt;"", games!I576, "")</f>
        <v/>
      </c>
    </row>
    <row r="577" spans="1:5">
      <c r="A577" s="67" t="str">
        <f>IF(games!A577="", "", games!A577)</f>
        <v/>
      </c>
      <c r="C577" s="51" t="str">
        <f t="shared" si="22"/>
        <v/>
      </c>
      <c r="D577" s="51" t="str">
        <f t="shared" si="23"/>
        <v/>
      </c>
      <c r="E577" s="91" t="str">
        <f>IF(games!I577&lt;&gt;"", games!I577, "")</f>
        <v/>
      </c>
    </row>
    <row r="578" spans="1:5">
      <c r="A578" s="67" t="str">
        <f>IF(games!A578="", "", games!A578)</f>
        <v/>
      </c>
      <c r="C578" s="51" t="str">
        <f t="shared" si="22"/>
        <v/>
      </c>
      <c r="D578" s="51" t="str">
        <f t="shared" si="23"/>
        <v/>
      </c>
      <c r="E578" s="91" t="str">
        <f>IF(games!I578&lt;&gt;"", games!I578, "")</f>
        <v/>
      </c>
    </row>
    <row r="579" spans="1:5">
      <c r="A579" s="67" t="str">
        <f>IF(games!A579="", "", games!A579)</f>
        <v/>
      </c>
      <c r="C579" s="51" t="str">
        <f t="shared" si="22"/>
        <v/>
      </c>
      <c r="D579" s="51" t="str">
        <f t="shared" si="23"/>
        <v/>
      </c>
      <c r="E579" s="91" t="str">
        <f>IF(games!I579&lt;&gt;"", games!I579, "")</f>
        <v/>
      </c>
    </row>
    <row r="580" spans="1:5">
      <c r="A580" s="67" t="str">
        <f>IF(games!A580="", "", games!A580)</f>
        <v/>
      </c>
      <c r="C580" s="51" t="str">
        <f t="shared" si="22"/>
        <v/>
      </c>
      <c r="D580" s="51" t="str">
        <f t="shared" si="23"/>
        <v/>
      </c>
      <c r="E580" s="91" t="str">
        <f>IF(games!I580&lt;&gt;"", games!I580, "")</f>
        <v/>
      </c>
    </row>
    <row r="581" spans="1:5">
      <c r="A581" s="67" t="str">
        <f>IF(games!A581="", "", games!A581)</f>
        <v/>
      </c>
    </row>
    <row r="582" spans="1:5">
      <c r="A582" s="67" t="str">
        <f>IF(games!A582="", "", games!A582)</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 ref="K448" r:id="rId185"/>
    <hyperlink ref="K449" r:id="rId186"/>
    <hyperlink ref="K450" r:id="rId187"/>
    <hyperlink ref="K451" r:id="rId188"/>
    <hyperlink ref="K452" r:id="rId189"/>
    <hyperlink ref="K453" r:id="rId190"/>
    <hyperlink ref="K454" r:id="rId191"/>
    <hyperlink ref="K455" r:id="rId192"/>
    <hyperlink ref="K456" r:id="rId193"/>
    <hyperlink ref="K457" r:id="rId194"/>
    <hyperlink ref="K458" r:id="rId195"/>
    <hyperlink ref="K459" r:id="rId196"/>
    <hyperlink ref="K460" r:id="rId197"/>
    <hyperlink ref="K461" r:id="rId198"/>
    <hyperlink ref="K462" r:id="rId199"/>
    <hyperlink ref="K463" r:id="rId200"/>
    <hyperlink ref="K464" r:id="rId201"/>
    <hyperlink ref="K465" r:id="rId202"/>
    <hyperlink ref="H449" r:id="rId203"/>
    <hyperlink ref="K466" r:id="rId204"/>
    <hyperlink ref="K467" r:id="rId205"/>
    <hyperlink ref="K468" r:id="rId206"/>
    <hyperlink ref="K469" r:id="rId207"/>
    <hyperlink ref="K470" r:id="rId208"/>
    <hyperlink ref="K471" r:id="rId209"/>
    <hyperlink ref="K472" r:id="rId210"/>
    <hyperlink ref="K473" r:id="rId211"/>
    <hyperlink ref="K474" r:id="rId212"/>
    <hyperlink ref="K475" r:id="rId213"/>
    <hyperlink ref="K476" r:id="rId214"/>
    <hyperlink ref="K477" r:id="rId215"/>
    <hyperlink ref="H477" r:id="rId216" display="https://isekai-coupon.awesomepiece.com/coupon?lang=en"/>
    <hyperlink ref="K478" r:id="rId217"/>
    <hyperlink ref="K479" r:id="rId218"/>
    <hyperlink ref="K480" r:id="rId219"/>
    <hyperlink ref="K481" r:id="rId220"/>
    <hyperlink ref="K482" r:id="rId221"/>
    <hyperlink ref="K483" r:id="rId222"/>
    <hyperlink ref="K484" r:id="rId223"/>
    <hyperlink ref="K485" r:id="rId224"/>
    <hyperlink ref="K486" r:id="rId225"/>
    <hyperlink ref="K487" r:id="rId226"/>
    <hyperlink ref="K488" r:id="rId227"/>
    <hyperlink ref="K489" r:id="rId228"/>
    <hyperlink ref="K490" r:id="rId229"/>
    <hyperlink ref="K491" r:id="rId230"/>
    <hyperlink ref="K492" r:id="rId231"/>
    <hyperlink ref="K493" r:id="rId232"/>
    <hyperlink ref="K494" r:id="rId233"/>
    <hyperlink ref="K495" r:id="rId234"/>
    <hyperlink ref="K297" r:id="rId235"/>
    <hyperlink ref="K496" r:id="rId236"/>
    <hyperlink ref="K497" r:id="rId237"/>
    <hyperlink ref="K498" r:id="rId238"/>
    <hyperlink ref="K499" r:id="rId239"/>
    <hyperlink ref="K500" r:id="rId240"/>
  </hyperlinks>
  <pageMargins left="0.7" right="0.7" top="0.75" bottom="0.75" header="0.3" footer="0.3"/>
  <pageSetup paperSize="9" orientation="portrait" r:id="rId24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2026-05-29T08:56:27Z</dcterms:modified>
</cp:coreProperties>
</file>