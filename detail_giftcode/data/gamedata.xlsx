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611" i="1" l="1"/>
  <c r="F610" i="1"/>
  <c r="F609" i="1"/>
  <c r="F608" i="1"/>
  <c r="F607" i="1"/>
  <c r="F606" i="1"/>
  <c r="F605" i="1"/>
  <c r="F604" i="1"/>
  <c r="F603" i="1"/>
  <c r="F602" i="1"/>
  <c r="F601" i="1"/>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E580" i="3" l="1"/>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0" i="3" l="1"/>
  <c r="D580" i="3"/>
  <c r="C581" i="3"/>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<sst xmlns="http://schemas.openxmlformats.org/spreadsheetml/2006/main" count="16263" uniqueCount="10075">
  <si>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</si>
  <si>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</si>
  <si>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</si>
  <si>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</si>
  <si>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</si>
  <si>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</si>
  <si>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</si>
  <si>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</si>
  <si>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</si>
  <si>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</si>
  <si>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</si>
  <si>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</si>
  <si>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</si>
  <si>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</si>
  <si>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</si>
  <si>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</si>
  <si>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</si>
  <si>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</si>
  <si>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</si>
  <si>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</si>
  <si>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</si>
  <si>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</si>
  <si>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</si>
  <si>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</si>
  <si>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</si>
  <si>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</si>
  <si>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</si>
  <si>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</si>
  <si>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</si>
  <si>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</si>
  <si>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</si>
  <si>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</si>
  <si>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</si>
  <si>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</si>
  <si>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</si>
  <si>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</si>
  <si>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</si>
  <si>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</si>
  <si>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</si>
  <si>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</si>
  <si>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</si>
  <si>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</si>
  <si>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</si>
  <si>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</si>
  <si>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</si>
  <si>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</si>
  <si>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</si>
  <si>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</si>
  <si>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</si>
  <si>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</si>
  <si>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</si>
  <si>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</si>
  <si>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</si>
  <si>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</si>
  <si>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</si>
  <si>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</si>
  <si>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</si>
  <si>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</si>
  <si>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</si>
  <si>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</si>
  <si>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</si>
  <si>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</si>
  <si>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</si>
  <si>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</si>
  <si>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</si>
  <si>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</si>
  <si>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</si>
  <si>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</si>
  <si>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</si>
  <si>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</si>
  <si>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</si>
  <si>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</si>
  <si>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</si>
  <si>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</si>
  <si>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</si>
  <si>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</si>
  <si>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</si>
  <si>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</si>
  <si>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</si>
  <si>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</si>
  <si>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</si>
  <si>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</si>
  <si>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</si>
  <si>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</si>
  <si>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</si>
  <si>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</si>
  <si>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</si>
  <si>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</si>
  <si>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</si>
  <si>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</si>
  <si>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</si>
  <si>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</si>
  <si>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</si>
  <si>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</si>
  <si>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</si>
  <si>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</si>
  <si>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</si>
  <si>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</si>
  <si>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</si>
  <si>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</si>
  <si>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</si>
  <si>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</si>
  <si>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</si>
  <si>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</si>
  <si>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</si>
  <si>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</si>
  <si>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</si>
  <si>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</si>
  <si>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</si>
  <si>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</si>
  <si>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</si>
  <si>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</si>
  <si>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</si>
  <si>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</si>
  <si>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</si>
  <si>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</si>
  <si>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</si>
  <si>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</si>
  <si>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</si>
  <si>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</si>
  <si>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</si>
  <si>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</si>
  <si>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</si>
  <si>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</si>
  <si>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</si>
  <si>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</si>
  <si>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</si>
  <si>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</si>
  <si>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</si>
  <si>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</si>
  <si>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</si>
  <si>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</si>
  <si>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</si>
  <si>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</si>
  <si>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</si>
  <si>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</si>
  <si>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</si>
  <si>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</si>
  <si>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</si>
  <si>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</si>
  <si>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</si>
  <si>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</si>
  <si>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</si>
  <si>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</si>
  <si>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</si>
  <si>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</si>
  <si>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</si>
  <si>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</si>
  <si>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</si>
  <si>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</si>
  <si>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</si>
  <si>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</si>
  <si>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</si>
  <si>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</si>
  <si>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</si>
  <si>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</si>
  <si>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</si>
  <si>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</si>
  <si>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</si>
  <si>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</si>
  <si>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</si>
  <si>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</si>
  <si>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</si>
  <si>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</si>
  <si>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</si>
  <si>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</si>
  <si>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</si>
  <si>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</si>
  <si>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</si>
  <si>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</si>
  <si>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</si>
  <si>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</si>
  <si>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</si>
  <si>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</si>
  <si>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</si>
  <si>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</si>
  <si>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</si>
  <si>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</si>
  <si>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</si>
  <si>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</si>
  <si>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</si>
  <si>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</si>
  <si>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</si>
  <si>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</si>
  <si>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</si>
  <si>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</si>
  <si>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</si>
  <si>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</si>
  <si>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</si>
  <si>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</si>
  <si>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</si>
  <si>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</si>
  <si>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</si>
  <si>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</si>
  <si>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</si>
  <si>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</si>
  <si>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</si>
  <si>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</si>
  <si>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</si>
  <si>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</si>
  <si>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</si>
  <si>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</si>
  <si>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</si>
  <si>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</si>
  <si>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</si>
  <si>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</si>
  <si>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</si>
  <si>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</si>
  <si>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</si>
  <si>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</si>
  <si>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</si>
  <si>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</si>
  <si>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</si>
  <si>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</si>
  <si>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</si>
  <si>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</si>
  <si>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</si>
  <si>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</si>
  <si>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</si>
  <si>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</si>
  <si>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</si>
  <si>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</si>
  <si>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</si>
  <si>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</si>
  <si>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</si>
  <si>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</si>
  <si>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</si>
  <si>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</si>
  <si>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</si>
  <si>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</si>
  <si>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</si>
  <si>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</si>
  <si>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</si>
  <si>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</si>
  <si>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</si>
  <si>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</si>
  <si>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</si>
  <si>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</si>
  <si>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</si>
  <si>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</si>
  <si>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</si>
  <si>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</si>
  <si>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</si>
  <si>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</si>
  <si>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</si>
  <si>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</si>
  <si>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</si>
  <si>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</si>
  <si>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</si>
  <si>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</si>
  <si>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</si>
  <si>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</si>
  <si>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</si>
  <si>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</si>
  <si>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</si>
  <si>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</si>
  <si>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</si>
  <si>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</si>
  <si>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</si>
  <si>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</si>
  <si>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</si>
  <si>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</si>
  <si>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</si>
  <si>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</si>
  <si>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</si>
  <si>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</si>
  <si>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</si>
  <si>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</si>
  <si>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</si>
  <si>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</si>
  <si>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</si>
  <si>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</si>
  <si>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</si>
  <si>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</si>
  <si>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</si>
  <si>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</si>
  <si>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</si>
  <si>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</si>
  <si>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</si>
  <si>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</si>
  <si>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</si>
  <si>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</si>
  <si>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</si>
  <si>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</si>
  <si>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</si>
  <si>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</si>
  <si>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</si>
  <si>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</si>
  <si>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</si>
  <si>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</si>
  <si>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</si>
  <si>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</si>
  <si>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</si>
  <si>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</si>
  <si>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</si>
  <si>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</si>
  <si>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</si>
  <si>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</si>
  <si>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</si>
  <si>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</si>
  <si>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</si>
  <si>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</si>
  <si>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</si>
  <si>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</si>
  <si>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</si>
  <si>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</si>
  <si>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</si>
  <si>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</si>
  <si>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</si>
  <si>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</si>
  <si>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</si>
  <si>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</si>
  <si>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</si>
  <si>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</si>
  <si>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</si>
  <si>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</si>
  <si>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</si>
  <si>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</si>
  <si>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</si>
  <si>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</si>
  <si>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</si>
  <si>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</si>
  <si>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</si>
  <si>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</si>
  <si>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</si>
  <si>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</si>
  <si>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</si>
  <si>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</si>
  <si>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</si>
  <si>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</si>
  <si>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</si>
  <si>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</si>
  <si>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</si>
  <si>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</si>
  <si>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</si>
  <si>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</si>
  <si>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</si>
  <si>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</si>
  <si>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</si>
  <si>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</si>
  <si>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</si>
  <si>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</si>
  <si>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</si>
  <si>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</si>
  <si>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</si>
  <si>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</si>
  <si>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</si>
  <si>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</si>
  <si>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</si>
  <si>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</si>
  <si>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</si>
  <si>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</si>
  <si>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</si>
  <si>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</si>
  <si>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</si>
  <si>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</si>
  <si>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</si>
  <si>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</si>
  <si>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</si>
  <si>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</si>
  <si>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</si>
  <si>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</si>
  <si>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</si>
  <si>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</si>
  <si>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</si>
  <si>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</si>
  <si>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</si>
  <si>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</si>
  <si>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</si>
  <si>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</si>
  <si>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</si>
  <si>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</si>
  <si>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</si>
  <si>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</si>
  <si>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</si>
  <si>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</si>
  <si>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</si>
  <si>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</si>
  <si>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</si>
  <si>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</si>
  <si>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</si>
  <si>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</si>
  <si>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</si>
  <si>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</si>
  <si>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</si>
  <si>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</si>
  <si>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</si>
  <si>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</si>
  <si>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</si>
  <si>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</si>
  <si>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</si>
  <si>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</si>
  <si>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</si>
  <si>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</si>
  <si>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</si>
  <si>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</si>
  <si>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</si>
  <si>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</si>
  <si>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</si>
  <si>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</si>
  <si>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</si>
  <si>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</si>
  <si>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</si>
  <si>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</si>
  <si>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</si>
  <si>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</si>
  <si>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</si>
  <si>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</si>
  <si>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</si>
  <si>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</si>
  <si>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</si>
  <si>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</si>
  <si>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</si>
  <si>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</si>
  <si>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</si>
  <si>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</si>
  <si>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</si>
  <si>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</si>
  <si>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</si>
  <si>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</si>
  <si>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</si>
  <si>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</si>
  <si>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</si>
  <si>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</si>
  <si>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</si>
  <si>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</si>
  <si>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</si>
  <si>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</si>
  <si>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</si>
  <si>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</si>
  <si>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</si>
  <si>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</si>
  <si>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</si>
  <si>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</si>
  <si>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</si>
  <si>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</si>
  <si>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</si>
  <si>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</si>
  <si>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</si>
  <si>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</si>
  <si>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</si>
  <si>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</si>
  <si>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</si>
  <si>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</si>
  <si>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</si>
  <si>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</si>
  <si>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</si>
  <si>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</si>
  <si>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</si>
  <si>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</si>
  <si>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</si>
  <si>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</si>
  <si>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</si>
  <si>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</si>
  <si>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</si>
  <si>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</si>
  <si>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</si>
  <si>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</si>
  <si>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</si>
  <si>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</si>
  <si>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</si>
  <si>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</si>
  <si>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</si>
  <si>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</si>
  <si>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</si>
  <si>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</si>
  <si>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</si>
  <si>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</si>
  <si>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</si>
  <si>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</si>
  <si>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</si>
  <si>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</si>
  <si>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</si>
  <si>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</si>
  <si>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</si>
  <si>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</si>
  <si>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</si>
  <si>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</si>
  <si>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</si>
  <si>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</si>
  <si>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</si>
  <si>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</si>
  <si>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</si>
  <si>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</si>
  <si>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</si>
  <si>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</si>
  <si>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</si>
  <si>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</si>
  <si>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</si>
  <si>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</si>
  <si>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</si>
  <si>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</si>
  <si>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</si>
  <si>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</si>
  <si>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</si>
  <si>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</si>
  <si>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</si>
  <si>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</si>
  <si>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</si>
  <si>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</si>
  <si>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</si>
  <si>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</si>
  <si>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</si>
  <si>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</si>
  <si>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</si>
  <si>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</si>
  <si>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</si>
  <si>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</si>
  <si>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</si>
  <si>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</si>
  <si>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</si>
  <si>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</si>
  <si>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</si>
  <si>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</si>
  <si>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</si>
  <si>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</si>
  <si>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</si>
  <si>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</si>
  <si>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</si>
  <si>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</si>
  <si>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</si>
  <si>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</si>
  <si>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</si>
  <si>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</si>
  <si>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</si>
  <si>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</si>
  <si>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</si>
  <si>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</si>
  <si>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</si>
  <si>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</si>
  <si>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</si>
  <si>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</si>
  <si>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</si>
  <si>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</si>
  <si>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</si>
  <si>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</si>
  <si>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</si>
  <si>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</si>
  <si>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</si>
  <si>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</si>
  <si>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</si>
  <si>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</si>
  <si>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</si>
  <si>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</si>
  <si>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</si>
  <si>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</si>
  <si>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</si>
  <si>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</si>
  <si>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</si>
  <si>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</si>
  <si>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</si>
  <si>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</si>
  <si>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</si>
  <si>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</si>
  <si>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</si>
  <si>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</si>
  <si>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</si>
  <si>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</si>
  <si>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</si>
  <si>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</si>
  <si>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</si>
  <si>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</si>
  <si>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</si>
  <si>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</si>
  <si>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</si>
  <si>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</si>
  <si>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</si>
  <si>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</si>
  <si>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</si>
  <si>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</si>
  <si>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</si>
  <si>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</si>
  <si>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</si>
  <si>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</si>
  <si>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</si>
  <si>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</si>
  <si>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</si>
  <si>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</si>
  <si>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</si>
  <si>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</si>
  <si>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</si>
  <si>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</si>
  <si>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</si>
  <si>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</si>
  <si>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</si>
  <si>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</si>
  <si>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</si>
  <si>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</si>
  <si>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</si>
  <si>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</si>
  <si>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</si>
  <si>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</si>
  <si>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</si>
  <si>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</si>
  <si>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</si>
  <si>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</si>
  <si>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</si>
  <si>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</si>
  <si>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</si>
  <si>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</si>
  <si>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</si>
  <si>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</si>
  <si>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</si>
  <si>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</si>
  <si>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</si>
  <si>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</si>
  <si>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</si>
  <si>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</si>
  <si>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</si>
  <si>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</si>
  <si>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</si>
  <si>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</si>
  <si>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</si>
  <si>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</si>
  <si>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</si>
  <si>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</si>
  <si>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</si>
  <si>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</si>
  <si>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</si>
  <si>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</si>
  <si>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</si>
  <si>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</si>
  <si>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</si>
  <si>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</si>
  <si>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</si>
  <si>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</si>
  <si>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</si>
  <si>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</si>
  <si>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</si>
  <si>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</si>
  <si>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</si>
  <si>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</si>
  <si>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</si>
  <si>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</si>
  <si>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</si>
  <si>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</si>
  <si>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</si>
  <si>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</si>
  <si>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</si>
  <si>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</si>
  <si>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</si>
  <si>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</si>
  <si>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</si>
  <si>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</si>
  <si>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</si>
  <si>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</si>
  <si>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</si>
  <si>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</si>
  <si>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</si>
  <si>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</si>
  <si>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</si>
  <si>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</si>
  <si>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</si>
  <si>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</si>
  <si>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</si>
  <si>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</si>
  <si>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</si>
  <si>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</si>
  <si>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</si>
  <si>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</si>
  <si>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</si>
  <si>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</si>
  <si>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</si>
  <si>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</si>
  <si>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</si>
  <si>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</si>
  <si>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</si>
  <si>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</si>
  <si>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</si>
  <si>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</si>
  <si>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</si>
  <si>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</si>
  <si>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</si>
  <si>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</si>
  <si>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</si>
  <si>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</si>
  <si>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</si>
  <si>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</si>
  <si>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</si>
  <si>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</si>
  <si>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</si>
  <si>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</si>
  <si>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</si>
  <si>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</si>
  <si>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</si>
  <si>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</si>
  <si>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</si>
  <si>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</si>
  <si>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</si>
  <si>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</si>
  <si>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</si>
  <si>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</si>
  <si>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</si>
  <si>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</si>
  <si>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</si>
  <si>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</si>
  <si>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</si>
  <si>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</si>
  <si>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</si>
  <si>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</si>
  <si>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</si>
  <si>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</si>
  <si>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</si>
  <si>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</si>
  <si>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</si>
  <si>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</si>
  <si>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</si>
  <si>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</si>
  <si>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</si>
  <si>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</si>
  <si>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</si>
  <si>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</si>
  <si>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</si>
  <si>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</si>
  <si>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</si>
  <si>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</si>
  <si>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</si>
  <si>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</si>
  <si>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</si>
  <si>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</si>
  <si>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</si>
  <si>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</si>
  <si>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</si>
  <si>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</si>
  <si>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</si>
  <si>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</si>
  <si>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</si>
  <si>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</si>
  <si>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</si>
  <si>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</si>
  <si>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</si>
  <si>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</si>
  <si>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</si>
  <si>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</si>
  <si>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</si>
  <si>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</si>
  <si>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</si>
  <si>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</si>
  <si>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</si>
  <si>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</si>
  <si>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</si>
  <si>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</si>
  <si>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</si>
  <si>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</si>
  <si>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</si>
  <si>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</si>
  <si>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</si>
  <si>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</si>
  <si>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</si>
  <si>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</si>
  <si>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</si>
  <si>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</si>
  <si>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</si>
  <si>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</si>
  <si>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</si>
  <si>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</si>
  <si>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</si>
  <si>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</si>
  <si>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</si>
  <si>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</si>
  <si>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</si>
  <si>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</si>
  <si>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</si>
  <si>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</si>
  <si>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</si>
  <si>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</si>
  <si>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</si>
  <si>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</si>
  <si>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</si>
  <si>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</si>
  <si>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</si>
  <si>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</si>
  <si>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</si>
  <si>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</si>
  <si>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</si>
  <si>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</si>
  <si>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</si>
  <si>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</si>
  <si>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</si>
  <si>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</si>
  <si>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</si>
  <si>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</si>
  <si>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</si>
  <si>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</si>
  <si>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</si>
  <si>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</si>
  <si>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</si>
  <si>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</si>
  <si>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</si>
  <si>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</si>
  <si>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</si>
  <si>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</si>
  <si>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</si>
  <si>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</si>
  <si>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</si>
  <si>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</si>
  <si>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</si>
  <si>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</si>
  <si>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</si>
  <si>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</si>
  <si>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</si>
  <si>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</si>
  <si>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</si>
  <si>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</si>
  <si>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</si>
  <si>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</si>
  <si>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</si>
  <si>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</si>
  <si>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</si>
  <si>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</si>
  <si>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</si>
  <si>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</si>
  <si>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</si>
  <si>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</si>
  <si>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</si>
  <si>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</si>
  <si>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</si>
  <si>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</si>
  <si>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</si>
  <si>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</si>
  <si>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</si>
  <si>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</si>
  <si>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</si>
  <si>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</si>
  <si>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</si>
  <si>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</si>
  <si>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</si>
  <si>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</si>
  <si>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</si>
  <si>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</si>
  <si>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</si>
  <si>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</si>
  <si>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</si>
  <si>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</si>
  <si>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</si>
  <si>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</si>
  <si>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</si>
  <si>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</si>
  <si>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</si>
  <si>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</si>
  <si>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</si>
  <si>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</si>
  <si>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</si>
  <si>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</si>
  <si>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</si>
  <si>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</si>
  <si>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</si>
  <si>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</si>
  <si>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</si>
  <si>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</si>
  <si>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</si>
  <si>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</si>
  <si>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</si>
  <si>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</si>
  <si>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</si>
  <si>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</si>
  <si>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</si>
  <si>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</si>
  <si>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</si>
  <si>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</si>
  <si>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</si>
  <si>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</si>
  <si>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</si>
  <si>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</si>
  <si>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</si>
  <si>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</si>
  <si>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</si>
  <si>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</si>
  <si>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</si>
  <si>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</si>
  <si>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</si>
  <si>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</si>
  <si>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</si>
  <si>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</si>
  <si>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</si>
  <si>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</si>
  <si>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</si>
  <si>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</si>
  <si>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</si>
  <si>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</si>
  <si>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</si>
  <si>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</si>
  <si>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</si>
  <si>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</si>
  <si>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</si>
  <si>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</si>
  <si>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</si>
  <si>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</si>
  <si>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</si>
  <si>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</si>
  <si>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</si>
  <si>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</si>
  <si>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</si>
  <si>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</si>
  <si>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</si>
  <si>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</si>
  <si>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</si>
  <si>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</si>
  <si>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</si>
  <si>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</si>
  <si>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</si>
  <si>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</si>
  <si>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</si>
  <si>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</si>
  <si>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</si>
  <si>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</si>
  <si>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</si>
  <si>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</si>
  <si>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</si>
  <si>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</si>
  <si>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</si>
  <si>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</si>
  <si>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</si>
  <si>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</si>
  <si>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</si>
  <si>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</si>
  <si>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</si>
  <si>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</si>
  <si>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</si>
  <si>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</si>
  <si>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</si>
  <si>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</si>
  <si>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</si>
  <si>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</si>
  <si>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</si>
  <si>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</si>
  <si>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</si>
  <si>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</si>
  <si>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</si>
  <si>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</si>
  <si>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</si>
  <si>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</si>
  <si>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</si>
  <si>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</si>
  <si>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</si>
  <si>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</si>
  <si>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</si>
  <si>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</si>
  <si>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</si>
  <si>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</si>
  <si>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</si>
  <si>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</si>
  <si>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</si>
  <si>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</si>
  <si>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</si>
  <si>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</si>
  <si>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</si>
  <si>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</si>
  <si>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</si>
  <si>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</si>
  <si>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</si>
  <si>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</si>
  <si>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</si>
  <si>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</si>
  <si>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</si>
  <si>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</si>
  <si>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</si>
  <si>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</si>
  <si>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</si>
  <si>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</si>
  <si>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</si>
  <si>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</si>
  <si>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</si>
  <si>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</si>
  <si>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</si>
  <si>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</si>
  <si>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</si>
  <si>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</si>
  <si>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</si>
  <si>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</si>
  <si>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</si>
  <si>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</si>
  <si>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</si>
  <si>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</si>
  <si>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</si>
  <si>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</si>
  <si>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</si>
  <si>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</si>
  <si>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</si>
  <si>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</si>
  <si>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</si>
  <si>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</si>
  <si>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</si>
  <si>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</si>
  <si>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</si>
  <si>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</si>
  <si>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</si>
  <si>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</si>
  <si>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</si>
  <si>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</si>
  <si>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</si>
  <si>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</si>
  <si>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</si>
  <si>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</si>
  <si>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</si>
  <si>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</si>
  <si>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</si>
  <si>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</si>
  <si>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</si>
  <si>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</si>
  <si>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</si>
  <si>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</si>
  <si>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</si>
  <si>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</si>
  <si>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</si>
  <si>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</si>
  <si>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</si>
  <si>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</si>
  <si>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</si>
  <si>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</si>
  <si>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</si>
  <si>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</si>
  <si>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</si>
  <si>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</si>
  <si>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</si>
  <si>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</si>
  <si>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</si>
  <si>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</si>
  <si>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</si>
  <si>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</si>
  <si>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</si>
  <si>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</si>
  <si>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</si>
  <si>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</si>
  <si>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</si>
  <si>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</si>
  <si>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</si>
  <si>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</si>
  <si>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</si>
  <si>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</si>
  <si>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</si>
  <si>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</si>
  <si>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</si>
  <si>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</si>
  <si>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</si>
  <si>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</si>
  <si>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</si>
  <si>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</si>
  <si>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</si>
  <si>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</si>
  <si>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</si>
  <si>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</si>
  <si>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</si>
  <si>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</si>
  <si>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</si>
  <si>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</si>
  <si>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</si>
  <si>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</si>
  <si>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</si>
  <si>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</si>
  <si>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</si>
  <si>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</si>
  <si>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</si>
  <si>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</si>
  <si>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</si>
  <si>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</si>
  <si>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</si>
  <si>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</si>
  <si>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</si>
  <si>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</si>
  <si>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</si>
  <si>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</si>
  <si>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</si>
  <si>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</si>
  <si>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</si>
  <si>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</si>
  <si>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</si>
  <si>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</si>
  <si>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</si>
  <si>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</si>
  <si>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</si>
  <si>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</si>
  <si>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</si>
  <si>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</si>
  <si>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</si>
  <si>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</si>
  <si>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</si>
  <si>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</si>
  <si>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</si>
  <si>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</si>
  <si>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</si>
  <si>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</si>
  <si>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</si>
  <si>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</si>
  <si>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</si>
  <si>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</si>
  <si>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</si>
  <si>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</si>
  <si>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</si>
  <si>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</si>
  <si>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</si>
  <si>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</si>
  <si>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</si>
  <si>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</si>
  <si>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</si>
  <si>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</si>
  <si>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</si>
  <si>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</si>
  <si>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</si>
  <si>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</si>
  <si>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</si>
  <si>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</si>
  <si>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</si>
  <si>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</si>
  <si>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</si>
  <si>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</si>
  <si>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</si>
  <si>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</si>
  <si>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</si>
  <si>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</si>
  <si>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</si>
  <si>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</si>
  <si>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</si>
  <si>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</si>
  <si>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</si>
  <si>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</si>
  <si>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</si>
  <si>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</si>
  <si>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</si>
  <si>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</si>
  <si>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</si>
  <si>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</si>
  <si>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</si>
  <si>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</si>
  <si>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</si>
  <si>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</si>
  <si>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</si>
  <si>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</si>
  <si>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</si>
  <si>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</si>
  <si>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</si>
  <si>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</si>
  <si>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</si>
  <si>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</si>
  <si>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</si>
  <si>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</si>
  <si>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</si>
  <si>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</si>
  <si>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</si>
  <si>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</si>
  <si>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</si>
  <si>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</si>
  <si>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</si>
  <si>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</si>
  <si>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</si>
  <si>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</si>
  <si>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</si>
  <si>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</si>
  <si>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</si>
  <si>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</si>
  <si>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</si>
  <si>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</si>
  <si>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</si>
  <si>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</si>
  <si>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</si>
  <si>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</si>
  <si>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</si>
  <si>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</si>
  <si>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</si>
  <si>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</si>
  <si>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</si>
  <si>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</si>
  <si>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</si>
  <si>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</si>
  <si>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</si>
  <si>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</si>
  <si>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</si>
  <si>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</si>
  <si>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</si>
  <si>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</si>
  <si>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</si>
  <si>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</si>
  <si>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</si>
  <si>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</si>
  <si>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</si>
  <si>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</si>
  <si>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</si>
  <si>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</si>
  <si>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</si>
  <si>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</si>
  <si>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</si>
  <si>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</si>
  <si>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</si>
  <si>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</si>
  <si>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</si>
  <si>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</si>
  <si>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</si>
  <si>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</si>
  <si>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</si>
  <si>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</si>
  <si>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</si>
  <si>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</si>
  <si>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</si>
  <si>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</si>
  <si>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</si>
  <si>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</si>
  <si>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</si>
  <si>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</si>
  <si>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</si>
  <si>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</si>
  <si>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</si>
  <si>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</si>
  <si>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</si>
  <si>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</si>
  <si>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</si>
  <si>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</si>
  <si>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</si>
  <si>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</si>
  <si>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</si>
  <si>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</si>
  <si>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</si>
  <si>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</si>
  <si>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</si>
  <si>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</si>
  <si>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</si>
  <si>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</si>
  <si>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</si>
  <si>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</si>
  <si>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</si>
  <si>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</si>
  <si>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</si>
  <si>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</si>
  <si>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</si>
  <si>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</si>
  <si>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</si>
  <si>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</si>
  <si>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</si>
  <si>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</si>
  <si>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</si>
  <si>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</si>
  <si>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</si>
  <si>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</si>
  <si>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</si>
  <si>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</si>
  <si>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</si>
  <si>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</si>
  <si>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</si>
  <si>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</si>
  <si>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</si>
  <si>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</si>
  <si>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</si>
  <si>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</si>
  <si>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</si>
  <si>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</si>
  <si>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</si>
  <si>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</si>
  <si>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</si>
  <si>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</si>
  <si>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</si>
  <si>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</si>
  <si>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</si>
  <si>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</si>
  <si>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</si>
  <si>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</si>
  <si>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</si>
  <si>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</si>
  <si>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</si>
  <si>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</si>
  <si>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</si>
  <si>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</si>
  <si>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</si>
  <si>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</si>
  <si>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</si>
  <si>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</si>
  <si>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</si>
  <si>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</si>
  <si>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</si>
  <si>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</si>
  <si>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</si>
  <si>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</si>
  <si>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</si>
  <si>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</si>
  <si>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</si>
  <si>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</si>
  <si>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</si>
  <si>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</si>
  <si>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</si>
  <si>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</si>
  <si>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</si>
  <si>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</si>
  <si>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</si>
  <si>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</si>
  <si>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</si>
  <si>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</si>
  <si>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</si>
  <si>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</si>
  <si>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</si>
  <si>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</si>
  <si>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</si>
  <si>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</si>
  <si>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</si>
  <si>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</si>
  <si>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</si>
  <si>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</si>
  <si>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</si>
  <si>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</si>
  <si>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</si>
  <si>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</si>
  <si>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</si>
  <si>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</si>
  <si>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</si>
  <si>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</si>
  <si>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</si>
  <si>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</si>
  <si>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</si>
  <si>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</si>
  <si>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</si>
  <si>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</si>
  <si>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</si>
  <si>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</si>
  <si>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</si>
  <si>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</si>
  <si>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</si>
  <si>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</si>
  <si>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</si>
  <si>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</si>
  <si>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</si>
  <si>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</si>
  <si>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</si>
  <si>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</si>
  <si>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</si>
  <si>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</si>
  <si>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</si>
  <si>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</si>
  <si>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</si>
  <si>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</si>
  <si>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</si>
  <si>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</si>
  <si>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</si>
  <si>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</si>
  <si>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</si>
  <si>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</si>
  <si>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</si>
  <si>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</si>
  <si>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</si>
  <si>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</si>
  <si>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</si>
  <si>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</si>
  <si>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</si>
  <si>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</si>
  <si>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</si>
  <si>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</si>
  <si>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</si>
  <si>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</si>
  <si>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</si>
  <si>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</si>
  <si>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</si>
  <si>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</si>
  <si>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</si>
  <si>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</si>
  <si>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</si>
  <si>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</si>
  <si>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</si>
  <si>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</si>
  <si>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</si>
  <si>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</si>
  <si>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</si>
  <si>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</si>
  <si>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</si>
  <si>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</si>
  <si>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</si>
  <si>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</si>
  <si>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</si>
  <si>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</si>
  <si>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</si>
  <si>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</si>
  <si>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</si>
  <si>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</si>
  <si>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</si>
  <si>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</si>
  <si>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</si>
  <si>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</si>
  <si>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</si>
  <si>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</si>
  <si>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</si>
  <si>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</si>
  <si>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</si>
  <si>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</si>
  <si>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</si>
  <si>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</si>
  <si>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</si>
  <si>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</si>
  <si>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</si>
  <si>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</si>
  <si>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</si>
  <si>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</si>
  <si>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</si>
  <si>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</si>
  <si>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</si>
  <si>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</si>
  <si>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</si>
  <si>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</si>
  <si>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</si>
  <si>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</si>
  <si>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</si>
  <si>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</si>
  <si>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</si>
  <si>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</si>
  <si>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</si>
  <si>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</si>
  <si>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</si>
  <si>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</si>
  <si>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</si>
  <si>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</si>
  <si>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</si>
  <si>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</si>
  <si>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</si>
  <si>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</si>
  <si>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</si>
  <si>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</si>
  <si>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</si>
  <si>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</si>
  <si>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</si>
  <si>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</si>
  <si>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</si>
  <si>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</si>
  <si>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</si>
  <si>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</si>
  <si>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</si>
  <si>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</si>
  <si>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</si>
  <si>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</si>
  <si>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</si>
  <si>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</si>
  <si>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</si>
  <si>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</si>
  <si>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</si>
  <si>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</si>
  <si>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</si>
  <si>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</si>
  <si>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</si>
  <si>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</si>
  <si>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</si>
  <si>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</si>
  <si>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</si>
  <si>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</si>
  <si>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</si>
  <si>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</si>
  <si>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</si>
  <si>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</si>
  <si>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</si>
  <si>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</si>
  <si>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</si>
  <si>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</si>
  <si>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</si>
  <si>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</si>
  <si>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</si>
  <si>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</si>
  <si>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</si>
  <si>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</si>
  <si>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</si>
  <si>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</si>
  <si>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</si>
  <si>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</si>
  <si>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</si>
  <si>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</si>
  <si>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</si>
  <si>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</si>
  <si>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</si>
  <si>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</si>
  <si>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</si>
  <si>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</si>
  <si>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</si>
  <si>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</si>
  <si>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</si>
  <si>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</si>
  <si>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</si>
  <si>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</si>
  <si>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</si>
  <si>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</si>
  <si>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</si>
  <si>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</si>
  <si>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</si>
  <si>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</si>
  <si>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</si>
  <si>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</si>
  <si>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</si>
  <si>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</si>
  <si>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</si>
  <si>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</si>
  <si>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</si>
  <si>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</si>
  <si>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</si>
  <si>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</si>
  <si>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</si>
  <si>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</si>
  <si>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</si>
  <si>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</si>
  <si>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</si>
  <si>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</si>
  <si>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</si>
  <si>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</si>
  <si>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</si>
  <si>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</si>
  <si>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</si>
  <si>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</si>
  <si>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</si>
  <si>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</si>
  <si>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</si>
  <si>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</si>
  <si>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</si>
  <si>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</si>
  <si>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</si>
  <si>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</si>
  <si>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</si>
  <si>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</si>
  <si>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</si>
  <si>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</si>
  <si>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</si>
  <si>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</si>
  <si>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</si>
  <si>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</si>
  <si>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</si>
  <si>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</si>
  <si>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</si>
  <si>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</si>
  <si>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</si>
  <si>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</si>
  <si>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</si>
  <si>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</si>
  <si>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</si>
  <si>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</si>
  <si>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</si>
  <si>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</si>
  <si>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</si>
  <si>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</si>
  <si>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</si>
  <si>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</si>
  <si>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</si>
  <si>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</si>
  <si>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</si>
  <si>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</si>
  <si>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</si>
  <si>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</si>
  <si>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</si>
  <si>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</si>
  <si>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</si>
  <si>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</si>
  <si>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</si>
  <si>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</si>
  <si>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</si>
  <si>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</si>
  <si>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</si>
  <si>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</si>
  <si>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</si>
  <si>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</si>
  <si>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</si>
  <si>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</si>
  <si>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</si>
  <si>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</si>
  <si>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</si>
  <si>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</si>
  <si>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</si>
  <si>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</si>
  <si>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</si>
  <si>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</si>
  <si>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</si>
  <si>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</si>
  <si>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</si>
  <si>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</si>
  <si>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</si>
  <si>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</si>
  <si>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</si>
  <si>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</si>
  <si>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</si>
  <si>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</si>
  <si>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</si>
  <si>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</si>
  <si>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</si>
  <si>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</si>
  <si>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</si>
  <si>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</si>
  <si>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</si>
  <si>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</si>
  <si>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</si>
  <si>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</si>
  <si>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</si>
  <si>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</si>
  <si>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</si>
  <si>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</si>
  <si>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</si>
  <si>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</si>
  <si>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</si>
  <si>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</si>
  <si>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</si>
  <si>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</si>
  <si>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</si>
  <si>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</si>
  <si>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</si>
  <si>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</si>
  <si>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</si>
  <si>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</si>
  <si>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</si>
  <si>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</si>
  <si>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</si>
  <si>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</si>
  <si>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</si>
  <si>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</si>
  <si>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</si>
  <si>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</si>
  <si>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</si>
  <si>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</si>
  <si>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</si>
  <si>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</si>
  <si>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</si>
  <si>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</si>
  <si>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</si>
  <si>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</si>
  <si>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</si>
  <si>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</si>
  <si>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</si>
  <si>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</si>
  <si>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</si>
  <si>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</si>
  <si>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</si>
  <si>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</si>
  <si>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</si>
  <si>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</si>
  <si>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</si>
  <si>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</si>
  <si>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</si>
  <si>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</si>
  <si>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</si>
  <si>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</si>
  <si>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</si>
  <si>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</si>
  <si>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</si>
  <si>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</si>
  <si>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</si>
  <si>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</si>
  <si>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</si>
  <si>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</si>
  <si>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</si>
  <si>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</si>
  <si>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</si>
  <si>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</si>
  <si>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</si>
  <si>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</si>
  <si>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</si>
  <si>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</si>
  <si>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</si>
  <si>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</si>
  <si>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</si>
  <si>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</si>
  <si>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</si>
  <si>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</si>
  <si>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</si>
  <si>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</si>
  <si>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</si>
  <si>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</si>
  <si>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</si>
  <si>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</si>
  <si>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</si>
  <si>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</si>
  <si>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</si>
  <si>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</si>
  <si>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</si>
  <si>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</si>
  <si>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</si>
  <si>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</si>
  <si>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</si>
  <si>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</si>
  <si>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</si>
  <si>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</si>
  <si>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</si>
  <si>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</si>
  <si>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</si>
  <si>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</si>
  <si>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</si>
  <si>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</si>
  <si>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</si>
  <si>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</si>
  <si>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</si>
  <si>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</si>
  <si>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</si>
  <si>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</si>
  <si>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</si>
  <si>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</si>
  <si>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</si>
  <si>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</si>
  <si>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</si>
  <si>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</si>
  <si>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</si>
  <si>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</si>
  <si>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</si>
  <si>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</si>
  <si>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</si>
  <si>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</si>
  <si>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</si>
  <si>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</si>
  <si>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</si>
  <si>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</si>
  <si>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</si>
  <si>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</si>
  <si>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</si>
  <si>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</si>
  <si>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</si>
  <si>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</si>
  <si>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</si>
  <si>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</si>
  <si>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</si>
  <si>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</si>
  <si>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</si>
  <si>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</si>
  <si>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</si>
  <si>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</si>
  <si>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</si>
  <si>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</si>
  <si>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</si>
  <si>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</si>
  <si>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</si>
  <si>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</si>
  <si>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</si>
  <si>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</si>
  <si>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</si>
  <si>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</si>
  <si>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</si>
  <si>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</si>
  <si>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</si>
  <si>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</si>
  <si>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</si>
  <si>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</si>
  <si>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</si>
  <si>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</si>
  <si>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</si>
  <si>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</si>
  <si>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</si>
  <si>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</si>
  <si>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</si>
  <si>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</si>
  <si>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</si>
  <si>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</si>
  <si>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</si>
  <si>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</si>
  <si>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</si>
  <si>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</si>
  <si>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</si>
  <si>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</si>
  <si>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</si>
  <si>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</si>
  <si>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</si>
  <si>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</si>
  <si>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</si>
  <si>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</si>
  <si>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</si>
  <si>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</si>
  <si>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</si>
  <si>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</si>
  <si>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</si>
  <si>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</si>
  <si>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</si>
  <si>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</si>
  <si>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</si>
  <si>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</si>
  <si>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</si>
  <si>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</si>
  <si>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</si>
  <si>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</si>
  <si>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</si>
  <si>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</si>
  <si>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</si>
  <si>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</si>
  <si>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</si>
  <si>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</si>
  <si>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</si>
  <si>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</si>
  <si>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</si>
  <si>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</si>
  <si>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</si>
  <si>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</si>
  <si>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</si>
  <si>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</si>
  <si>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</si>
  <si>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</si>
  <si>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</si>
  <si>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</si>
  <si>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</si>
  <si>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</si>
  <si>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</si>
  <si>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</si>
  <si>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</si>
  <si>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</si>
  <si>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</si>
  <si>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</si>
  <si>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</si>
  <si>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</si>
  <si>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</si>
  <si>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</si>
  <si>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</si>
  <si>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</si>
  <si>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</si>
  <si>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</si>
  <si>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</si>
  <si>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</si>
  <si>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</si>
  <si>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</si>
  <si>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</si>
  <si>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</si>
  <si>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</si>
  <si>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</si>
  <si>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</si>
  <si>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</si>
  <si>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</si>
  <si>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</si>
  <si>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</si>
  <si>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</si>
  <si>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</si>
  <si>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</si>
  <si>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</si>
  <si>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</si>
  <si>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</si>
  <si>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</si>
  <si>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</si>
  <si>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</si>
  <si>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</si>
  <si>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</si>
  <si>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</si>
  <si>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</si>
  <si>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</si>
  <si>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</si>
  <si>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</si>
  <si>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</si>
  <si>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</si>
  <si>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</si>
  <si>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</si>
  <si>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</si>
  <si>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</si>
  <si>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</si>
  <si>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</si>
  <si>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</si>
  <si>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</si>
  <si>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</si>
  <si>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</si>
  <si>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</si>
  <si>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</si>
  <si>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</si>
  <si>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</si>
  <si>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</si>
  <si>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</si>
  <si>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</si>
  <si>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</si>
  <si>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</si>
  <si>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</si>
  <si>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</si>
  <si>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</si>
  <si>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</si>
  <si>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</si>
  <si>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</si>
  <si>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</si>
  <si>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</si>
  <si>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</si>
  <si>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</si>
  <si>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</si>
  <si>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</si>
  <si>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</si>
  <si>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</si>
  <si>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</si>
  <si>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</si>
  <si>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</si>
  <si>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</si>
  <si>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</si>
  <si>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</si>
  <si>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</si>
  <si>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</si>
  <si>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</si>
  <si>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</si>
  <si>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</si>
  <si>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</si>
  <si>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</si>
  <si>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</si>
  <si>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</si>
  <si>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</si>
  <si>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</si>
  <si>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</si>
  <si>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</si>
  <si>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</si>
  <si>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</si>
  <si>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</si>
  <si>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</si>
  <si>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</si>
  <si>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</si>
  <si>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</si>
  <si>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</si>
  <si>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</si>
  <si>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</si>
  <si>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</si>
  <si>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</si>
  <si>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</si>
  <si>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</si>
  <si>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</si>
  <si>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</si>
  <si>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</si>
  <si>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</si>
  <si>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</si>
  <si>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</si>
  <si>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</si>
  <si>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</si>
  <si>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</si>
  <si>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</si>
  <si>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</si>
  <si>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</si>
  <si>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</si>
  <si>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</si>
  <si>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</si>
  <si>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</si>
  <si>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</si>
  <si>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</si>
  <si>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</si>
  <si>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</si>
  <si>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</si>
  <si>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</si>
  <si>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</si>
  <si>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</si>
  <si>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</si>
  <si>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</si>
  <si>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</si>
  <si>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</si>
  <si>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</si>
  <si>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</si>
  <si>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</si>
  <si>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</si>
  <si>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</si>
  <si>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</si>
  <si>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</si>
  <si>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</si>
  <si>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</si>
  <si>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</si>
  <si>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</si>
  <si>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</si>
  <si>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</si>
  <si>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</si>
  <si>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</si>
  <si>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</si>
  <si>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</si>
  <si>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</si>
  <si>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</si>
  <si>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</si>
  <si>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</si>
  <si>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</si>
  <si>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</si>
  <si>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</si>
  <si>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</si>
  <si>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</si>
  <si>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</si>
  <si>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</si>
  <si>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</si>
  <si>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</si>
  <si>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</si>
  <si>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</si>
  <si>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</si>
  <si>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</si>
  <si>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</si>
  <si>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</si>
  <si>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</si>
  <si>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</si>
  <si>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</si>
  <si>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</si>
  <si>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</si>
  <si>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</si>
  <si>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</si>
  <si>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</si>
  <si>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</si>
  <si>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</si>
  <si>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</si>
  <si>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</si>
  <si>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</si>
  <si>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</si>
  <si>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</si>
  <si>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</si>
  <si>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</si>
  <si>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</si>
  <si>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</si>
  <si>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</si>
  <si>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</si>
  <si>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</si>
  <si>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</si>
  <si>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</si>
  <si>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</si>
  <si>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</si>
  <si>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</si>
  <si>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</si>
  <si>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</si>
  <si>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</si>
  <si>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</si>
  <si>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</si>
  <si>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</si>
  <si>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</si>
  <si>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</si>
  <si>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</si>
  <si>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</si>
  <si>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</si>
  <si>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</si>
  <si>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</si>
  <si>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</si>
  <si>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</si>
  <si>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</si>
  <si>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</si>
  <si>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</si>
  <si>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</si>
  <si>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</si>
  <si>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</si>
  <si>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</si>
  <si>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</si>
  <si>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</si>
  <si>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</si>
  <si>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</si>
  <si>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</si>
  <si>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</si>
  <si>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</si>
  <si>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</si>
  <si>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</si>
  <si>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</si>
  <si>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</si>
  <si>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</si>
  <si>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</si>
  <si>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</si>
  <si>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</si>
  <si>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</si>
  <si>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</si>
  <si>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</si>
  <si>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</si>
  <si>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</si>
  <si>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</si>
  <si>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</si>
  <si>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</si>
  <si>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</si>
  <si>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</si>
  <si>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</si>
  <si>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</si>
  <si>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</si>
  <si>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</si>
  <si>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</si>
  <si>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</si>
  <si>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</si>
  <si>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</si>
  <si>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</si>
  <si>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</si>
  <si>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</si>
  <si>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</si>
  <si>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</si>
  <si>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</si>
  <si>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</si>
  <si>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</si>
  <si>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</si>
  <si>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</si>
  <si>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</si>
  <si>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</si>
  <si>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</si>
  <si>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</si>
  <si>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</si>
  <si>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</si>
  <si>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</si>
  <si>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</si>
  <si>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</si>
  <si>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</si>
  <si>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</si>
  <si>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</si>
  <si>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</si>
  <si>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</si>
  <si>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</si>
  <si>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</si>
  <si>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</si>
  <si>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</si>
  <si>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</si>
  <si>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</si>
  <si>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</si>
  <si>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</si>
  <si>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</si>
  <si>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</si>
  <si>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</si>
  <si>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</si>
  <si>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</si>
  <si>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</si>
  <si>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</si>
  <si>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</si>
  <si>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</si>
  <si>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</si>
  <si>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</si>
  <si>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</si>
  <si>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</si>
  <si>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</si>
  <si>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</si>
  <si>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</si>
  <si>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</si>
  <si>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</si>
  <si>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</si>
  <si>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</si>
  <si>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</si>
  <si>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</si>
  <si>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</si>
  <si>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</si>
  <si>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</si>
  <si>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</si>
  <si>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</si>
  <si>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</si>
  <si>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</si>
  <si>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</si>
  <si>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</si>
  <si>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</si>
  <si>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</si>
  <si>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</si>
  <si>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</si>
  <si>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</si>
  <si>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</si>
  <si>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</si>
  <si>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</si>
  <si>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</si>
  <si>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</si>
  <si>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</si>
  <si>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</si>
  <si>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</si>
  <si>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</si>
  <si>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</si>
  <si>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</si>
  <si>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</si>
  <si>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</si>
  <si>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</si>
  <si>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</si>
  <si>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</si>
  <si>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</si>
  <si>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</si>
  <si>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</si>
  <si>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</si>
  <si>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</si>
  <si>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</si>
  <si>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</si>
  <si>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</si>
  <si>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</si>
  <si>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</si>
  <si>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</si>
  <si>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</si>
  <si>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</si>
  <si>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</si>
  <si>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</si>
  <si>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</si>
  <si>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</si>
  <si>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</si>
  <si>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</si>
  <si>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</si>
  <si>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</si>
  <si>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</si>
  <si>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</si>
  <si>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</si>
  <si>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</si>
  <si>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</si>
  <si>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</si>
  <si>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</si>
  <si>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</si>
  <si>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</si>
  <si>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</si>
  <si>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</si>
  <si>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</si>
  <si>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</si>
  <si>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</si>
  <si>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</si>
  <si>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</si>
  <si>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</si>
  <si>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</si>
  <si>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</si>
  <si>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</si>
  <si>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</si>
  <si>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</si>
  <si>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</si>
  <si>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</si>
  <si>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</si>
  <si>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</si>
  <si>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</si>
  <si>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</si>
  <si>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</si>
  <si>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</si>
  <si>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</si>
  <si>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</si>
  <si>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</si>
  <si>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</si>
  <si>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</si>
  <si>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</si>
  <si>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</si>
  <si>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</si>
  <si>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</si>
  <si>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</si>
  <si>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</si>
  <si>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</si>
  <si>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</si>
  <si>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</si>
  <si>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</si>
  <si>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</si>
  <si>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</si>
  <si>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</si>
  <si>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</si>
  <si>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</si>
  <si>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</si>
  <si>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</si>
  <si>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</si>
  <si>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</si>
  <si>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</si>
  <si>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</si>
  <si>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</si>
  <si>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</si>
  <si>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</si>
  <si>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</si>
  <si>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</si>
  <si>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</si>
  <si>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</si>
  <si>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</si>
  <si>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</si>
  <si>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</si>
  <si>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</si>
  <si>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</si>
  <si>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</si>
  <si>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</si>
  <si>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</si>
  <si>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</si>
  <si>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</si>
  <si>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</si>
  <si>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</si>
  <si>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</si>
  <si>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</si>
  <si>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</si>
  <si>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</si>
  <si>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</si>
  <si>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</si>
  <si>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</si>
  <si>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</si>
  <si>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</si>
  <si>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</si>
  <si>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</si>
  <si>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</si>
  <si>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</si>
  <si>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</si>
  <si>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</si>
  <si>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</si>
  <si>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</si>
  <si>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</si>
  <si>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</si>
  <si>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</si>
  <si>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</si>
  <si>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</si>
  <si>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</si>
  <si>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</si>
  <si>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</si>
  <si>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</si>
  <si>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</si>
  <si>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</si>
  <si>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</si>
  <si>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</si>
  <si>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</si>
  <si>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</si>
  <si>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</si>
  <si>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</si>
  <si>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</si>
  <si>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</si>
  <si>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</si>
  <si>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</si>
  <si>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</si>
  <si>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</si>
  <si>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</si>
  <si>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</si>
  <si>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</si>
  <si>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</si>
  <si>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</si>
  <si>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</si>
  <si>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</si>
  <si>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</si>
  <si>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</si>
  <si>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</si>
  <si>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</si>
  <si>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</si>
  <si>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</si>
  <si>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</si>
  <si>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</si>
  <si>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</si>
  <si>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</si>
  <si>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</si>
  <si>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</si>
  <si>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</si>
  <si>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</si>
  <si>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</si>
  <si>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</si>
  <si>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</si>
  <si>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</si>
  <si>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</si>
  <si>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</si>
  <si>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</si>
  <si>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</si>
  <si>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</si>
  <si>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</si>
  <si>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</si>
  <si>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</si>
  <si>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</si>
  <si>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</si>
  <si>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</si>
  <si>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</si>
  <si>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</si>
  <si>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</si>
  <si>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</si>
  <si>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</si>
  <si>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</si>
  <si>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</si>
  <si>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</si>
  <si>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</si>
  <si>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</si>
  <si>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</si>
  <si>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</si>
  <si>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</si>
  <si>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</si>
  <si>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</si>
  <si>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</si>
  <si>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</si>
  <si>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</si>
  <si>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</si>
  <si>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</si>
  <si>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</si>
  <si>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</si>
  <si>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</si>
  <si>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</si>
  <si>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</si>
  <si>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</si>
  <si>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</si>
  <si>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</si>
  <si>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</si>
  <si>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</si>
  <si>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</si>
  <si>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</si>
  <si>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</si>
  <si>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</si>
  <si>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</si>
  <si>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</si>
  <si>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</si>
  <si>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</si>
  <si>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</si>
  <si>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</si>
  <si>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</si>
  <si>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</si>
  <si>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</si>
  <si>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</si>
  <si>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</si>
  <si>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</si>
  <si>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</si>
  <si>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</si>
  <si>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</si>
  <si>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</si>
  <si>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</si>
  <si>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</si>
  <si>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</si>
  <si>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</si>
  <si>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</si>
  <si>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</si>
  <si>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</si>
  <si>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</si>
  <si>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</si>
  <si>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</si>
  <si>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</si>
  <si>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</si>
  <si>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</si>
  <si>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</si>
  <si>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</si>
  <si>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</si>
  <si>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</si>
  <si>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</si>
  <si>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</si>
  <si>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</si>
  <si>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</si>
  <si>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</si>
  <si>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</si>
  <si>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</si>
  <si>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</si>
  <si>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</si>
  <si>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</si>
  <si>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</si>
  <si>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</si>
  <si>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</si>
  <si>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</si>
  <si>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</si>
  <si>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</si>
  <si>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</si>
  <si>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</si>
  <si>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</si>
  <si>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</si>
  <si>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</si>
  <si>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</si>
  <si>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</si>
  <si>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</si>
  <si>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</si>
  <si>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</si>
  <si>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</si>
  <si>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</si>
  <si>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</si>
  <si>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</si>
  <si>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</si>
  <si>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</si>
  <si>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</si>
  <si>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</si>
  <si>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</si>
  <si>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</si>
  <si>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</si>
  <si>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</si>
  <si>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</si>
  <si>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</si>
  <si>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</si>
  <si>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</si>
  <si>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</si>
  <si>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</si>
  <si>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</si>
  <si>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</si>
  <si>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</si>
  <si>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</si>
  <si>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</si>
  <si>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</si>
  <si>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</si>
  <si>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</si>
  <si>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</si>
  <si>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</si>
  <si>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</si>
  <si>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</si>
  <si>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</si>
  <si>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</si>
  <si>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</si>
  <si>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</si>
  <si>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</si>
  <si>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</si>
  <si>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</si>
  <si>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</si>
  <si>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</si>
  <si>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</si>
  <si>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</si>
  <si>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</si>
  <si>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</si>
  <si>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</si>
  <si>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</si>
  <si>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</si>
  <si>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</si>
  <si>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</si>
  <si>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</si>
  <si>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</si>
  <si>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</si>
  <si>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</si>
  <si>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</si>
  <si>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</si>
  <si>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</si>
  <si>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</si>
  <si>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</si>
  <si>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</si>
  <si>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</si>
  <si>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</si>
  <si>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</si>
  <si>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</si>
  <si>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</si>
  <si>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</si>
  <si>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</si>
  <si>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</si>
  <si>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</si>
  <si>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</si>
  <si>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</si>
  <si>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</si>
  <si>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</si>
  <si>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</si>
  <si>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</si>
  <si>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</si>
  <si>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</si>
  <si>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</si>
  <si>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</si>
  <si>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</si>
  <si>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</si>
  <si>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</si>
  <si>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</si>
  <si>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</si>
  <si>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</si>
  <si>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</si>
  <si>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</si>
  <si>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</si>
  <si>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</si>
  <si>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</si>
  <si>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</si>
  <si>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</si>
  <si>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</si>
  <si>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</si>
  <si>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</si>
  <si>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</si>
  <si>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</si>
  <si>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</si>
  <si>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</si>
  <si>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</si>
  <si>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</si>
  <si>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</si>
  <si>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</si>
  <si>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</si>
  <si>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</si>
  <si>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</si>
  <si>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</si>
  <si>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</si>
  <si>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</si>
  <si>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</si>
  <si>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</si>
  <si>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</si>
  <si>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</si>
  <si>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</si>
  <si>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</si>
  <si>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</si>
  <si>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</si>
  <si>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</si>
  <si>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</si>
  <si>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</si>
  <si>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</si>
  <si>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</si>
  <si>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</si>
  <si>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</si>
  <si>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</si>
  <si>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</si>
  <si>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</si>
  <si>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</si>
  <si>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</si>
  <si>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</si>
  <si>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</si>
  <si>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</si>
  <si>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</si>
  <si>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</si>
  <si>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</si>
  <si>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</si>
  <si>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</si>
  <si>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</si>
  <si>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</si>
  <si>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</si>
  <si>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</si>
  <si>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</si>
  <si>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</si>
  <si>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</si>
  <si>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</si>
  <si>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</si>
  <si>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</si>
  <si>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</si>
  <si>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</si>
  <si>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</si>
  <si>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</si>
  <si>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</si>
  <si>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</si>
  <si>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</si>
  <si>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</si>
  <si>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</si>
  <si>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</si>
  <si>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</si>
  <si>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</si>
  <si>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</si>
  <si>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</si>
  <si>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</si>
  <si>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</si>
  <si>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</si>
  <si>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</si>
  <si>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</si>
  <si>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</si>
  <si>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</si>
  <si>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</si>
  <si>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</si>
  <si>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</si>
  <si>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</si>
  <si>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</si>
  <si>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</si>
  <si>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</si>
  <si>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</si>
  <si>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</si>
  <si>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</si>
  <si>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</si>
  <si>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</si>
  <si>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</si>
  <si>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</si>
  <si>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</si>
  <si>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</si>
  <si>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</si>
  <si>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</si>
  <si>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</si>
  <si>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</si>
  <si>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</si>
  <si>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</si>
  <si>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</si>
  <si>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</si>
  <si>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</si>
  <si>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</si>
  <si>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</si>
  <si>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</si>
  <si>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</si>
  <si>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</si>
  <si>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</si>
  <si>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</si>
  <si>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</si>
  <si>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</si>
  <si>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</si>
  <si>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</si>
  <si>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</si>
  <si>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</si>
  <si>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</si>
  <si>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</si>
  <si>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</si>
  <si>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</si>
  <si>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</si>
  <si>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</si>
  <si>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</si>
  <si>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</si>
  <si>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</si>
  <si>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</si>
  <si>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</si>
  <si>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</si>
  <si>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</si>
  <si>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</si>
  <si>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</si>
  <si>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</si>
  <si>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</si>
  <si>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</si>
  <si>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</si>
  <si>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</si>
  <si>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</si>
  <si>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</si>
  <si>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</si>
  <si>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</si>
  <si>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</si>
  <si>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</si>
  <si>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</si>
  <si>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</si>
  <si>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</si>
  <si>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</si>
  <si>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</si>
  <si>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</si>
  <si>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</si>
  <si>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</si>
  <si>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</si>
  <si>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</si>
  <si>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</si>
  <si>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</si>
  <si>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</si>
  <si>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</si>
  <si>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</si>
  <si>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</si>
  <si>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</si>
  <si>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</si>
  <si>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</si>
  <si>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</si>
  <si>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</si>
  <si>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</si>
  <si>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</si>
  <si>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</si>
  <si>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</si>
  <si>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</si>
  <si>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</si>
  <si>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</si>
  <si>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</si>
  <si>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</si>
  <si>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</si>
  <si>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</si>
  <si>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</si>
  <si>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</si>
  <si>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</si>
  <si>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</si>
  <si>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</si>
  <si>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</si>
  <si>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</si>
  <si>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</si>
  <si>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</si>
  <si>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</si>
  <si>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</si>
  <si>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</si>
  <si>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</si>
  <si>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</si>
  <si>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</si>
  <si>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</si>
  <si>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</si>
  <si>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</si>
  <si>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</si>
  <si>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</si>
  <si>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</si>
  <si>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</si>
  <si>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</si>
  <si>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</si>
  <si>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</si>
  <si>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</si>
  <si>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</si>
  <si>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</si>
  <si>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</si>
  <si>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</si>
  <si>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</si>
  <si>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</si>
  <si>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</si>
  <si>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</si>
  <si>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</si>
  <si>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</si>
  <si>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</si>
  <si>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</si>
  <si>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</si>
  <si>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</si>
  <si>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</si>
  <si>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</si>
  <si>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</si>
  <si>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</si>
  <si>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</si>
  <si>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</si>
  <si>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</si>
  <si>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</si>
  <si>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</si>
  <si>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</si>
  <si>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</si>
  <si>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</si>
  <si>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</si>
  <si>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</si>
  <si>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</si>
  <si>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</si>
  <si>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</si>
  <si>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</si>
  <si>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</si>
  <si>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</si>
  <si>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</si>
  <si>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</si>
  <si>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</si>
  <si>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</si>
  <si>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</si>
  <si>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</si>
  <si>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</si>
  <si>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</si>
  <si>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</si>
  <si>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</si>
  <si>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</si>
  <si>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</si>
  <si>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</si>
  <si>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</si>
  <si>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</si>
  <si>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</si>
  <si>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</si>
  <si>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</si>
  <si>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</si>
  <si>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</si>
  <si>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</si>
  <si>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</si>
  <si>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</si>
  <si>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</si>
  <si>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</si>
  <si>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</si>
  <si>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</si>
  <si>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</si>
  <si>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</si>
  <si>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</si>
  <si>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</si>
  <si>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</si>
  <si>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</si>
  <si>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</si>
  <si>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</si>
  <si>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</si>
  <si>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</si>
  <si>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</si>
  <si>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</si>
  <si>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</si>
  <si>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</si>
  <si>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</si>
  <si>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</si>
  <si>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</si>
  <si>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</si>
  <si>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</si>
  <si>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</si>
  <si>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</si>
  <si>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</si>
  <si>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</si>
  <si>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</si>
  <si>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</si>
  <si>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</si>
  <si>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</si>
  <si>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</si>
  <si>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</si>
  <si>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</si>
  <si>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</si>
  <si>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</si>
  <si>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</si>
  <si>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</si>
  <si>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</si>
  <si>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</si>
  <si>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</si>
  <si>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</si>
  <si>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</si>
  <si>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</si>
  <si>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</si>
  <si>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</si>
  <si>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</si>
  <si>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</si>
  <si>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</si>
  <si>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</si>
  <si>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</si>
  <si>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</si>
  <si>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</si>
  <si>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</si>
  <si>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</si>
  <si>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</si>
  <si>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</si>
  <si>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</si>
  <si>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</si>
  <si>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</si>
  <si>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</si>
  <si>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</si>
  <si>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</si>
  <si>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</si>
  <si>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</si>
  <si>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</si>
  <si>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</si>
  <si>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</si>
  <si>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</si>
  <si>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</si>
  <si>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</si>
  <si>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</si>
  <si>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</si>
  <si>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</si>
  <si>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</si>
  <si>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</si>
  <si>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</si>
  <si>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</si>
  <si>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</si>
  <si>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</si>
  <si>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</si>
  <si>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</si>
  <si>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</si>
  <si>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</si>
  <si>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</si>
  <si>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</si>
  <si>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</si>
  <si>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</si>
  <si>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</si>
  <si>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</si>
  <si>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</si>
  <si>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</si>
  <si>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</si>
  <si>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</si>
  <si>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</si>
  <si>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</si>
  <si>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</si>
  <si>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</si>
  <si>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</si>
  <si>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</si>
  <si>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</si>
  <si>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</si>
  <si>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</si>
  <si>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</si>
  <si>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</si>
  <si>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</si>
  <si>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</si>
  <si>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</si>
  <si>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</si>
  <si>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</si>
  <si>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</si>
  <si>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</si>
  <si>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</si>
  <si>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</si>
  <si>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</si>
  <si>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</si>
  <si>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</si>
  <si>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</si>
  <si>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</si>
  <si>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</si>
  <si>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</si>
  <si>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</si>
  <si>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</si>
  <si>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</si>
  <si>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</si>
  <si>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</si>
  <si>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</si>
  <si>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</si>
  <si>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</si>
  <si>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</si>
  <si>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</si>
  <si>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</si>
  <si>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</si>
  <si>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</si>
  <si>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</si>
  <si>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</si>
  <si>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</si>
  <si>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</si>
  <si>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</si>
  <si>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</si>
  <si>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</si>
  <si>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</si>
  <si>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</si>
  <si>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</si>
  <si>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</si>
  <si>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</si>
  <si>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</si>
  <si>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</si>
  <si>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</si>
  <si>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</si>
  <si>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</si>
  <si>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</si>
  <si>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</si>
  <si>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</si>
  <si>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</si>
  <si>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</si>
  <si>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</si>
  <si>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</si>
  <si>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</si>
  <si>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</si>
  <si>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</si>
  <si>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</si>
  <si>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</si>
  <si>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</si>
  <si>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</si>
  <si>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</si>
  <si>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</si>
  <si>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</si>
  <si>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</si>
  <si>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</si>
  <si>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</si>
  <si>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</si>
  <si>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</si>
  <si>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</si>
  <si>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</si>
  <si>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</si>
  <si>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</si>
  <si>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</si>
  <si>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</si>
  <si>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</si>
  <si>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</si>
  <si>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</si>
  <si>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</si>
  <si>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</si>
  <si>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</si>
  <si>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</si>
  <si>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</si>
  <si>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</si>
  <si>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</si>
  <si>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</si>
  <si>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</si>
  <si>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</si>
  <si>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</si>
  <si>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</si>
  <si>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</si>
  <si>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</si>
  <si>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</si>
  <si>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</si>
  <si>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</si>
  <si>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</si>
  <si>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</si>
  <si>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</si>
  <si>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</si>
  <si>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</si>
  <si>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</si>
  <si>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</si>
  <si>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</si>
  <si>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</si>
  <si>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</si>
  <si>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</si>
  <si>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</si>
  <si>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</si>
  <si>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</si>
  <si>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</si>
  <si>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</si>
  <si>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</si>
  <si>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</si>
  <si>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</si>
  <si>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</si>
  <si>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</si>
  <si>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</si>
  <si>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</si>
  <si>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</si>
  <si>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</si>
  <si>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</si>
  <si>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</si>
  <si>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</si>
  <si>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</si>
  <si>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</si>
  <si>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</si>
  <si>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</si>
  <si>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</si>
  <si>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</si>
  <si>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</si>
  <si>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</si>
  <si>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</si>
  <si>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</si>
  <si>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</si>
  <si>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</si>
  <si>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</si>
  <si>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</si>
  <si>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</si>
  <si>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</si>
  <si>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</si>
  <si>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</si>
  <si>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</si>
  <si>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</si>
  <si>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</si>
  <si>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</si>
  <si>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</si>
  <si>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</si>
  <si>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</si>
  <si>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</si>
  <si>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</si>
  <si>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</si>
  <si>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</si>
  <si>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</si>
  <si>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</si>
  <si>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</si>
  <si>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</si>
  <si>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</si>
  <si>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</si>
  <si>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</si>
  <si>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</si>
  <si>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</si>
  <si>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</si>
  <si>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</si>
  <si>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</si>
  <si>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</si>
  <si>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</si>
  <si>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</si>
  <si>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</si>
  <si>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</si>
  <si>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</si>
  <si>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</si>
  <si>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</si>
  <si>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</si>
  <si>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</si>
  <si>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</si>
  <si>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</si>
  <si>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</si>
  <si>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</si>
  <si>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</si>
  <si>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</si>
  <si>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</si>
  <si>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</si>
  <si>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</si>
  <si>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</si>
  <si>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</si>
  <si>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</si>
  <si>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</si>
  <si>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</si>
  <si>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</si>
  <si>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</si>
  <si>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</si>
  <si>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</si>
  <si>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</si>
  <si>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</si>
  <si>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</si>
  <si>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</si>
  <si>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</si>
  <si>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</si>
  <si>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</si>
  <si>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</si>
  <si>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</si>
  <si>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</si>
  <si>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</si>
  <si>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</si>
  <si>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</si>
  <si>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</si>
  <si>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</si>
  <si>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</si>
  <si>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</si>
  <si>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</si>
  <si>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</si>
  <si>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</si>
  <si>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</si>
  <si>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</si>
  <si>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</si>
  <si>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</si>
  <si>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</si>
  <si>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</si>
  <si>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</si>
  <si>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</si>
  <si>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</si>
  <si>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</si>
  <si>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</si>
  <si>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</si>
  <si>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</si>
  <si>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</si>
  <si>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</si>
  <si>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</si>
  <si>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</si>
  <si>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</si>
  <si>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</si>
  <si>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</si>
  <si>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</si>
  <si>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</si>
  <si>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</si>
  <si>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</si>
  <si>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</si>
  <si>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</si>
  <si>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</si>
  <si>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</si>
  <si>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</si>
  <si>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</si>
  <si>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</si>
  <si>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</si>
  <si>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</si>
  <si>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</si>
  <si>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</si>
  <si>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</si>
  <si>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</si>
  <si>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</si>
  <si>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</si>
  <si>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</si>
  <si>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</si>
  <si>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</si>
  <si>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</si>
  <si>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</si>
  <si>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</si>
  <si>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</si>
  <si>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</si>
  <si>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</si>
  <si>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</si>
  <si>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</si>
  <si>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</si>
  <si>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</si>
  <si>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</si>
  <si>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</si>
  <si>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</si>
  <si>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</si>
  <si>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</si>
  <si>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</si>
  <si>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</si>
  <si>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</si>
  <si>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</si>
  <si>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</si>
  <si>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</si>
  <si>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</si>
  <si>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</si>
  <si>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</si>
  <si>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</si>
  <si>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</si>
  <si>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</si>
  <si>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</si>
  <si>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</si>
  <si>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</si>
  <si>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</si>
  <si>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</si>
  <si>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</si>
  <si>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</si>
  <si>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</si>
  <si>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</si>
  <si>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</si>
  <si>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</si>
  <si>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</si>
  <si>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</si>
  <si>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</si>
  <si>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</si>
  <si>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</si>
  <si>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</si>
  <si>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</si>
  <si>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</si>
  <si>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</si>
  <si>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</si>
  <si>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</si>
  <si>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</si>
  <si>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</si>
  <si>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</si>
  <si>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</si>
  <si>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</si>
  <si>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</si>
  <si>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</si>
  <si>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</si>
  <si>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</si>
  <si>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</si>
  <si>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</si>
  <si>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</si>
  <si>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</si>
  <si>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</si>
  <si>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</si>
  <si>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</si>
  <si>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</si>
  <si>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</si>
  <si>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</si>
  <si>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</si>
  <si>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</si>
  <si>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</si>
  <si>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</si>
  <si>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</si>
  <si>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</si>
  <si>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</si>
  <si>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</si>
  <si>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</si>
  <si>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</si>
  <si>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</si>
  <si>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</si>
  <si>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</si>
  <si>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</si>
  <si>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</si>
  <si>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</si>
  <si>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</si>
  <si>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</si>
  <si>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</si>
  <si>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</si>
  <si>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</si>
  <si>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</si>
  <si>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</si>
  <si>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</si>
  <si>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</si>
  <si>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</si>
  <si>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</si>
  <si>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</si>
  <si>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</si>
  <si>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</si>
  <si>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</si>
  <si>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</si>
  <si>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</si>
  <si>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</si>
  <si>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</si>
  <si>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</si>
  <si>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</si>
  <si>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</si>
  <si>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</si>
  <si>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</si>
  <si>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</si>
  <si>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</si>
  <si>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</si>
  <si>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</si>
  <si>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</si>
  <si>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</si>
  <si>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</si>
  <si>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</si>
  <si>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</si>
  <si>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</si>
  <si>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</si>
  <si>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</si>
  <si>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</si>
  <si>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</si>
  <si>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</si>
  <si>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</si>
  <si>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</si>
  <si>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</si>
  <si>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</si>
  <si>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</si>
  <si>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</si>
  <si>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</si>
  <si>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</si>
  <si>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</si>
  <si>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</si>
  <si>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</si>
  <si>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</si>
  <si>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</si>
  <si>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</si>
  <si>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</si>
  <si>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</si>
  <si>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</si>
  <si>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</si>
  <si>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</si>
  <si>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</si>
  <si>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</si>
  <si>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</si>
  <si>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</si>
  <si>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</si>
  <si>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</si>
  <si>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</si>
  <si>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</si>
  <si>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</si>
  <si>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</si>
  <si>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</si>
  <si>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</si>
  <si>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</si>
  <si>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</si>
  <si>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</si>
  <si>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</si>
  <si>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</si>
  <si>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</si>
  <si>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</si>
  <si>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</si>
  <si>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</si>
  <si>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</si>
  <si>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</si>
  <si>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</si>
  <si>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</si>
  <si>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</si>
  <si>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</si>
  <si>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</si>
  <si>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</si>
  <si>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</si>
  <si>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</si>
  <si>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</si>
  <si>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</si>
  <si>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</si>
  <si>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</si>
  <si>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</si>
  <si>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</si>
  <si>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</si>
  <si>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</si>
  <si>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</si>
  <si>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</si>
  <si>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</si>
  <si>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</si>
  <si>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</si>
  <si>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</si>
  <si>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</si>
  <si>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</si>
  <si>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</si>
  <si>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</si>
  <si>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</si>
  <si>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</si>
  <si>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</si>
  <si>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</si>
  <si>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</si>
  <si>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</si>
  <si>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</si>
  <si>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</si>
  <si>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</si>
  <si>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</si>
  <si>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</si>
  <si>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</si>
  <si>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</si>
  <si>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</si>
  <si>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</si>
  <si>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</si>
  <si>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</si>
  <si>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</si>
  <si>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</si>
  <si>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</si>
  <si>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</si>
  <si>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</si>
  <si>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</si>
  <si>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</si>
  <si>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</si>
  <si>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</si>
  <si>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</si>
  <si>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</si>
  <si>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</si>
  <si>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</si>
  <si>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</si>
  <si>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</si>
  <si>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</si>
  <si>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</si>
  <si>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</si>
  <si>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</si>
  <si>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</si>
  <si>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</si>
  <si>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</si>
  <si>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</si>
  <si>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</si>
  <si>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</si>
  <si>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</si>
  <si>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</si>
  <si>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</si>
  <si>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</si>
  <si>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</si>
  <si>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</si>
  <si>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</si>
  <si>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</si>
  <si>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</si>
  <si>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</si>
  <si>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</si>
  <si>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</si>
  <si>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</si>
  <si>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</si>
  <si>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</si>
  <si>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</si>
  <si>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</si>
  <si>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</si>
  <si>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</si>
  <si>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</si>
  <si>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</si>
  <si>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</si>
  <si>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</si>
  <si>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</si>
  <si>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</si>
  <si>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</si>
  <si>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</si>
  <si>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</si>
  <si>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</si>
  <si>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</si>
  <si>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</si>
  <si>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</si>
  <si>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</si>
  <si>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</si>
  <si>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</si>
  <si>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</si>
  <si>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</si>
  <si>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</si>
  <si>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</si>
  <si>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</si>
  <si>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</si>
  <si>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</si>
  <si>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</si>
  <si>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</si>
  <si>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</si>
  <si>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</si>
  <si>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</si>
  <si>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</si>
  <si>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</si>
  <si>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</si>
  <si>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</si>
  <si>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</si>
  <si>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</si>
  <si>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</si>
  <si>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</si>
  <si>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</si>
  <si>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</si>
  <si>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</si>
  <si>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</si>
  <si>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</si>
  <si>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</si>
  <si>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</si>
  <si>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</si>
  <si>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</si>
  <si>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</si>
  <si>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</si>
  <si>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</si>
  <si>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</si>
  <si>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</si>
  <si>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</si>
  <si>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</si>
  <si>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</si>
  <si>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</si>
  <si>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</si>
  <si>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</si>
  <si>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</si>
  <si>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</si>
  <si>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</si>
  <si>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</si>
  <si>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</si>
  <si>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</si>
  <si>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</si>
  <si>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</si>
  <si>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</si>
  <si>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</si>
  <si>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</si>
  <si>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</si>
  <si>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</si>
  <si>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</si>
  <si>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</si>
  <si>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</si>
  <si>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</si>
  <si>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</si>
  <si>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</si>
  <si>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</si>
  <si>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</si>
  <si>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</si>
  <si>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</si>
  <si>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</si>
  <si>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</si>
  <si>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</si>
  <si>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</si>
  <si>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</si>
  <si>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</si>
  <si>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</si>
  <si>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</si>
  <si>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</si>
  <si>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</si>
  <si>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</si>
  <si>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</si>
  <si>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</si>
  <si>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</si>
  <si>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</si>
  <si>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</si>
  <si>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</si>
  <si>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</si>
  <si>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</si>
  <si>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</si>
  <si>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</si>
  <si>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</si>
  <si>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</si>
  <si>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</si>
  <si>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</si>
  <si>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</si>
  <si>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</si>
  <si>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</si>
  <si>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</si>
  <si>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</si>
  <si>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</si>
  <si>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</si>
  <si>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</si>
  <si>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</si>
  <si>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</si>
  <si>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</si>
  <si>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</si>
  <si>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</si>
  <si>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</si>
  <si>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</si>
  <si>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</si>
  <si>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</si>
  <si>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</si>
  <si>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</si>
  <si>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</si>
  <si>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</si>
  <si>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</si>
  <si>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</si>
  <si>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</si>
  <si>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</si>
  <si>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</si>
  <si>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</si>
  <si>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</si>
  <si>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</si>
  <si>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</si>
  <si>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</si>
  <si>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</si>
  <si>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</si>
  <si>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</si>
  <si>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</si>
  <si>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</si>
  <si>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</si>
  <si>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</si>
  <si>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</si>
  <si>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</si>
  <si>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</si>
  <si>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</si>
  <si>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</si>
  <si>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</si>
  <si>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</si>
  <si>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</si>
  <si>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</si>
  <si>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</si>
  <si>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</si>
  <si>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</si>
  <si>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</si>
  <si>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</si>
  <si>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</si>
  <si>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</si>
  <si>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</si>
  <si>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</si>
  <si>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</si>
  <si>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</si>
  <si>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</si>
  <si>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</si>
  <si>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</si>
  <si>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</si>
  <si>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</si>
  <si>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</si>
  <si>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</si>
  <si>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</si>
  <si>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</si>
  <si>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</si>
  <si>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</si>
  <si>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</si>
  <si>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</si>
  <si>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</si>
  <si>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</si>
  <si>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</si>
  <si>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</si>
  <si>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</si>
  <si>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</si>
  <si>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</si>
  <si>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</si>
  <si>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</si>
  <si>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</si>
  <si>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</si>
  <si>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</si>
  <si>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</si>
  <si>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</si>
  <si>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</si>
  <si>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</si>
  <si>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</si>
  <si>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</si>
  <si>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</si>
  <si>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</si>
  <si>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</si>
  <si>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</si>
  <si>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</si>
  <si>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</si>
  <si>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</si>
  <si>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</si>
  <si>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</si>
  <si>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</si>
  <si>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</si>
  <si>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</si>
  <si>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</si>
  <si>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</si>
  <si>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</si>
  <si>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</si>
  <si>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</si>
  <si>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</si>
  <si>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</si>
  <si>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</si>
  <si>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</si>
  <si>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</si>
  <si>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</si>
  <si>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</si>
  <si>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</si>
  <si>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</si>
  <si>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</si>
  <si>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</si>
  <si>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</si>
  <si>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</si>
  <si>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</si>
  <si>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</si>
  <si>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</si>
  <si>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</si>
  <si>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</si>
  <si>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</si>
  <si>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</si>
  <si>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</si>
  <si>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</si>
  <si>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</si>
  <si>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</si>
  <si>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</si>
  <si>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</si>
  <si>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</si>
  <si>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</si>
  <si>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</si>
  <si>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</si>
  <si>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</si>
  <si>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</si>
  <si>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</si>
  <si>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</si>
  <si>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</si>
  <si>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</si>
  <si>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</si>
  <si>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</si>
  <si>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</si>
  <si>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</si>
  <si>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</si>
  <si>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</si>
  <si>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</si>
  <si>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</si>
  <si>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</si>
  <si>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</si>
  <si>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</si>
  <si>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</si>
  <si>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</si>
  <si>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</si>
  <si>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</si>
  <si>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</si>
  <si>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</si>
  <si>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</si>
  <si>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</si>
  <si>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</si>
  <si>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</si>
  <si>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</si>
  <si>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</si>
  <si>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</si>
  <si>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</si>
  <si>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</si>
  <si>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</si>
  <si>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</si>
  <si>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</si>
  <si>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</si>
  <si>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</si>
  <si>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</si>
  <si>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</si>
  <si>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</si>
  <si>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</si>
  <si>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</si>
  <si>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</si>
  <si>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</si>
  <si>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</si>
  <si>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</si>
  <si>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</si>
  <si>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</si>
  <si>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</si>
  <si>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</si>
  <si>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</si>
  <si>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</si>
  <si>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</si>
  <si>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</si>
  <si>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</si>
  <si>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</si>
  <si>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</si>
  <si>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</si>
  <si>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</si>
  <si>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</si>
  <si>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</si>
  <si>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</si>
  <si>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</si>
  <si>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</si>
  <si>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</si>
  <si>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</si>
  <si>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</si>
  <si>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</si>
  <si>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</si>
  <si>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</si>
  <si>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</si>
  <si>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</si>
  <si>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</si>
  <si>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</si>
  <si>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</si>
  <si>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</si>
  <si>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</si>
  <si>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</si>
  <si>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</si>
  <si>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</si>
  <si>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</si>
  <si>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</si>
  <si>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</si>
  <si>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</si>
  <si>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</si>
  <si>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</si>
  <si>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</si>
  <si>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</si>
  <si>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</si>
  <si>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</si>
  <si>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</si>
  <si>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</si>
  <si>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</si>
  <si>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</si>
  <si>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</si>
  <si>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</si>
  <si>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</si>
  <si>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</si>
  <si>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</si>
  <si>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</si>
  <si>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</si>
  <si>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</si>
  <si>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</si>
  <si>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</si>
  <si>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</si>
  <si>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</si>
  <si>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</si>
  <si>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</si>
  <si>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</si>
  <si>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</si>
  <si>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</si>
  <si>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</si>
  <si>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</si>
  <si>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</si>
  <si>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</si>
  <si>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</si>
  <si>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</si>
  <si>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</si>
  <si>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</si>
  <si>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</si>
  <si>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</si>
  <si>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</si>
  <si>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</si>
  <si>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</si>
  <si>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</si>
  <si>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</si>
  <si>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</si>
  <si>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</si>
  <si>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</si>
  <si>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</si>
  <si>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</si>
  <si>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</si>
  <si>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</si>
  <si>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</si>
  <si>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</si>
  <si>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</si>
  <si>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</si>
  <si>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</si>
  <si>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</si>
  <si>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</si>
  <si>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</si>
  <si>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</si>
  <si>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</si>
  <si>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</si>
  <si>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</si>
  <si>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</si>
  <si>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</si>
  <si>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</si>
  <si>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</si>
  <si>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</si>
  <si>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</si>
  <si>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</si>
  <si>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</si>
  <si>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</si>
  <si>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</si>
  <si>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</si>
  <si>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</si>
  <si>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</si>
  <si>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</si>
  <si>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</si>
  <si>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</si>
  <si>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</si>
  <si>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</si>
  <si>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</si>
  <si>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</si>
  <si>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</si>
  <si>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</si>
  <si>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</si>
  <si>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</si>
  <si>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</si>
  <si>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</si>
  <si>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</si>
  <si>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</si>
  <si>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</si>
  <si>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</si>
  <si>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</si>
  <si>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</si>
  <si>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</si>
  <si>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</si>
  <si>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</si>
  <si>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</si>
  <si>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</si>
  <si>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</si>
  <si>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</si>
  <si>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</si>
  <si>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</si>
  <si>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</si>
  <si>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</si>
  <si>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</si>
  <si>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</si>
  <si>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</si>
  <si>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</si>
  <si>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</si>
  <si>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</si>
  <si>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</si>
  <si>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</si>
  <si>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</si>
  <si>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</si>
  <si>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</si>
  <si>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</si>
  <si>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</si>
  <si>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</si>
  <si>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</si>
  <si>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</si>
  <si>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</si>
  <si>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</si>
  <si>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</si>
  <si>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</si>
  <si>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</si>
  <si>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</si>
  <si>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</si>
  <si>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</si>
  <si>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</si>
  <si>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</si>
  <si>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</si>
  <si>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</si>
  <si>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</si>
  <si>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</si>
  <si>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</si>
  <si>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</si>
  <si>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</si>
  <si>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</si>
  <si>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</si>
  <si>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</si>
  <si>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</si>
  <si>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</si>
  <si>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</si>
  <si>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</si>
  <si>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</si>
  <si>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</si>
  <si>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</si>
  <si>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</si>
  <si>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</si>
  <si>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</si>
  <si>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</si>
  <si>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</si>
  <si>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</si>
  <si>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</si>
  <si>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</si>
  <si>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</si>
  <si>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</si>
  <si>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</si>
  <si>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</si>
  <si>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</si>
  <si>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</si>
  <si>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</si>
  <si>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</si>
  <si>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</si>
  <si>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</si>
  <si>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</si>
  <si>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</si>
  <si>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</si>
  <si>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</si>
  <si>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</si>
  <si>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</si>
  <si>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</si>
  <si>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</si>
  <si>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</si>
  <si>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</si>
  <si>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</si>
  <si>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</si>
  <si>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</si>
  <si>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</si>
  <si>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</si>
  <si>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</si>
  <si>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</si>
  <si>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</si>
  <si>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</si>
  <si>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</si>
  <si>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</si>
  <si>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</si>
  <si>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</si>
  <si>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</si>
  <si>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</si>
  <si>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</si>
  <si>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</si>
  <si>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</si>
  <si>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</si>
  <si>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</si>
  <si>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</si>
  <si>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</si>
  <si>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</si>
  <si>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</si>
  <si>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</si>
  <si>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</si>
  <si>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</si>
  <si>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</si>
  <si>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</si>
  <si>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</si>
  <si>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</si>
  <si>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</si>
  <si>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</si>
  <si>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</si>
  <si>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</si>
  <si>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</si>
  <si>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</si>
  <si>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</si>
  <si>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</si>
  <si>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</si>
  <si>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</si>
  <si>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</si>
  <si>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</si>
  <si>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</si>
  <si>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</si>
  <si>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</si>
  <si>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</si>
  <si>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</si>
  <si>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</si>
  <si>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</si>
  <si>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</si>
  <si>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</si>
  <si>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</si>
  <si>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</si>
  <si>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</si>
  <si>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</si>
  <si>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</si>
  <si>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</si>
  <si>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</si>
  <si>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</si>
  <si>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</si>
  <si>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</si>
  <si>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</si>
  <si>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</si>
  <si>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</si>
  <si>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</si>
  <si>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</si>
  <si>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</si>
  <si>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</si>
  <si>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</si>
  <si>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</si>
  <si>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</si>
  <si>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</si>
  <si>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</si>
  <si>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</si>
  <si>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</si>
  <si>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</si>
  <si>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</si>
  <si>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</si>
  <si>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</si>
  <si>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</si>
  <si>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</si>
  <si>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</si>
  <si>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</si>
  <si>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</si>
  <si>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</si>
  <si>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</si>
  <si>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</si>
  <si>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</si>
  <si>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</si>
  <si>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</si>
  <si>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</si>
  <si>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</si>
  <si>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</si>
  <si>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</si>
  <si>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</si>
  <si>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</si>
  <si>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</si>
  <si>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</si>
  <si>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</si>
  <si>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</si>
  <si>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</si>
  <si>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</si>
  <si>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</si>
  <si>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</si>
  <si>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</si>
  <si>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</si>
  <si>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</si>
  <si>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</si>
  <si>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</si>
  <si>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</si>
  <si>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</si>
  <si>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</si>
  <si>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</si>
  <si>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</si>
  <si>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</si>
  <si>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</si>
  <si>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</si>
  <si>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</si>
  <si>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</si>
  <si>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</si>
  <si>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</si>
  <si>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</si>
  <si>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</si>
  <si>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</si>
  <si>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</si>
  <si>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</si>
  <si>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</si>
  <si>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</si>
  <si>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</si>
  <si>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</si>
  <si>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</si>
  <si>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</si>
  <si>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</si>
  <si>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</si>
  <si>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</si>
  <si>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</si>
  <si>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</si>
  <si>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</si>
  <si>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</si>
  <si>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</si>
  <si>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</si>
  <si>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</si>
  <si>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</si>
  <si>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</si>
  <si>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</si>
  <si>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</si>
  <si>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</si>
  <si>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</si>
  <si>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</si>
  <si>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</si>
  <si>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</si>
  <si>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</si>
  <si>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</si>
  <si>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</si>
  <si>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</si>
  <si>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</si>
  <si>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</si>
  <si>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</si>
  <si>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</si>
  <si>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</si>
  <si>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</si>
  <si>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</si>
  <si>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</si>
  <si>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</si>
  <si>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</si>
  <si>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</si>
  <si>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</si>
  <si>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</si>
  <si>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</si>
  <si>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</si>
  <si>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</si>
  <si>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</si>
  <si>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</si>
  <si>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</si>
  <si>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</si>
  <si>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</si>
  <si>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</si>
  <si>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</si>
  <si>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</si>
  <si>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</si>
  <si>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</si>
  <si>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</si>
  <si>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</si>
  <si>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</si>
  <si>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</si>
  <si>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</si>
  <si>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</si>
  <si>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</si>
  <si>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</si>
  <si>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</si>
  <si>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</si>
  <si>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</si>
  <si>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</si>
  <si>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</si>
  <si>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</si>
  <si>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</si>
  <si>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</si>
  <si>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</si>
  <si>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</si>
  <si>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</si>
  <si>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</si>
  <si>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</si>
  <si>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</si>
  <si>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</si>
  <si>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</si>
  <si>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</si>
  <si>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</si>
  <si>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</si>
  <si>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</si>
  <si>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</si>
  <si>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</si>
  <si>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</si>
  <si>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</si>
  <si>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</si>
  <si>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</si>
  <si>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</si>
  <si>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</si>
  <si>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</si>
  <si>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</si>
  <si>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</si>
  <si>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</si>
  <si>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</si>
  <si>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</si>
  <si>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</si>
  <si>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</si>
  <si>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</si>
  <si>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</si>
  <si>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</si>
  <si>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</si>
  <si>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</si>
  <si>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</si>
  <si>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</si>
  <si>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</si>
  <si>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</si>
  <si>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</si>
  <si>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</si>
  <si>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</si>
  <si>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</si>
  <si>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</si>
  <si>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</si>
  <si>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</si>
  <si>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</si>
  <si>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</si>
  <si>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</si>
  <si>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</si>
  <si>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</si>
  <si>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</si>
  <si>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</si>
  <si>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</si>
  <si>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</si>
  <si>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</si>
  <si>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</si>
  <si>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</si>
  <si>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</si>
  <si>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</si>
  <si>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</si>
  <si>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</si>
  <si>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</si>
  <si>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</si>
  <si>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</si>
  <si>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</si>
  <si>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</si>
  <si>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</si>
  <si>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</si>
  <si>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</si>
  <si>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</si>
  <si>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</si>
  <si>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</si>
  <si>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</si>
  <si>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</si>
  <si>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</si>
  <si>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</si>
  <si>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</si>
  <si>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</si>
  <si>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</si>
  <si>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</si>
  <si>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</si>
  <si>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</si>
  <si>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</si>
  <si>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</si>
  <si>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</si>
  <si>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</si>
  <si>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</si>
  <si>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</si>
  <si>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</si>
  <si>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</si>
  <si>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</si>
  <si>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</si>
  <si>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</si>
  <si>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</si>
  <si>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</si>
  <si>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</si>
  <si>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</si>
  <si>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</si>
  <si>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</si>
  <si>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</si>
  <si>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</si>
  <si>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</si>
  <si>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</si>
  <si>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</si>
  <si>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</si>
  <si>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</si>
  <si>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</si>
  <si>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</si>
  <si>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</si>
  <si>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</si>
  <si>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</si>
  <si>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</si>
  <si>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</si>
  <si>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</si>
  <si>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</si>
  <si>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</si>
  <si>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</si>
  <si>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</si>
  <si>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</si>
  <si>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</si>
  <si>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</si>
  <si>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</si>
  <si>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</si>
  <si>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</si>
  <si>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</si>
  <si>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</si>
  <si>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</si>
  <si>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</si>
  <si>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</si>
  <si>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</si>
  <si>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</si>
  <si>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</si>
  <si>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</si>
  <si>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</si>
  <si>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</si>
  <si>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</si>
  <si>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</si>
  <si>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</si>
  <si>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</si>
  <si>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</si>
  <si>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</si>
  <si>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</si>
  <si>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</si>
  <si>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</si>
  <si>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</si>
  <si>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</si>
  <si>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</si>
  <si>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</si>
  <si>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</si>
  <si>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</si>
  <si>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</si>
  <si>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</si>
  <si>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</si>
  <si>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</si>
  <si>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</si>
  <si>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</si>
  <si>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</si>
  <si>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</si>
  <si>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</si>
  <si>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</si>
  <si>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</si>
  <si>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</si>
  <si>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</si>
  <si>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</si>
  <si>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</si>
  <si>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</si>
  <si>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</si>
  <si>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</si>
  <si>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</si>
  <si>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</si>
  <si>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</si>
  <si>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</si>
  <si>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</si>
  <si>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</si>
  <si>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</si>
  <si>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</si>
  <si>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</si>
  <si>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</si>
  <si>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</si>
  <si>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</si>
  <si>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</si>
  <si>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</si>
  <si>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</si>
  <si>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</si>
  <si>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</si>
  <si>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</si>
  <si>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</si>
  <si>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</si>
  <si>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</si>
  <si>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</si>
  <si>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</si>
  <si>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</si>
  <si>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</si>
  <si>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</si>
  <si>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</si>
  <si>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</si>
  <si>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</si>
  <si>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</si>
  <si>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</si>
  <si>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</si>
  <si>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</si>
  <si>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</si>
  <si>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</si>
  <si>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</si>
  <si>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</si>
  <si>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</si>
  <si>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</si>
  <si>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</si>
  <si>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</si>
  <si>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</si>
  <si>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</si>
  <si>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</si>
  <si>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</si>
  <si>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</si>
  <si>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</si>
  <si>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</si>
  <si>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</si>
  <si>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</si>
  <si>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</si>
  <si>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</si>
  <si>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</si>
  <si>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</si>
  <si>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</si>
  <si>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</si>
  <si>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</si>
  <si>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</si>
  <si>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</si>
  <si>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</si>
  <si>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</si>
  <si>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</si>
  <si>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</si>
  <si>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</si>
  <si>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</si>
  <si>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</si>
  <si>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</si>
  <si>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</si>
  <si>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</si>
  <si>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</si>
  <si>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</si>
  <si>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</si>
  <si>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</si>
  <si>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</si>
  <si>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</si>
  <si>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</si>
  <si>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</si>
  <si>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</si>
  <si>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</si>
  <si>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</si>
  <si>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</si>
  <si>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</si>
  <si>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</si>
  <si>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</si>
  <si>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</si>
  <si>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</si>
  <si>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</si>
  <si>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</si>
  <si>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</si>
  <si>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</si>
  <si>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</si>
  <si>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</si>
  <si>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</si>
  <si>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</si>
  <si>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</si>
  <si>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</si>
  <si>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</si>
  <si>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</si>
  <si>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</si>
  <si>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</si>
  <si>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</si>
  <si>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</si>
  <si>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</si>
  <si>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</si>
  <si>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</si>
  <si>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</si>
  <si>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</si>
  <si>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</si>
  <si>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</si>
  <si>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</si>
  <si>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</si>
  <si>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</si>
  <si>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</si>
  <si>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</si>
  <si>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</si>
  <si>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</si>
  <si>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</si>
  <si>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</si>
  <si>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</si>
  <si>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</si>
  <si>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</si>
  <si>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</si>
  <si>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</si>
  <si>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</si>
  <si>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</si>
  <si>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</si>
  <si>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</si>
  <si>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</si>
  <si>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</si>
  <si>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</si>
  <si>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</si>
  <si>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</si>
  <si>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</si>
  <si>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</si>
  <si>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</si>
  <si>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</si>
  <si>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</si>
  <si>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</si>
  <si>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</si>
  <si>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</si>
  <si>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</si>
  <si>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</si>
  <si>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</si>
  <si>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</si>
  <si>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</si>
  <si>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</si>
  <si>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</si>
  <si>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</si>
  <si>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</si>
  <si>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</si>
  <si>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</si>
  <si>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</si>
  <si>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</si>
  <si>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</si>
  <si>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</si>
  <si>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</si>
  <si>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</si>
  <si>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</si>
  <si>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</si>
  <si>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</si>
  <si>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</si>
  <si>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</si>
  <si>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</si>
  <si>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</si>
  <si>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</si>
  <si>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</si>
  <si>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</si>
  <si>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</si>
  <si>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</si>
  <si>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</si>
  <si>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</si>
  <si>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</si>
  <si>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</si>
  <si>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</si>
  <si>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</si>
  <si>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</si>
  <si>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</si>
  <si>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</si>
  <si>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</si>
  <si>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</si>
  <si>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</si>
  <si>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</si>
  <si>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</si>
  <si>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</si>
  <si>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</si>
  <si>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</si>
  <si>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</si>
  <si>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</si>
  <si>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</si>
  <si>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</si>
  <si>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</si>
  <si>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</si>
  <si>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</si>
  <si>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</si>
  <si>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</si>
  <si>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</si>
  <si>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</si>
  <si>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</si>
  <si>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</si>
  <si>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</si>
  <si>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</si>
  <si>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</si>
  <si>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</si>
  <si>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</si>
  <si>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</si>
  <si>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</si>
  <si>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</si>
  <si>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</si>
  <si>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</si>
  <si>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</si>
  <si>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</si>
  <si>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</si>
  <si>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</si>
  <si>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</si>
  <si>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</si>
  <si>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</si>
  <si>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</si>
  <si>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</si>
  <si>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</si>
  <si>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</si>
  <si>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</si>
  <si>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</si>
  <si>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</si>
  <si>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</si>
  <si>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</si>
  <si>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</si>
  <si>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</si>
  <si>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</si>
  <si>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</si>
  <si>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</si>
  <si>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</si>
  <si>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</si>
  <si>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</si>
  <si>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</si>
  <si>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</si>
  <si>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</si>
  <si>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</si>
  <si>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</si>
  <si>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</si>
  <si>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</si>
  <si>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</si>
  <si>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</si>
  <si>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</si>
  <si>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</si>
  <si>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</si>
  <si>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</si>
  <si>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</si>
  <si>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</si>
  <si>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</si>
  <si>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</si>
  <si>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</si>
  <si>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</si>
  <si>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</si>
  <si>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</si>
  <si>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</si>
  <si>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</si>
  <si>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</si>
  <si>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</si>
  <si>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</si>
  <si>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</si>
  <si>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</si>
  <si>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</si>
  <si>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</si>
  <si>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</si>
  <si>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</si>
  <si>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</si>
  <si>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</si>
  <si>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</si>
  <si>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</si>
  <si>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</si>
  <si>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</si>
  <si>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</si>
  <si>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</si>
  <si>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</si>
  <si>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</si>
  <si>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</si>
  <si>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</si>
  <si>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</si>
  <si>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</si>
  <si>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</si>
  <si>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</si>
  <si>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</si>
  <si>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</si>
  <si>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</si>
  <si>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</si>
  <si>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</si>
  <si>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</si>
  <si>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</si>
  <si>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</si>
  <si>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</si>
  <si>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</si>
  <si>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</si>
  <si>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</si>
  <si>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</si>
  <si>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</si>
  <si>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</si>
  <si>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</si>
  <si>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</si>
  <si>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</si>
  <si>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</si>
  <si>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</si>
  <si>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</si>
  <si>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</si>
  <si>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</si>
  <si>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</si>
  <si>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</si>
  <si>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</si>
  <si>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</si>
  <si>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</si>
  <si>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</si>
  <si>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</si>
  <si>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</si>
  <si>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</si>
  <si>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</si>
  <si>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</si>
  <si>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</si>
  <si>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</si>
  <si>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</si>
  <si>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</si>
  <si>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</si>
  <si>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</si>
  <si>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</si>
  <si>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</si>
  <si>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</si>
  <si>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</si>
  <si>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</si>
  <si>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</si>
  <si>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</si>
  <si>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</si>
  <si>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</si>
  <si>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</si>
  <si>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</si>
  <si>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</si>
  <si>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</si>
  <si>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</si>
  <si>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</si>
  <si>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</si>
  <si>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</si>
  <si>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</si>
  <si>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</si>
  <si>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</si>
  <si>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</si>
  <si>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</si>
  <si>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</si>
  <si>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</si>
  <si>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</si>
  <si>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</si>
  <si>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</si>
  <si>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</si>
  <si>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</si>
  <si>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</si>
  <si>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</si>
  <si>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</si>
  <si>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</si>
  <si>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</si>
  <si>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</si>
  <si>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</si>
  <si>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</si>
  <si>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</si>
  <si>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</si>
  <si>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</si>
  <si>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</si>
  <si>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</si>
  <si>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</si>
  <si>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</si>
  <si>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</si>
  <si>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</si>
  <si>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</si>
  <si>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</si>
  <si>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</si>
  <si>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</si>
  <si>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</si>
  <si>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</si>
  <si>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</si>
  <si>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</si>
  <si>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</si>
  <si>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</si>
  <si>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</si>
  <si>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</si>
  <si>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</si>
  <si>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</si>
  <si>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</si>
  <si>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</si>
  <si>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</si>
  <si>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</si>
  <si>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</si>
  <si>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</si>
  <si>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</si>
  <si>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</si>
  <si>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</si>
  <si>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</si>
  <si>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</si>
  <si>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</si>
  <si>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</si>
  <si>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</si>
  <si>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</si>
  <si>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</si>
  <si>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</si>
  <si>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</si>
  <si>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</si>
  <si>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</si>
  <si>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</si>
  <si>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</si>
  <si>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</si>
  <si>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</si>
  <si>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</si>
  <si>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</si>
  <si>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</si>
  <si>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</si>
  <si>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</si>
  <si>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</si>
  <si>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</si>
  <si>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</si>
  <si>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</si>
  <si>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</si>
  <si>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</si>
  <si>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</si>
  <si>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</si>
  <si>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</si>
  <si>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</si>
  <si>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</si>
  <si>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</si>
  <si>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</si>
  <si>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</si>
  <si>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</si>
  <si>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</si>
  <si>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</si>
  <si>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</si>
  <si>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</si>
  <si>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</si>
  <si>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</si>
  <si>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</si>
  <si>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</si>
  <si>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</si>
  <si>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</si>
  <si>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</si>
  <si>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</si>
  <si>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</si>
  <si>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</si>
  <si>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</si>
  <si>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</si>
  <si>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</si>
  <si>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</si>
  <si>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</si>
  <si>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</si>
  <si>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</si>
  <si>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</si>
  <si>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</si>
  <si>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</si>
  <si>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</si>
  <si>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</si>
  <si>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</si>
  <si>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</si>
  <si>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</si>
  <si>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</si>
  <si>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</si>
  <si>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</si>
  <si>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</si>
  <si>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</si>
  <si>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</si>
  <si>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</si>
  <si>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</si>
  <si>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</si>
  <si>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</si>
  <si>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</si>
  <si>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</si>
  <si>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</si>
  <si>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</si>
  <si>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</si>
  <si>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</si>
  <si>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</si>
  <si>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</si>
  <si>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</si>
  <si>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</si>
  <si>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</si>
  <si>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</si>
  <si>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</si>
  <si>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</si>
  <si>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</si>
  <si>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</si>
  <si>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</si>
  <si>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</si>
  <si>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</si>
  <si>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</si>
  <si>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</si>
  <si>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</si>
  <si>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</si>
  <si>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</si>
  <si>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</si>
  <si>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</si>
  <si>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</si>
  <si>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</si>
  <si>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</si>
  <si>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</si>
  <si>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</si>
  <si>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</si>
  <si>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</si>
  <si>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</si>
  <si>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</si>
  <si>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</si>
  <si>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</si>
  <si>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</si>
  <si>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</si>
  <si>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</si>
  <si>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</si>
  <si>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</si>
  <si>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</si>
  <si>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</si>
  <si>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</si>
  <si>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</si>
  <si>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</si>
  <si>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</si>
  <si>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</si>
  <si>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</si>
  <si>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</si>
  <si>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</si>
  <si>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</si>
  <si>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</si>
  <si>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</si>
  <si>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</si>
  <si>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</si>
  <si>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</si>
  <si>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</si>
  <si>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</si>
  <si>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</si>
  <si>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</si>
  <si>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</si>
  <si>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</si>
  <si>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</si>
  <si>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</si>
  <si>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</si>
  <si>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</si>
  <si>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</si>
  <si>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</si>
  <si>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</si>
  <si>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</si>
  <si>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</si>
  <si>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</si>
  <si>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</si>
  <si>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</si>
  <si>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</si>
  <si>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</si>
  <si>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</si>
  <si>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</si>
  <si>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</si>
  <si>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</si>
  <si>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</si>
  <si>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</si>
  <si>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</si>
  <si>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</si>
  <si>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</si>
  <si>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</si>
  <si>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</si>
  <si>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</si>
  <si>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</si>
  <si>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</si>
  <si>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</si>
  <si>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</si>
  <si>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</si>
  <si>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</si>
  <si>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</si>
  <si>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</si>
  <si>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</si>
  <si>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</si>
  <si>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</si>
  <si>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</si>
  <si>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</si>
  <si>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</si>
  <si>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</si>
  <si>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</si>
  <si>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</si>
  <si>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</si>
  <si>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</si>
  <si>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</si>
  <si>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</si>
  <si>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</si>
  <si>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</si>
  <si>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</si>
  <si>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</si>
  <si>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</si>
  <si>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</si>
  <si>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</si>
  <si>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</si>
  <si>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</si>
  <si>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</si>
  <si>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</si>
  <si>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</si>
  <si>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</si>
  <si>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</si>
  <si>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</si>
  <si>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</si>
  <si>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</si>
  <si>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</si>
  <si>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</si>
  <si>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</si>
  <si>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</si>
  <si>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</si>
  <si>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</si>
  <si>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</si>
  <si>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</si>
  <si>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</si>
  <si>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</si>
  <si>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</si>
  <si>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</si>
  <si>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</si>
  <si>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</si>
  <si>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</si>
  <si>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</si>
  <si>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</si>
  <si>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</si>
  <si>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</si>
  <si>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</si>
  <si>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</si>
  <si>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</si>
  <si>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</si>
  <si>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</si>
  <si>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</si>
  <si>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</si>
  <si>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</si>
  <si>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</si>
  <si>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</si>
  <si>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</si>
  <si>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</si>
  <si>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</si>
  <si>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</si>
  <si>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</si>
  <si>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</si>
  <si>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</si>
  <si>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</si>
  <si>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</si>
  <si>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</si>
  <si>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</si>
  <si>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</si>
  <si>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</si>
  <si>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</si>
  <si>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</si>
  <si>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</si>
  <si>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</si>
  <si>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</si>
  <si>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</si>
  <si>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</si>
  <si>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</si>
  <si>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</si>
  <si>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</si>
  <si>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</si>
  <si>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</si>
  <si>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</si>
  <si>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</si>
  <si>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</si>
  <si>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</si>
  <si>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</si>
  <si>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</si>
  <si>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</si>
  <si>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</si>
  <si>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</si>
  <si>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</si>
  <si>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</si>
  <si>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</si>
  <si>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</si>
  <si>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</si>
  <si>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</si>
  <si>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</si>
  <si>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</si>
  <si>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</si>
  <si>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</si>
  <si>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</si>
  <si>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</si>
  <si>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</si>
  <si>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</si>
  <si>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</si>
  <si>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</si>
  <si>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</si>
  <si>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</si>
  <si>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</si>
  <si>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</si>
  <si>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</si>
  <si>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</si>
  <si>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</si>
  <si>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</si>
  <si>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</si>
  <si>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</si>
  <si>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</si>
  <si>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</si>
  <si>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</si>
  <si>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</si>
  <si>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</si>
  <si>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</si>
  <si>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</si>
  <si>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</si>
  <si>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</si>
  <si>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</si>
  <si>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</si>
  <si>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</si>
  <si>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</si>
  <si>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</si>
  <si>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</si>
  <si>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</si>
  <si>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</si>
  <si>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</si>
  <si>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</si>
  <si>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</si>
  <si>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</si>
  <si>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</si>
  <si>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</si>
  <si>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</si>
  <si>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</si>
  <si>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</si>
  <si>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</si>
  <si>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</si>
  <si>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</si>
  <si>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</si>
  <si>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</si>
  <si>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</si>
  <si>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</si>
  <si>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</si>
  <si>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</si>
  <si>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</si>
  <si>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</si>
  <si>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</si>
  <si>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</si>
  <si>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</si>
  <si>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</si>
  <si>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</si>
  <si>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</si>
  <si>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</si>
  <si>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</si>
  <si>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</si>
  <si>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</si>
  <si>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</si>
  <si>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</si>
  <si>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</si>
  <si>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</si>
  <si>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</si>
  <si>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</si>
  <si>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</si>
  <si>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</si>
  <si>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</si>
  <si>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</si>
  <si>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</si>
  <si>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</si>
  <si>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</si>
  <si>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</si>
  <si>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</si>
  <si>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</si>
  <si>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</si>
  <si>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</si>
  <si>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</si>
  <si>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</si>
  <si>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</si>
  <si>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</si>
  <si>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</si>
  <si>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</si>
  <si>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</si>
  <si>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</si>
  <si>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</si>
  <si>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</si>
  <si>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</si>
  <si>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</si>
  <si>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</si>
  <si>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</si>
  <si>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</si>
  <si>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</si>
  <si>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</si>
  <si>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</si>
  <si>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</si>
  <si>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</si>
  <si>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</si>
  <si>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</si>
  <si>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</si>
  <si>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</si>
  <si>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</si>
  <si>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</si>
  <si>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</si>
  <si>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</si>
  <si>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</si>
  <si>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</si>
  <si>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</si>
  <si>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</si>
  <si>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</si>
  <si>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</si>
  <si>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</si>
  <si>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</si>
  <si>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</si>
  <si>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</si>
  <si>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</si>
  <si>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</si>
  <si>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</si>
  <si>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</si>
  <si>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</si>
  <si>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</si>
  <si>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</si>
  <si>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</si>
  <si>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</si>
  <si>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</si>
  <si>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</si>
  <si>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</si>
  <si>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</si>
  <si>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</si>
  <si>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</si>
  <si>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</si>
  <si>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</si>
  <si>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</si>
  <si>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</si>
  <si>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</si>
  <si>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</si>
  <si>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</si>
  <si>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</si>
  <si>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</si>
  <si>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</si>
  <si>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</si>
  <si>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</si>
  <si>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</si>
  <si>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</si>
  <si>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</si>
  <si>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</si>
  <si>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</si>
  <si>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</si>
  <si>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</si>
  <si>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</si>
  <si>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</si>
  <si>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</si>
  <si>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</si>
  <si>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</si>
  <si>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</si>
  <si>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</si>
  <si>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</si>
  <si>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</si>
  <si>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</si>
  <si>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</si>
  <si>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</si>
  <si>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</si>
  <si>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</si>
  <si>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</si>
  <si>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</si>
  <si>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</si>
  <si>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</si>
  <si>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</si>
  <si>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</si>
  <si>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</si>
  <si>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</si>
  <si>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</si>
  <si>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</si>
  <si>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</si>
  <si>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</si>
  <si>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</si>
  <si>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</si>
  <si>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</si>
  <si>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</si>
  <si>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</si>
  <si>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</si>
  <si>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</si>
  <si>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</si>
  <si>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</si>
  <si>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</si>
  <si>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</si>
  <si>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</si>
  <si>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</si>
  <si>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</si>
  <si>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</si>
  <si>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</si>
  <si>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</si>
  <si>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</si>
  <si>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</si>
  <si>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</si>
  <si>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</si>
  <si>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</si>
  <si>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</si>
  <si>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</si>
  <si>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</si>
  <si>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</si>
  <si>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</si>
  <si>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</si>
  <si>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</si>
  <si>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</si>
  <si>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</si>
  <si>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</si>
  <si>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</si>
  <si>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</si>
  <si>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</si>
  <si>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</si>
  <si>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</si>
  <si>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</si>
  <si>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</si>
  <si>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</si>
  <si>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</si>
  <si>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</si>
  <si>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</si>
  <si>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</si>
  <si>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</si>
  <si>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</si>
  <si>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</si>
  <si>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</si>
  <si>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</si>
  <si>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</si>
  <si>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</si>
  <si>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</si>
  <si>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</si>
  <si>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</si>
  <si>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</si>
  <si>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</si>
  <si>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</si>
  <si>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</si>
  <si>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</si>
  <si>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</si>
  <si>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</si>
  <si>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</si>
  <si>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</si>
  <si>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</si>
  <si>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</si>
  <si>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</si>
  <si>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</si>
  <si>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</si>
  <si>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</si>
  <si>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</si>
  <si>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</si>
  <si>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</si>
  <si>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</si>
  <si>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</si>
  <si>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</si>
  <si>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</si>
  <si>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</si>
  <si>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</si>
  <si>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</si>
  <si>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</si>
  <si>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</si>
  <si>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</si>
  <si>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</si>
  <si>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</si>
  <si>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</si>
  <si>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</si>
  <si>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</si>
  <si>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</si>
  <si>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</si>
  <si>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</si>
  <si>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</si>
  <si>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</si>
  <si>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</si>
  <si>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</si>
  <si>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</si>
  <si>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</si>
  <si>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</si>
  <si>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</si>
  <si>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</si>
  <si>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</si>
  <si>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</si>
  <si>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</si>
  <si>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</si>
  <si>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</si>
  <si>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</si>
  <si>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</si>
  <si>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</si>
  <si>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</si>
  <si>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</si>
  <si>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</si>
  <si>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</si>
  <si>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</si>
  <si>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</si>
  <si>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</si>
  <si>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</si>
  <si>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</si>
  <si>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</si>
  <si>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</si>
  <si>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</si>
  <si>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</si>
  <si>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</si>
  <si>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</si>
  <si>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</si>
  <si>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</si>
  <si>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</si>
  <si>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</si>
  <si>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</si>
  <si>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</si>
  <si>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</si>
  <si>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</si>
  <si>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</si>
  <si>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</si>
  <si>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</si>
  <si>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</si>
  <si>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</si>
  <si>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</si>
  <si>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</si>
  <si>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</si>
  <si>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</si>
  <si>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</si>
  <si>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</si>
  <si>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</si>
  <si>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</si>
  <si>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</si>
  <si>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</si>
  <si>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</si>
  <si>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</si>
  <si>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</si>
  <si>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</si>
  <si>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</si>
  <si>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</si>
  <si>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</si>
  <si>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</si>
  <si>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</si>
  <si>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</si>
  <si>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</si>
  <si>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</si>
  <si>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</si>
  <si>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</si>
  <si>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</si>
  <si>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</si>
  <si>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</si>
  <si>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</si>
  <si>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</si>
  <si>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</si>
  <si>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</si>
  <si>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</si>
  <si>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</si>
  <si>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</si>
  <si>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</si>
  <si>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</si>
  <si>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</si>
  <si>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</si>
  <si>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</si>
  <si>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</si>
  <si>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</si>
  <si>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</si>
  <si>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</si>
  <si>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</si>
  <si>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</si>
  <si>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</si>
  <si>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</si>
  <si>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</si>
  <si>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</si>
  <si>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</si>
  <si>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</si>
  <si>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</si>
  <si>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</si>
  <si>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</si>
  <si>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</si>
  <si>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</si>
  <si>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</si>
  <si>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</si>
  <si>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</si>
  <si>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</si>
  <si>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</si>
  <si>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</si>
  <si>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</si>
  <si>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</si>
  <si>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</si>
  <si>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</si>
  <si>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</si>
  <si>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</si>
  <si>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</si>
  <si>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</si>
  <si>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</si>
  <si>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</si>
  <si>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</si>
  <si>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</si>
  <si>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</si>
  <si>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</si>
  <si>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</si>
  <si>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</si>
  <si>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</si>
  <si>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</si>
  <si>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</si>
  <si>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</si>
  <si>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</si>
  <si>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</si>
  <si>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</si>
  <si>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</si>
  <si>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</si>
  <si>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</si>
  <si>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</si>
  <si>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</si>
  <si>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</si>
  <si>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</si>
  <si>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</si>
  <si>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</si>
  <si>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</si>
  <si>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</si>
  <si>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</si>
  <si>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</si>
  <si>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</si>
  <si>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</si>
  <si>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</si>
  <si>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</si>
  <si>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</si>
  <si>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</si>
  <si>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</si>
  <si>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</si>
  <si>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</si>
  <si>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</si>
  <si>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</si>
  <si>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</si>
  <si>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</si>
  <si>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</si>
  <si>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</si>
  <si>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</si>
  <si>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</si>
  <si>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</si>
  <si>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</si>
  <si>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</si>
  <si>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</si>
  <si>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</si>
  <si>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</si>
  <si>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</si>
  <si>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</si>
  <si>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</si>
  <si>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</si>
  <si>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</si>
  <si>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</si>
  <si>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</si>
  <si>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</si>
  <si>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</si>
  <si>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</si>
  <si>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</si>
  <si>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</si>
  <si>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</si>
  <si>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</si>
  <si>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</si>
  <si>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</si>
  <si>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</si>
  <si>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</si>
  <si>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</si>
  <si>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</si>
  <si>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</si>
  <si>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</si>
  <si>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</si>
  <si>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</si>
  <si>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</si>
  <si>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</si>
  <si>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</si>
  <si>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</si>
  <si>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</si>
  <si>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</si>
  <si>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</si>
  <si>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</si>
  <si>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</si>
  <si>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</si>
  <si>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</si>
  <si>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</si>
  <si>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</si>
  <si>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</si>
  <si>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</si>
  <si>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</si>
  <si>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</si>
  <si>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</si>
  <si>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</si>
  <si>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</si>
  <si>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</si>
  <si>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</si>
  <si>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</si>
  <si>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</si>
  <si>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</si>
  <si>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</si>
  <si>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</si>
  <si>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</si>
  <si>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</si>
  <si>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</si>
  <si>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</si>
  <si>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</si>
  <si>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</si>
  <si>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</si>
  <si>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</si>
  <si>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</si>
  <si>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</si>
  <si>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</si>
  <si>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</si>
  <si>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</si>
  <si>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</si>
  <si>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</si>
  <si>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</si>
  <si>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</si>
  <si>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</si>
  <si>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</si>
  <si>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</si>
  <si>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</si>
  <si>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</si>
  <si>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</si>
  <si>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</si>
  <si>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</si>
  <si>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</si>
  <si>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</si>
  <si>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</si>
  <si>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</si>
  <si>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</si>
  <si>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</si>
  <si>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</si>
  <si>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</si>
  <si>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</si>
  <si>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</si>
  <si>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</si>
  <si>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</si>
  <si>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</si>
  <si>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</si>
  <si>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</si>
  <si>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</si>
  <si>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</si>
  <si>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</si>
  <si>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</si>
  <si>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</si>
  <si>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</si>
  <si>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</si>
  <si>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</si>
  <si>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</si>
  <si>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</si>
  <si>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</si>
  <si>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</si>
  <si>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</si>
  <si>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</si>
  <si>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</si>
  <si>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</si>
  <si>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</si>
  <si>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</si>
  <si>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</si>
  <si>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</si>
  <si>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</si>
  <si>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</si>
  <si>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</si>
  <si>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</si>
  <si>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</si>
  <si>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</si>
  <si>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</si>
  <si>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</si>
  <si>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</si>
  <si>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</si>
  <si>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</si>
  <si>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</si>
  <si>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</si>
  <si>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</si>
  <si>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</si>
  <si>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</si>
  <si>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</si>
  <si>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</si>
  <si>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</si>
  <si>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</si>
  <si>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</si>
  <si>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</si>
  <si>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</si>
  <si>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</si>
  <si>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</si>
  <si>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</si>
  <si>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</si>
  <si>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</si>
  <si>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</si>
  <si>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</si>
  <si>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</si>
  <si>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</si>
  <si>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</si>
  <si>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</si>
  <si>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</si>
  <si>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</si>
  <si>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</si>
  <si>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</si>
  <si>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</si>
  <si>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</si>
  <si>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</si>
  <si>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</si>
  <si>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</si>
  <si>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</si>
  <si>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</si>
  <si>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</si>
  <si>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</si>
  <si>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</si>
  <si>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</si>
  <si>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</si>
  <si>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</si>
  <si>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</si>
  <si>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</si>
  <si>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</si>
  <si>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</si>
  <si>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</si>
  <si>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</si>
  <si>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</si>
  <si>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</si>
  <si>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</si>
  <si>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</si>
  <si>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</si>
  <si>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</si>
  <si>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</si>
  <si>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</si>
  <si>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</si>
  <si>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</si>
  <si>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</si>
  <si>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</si>
  <si>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</si>
  <si>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</si>
  <si>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</si>
  <si>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</si>
  <si>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</si>
  <si>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</si>
  <si>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</si>
  <si>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</si>
  <si>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</si>
  <si>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</si>
  <si>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</si>
  <si>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</si>
  <si>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</si>
  <si>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</si>
  <si>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</si>
  <si>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</si>
  <si>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</si>
  <si>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</si>
  <si>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</si>
  <si>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</si>
  <si>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</si>
  <si>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</si>
  <si>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</si>
  <si>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</si>
  <si>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</si>
  <si>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</si>
  <si>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</si>
  <si>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</si>
  <si>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</si>
  <si>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</si>
  <si>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</si>
  <si>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</si>
  <si>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</si>
  <si>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</si>
  <si>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</si>
  <si>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</si>
  <si>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</si>
  <si>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</si>
  <si>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</si>
  <si>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</si>
  <si>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</si>
  <si>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</si>
  <si>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</si>
  <si>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</si>
  <si>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</si>
  <si>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</si>
  <si>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</si>
  <si>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</si>
  <si>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</si>
  <si>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</si>
  <si>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</si>
  <si>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</si>
  <si>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</si>
  <si>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</si>
  <si>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</si>
  <si>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</si>
  <si>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</si>
  <si>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</si>
  <si>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</si>
  <si>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</si>
  <si>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</si>
  <si>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</si>
  <si>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</si>
  <si>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</si>
  <si>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</si>
  <si>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</si>
  <si>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</si>
  <si>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</si>
  <si>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</si>
  <si>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</si>
  <si>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</si>
  <si>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</si>
  <si>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</si>
  <si>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</si>
  <si>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</si>
  <si>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</si>
  <si>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</si>
  <si>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</si>
  <si>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</si>
  <si>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</si>
  <si>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</si>
  <si>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</si>
  <si>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</si>
  <si>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</si>
  <si>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</si>
  <si>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</si>
  <si>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</si>
  <si>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</si>
  <si>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</si>
  <si>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</si>
  <si>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</si>
  <si>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</si>
  <si>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</si>
  <si>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</si>
  <si>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</si>
  <si>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</si>
  <si>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</si>
  <si>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</si>
  <si>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</si>
  <si>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</si>
  <si>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</si>
  <si>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</si>
  <si>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</si>
  <si>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</si>
  <si>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</si>
  <si>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</si>
  <si>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</si>
  <si>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</si>
  <si>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</si>
  <si>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</si>
  <si>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</si>
  <si>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</si>
  <si>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</si>
  <si>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</si>
  <si>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</si>
  <si>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</si>
  <si>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</si>
  <si>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</si>
  <si>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</si>
  <si>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</si>
  <si>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</si>
  <si>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</si>
  <si>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</si>
  <si>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</si>
  <si>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</si>
  <si>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</si>
  <si>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</si>
  <si>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</si>
  <si>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</si>
  <si>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</si>
  <si>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</si>
  <si>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</si>
  <si>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</si>
  <si>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</si>
  <si>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</si>
  <si>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</si>
  <si>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</si>
  <si>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</si>
  <si>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</si>
  <si>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</si>
  <si>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</si>
  <si>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</si>
  <si>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</si>
  <si>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</si>
  <si>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</si>
  <si>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</si>
  <si>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</si>
  <si>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</si>
  <si>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</si>
  <si>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</si>
  <si>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</si>
  <si>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</si>
  <si>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</si>
  <si>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</si>
  <si>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</si>
  <si>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</si>
  <si>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</si>
  <si>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</si>
  <si>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</si>
  <si>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</si>
  <si>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</si>
  <si>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</si>
  <si>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</si>
  <si>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</si>
  <si>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</si>
  <si>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</si>
  <si>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</si>
  <si>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</si>
  <si>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</si>
  <si>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</si>
  <si>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</si>
  <si>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</si>
  <si>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</si>
  <si>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</si>
  <si>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</si>
  <si>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</si>
  <si>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</si>
  <si>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</si>
  <si>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</si>
  <si>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</si>
  <si>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</si>
  <si>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</si>
  <si>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</si>
  <si>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</si>
  <si>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</si>
  <si>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</si>
  <si>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</si>
  <si>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</si>
  <si>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</si>
  <si>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</si>
  <si>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</si>
  <si>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</si>
  <si>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</si>
  <si>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</si>
  <si>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</si>
  <si>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</si>
  <si>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</si>
  <si>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</si>
  <si>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</si>
  <si>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</si>
  <si>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</si>
  <si>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</si>
  <si>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</si>
  <si>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</si>
  <si>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</si>
  <si>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</si>
  <si>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</si>
  <si>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</si>
  <si>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</si>
  <si>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</si>
  <si>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</si>
  <si>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</si>
  <si>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</si>
  <si>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</si>
  <si>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</si>
  <si>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</si>
  <si>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</si>
  <si>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</si>
  <si>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</si>
  <si>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</si>
  <si>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</si>
  <si>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</si>
  <si>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</si>
  <si>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</si>
  <si>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</si>
  <si>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</si>
  <si>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</si>
  <si>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</si>
  <si>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</si>
  <si>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</si>
  <si>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</si>
  <si>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</si>
  <si>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</si>
  <si>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</si>
  <si>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</si>
  <si>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</si>
  <si>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</si>
  <si>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</si>
  <si>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</si>
  <si>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</si>
  <si>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</si>
  <si>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</si>
  <si>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</si>
  <si>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</si>
  <si>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</si>
  <si>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</si>
  <si>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</si>
  <si>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</si>
  <si>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</si>
  <si>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</si>
  <si>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</si>
  <si>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</si>
  <si>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</si>
  <si>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</si>
  <si>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</si>
  <si>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</si>
  <si>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</si>
  <si>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</si>
  <si>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</si>
  <si>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</si>
  <si>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</si>
  <si>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</si>
  <si>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</si>
  <si>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</si>
  <si>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</si>
  <si>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</si>
  <si>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</si>
  <si>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</si>
  <si>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</si>
  <si>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</si>
  <si>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</si>
  <si>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</si>
  <si>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</si>
  <si>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</si>
  <si>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</si>
  <si>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</si>
  <si>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</si>
  <si>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</si>
  <si>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</si>
  <si>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</si>
  <si>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</si>
  <si>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</si>
  <si>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</si>
  <si>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</si>
  <si>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</si>
  <si>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</si>
  <si>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</si>
  <si>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</si>
  <si>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</si>
  <si>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</si>
  <si>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</si>
  <si>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</si>
  <si>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</si>
  <si>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</si>
  <si>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</si>
  <si>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</si>
  <si>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</si>
  <si>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</si>
  <si>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</si>
  <si>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</si>
  <si>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</si>
  <si>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</si>
  <si>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</si>
  <si>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</si>
  <si>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</si>
  <si>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</si>
  <si>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</si>
  <si>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</si>
  <si>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</si>
  <si>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</si>
  <si>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</si>
  <si>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</si>
  <si>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</si>
  <si>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</si>
  <si>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</si>
  <si>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</si>
  <si>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</si>
  <si>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</si>
  <si>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</si>
  <si>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</si>
  <si>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</si>
  <si>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</si>
  <si>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</si>
  <si>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</si>
  <si>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</si>
  <si>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</si>
  <si>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</si>
  <si>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</si>
  <si>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</si>
  <si>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</si>
  <si>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</si>
  <si>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</si>
  <si>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</si>
  <si>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</si>
  <si>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</si>
  <si>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</si>
  <si>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</si>
  <si>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</si>
  <si>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</si>
  <si>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</si>
  <si>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</si>
  <si>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</si>
  <si>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</si>
  <si>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</si>
  <si>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</si>
  <si>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</si>
  <si>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</si>
  <si>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</si>
  <si>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</si>
  <si>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</si>
  <si>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</si>
  <si>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</si>
  <si>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</si>
  <si>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</si>
  <si>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</si>
  <si>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</si>
  <si>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</si>
  <si>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</si>
  <si>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</si>
  <si>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</si>
  <si>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</si>
  <si>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</si>
  <si>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</si>
  <si>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</si>
  <si>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</si>
  <si>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</si>
  <si>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</si>
  <si>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</si>
  <si>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</si>
  <si>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</si>
  <si>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</si>
  <si>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</si>
  <si>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</si>
  <si>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</si>
  <si>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</si>
  <si>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</si>
  <si>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</si>
  <si>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</si>
  <si>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</si>
  <si>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</si>
  <si>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</si>
  <si>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</si>
  <si>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</si>
  <si>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</si>
  <si>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</si>
  <si>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</si>
  <si>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</si>
  <si>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</si>
  <si>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</si>
  <si>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</si>
  <si>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</si>
  <si>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</si>
  <si>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</si>
  <si>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</si>
  <si>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</si>
  <si>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</si>
  <si>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</si>
  <si>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</si>
  <si>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</si>
  <si>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</si>
  <si>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</si>
  <si>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</si>
  <si>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</si>
  <si>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</si>
  <si>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</si>
  <si>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</si>
  <si>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</si>
  <si>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</si>
  <si>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</si>
  <si>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</si>
  <si>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</si>
  <si>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</si>
  <si>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</si>
  <si>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</si>
  <si>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</si>
  <si>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</si>
  <si>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</si>
  <si>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</si>
  <si>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</si>
  <si>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</si>
  <si>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</si>
  <si>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</si>
  <si>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</si>
  <si>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</si>
  <si>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</si>
  <si>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</si>
  <si>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</si>
  <si>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</si>
  <si>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</si>
  <si>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</si>
  <si>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</si>
  <si>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</si>
  <si>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</si>
  <si>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</si>
  <si>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</si>
  <si>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</si>
  <si>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</si>
  <si>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</si>
  <si>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</si>
  <si>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</si>
  <si>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</si>
  <si>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</si>
  <si>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</si>
  <si>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</si>
  <si>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</si>
  <si>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</si>
  <si>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</si>
  <si>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</si>
  <si>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</si>
  <si>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</si>
  <si>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</si>
  <si>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</si>
  <si>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</si>
  <si>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</si>
  <si>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</si>
  <si>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</si>
  <si>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</si>
  <si>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</si>
  <si>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</si>
  <si>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</si>
  <si>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</si>
  <si>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</si>
  <si>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</si>
  <si>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</si>
  <si>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</si>
  <si>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</si>
  <si>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</si>
  <si>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</si>
  <si>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</si>
  <si>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</si>
  <si>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</si>
  <si>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</si>
  <si>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</si>
  <si>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</si>
  <si>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</si>
  <si>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</si>
  <si>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</si>
  <si>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</si>
  <si>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</si>
  <si>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</si>
  <si>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</si>
  <si>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</si>
  <si>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</si>
  <si>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</si>
  <si>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</si>
  <si>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</si>
  <si>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</si>
  <si>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</si>
  <si>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</si>
  <si>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</si>
  <si>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</si>
  <si>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</si>
  <si>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</si>
  <si>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</si>
  <si>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</si>
  <si>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</si>
  <si>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</si>
  <si>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</si>
  <si>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</si>
  <si>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</si>
  <si>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</si>
  <si>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</si>
  <si>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</si>
  <si>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</si>
  <si>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</si>
  <si>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</si>
  <si>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</si>
  <si>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</si>
  <si>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</si>
  <si>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</si>
  <si>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</si>
  <si>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</si>
  <si>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</si>
  <si>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</si>
  <si>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</si>
  <si>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</si>
  <si>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</si>
  <si>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</si>
  <si>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</si>
  <si>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</si>
  <si>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</si>
  <si>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</si>
  <si>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</si>
  <si>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</si>
  <si>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</si>
  <si>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</si>
  <si>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</si>
  <si>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</si>
  <si>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</si>
  <si>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</si>
  <si>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</si>
  <si>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</si>
  <si>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</si>
  <si>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</si>
  <si>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</si>
  <si>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</si>
  <si>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</si>
  <si>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</si>
  <si>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</si>
  <si>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</si>
  <si>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</si>
  <si>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</si>
  <si>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</si>
  <si>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</si>
  <si>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</si>
  <si>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</si>
  <si>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</si>
  <si>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</si>
  <si>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</si>
  <si>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</si>
  <si>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</si>
  <si>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</si>
  <si>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</si>
  <si>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</si>
  <si>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</si>
  <si>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</si>
  <si>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</si>
  <si>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</si>
  <si>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</si>
  <si>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</si>
  <si>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</si>
  <si>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</si>
  <si>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</si>
  <si>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</si>
  <si>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</si>
  <si>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</si>
  <si>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</si>
  <si>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</si>
  <si>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</si>
  <si>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</si>
  <si>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</si>
  <si>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</si>
  <si>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</si>
  <si>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</si>
  <si>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</si>
  <si>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</si>
  <si>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</si>
  <si>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</si>
  <si>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</si>
  <si>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</si>
  <si>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</si>
  <si>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</si>
  <si>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</si>
  <si>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</si>
  <si>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</si>
  <si>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</si>
  <si>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</si>
  <si>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</si>
  <si>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</si>
  <si>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</si>
  <si>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</si>
  <si>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</si>
  <si>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</si>
  <si>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</si>
  <si>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</si>
  <si>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</si>
  <si>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</si>
  <si>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</si>
  <si>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</si>
  <si>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</si>
  <si>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</si>
  <si>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</si>
  <si>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</si>
  <si>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</si>
  <si>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</si>
  <si>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</si>
  <si>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</si>
  <si>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</si>
  <si>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</si>
  <si>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</si>
  <si>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</si>
  <si>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</si>
  <si>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</si>
  <si>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</si>
  <si>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</si>
  <si>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</si>
  <si>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</si>
  <si>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</si>
  <si>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</si>
  <si>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</si>
  <si>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</si>
  <si>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</si>
  <si>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</si>
  <si>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</si>
  <si>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</si>
  <si>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</si>
  <si>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</si>
  <si>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</si>
  <si>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</si>
  <si>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</si>
  <si>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</si>
  <si>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</si>
  <si>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</si>
  <si>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</si>
  <si>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</si>
  <si>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</si>
  <si>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</si>
  <si>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</si>
  <si>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</si>
  <si>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</si>
  <si>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</si>
  <si>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</si>
  <si>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</si>
  <si>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</si>
  <si>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</si>
  <si>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</si>
  <si>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</si>
  <si>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</si>
  <si>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</si>
  <si>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</si>
  <si>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</si>
  <si>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</si>
  <si>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</si>
  <si>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</si>
  <si>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</si>
  <si>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</si>
  <si>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</si>
  <si>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</si>
  <si>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</si>
  <si>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</si>
  <si>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</si>
  <si>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</si>
  <si>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</si>
  <si>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</si>
  <si>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</si>
  <si>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</si>
  <si>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</si>
  <si>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</si>
  <si>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</si>
  <si>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</si>
  <si>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</si>
  <si>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</si>
  <si>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</si>
  <si>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</si>
  <si>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</si>
  <si>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</si>
  <si>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</si>
  <si>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</si>
  <si>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</si>
  <si>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</si>
  <si>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</si>
  <si>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</si>
  <si>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</si>
  <si>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</si>
  <si>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</si>
  <si>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</si>
  <si>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</si>
  <si>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</si>
  <si>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</si>
  <si>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</si>
  <si>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</si>
  <si>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</si>
  <si>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</si>
  <si>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</si>
  <si>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</si>
  <si>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</si>
  <si>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</si>
  <si>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</si>
  <si>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</si>
  <si>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</si>
  <si>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</si>
  <si>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</si>
  <si>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</si>
  <si>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</si>
  <si>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</si>
  <si>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</si>
  <si>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</si>
  <si>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</si>
  <si>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</si>
  <si>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</si>
  <si>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</si>
  <si>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</si>
  <si>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</si>
  <si>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</si>
  <si>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</si>
  <si>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</si>
  <si>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</si>
  <si>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</si>
  <si>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</si>
  <si>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</si>
  <si>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</si>
  <si>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</si>
  <si>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</si>
  <si>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</si>
  <si>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</si>
  <si>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</si>
  <si>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</si>
  <si>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</si>
  <si>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</si>
  <si>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</si>
  <si>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</si>
  <si>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</si>
  <si>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</si>
  <si>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</si>
  <si>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</si>
  <si>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</si>
  <si>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</si>
  <si>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</si>
  <si>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</si>
  <si>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</si>
  <si>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</si>
  <si>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</si>
  <si>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</si>
  <si>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</si>
  <si>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</si>
  <si>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</si>
  <si>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</si>
  <si>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</si>
  <si>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</si>
  <si>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</si>
  <si>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</si>
  <si>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</si>
  <si>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</si>
  <si>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</si>
  <si>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</si>
  <si>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</si>
  <si>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</si>
  <si>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</si>
  <si>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</si>
  <si>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</si>
  <si>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</si>
  <si>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</si>
  <si>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</si>
  <si>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</si>
  <si>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</si>
  <si>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</si>
  <si>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</si>
  <si>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</si>
  <si>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</si>
  <si>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</si>
  <si>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</si>
  <si>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</si>
  <si>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</si>
  <si>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</si>
  <si>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</si>
  <si>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</si>
  <si>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</si>
  <si>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</si>
  <si>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</si>
  <si>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</si>
  <si>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</si>
  <si>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</si>
  <si>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</si>
  <si>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</si>
  <si>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</si>
  <si>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</si>
  <si>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</si>
  <si>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</si>
  <si>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</si>
  <si>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</si>
  <si>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</si>
  <si>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</si>
  <si>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</si>
  <si>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</si>
  <si>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</si>
  <si>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</si>
  <si>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</si>
  <si>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</si>
  <si>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</si>
  <si>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</si>
  <si>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</si>
  <si>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</si>
  <si>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</si>
  <si>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</si>
  <si>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</si>
  <si>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</si>
  <si>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</si>
  <si>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</si>
  <si>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</si>
  <si>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</si>
  <si>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</si>
  <si>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</si>
  <si>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</si>
  <si>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</si>
  <si>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</si>
  <si>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</si>
  <si>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</si>
  <si>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</si>
  <si>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</si>
  <si>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</si>
  <si>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</si>
  <si>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</si>
  <si>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</si>
  <si>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</si>
  <si>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</si>
  <si>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</si>
  <si>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</si>
  <si>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</si>
  <si>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</si>
  <si>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</si>
  <si>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</si>
  <si>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</si>
  <si>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</si>
  <si>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</si>
  <si>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</si>
  <si>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</si>
  <si>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</si>
  <si>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</si>
  <si>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</si>
  <si>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</si>
  <si>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</si>
  <si>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</si>
  <si>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</si>
  <si>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</si>
  <si>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</si>
  <si>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</si>
  <si>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</si>
  <si>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</si>
  <si>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</si>
  <si>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</si>
  <si>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</si>
  <si>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</si>
  <si>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</si>
  <si>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</si>
  <si>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</si>
  <si>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</si>
  <si>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</si>
  <si>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</si>
  <si>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</si>
  <si>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</si>
  <si>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</si>
  <si>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</si>
  <si>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</si>
  <si>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</si>
  <si>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</si>
  <si>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</si>
  <si>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</si>
  <si>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</si>
  <si>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</si>
  <si>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</si>
  <si>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</si>
  <si>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</si>
  <si>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</si>
  <si>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</si>
  <si>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</si>
  <si>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</si>
  <si>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</si>
  <si>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</si>
  <si>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</si>
  <si>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</si>
  <si>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</si>
  <si>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</si>
  <si>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</si>
  <si>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</si>
  <si>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</si>
  <si>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</si>
  <si>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</si>
  <si>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</si>
  <si>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</si>
  <si>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</si>
  <si>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</si>
  <si>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</si>
  <si>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</si>
  <si>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</si>
  <si>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</si>
  <si>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</si>
  <si>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</si>
  <si>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</si>
  <si>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</si>
  <si>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</si>
  <si>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</si>
  <si>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</si>
  <si>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</si>
  <si>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</si>
  <si>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</si>
  <si>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</si>
  <si>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</si>
  <si>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</si>
  <si>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</si>
  <si>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</si>
  <si>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</si>
  <si>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</si>
  <si>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</si>
  <si>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</si>
  <si>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</si>
  <si>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</si>
  <si>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</si>
  <si>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</si>
  <si>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</si>
  <si>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</si>
  <si>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</si>
  <si>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</si>
  <si>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</si>
  <si>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</si>
  <si>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</si>
  <si>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</si>
  <si>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</si>
  <si>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</si>
  <si>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</si>
  <si>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</si>
  <si>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</si>
  <si>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</si>
  <si>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</si>
  <si>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</si>
  <si>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</si>
  <si>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</si>
  <si>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</si>
  <si>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</si>
  <si>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</si>
  <si>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</si>
  <si>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</si>
  <si>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</si>
  <si>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</si>
  <si>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</si>
  <si>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</si>
  <si>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</si>
  <si>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</si>
  <si>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</si>
  <si>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</si>
  <si>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</si>
  <si>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</si>
  <si>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</si>
  <si>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</si>
  <si>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</si>
  <si>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</si>
  <si>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</si>
  <si>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</si>
  <si>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</si>
  <si>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</si>
  <si>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</si>
  <si>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</si>
  <si>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</si>
  <si>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</si>
  <si>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</si>
  <si>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</si>
  <si>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</si>
  <si>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</si>
  <si>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</si>
  <si>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</si>
  <si>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</si>
  <si>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</si>
  <si>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</si>
  <si>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</si>
  <si>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</si>
  <si>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</si>
  <si>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</si>
  <si>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</si>
  <si>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</si>
  <si>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</si>
  <si>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</si>
  <si>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</si>
  <si>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</si>
  <si>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</si>
  <si>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</si>
  <si>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</si>
  <si>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</si>
  <si>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</si>
  <si>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</si>
  <si>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</si>
  <si>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</si>
  <si>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</si>
  <si>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</si>
  <si>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</si>
  <si>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</si>
  <si>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</si>
  <si>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</si>
  <si>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</si>
  <si>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</si>
  <si>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</si>
  <si>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</si>
  <si>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</si>
  <si>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</si>
  <si>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</si>
  <si>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</si>
  <si>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</si>
  <si>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</si>
  <si>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</si>
  <si>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</si>
  <si>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</si>
  <si>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</si>
  <si>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</si>
  <si>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</si>
  <si>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</si>
  <si>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</si>
  <si>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</si>
  <si>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</si>
  <si>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</si>
  <si>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</si>
  <si>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</si>
  <si>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</si>
  <si>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</si>
  <si>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</si>
  <si>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</si>
  <si>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</si>
  <si>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</si>
  <si>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</si>
  <si>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</si>
  <si>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</si>
  <si>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</si>
  <si>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</si>
  <si>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</si>
  <si>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</si>
  <si>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</si>
  <si>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</si>
  <si>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</si>
  <si>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</si>
  <si>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</si>
  <si>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</si>
  <si>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</si>
  <si>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</si>
  <si>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</si>
  <si>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</si>
  <si>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</si>
  <si>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</si>
  <si>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</si>
  <si>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</si>
  <si>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</si>
  <si>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</si>
  <si>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</si>
  <si>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</si>
  <si>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</si>
  <si>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</si>
  <si>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</si>
  <si>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</si>
  <si>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</si>
  <si>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</si>
  <si>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</si>
  <si>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</si>
  <si>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</si>
  <si>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</si>
  <si>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</si>
  <si>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</si>
  <si>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</si>
  <si>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</si>
  <si>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</si>
  <si>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</si>
  <si>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</si>
  <si>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</si>
  <si>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</si>
  <si>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</si>
  <si>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</si>
  <si>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</si>
  <si>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</si>
  <si>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</si>
  <si>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</si>
  <si>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</si>
  <si>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</si>
  <si>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</si>
  <si>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</si>
  <si>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</si>
  <si>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</si>
  <si>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</si>
  <si>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</si>
  <si>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</si>
  <si>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</si>
  <si>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</si>
  <si>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</si>
  <si>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</si>
  <si>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</si>
  <si>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</si>
  <si>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</si>
  <si>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</si>
  <si>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</si>
  <si>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</si>
  <si>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</si>
  <si>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</si>
  <si>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</si>
  <si>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</si>
  <si>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</si>
  <si>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</si>
  <si>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</si>
  <si>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</si>
  <si>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</si>
  <si>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</si>
  <si>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</si>
  <si>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</si>
  <si>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</si>
  <si>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</si>
  <si>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</si>
  <si>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</si>
  <si>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</si>
  <si>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</si>
  <si>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</si>
  <si>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</si>
  <si>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</si>
  <si>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</si>
  <si>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</si>
  <si>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</si>
  <si>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</si>
  <si>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</si>
  <si>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</si>
  <si>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</si>
  <si>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</si>
  <si>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</si>
  <si>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</si>
  <si>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</si>
  <si>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</si>
  <si>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</si>
  <si>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</si>
  <si>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</si>
  <si>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</si>
  <si>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</si>
  <si>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</si>
  <si>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</si>
  <si>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</si>
  <si>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</si>
  <si>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</si>
  <si>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</si>
  <si>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</si>
  <si>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</si>
  <si>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</si>
  <si>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</si>
  <si>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</si>
  <si>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</si>
  <si>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</si>
  <si>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</si>
  <si>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</si>
  <si>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</si>
  <si>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</si>
  <si>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</si>
  <si>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</si>
  <si>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</si>
  <si>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</si>
  <si>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</si>
  <si>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</si>
  <si>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</si>
  <si>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</si>
  <si>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</si>
  <si>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</si>
  <si>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</si>
  <si>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</si>
  <si>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</si>
  <si>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</si>
  <si>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</si>
  <si>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</si>
  <si>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</si>
  <si>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</si>
  <si>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</si>
  <si>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</si>
  <si>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</si>
  <si>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</si>
  <si>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</si>
  <si>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</si>
  <si>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</si>
  <si>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</si>
  <si>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</si>
  <si>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</si>
  <si>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</si>
  <si>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</si>
  <si>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</si>
  <si>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</si>
  <si>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</si>
  <si>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</si>
  <si>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</si>
  <si>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</si>
  <si>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</si>
  <si>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</si>
  <si>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</si>
  <si>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</si>
  <si>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</si>
  <si>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</si>
  <si>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</si>
  <si>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</si>
  <si>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</si>
  <si>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</si>
  <si>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</si>
  <si>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</si>
  <si>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</si>
  <si>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</si>
  <si>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</si>
  <si>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</si>
  <si>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</si>
  <si>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</si>
  <si>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</si>
  <si>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</si>
  <si>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</si>
  <si>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</si>
  <si>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</si>
  <si>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</si>
  <si>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</si>
  <si>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</si>
  <si>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</si>
  <si>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</si>
  <si>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</si>
  <si>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</si>
  <si>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</si>
  <si>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</si>
  <si>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</si>
  <si>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</si>
  <si>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</si>
  <si>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</si>
  <si>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</si>
  <si>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</si>
  <si>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</si>
  <si>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</si>
  <si>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</si>
  <si>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</si>
  <si>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</si>
  <si>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</si>
  <si>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</si>
  <si>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</si>
  <si>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</si>
  <si>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</si>
  <si>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</si>
  <si>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</si>
  <si>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</si>
  <si>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</si>
  <si>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</si>
  <si>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</si>
  <si>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</si>
  <si>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</si>
  <si>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</si>
  <si>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</si>
  <si>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</si>
  <si>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</si>
  <si>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</si>
  <si>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</si>
  <si>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</si>
  <si>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</si>
  <si>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</si>
  <si>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</si>
  <si>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</si>
  <si>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</si>
  <si>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</si>
  <si>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</si>
  <si>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</si>
  <si>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</si>
  <si>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</si>
  <si>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</si>
  <si>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</si>
  <si>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</si>
  <si>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</si>
  <si>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</si>
  <si>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</si>
  <si>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</si>
  <si>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</si>
  <si>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</si>
  <si>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</si>
  <si>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</si>
  <si>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</si>
  <si>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</si>
  <si>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</si>
  <si>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</si>
  <si>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</si>
  <si>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</si>
  <si>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</si>
  <si>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</si>
  <si>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</si>
  <si>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</si>
  <si>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</si>
  <si>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</si>
  <si>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</si>
  <si>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</si>
  <si>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</si>
  <si>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</si>
  <si>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</si>
  <si>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</si>
  <si>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</si>
  <si>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</si>
  <si>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</si>
  <si>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</si>
  <si>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</si>
  <si>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</si>
  <si>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</si>
  <si>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</si>
  <si>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</si>
  <si>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</si>
  <si>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</si>
  <si>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</si>
  <si>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</si>
  <si>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</si>
  <si>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</si>
  <si>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</si>
  <si>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</si>
  <si>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</si>
  <si>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</si>
  <si>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</si>
  <si>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</si>
  <si>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</si>
  <si>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</si>
  <si>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</si>
  <si>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</si>
  <si>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</si>
  <si>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</si>
  <si>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</si>
  <si>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</si>
  <si>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</si>
  <si>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</si>
  <si>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</si>
  <si>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</si>
  <si>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</si>
  <si>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</si>
  <si>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</si>
  <si>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</si>
  <si>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</si>
  <si>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</si>
  <si>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</si>
  <si>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</si>
  <si>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</si>
  <si>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</si>
  <si>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</si>
  <si>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</si>
  <si>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</si>
  <si>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</si>
  <si>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</si>
  <si>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</si>
  <si>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</si>
  <si>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</si>
  <si>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</si>
  <si>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</si>
  <si>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</si>
  <si>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</si>
  <si>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</si>
  <si>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</si>
  <si>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</si>
  <si>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</si>
  <si>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</si>
  <si>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</si>
  <si>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</si>
  <si>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</si>
  <si>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</si>
  <si>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</si>
  <si>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</si>
  <si>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</si>
  <si>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</si>
  <si>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</si>
  <si>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</si>
  <si>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</si>
  <si>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</si>
  <si>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</si>
  <si>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</si>
  <si>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</si>
  <si>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</si>
  <si>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</si>
  <si>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</si>
  <si>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</si>
  <si>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</si>
  <si>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</si>
  <si>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</si>
  <si>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</si>
  <si>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</si>
  <si>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</si>
  <si>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</si>
  <si>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</si>
  <si>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</si>
  <si>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</si>
  <si>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</si>
  <si>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</si>
  <si>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</si>
  <si>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</si>
  <si>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</si>
  <si>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</si>
  <si>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</si>
  <si>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</si>
  <si>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</si>
  <si>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</si>
  <si>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</si>
  <si>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</si>
  <si>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</si>
  <si>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</si>
  <si>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</si>
  <si>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</si>
  <si>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</si>
  <si>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</si>
  <si>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</si>
  <si>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</si>
  <si>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</si>
  <si>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</si>
  <si>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</si>
  <si>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</si>
  <si>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</si>
  <si>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</si>
  <si>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</si>
  <si>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</si>
  <si>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</si>
  <si>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</si>
  <si>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</si>
  <si>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</si>
  <si>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</si>
  <si>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</si>
  <si>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</si>
  <si>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</si>
  <si>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</si>
  <si>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</si>
  <si>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</si>
  <si>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</si>
  <si>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</si>
  <si>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</si>
  <si>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</si>
  <si>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</si>
  <si>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</si>
  <si>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</si>
  <si>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</si>
  <si>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</si>
  <si>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</si>
  <si>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</si>
  <si>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</si>
  <si>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</si>
  <si>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</si>
  <si>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</si>
  <si>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</si>
  <si>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</si>
  <si>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</si>
  <si>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</si>
  <si>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</si>
  <si>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</si>
  <si>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</si>
  <si>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</si>
  <si>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</si>
  <si>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</si>
  <si>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</si>
  <si>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</si>
  <si>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</si>
  <si>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</si>
  <si>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</si>
  <si>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</si>
  <si>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</si>
  <si>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</si>
  <si>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</si>
  <si>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</si>
  <si>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</si>
  <si>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</si>
  <si>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</si>
  <si>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</si>
  <si>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</si>
  <si>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</si>
  <si>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</si>
  <si>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</si>
  <si>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</si>
  <si>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</si>
  <si>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</si>
  <si>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</si>
  <si>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</si>
  <si>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</si>
  <si>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</si>
  <si>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</si>
  <si>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</si>
  <si>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</si>
  <si>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</si>
  <si>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</si>
  <si>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</si>
  <si>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</si>
  <si>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</si>
  <si>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</si>
  <si>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</si>
  <si>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</si>
  <si>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</si>
  <si>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</si>
  <si>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</si>
  <si>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</si>
  <si>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</si>
  <si>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</si>
  <si>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</si>
  <si>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</si>
  <si>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</si>
  <si>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</si>
  <si>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</si>
  <si>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</si>
  <si>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</si>
  <si>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</si>
  <si>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</si>
  <si>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</si>
  <si>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</si>
  <si>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</si>
  <si>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</si>
  <si>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</si>
  <si>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</si>
  <si>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</si>
  <si>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</si>
  <si>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</si>
  <si>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</si>
  <si>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</si>
  <si>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</si>
  <si>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</si>
  <si>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</si>
  <si>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</si>
  <si>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</si>
  <si>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</si>
  <si>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</si>
  <si>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</si>
  <si>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</si>
  <si>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</si>
  <si>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</si>
  <si>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</si>
  <si>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</si>
  <si>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</si>
  <si>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</si>
  <si>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</si>
  <si>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</si>
  <si>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</si>
  <si>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</si>
  <si>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</si>
  <si>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</si>
  <si>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</si>
  <si>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</si>
  <si>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</si>
  <si>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</si>
  <si>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</si>
  <si>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</si>
  <si>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</si>
  <si>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</si>
  <si>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</si>
  <si>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</si>
  <si>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</si>
  <si>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</si>
  <si>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</si>
  <si>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</si>
  <si>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</si>
  <si>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</si>
  <si>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</si>
  <si>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</si>
  <si>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</si>
  <si>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</si>
  <si>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</si>
  <si>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</si>
  <si>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</si>
  <si>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</si>
  <si>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</si>
  <si>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</si>
  <si>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</si>
  <si>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</si>
  <si>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</si>
  <si>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</si>
  <si>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</si>
  <si>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</si>
  <si>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</si>
  <si>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</si>
  <si>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</si>
  <si>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</si>
  <si>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</si>
  <si>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</si>
  <si>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</si>
  <si>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</si>
  <si>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</si>
  <si>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</si>
  <si>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</si>
  <si>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</si>
  <si>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</si>
  <si>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</si>
  <si>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</si>
  <si>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</si>
  <si>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</si>
  <si>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</si>
  <si>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</si>
  <si>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</si>
  <si>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</si>
  <si>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</si>
  <si>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</si>
  <si>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</si>
  <si>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</si>
  <si>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</si>
  <si>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</si>
  <si>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</si>
  <si>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</si>
  <si>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</si>
  <si>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</si>
  <si>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</si>
  <si>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</si>
  <si>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</si>
  <si>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</si>
  <si>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</si>
  <si>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</si>
  <si>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</si>
  <si>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</si>
  <si>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</si>
  <si>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</si>
  <si>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</si>
  <si>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</si>
  <si>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</si>
  <si>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</si>
  <si>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</si>
  <si>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</si>
  <si>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</si>
  <si>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</si>
  <si>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</si>
  <si>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</si>
  <si>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</si>
  <si>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</si>
  <si>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</si>
  <si>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</si>
  <si>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</si>
  <si>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</si>
  <si>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</si>
  <si>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</si>
  <si>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</si>
  <si>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</si>
  <si>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</si>
  <si>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</si>
  <si>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</si>
  <si>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</si>
  <si>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</si>
  <si>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</si>
  <si>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</si>
  <si>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</si>
  <si>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</si>
  <si>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</si>
  <si>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</si>
  <si>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</si>
  <si>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</si>
  <si>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</si>
  <si>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</si>
  <si>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</si>
  <si>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</si>
  <si>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</si>
  <si>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</si>
  <si>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</si>
  <si>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</si>
  <si>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</si>
  <si>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</si>
  <si>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</si>
  <si>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</si>
  <si>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</si>
  <si>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</si>
  <si>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</si>
  <si>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</si>
  <si>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</si>
  <si>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</si>
  <si>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</si>
  <si>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</si>
  <si>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</si>
  <si>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</si>
  <si>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</si>
  <si>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</si>
  <si>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</si>
  <si>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</si>
  <si>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</si>
  <si>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</si>
  <si>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</si>
  <si>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</si>
  <si>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</si>
  <si>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</si>
  <si>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</si>
  <si>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</si>
  <si>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</si>
  <si>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</si>
  <si>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</si>
  <si>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</si>
  <si>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</si>
  <si>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</si>
  <si>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</si>
  <si>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</si>
  <si>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</si>
  <si>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</si>
  <si>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</si>
  <si>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</si>
  <si>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</si>
  <si>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</si>
  <si>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</si>
  <si>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</si>
  <si>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</si>
  <si>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</si>
  <si>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</si>
  <si>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</si>
  <si>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</si>
  <si>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</si>
  <si>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</si>
  <si>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</si>
  <si>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</si>
  <si>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</si>
  <si>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</si>
  <si>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</si>
  <si>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</si>
  <si>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</si>
  <si>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</si>
  <si>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</si>
  <si>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</si>
  <si>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</si>
  <si>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</si>
  <si>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</si>
  <si>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</si>
  <si>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</si>
  <si>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</si>
  <si>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</si>
  <si>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</si>
  <si>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</si>
  <si>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</si>
  <si>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</si>
  <si>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</si>
  <si>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</si>
  <si>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</si>
  <si>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</si>
  <si>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</si>
  <si>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</si>
  <si>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</si>
  <si>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</si>
  <si>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</si>
  <si>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</si>
  <si>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</si>
  <si>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</si>
  <si>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</si>
  <si>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</si>
  <si>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</si>
  <si>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</si>
  <si>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</si>
  <si>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</si>
  <si>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</si>
  <si>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</si>
  <si>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</si>
  <si>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</si>
  <si>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</si>
  <si>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</si>
  <si>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</si>
  <si>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</si>
  <si>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</si>
  <si>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</si>
  <si>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</si>
  <si>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</si>
  <si>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</si>
  <si>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</si>
  <si>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</si>
  <si>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</si>
  <si>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</si>
  <si>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</si>
  <si>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</si>
  <si>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</si>
  <si>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</si>
  <si>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</si>
  <si>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</si>
  <si>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</si>
  <si>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</si>
  <si>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</si>
  <si>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</si>
  <si>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</si>
  <si>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</si>
  <si>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</si>
  <si>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</si>
  <si>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</si>
  <si>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</si>
  <si>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</si>
  <si>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</si>
  <si>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</si>
  <si>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</si>
  <si>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</si>
  <si>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</si>
  <si>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</si>
  <si>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</si>
  <si>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</si>
  <si>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</si>
  <si>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</si>
  <si>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</si>
  <si>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</si>
  <si>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</si>
  <si>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</si>
  <si>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</si>
  <si>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</si>
  <si>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</si>
  <si>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</si>
  <si>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</si>
  <si>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</si>
  <si>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</si>
  <si>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</si>
  <si>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</si>
  <si>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</si>
  <si>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</si>
  <si>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</si>
  <si>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</si>
  <si>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</si>
  <si>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</si>
  <si>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</si>
  <si>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</si>
  <si>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</si>
  <si>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</si>
  <si>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</si>
  <si>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</si>
  <si>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</si>
  <si>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</si>
  <si>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</si>
  <si>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</si>
  <si>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</si>
  <si>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</si>
  <si>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</si>
  <si>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</si>
  <si>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</si>
  <si>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</si>
  <si>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</si>
  <si>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</si>
  <si>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</si>
  <si>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</si>
  <si>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</si>
  <si>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</si>
  <si>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</si>
  <si>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</si>
  <si>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</si>
  <si>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</si>
  <si>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</si>
  <si>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</si>
  <si>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</si>
  <si>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</si>
  <si>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</si>
  <si>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</si>
  <si>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</si>
  <si>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</si>
  <si>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</si>
  <si>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</si>
  <si>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</si>
  <si>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</si>
  <si>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</si>
  <si>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</si>
  <si>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</si>
  <si>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</si>
  <si>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</si>
  <si>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</si>
  <si>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</si>
  <si>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</si>
  <si>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</si>
  <si>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</si>
  <si>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</si>
  <si>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</si>
  <si>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</si>
  <si>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</si>
  <si>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</si>
  <si>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</si>
  <si>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</si>
  <si>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</si>
  <si>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</si>
  <si>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</si>
  <si>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</si>
  <si>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</si>
  <si>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</si>
  <si>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</si>
  <si>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</si>
  <si>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</si>
  <si>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</si>
  <si>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</si>
  <si>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</si>
  <si>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</si>
  <si>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</si>
  <si>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</si>
  <si>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</si>
  <si>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</si>
  <si>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</si>
  <si>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</si>
  <si>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</si>
  <si>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</si>
  <si>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</si>
  <si>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</si>
  <si>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</si>
  <si>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</si>
  <si>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</si>
  <si>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</si>
  <si>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</si>
  <si>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</si>
  <si>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</si>
  <si>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</si>
  <si>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</si>
  <si>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</si>
  <si>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</si>
  <si>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</si>
  <si>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</si>
  <si>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</si>
  <si>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</si>
  <si>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</si>
  <si>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</si>
  <si>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</si>
  <si>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</si>
  <si>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</si>
  <si>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</si>
  <si>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</si>
  <si>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</si>
  <si>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</si>
  <si>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</si>
  <si>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</si>
  <si>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</si>
  <si>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</si>
  <si>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</si>
  <si>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</si>
  <si>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</si>
  <si>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</si>
  <si>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</si>
  <si>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</si>
  <si>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</si>
  <si>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</si>
  <si>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</si>
  <si>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</si>
  <si>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</si>
  <si>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</si>
  <si>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</si>
  <si>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</si>
  <si>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</si>
  <si>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</si>
  <si>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</si>
  <si>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</si>
  <si>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</si>
  <si>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</si>
  <si>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</si>
  <si>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</si>
  <si>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</si>
  <si>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</si>
  <si>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</si>
  <si>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</si>
  <si>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</si>
  <si>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</si>
  <si>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</si>
  <si>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</si>
  <si>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</si>
  <si>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</si>
  <si>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</si>
  <si>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</si>
  <si>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</si>
  <si>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</si>
  <si>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</si>
  <si>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</si>
  <si>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</si>
  <si>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</si>
  <si>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</si>
  <si>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</si>
  <si>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</si>
  <si>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</si>
  <si>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</si>
  <si>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</si>
  <si>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</si>
  <si>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</si>
  <si>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</si>
  <si>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</si>
  <si>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</si>
  <si>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</si>
  <si>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</si>
  <si>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</si>
  <si>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</si>
  <si>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</si>
  <si>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</si>
  <si>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</si>
  <si>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</si>
  <si>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</si>
  <si>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</si>
  <si>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</si>
  <si>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</si>
  <si>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</si>
  <si>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</si>
  <si>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</si>
  <si>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</si>
  <si>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</si>
  <si>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</si>
  <si>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</si>
  <si>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</si>
  <si>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</si>
  <si>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</si>
  <si>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</si>
  <si>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</si>
  <si>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</si>
  <si>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</si>
  <si>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</si>
  <si>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</si>
  <si>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</si>
  <si>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</si>
  <si>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</si>
  <si>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</si>
  <si>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</si>
  <si>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</si>
  <si>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</si>
  <si>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</si>
  <si>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</si>
  <si>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</si>
  <si>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</si>
  <si>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</si>
  <si>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</si>
  <si>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</si>
  <si>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</si>
  <si>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</si>
  <si>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</si>
  <si>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</si>
  <si>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</si>
  <si>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</si>
  <si>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</si>
  <si>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</si>
  <si>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</si>
  <si>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</si>
  <si>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</si>
  <si>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</si>
  <si>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</si>
  <si>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</si>
  <si>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</si>
  <si>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</si>
  <si>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</si>
  <si>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</si>
  <si>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</si>
  <si>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</si>
  <si>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</si>
  <si>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</si>
  <si>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</si>
  <si>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</si>
  <si>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</si>
  <si>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</si>
  <si>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</si>
  <si>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</si>
  <si>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</si>
  <si>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</si>
  <si>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</si>
  <si>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</si>
  <si>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</si>
  <si>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</si>
  <si>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</si>
  <si>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</si>
  <si>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</si>
  <si>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</si>
  <si>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</si>
  <si>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</si>
  <si>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</si>
  <si>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</si>
  <si>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</si>
  <si>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</si>
  <si>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</si>
  <si>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</si>
  <si>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</si>
  <si>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</si>
  <si>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</si>
  <si>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</si>
  <si>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</si>
  <si>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</si>
  <si>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</si>
  <si>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</si>
  <si>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</si>
  <si>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</si>
  <si>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</si>
  <si>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</si>
  <si>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</si>
  <si>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</si>
  <si>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</si>
  <si>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</si>
  <si>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</si>
  <si>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</si>
  <si>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</si>
  <si>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</si>
  <si>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</si>
  <si>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</si>
  <si>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</si>
  <si>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</si>
  <si>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</si>
  <si>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</si>
  <si>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</si>
  <si>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</si>
  <si>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</si>
  <si>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</si>
  <si>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</si>
  <si>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</si>
  <si>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</si>
  <si>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</si>
  <si>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</si>
  <si>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</si>
  <si>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</si>
  <si>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</si>
  <si>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</si>
  <si>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</si>
  <si>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</si>
  <si>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</si>
  <si>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</si>
  <si>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</si>
  <si>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</si>
  <si>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</si>
  <si>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</si>
  <si>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</si>
  <si>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</si>
  <si>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</si>
  <si>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</si>
  <si>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</si>
  <si>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</si>
  <si>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</si>
  <si>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</si>
  <si>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</si>
  <si>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</si>
  <si>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</si>
  <si>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</si>
  <si>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</si>
  <si>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</si>
  <si>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</si>
  <si>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</si>
  <si>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</si>
  <si>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</si>
  <si>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</si>
  <si>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</si>
  <si>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</si>
  <si>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</si>
  <si>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</si>
  <si>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</si>
  <si>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</si>
  <si>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</si>
  <si>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</si>
  <si>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</si>
  <si>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</si>
  <si>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</si>
  <si>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</si>
  <si>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</si>
  <si>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</si>
  <si>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</si>
  <si>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</si>
  <si>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</si>
  <si>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</si>
  <si>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</si>
  <si>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</si>
  <si>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</si>
  <si>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</si>
  <si>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</si>
  <si>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</si>
  <si>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</si>
  <si>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</si>
  <si>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</si>
  <si>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</si>
  <si>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</si>
  <si>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</si>
  <si>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</si>
  <si>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</si>
  <si>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</si>
  <si>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</si>
  <si>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</si>
  <si>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</si>
  <si>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</si>
  <si>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</si>
  <si>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</si>
  <si>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</si>
  <si>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</si>
  <si>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</si>
  <si>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</si>
  <si>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</si>
  <si>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</si>
  <si>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</si>
  <si>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</si>
  <si>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</si>
  <si>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</si>
  <si>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</si>
  <si>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</si>
  <si>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</si>
  <si>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</si>
  <si>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</si>
  <si>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</si>
  <si>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</si>
  <si>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</si>
  <si>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</si>
  <si>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</si>
  <si>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</si>
  <si>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</si>
  <si>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</si>
  <si>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</si>
  <si>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</si>
  <si>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</si>
  <si>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</si>
  <si>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</si>
  <si>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</si>
  <si>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</si>
  <si>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</si>
  <si>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</si>
  <si>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</si>
  <si>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</si>
  <si>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</si>
  <si>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</si>
  <si>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</si>
  <si>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</si>
  <si>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</si>
  <si>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</si>
  <si>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</si>
  <si>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</si>
  <si>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</si>
  <si>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</si>
  <si>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</si>
  <si>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</si>
  <si>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</si>
  <si>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</si>
  <si>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</si>
  <si>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</si>
  <si>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</si>
  <si>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</si>
  <si>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</si>
  <si>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</si>
  <si>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</si>
  <si>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</si>
  <si>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</si>
  <si>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</si>
  <si>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</si>
  <si>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</si>
  <si>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</si>
  <si>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</si>
  <si>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</si>
  <si>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</si>
  <si>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</si>
  <si>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</si>
  <si>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</si>
  <si>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</si>
  <si>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</si>
  <si>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</si>
  <si>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</si>
  <si>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</si>
  <si>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</si>
  <si>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</si>
  <si>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</si>
  <si>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</si>
  <si>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</si>
  <si>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</si>
  <si>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</si>
  <si>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</si>
  <si>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</si>
  <si>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</si>
  <si>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</si>
  <si>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</si>
  <si>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</si>
  <si>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</si>
  <si>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</si>
  <si>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</si>
  <si>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</si>
  <si>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</si>
  <si>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</si>
  <si>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</si>
  <si>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</si>
  <si>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</si>
  <si>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</si>
  <si>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</si>
  <si>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</si>
  <si>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</si>
  <si>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</si>
  <si>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</si>
  <si>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</si>
  <si>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</si>
  <si>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</si>
  <si>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</si>
  <si>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</si>
  <si>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</si>
  <si>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</si>
  <si>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</si>
  <si>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</si>
  <si>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</si>
  <si>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</si>
  <si>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</si>
  <si>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</si>
  <si>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</si>
  <si>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</si>
  <si>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</si>
  <si>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</si>
  <si>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</si>
  <si>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</si>
  <si>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</si>
  <si>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</si>
  <si>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</si>
  <si>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</si>
  <si>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</si>
  <si>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</si>
  <si>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</si>
  <si>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</si>
  <si>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</si>
  <si>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</si>
  <si>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</si>
  <si>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</si>
  <si>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</si>
  <si>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</si>
  <si>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</si>
  <si>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</si>
  <si>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</si>
  <si>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</si>
  <si>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</si>
  <si>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</si>
  <si>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</si>
  <si>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</si>
  <si>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</si>
  <si>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</si>
  <si>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</si>
  <si>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</si>
  <si>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</si>
  <si>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</si>
  <si>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</si>
  <si>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</si>
  <si>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</si>
  <si>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</si>
  <si>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</si>
  <si>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</si>
  <si>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</si>
  <si>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</si>
  <si>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</si>
  <si>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</si>
  <si>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</si>
  <si>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</si>
  <si>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</si>
  <si>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</si>
  <si>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</si>
  <si>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</si>
  <si>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</si>
  <si>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</si>
  <si>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</si>
  <si>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</si>
  <si>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</si>
  <si>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</si>
  <si>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</si>
  <si>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</si>
  <si>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</si>
  <si>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</si>
  <si>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</si>
  <si>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</si>
  <si>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</si>
  <si>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</si>
  <si>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</si>
  <si>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</si>
  <si>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</si>
  <si>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</si>
  <si>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</si>
  <si>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</si>
  <si>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</si>
  <si>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</si>
  <si>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</si>
  <si>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</si>
  <si>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</si>
  <si>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</si>
  <si>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</si>
  <si>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</si>
  <si>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</si>
  <si>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</si>
  <si>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</si>
  <si>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</si>
  <si>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</si>
  <si>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</si>
  <si>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</si>
  <si>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</si>
  <si>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</si>
  <si>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</si>
  <si>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</si>
  <si>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</si>
  <si>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</si>
  <si>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</si>
  <si>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</si>
  <si>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</si>
  <si>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</si>
  <si>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</si>
  <si>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</si>
  <si>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</si>
  <si>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</si>
  <si>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</si>
  <si>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</si>
  <si>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</si>
  <si>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</si>
  <si>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</si>
  <si>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</si>
  <si>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</si>
  <si>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</si>
  <si>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</si>
  <si>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</si>
  <si>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</si>
  <si>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</si>
  <si>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</si>
  <si>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</si>
  <si>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</si>
  <si>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</si>
  <si>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</si>
  <si>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</si>
  <si>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</si>
  <si>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</si>
  <si>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</si>
  <si>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</si>
  <si>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</si>
  <si>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</si>
  <si>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</si>
  <si>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</si>
  <si>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</si>
  <si>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</si>
  <si>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</si>
  <si>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</si>
  <si>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</si>
  <si>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</si>
  <si>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</si>
  <si>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</si>
  <si>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</si>
  <si>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</si>
  <si>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</si>
  <si>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</si>
  <si>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</si>
  <si>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</si>
  <si>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</si>
  <si>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</si>
  <si>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</si>
  <si>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</si>
  <si>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</si>
  <si>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</si>
  <si>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</si>
  <si>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</si>
  <si>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</si>
  <si>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</si>
  <si>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</si>
  <si>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</si>
  <si>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</si>
  <si>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</si>
  <si>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</si>
  <si>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</si>
  <si>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</si>
  <si>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</si>
  <si>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</si>
  <si>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</si>
  <si>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</si>
  <si>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</si>
  <si>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</si>
  <si>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</si>
  <si>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</si>
  <si>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</si>
  <si>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</si>
  <si>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</si>
  <si>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</si>
  <si>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</si>
  <si>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</si>
  <si>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</si>
  <si>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</si>
  <si>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</si>
  <si>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</si>
  <si>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</si>
  <si>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</si>
  <si>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</si>
  <si>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</si>
  <si>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</si>
  <si>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</si>
  <si>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</si>
  <si>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</si>
  <si>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</si>
  <si>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</si>
  <si>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</si>
  <si>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</si>
  <si>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</si>
  <si>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</si>
  <si>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</si>
  <si>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</si>
  <si>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</si>
  <si>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</si>
  <si>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</si>
  <si>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</si>
  <si>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</si>
  <si>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</si>
  <si>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</si>
  <si>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</si>
  <si>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</si>
  <si>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</si>
  <si>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</si>
  <si>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</si>
  <si>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</si>
  <si>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</si>
  <si>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</si>
  <si>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</si>
  <si>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</si>
  <si>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</si>
  <si>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</si>
  <si>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</si>
  <si>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</si>
  <si>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</si>
  <si>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</si>
  <si>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</si>
  <si>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</si>
  <si>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</si>
  <si>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</si>
  <si>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</si>
  <si>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</si>
  <si>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</si>
  <si>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</si>
  <si>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</si>
  <si>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</si>
  <si>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</si>
  <si>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</si>
  <si>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</si>
  <si>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</si>
  <si>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</si>
  <si>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</si>
  <si>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</si>
  <si>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</si>
  <si>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</si>
  <si>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</si>
  <si>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</si>
  <si>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</si>
  <si>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</si>
  <si>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</si>
  <si>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</si>
  <si>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</si>
  <si>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</si>
  <si>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</si>
  <si>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</si>
  <si>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</si>
  <si>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</si>
  <si>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</si>
  <si>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</si>
  <si>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</si>
  <si>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</si>
  <si>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</si>
  <si>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</si>
  <si>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</si>
  <si>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</si>
  <si>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</si>
  <si>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</si>
  <si>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</si>
  <si>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</si>
  <si>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</si>
  <si>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</si>
  <si>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</si>
  <si>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</si>
  <si>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</si>
  <si>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</si>
  <si>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</si>
  <si>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</si>
  <si>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</si>
  <si>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</si>
  <si>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</si>
  <si>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</si>
  <si>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</si>
  <si>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</si>
  <si>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</si>
  <si>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</si>
  <si>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</si>
  <si>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</si>
  <si>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</si>
  <si>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</si>
  <si>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</si>
  <si>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</si>
  <si>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</si>
  <si>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</si>
  <si>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</si>
  <si>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</si>
  <si>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</si>
  <si>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</si>
  <si>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</si>
  <si>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</si>
  <si>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</si>
  <si>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</si>
  <si>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</si>
  <si>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</si>
  <si>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</si>
  <si>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</si>
  <si>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</si>
  <si>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</si>
  <si>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</si>
  <si>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</si>
  <si>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</si>
  <si>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</si>
  <si>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</si>
  <si>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</si>
  <si>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</si>
  <si>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</si>
  <si>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</si>
  <si>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</si>
  <si>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</si>
  <si>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</si>
  <si>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</si>
  <si>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</si>
  <si>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</si>
  <si>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</si>
  <si>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</si>
  <si>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</si>
  <si>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</si>
  <si>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</si>
  <si>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</si>
  <si>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</si>
  <si>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</si>
  <si>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</si>
  <si>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</si>
  <si>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</si>
  <si>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</si>
  <si>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</si>
  <si>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</si>
  <si>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</si>
  <si>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</si>
  <si>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</si>
  <si>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</si>
  <si>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</si>
  <si>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</si>
  <si>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</si>
  <si>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</si>
  <si>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</si>
  <si>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</si>
  <si>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</si>
  <si>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</si>
  <si>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</si>
  <si>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</si>
  <si>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</si>
  <si>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</si>
  <si>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</si>
  <si>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</si>
  <si>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</si>
  <si>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</si>
  <si>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</si>
  <si>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</si>
  <si>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</si>
  <si>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</si>
  <si>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</si>
  <si>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</si>
  <si>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</si>
  <si>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</si>
  <si>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</si>
  <si>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</si>
  <si>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</si>
  <si>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</si>
  <si>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</si>
  <si>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</si>
  <si>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</si>
  <si>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</si>
  <si>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</si>
  <si>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</si>
  <si>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</si>
  <si>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</si>
  <si>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</si>
  <si>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</si>
  <si>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</si>
  <si>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</si>
  <si>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</si>
  <si>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</si>
  <si>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</si>
  <si>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</si>
  <si>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</si>
  <si>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</si>
  <si>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</si>
  <si>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</si>
  <si>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</si>
  <si>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</si>
  <si>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</si>
  <si>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</si>
  <si>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</si>
  <si>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</si>
  <si>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</si>
  <si>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</si>
  <si>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</si>
  <si>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</si>
  <si>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</si>
  <si>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</si>
  <si>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</si>
  <si>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</si>
  <si>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</si>
  <si>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</si>
  <si>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</si>
  <si>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</si>
  <si>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</si>
  <si>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</si>
  <si>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</si>
  <si>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</si>
  <si>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</si>
  <si>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</si>
  <si>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</si>
  <si>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</si>
  <si>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</si>
  <si>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</si>
  <si>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</si>
  <si>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</si>
  <si>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</si>
  <si>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</si>
  <si>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</si>
  <si>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</si>
  <si>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</si>
  <si>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</si>
  <si>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</si>
  <si>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</si>
  <si>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</si>
  <si>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</si>
  <si>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</si>
  <si>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</si>
  <si>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</si>
  <si>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</si>
  <si>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</si>
  <si>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</si>
  <si>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</si>
  <si>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</si>
  <si>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</si>
  <si>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</si>
  <si>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</si>
  <si>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</si>
  <si>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</si>
  <si>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</si>
  <si>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</si>
  <si>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</si>
  <si>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</si>
  <si>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</si>
  <si>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</si>
  <si>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</si>
  <si>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</si>
  <si>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</si>
  <si>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</si>
  <si>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</si>
  <si>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</si>
  <si>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</si>
  <si>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</si>
  <si>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</si>
  <si>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</si>
  <si>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</si>
  <si>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</si>
  <si>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</si>
  <si>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</si>
  <si>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</si>
  <si>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</si>
  <si>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</si>
  <si>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</si>
  <si>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</si>
  <si>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</si>
  <si>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</si>
  <si>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</si>
  <si>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</si>
  <si>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</si>
  <si>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</si>
  <si>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</si>
  <si>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</si>
  <si>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</si>
  <si>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</si>
  <si>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</si>
  <si>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</si>
  <si>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</si>
  <si>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</si>
  <si>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</si>
  <si>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</si>
  <si>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</si>
  <si>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</si>
  <si>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</si>
  <si>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</si>
  <si>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</si>
  <si>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</si>
  <si>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</si>
  <si>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</si>
  <si>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</si>
  <si>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</si>
  <si>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</si>
  <si>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</si>
  <si>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</si>
  <si>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</si>
  <si>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</si>
  <si>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</si>
  <si>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</si>
  <si>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</si>
  <si>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</si>
  <si>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</si>
  <si>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</si>
  <si>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</si>
  <si>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</si>
  <si>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</si>
  <si>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</si>
  <si>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</si>
  <si>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</si>
  <si>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</si>
  <si>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</si>
  <si>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</si>
  <si>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</si>
  <si>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</si>
  <si>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</si>
  <si>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</si>
  <si>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</si>
  <si>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</si>
  <si>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</si>
  <si>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</si>
  <si>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</si>
  <si>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</si>
  <si>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</si>
  <si>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</si>
  <si>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</si>
  <si>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</si>
  <si>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</si>
  <si>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</si>
  <si>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</si>
  <si>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</si>
  <si>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</si>
  <si>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</si>
  <si>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</si>
  <si>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</si>
  <si>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</si>
  <si>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</si>
  <si>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</si>
  <si>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</si>
  <si>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</si>
  <si>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</si>
  <si>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</si>
  <si>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</si>
  <si>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</si>
  <si>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</si>
  <si>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</si>
  <si>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</si>
  <si>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</si>
  <si>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</si>
  <si>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</si>
  <si>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</si>
  <si>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</si>
  <si>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</si>
  <si>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</si>
  <si>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</si>
  <si>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</si>
  <si>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</si>
  <si>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</si>
  <si>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</si>
  <si>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</si>
  <si>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</si>
  <si>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</si>
  <si>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</si>
  <si>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</si>
  <si>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</si>
  <si>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</si>
  <si>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</si>
  <si>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</si>
  <si>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</si>
  <si>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</si>
  <si>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</si>
  <si>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</si>
  <si>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</si>
  <si>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</si>
  <si>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</si>
  <si>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</si>
  <si>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</si>
  <si>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</si>
  <si>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</si>
  <si>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</si>
  <si>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</si>
  <si>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</si>
  <si>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</si>
  <si>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</si>
  <si>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</si>
  <si>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</si>
  <si>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</si>
  <si>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</si>
  <si>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</si>
  <si>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</si>
  <si>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</si>
  <si>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</si>
  <si>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</si>
  <si>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</si>
  <si>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</si>
  <si>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</si>
  <si>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</si>
  <si>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</si>
  <si>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</si>
  <si>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</si>
  <si>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</si>
  <si>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</si>
  <si>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</si>
  <si>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</si>
  <si>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</si>
  <si>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</si>
  <si>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</si>
  <si>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</si>
  <si>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</si>
  <si>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</si>
  <si>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</si>
  <si>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</si>
  <si>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</si>
  <si>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</si>
  <si>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</si>
  <si>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</si>
  <si>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</si>
  <si>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</si>
  <si>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</si>
  <si>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</si>
  <si>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</si>
  <si>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</si>
  <si>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</si>
  <si>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</si>
  <si>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</si>
  <si>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</si>
  <si>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</si>
  <si>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</si>
  <si>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</si>
  <si>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</si>
  <si>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</si>
  <si>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</si>
  <si>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</si>
  <si>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</si>
  <si>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</si>
  <si>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</si>
  <si>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</si>
  <si>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</si>
  <si>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</si>
  <si>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</si>
  <si>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</si>
  <si>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</si>
  <si>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</si>
  <si>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</si>
  <si>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</si>
  <si>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</si>
  <si>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</si>
  <si>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</si>
  <si>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</si>
  <si>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</si>
  <si>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</si>
  <si>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</si>
  <si>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</si>
  <si>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</si>
  <si>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</si>
  <si>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</si>
  <si>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</si>
  <si>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</si>
  <si>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</si>
  <si>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</si>
  <si>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</si>
  <si>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</si>
  <si>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</si>
  <si>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</si>
  <si>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</si>
  <si>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</si>
  <si>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</si>
  <si>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</si>
  <si>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</si>
  <si>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</si>
  <si>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</si>
  <si>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</si>
  <si>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</si>
  <si>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</si>
  <si>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</si>
  <si>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</si>
  <si>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</si>
  <si>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</si>
  <si>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</si>
  <si>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</si>
  <si>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</si>
  <si>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</si>
  <si>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</si>
  <si>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</si>
  <si>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</si>
  <si>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</si>
  <si>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</si>
  <si>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</si>
  <si>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</si>
  <si>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</si>
  <si>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</si>
  <si>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</si>
  <si>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</si>
  <si>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</si>
  <si>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</si>
  <si>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</si>
  <si>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</si>
  <si>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</si>
  <si>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</si>
  <si>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</si>
  <si>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</si>
  <si>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</si>
  <si>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</si>
  <si>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</si>
  <si>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</si>
  <si>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</si>
  <si>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</si>
  <si>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</si>
  <si>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</si>
  <si>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</si>
  <si>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</si>
  <si>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</si>
  <si>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</si>
  <si>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</si>
  <si>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</si>
  <si>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</si>
  <si>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</si>
  <si>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</si>
  <si>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</si>
  <si>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</si>
  <si>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</si>
  <si>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</si>
  <si>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</si>
  <si>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</si>
  <si>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</si>
  <si>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</si>
  <si>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</si>
  <si>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</si>
  <si>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</si>
  <si>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</si>
  <si>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</si>
  <si>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</si>
  <si>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</si>
  <si>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</si>
  <si>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</si>
  <si>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</si>
  <si>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</si>
  <si>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</si>
  <si>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</si>
  <si>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</si>
  <si>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</si>
  <si>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</si>
  <si>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</si>
  <si>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</si>
  <si>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</si>
  <si>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</si>
  <si>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</si>
  <si>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</si>
  <si>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</si>
  <si>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</si>
  <si>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</si>
  <si>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</si>
  <si>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</si>
  <si>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</si>
  <si>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</si>
  <si>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</si>
  <si>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</si>
  <si>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</si>
  <si>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</si>
  <si>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</si>
  <si>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</si>
  <si>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</si>
  <si>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</si>
  <si>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</si>
  <si>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</si>
  <si>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</si>
  <si>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</si>
  <si>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</si>
  <si>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</si>
  <si>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</si>
  <si>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</si>
  <si>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</si>
  <si>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</si>
  <si>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</si>
  <si>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</si>
  <si>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</si>
  <si>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</si>
  <si>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</si>
  <si>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</si>
  <si>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</si>
  <si>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</si>
  <si>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</si>
  <si>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</si>
  <si>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</si>
  <si>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</si>
  <si>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</si>
  <si>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</si>
  <si>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</si>
  <si>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</si>
  <si>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</si>
  <si>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</si>
  <si>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</si>
  <si>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</si>
  <si>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</si>
  <si>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</si>
  <si>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</si>
  <si>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</si>
  <si>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</si>
  <si>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</si>
  <si>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</si>
  <si>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</si>
  <si>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</si>
  <si>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</si>
  <si>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</si>
  <si>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</si>
  <si>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</si>
  <si>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</si>
  <si>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</si>
  <si>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</si>
  <si>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</si>
  <si>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</si>
  <si>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</si>
  <si>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</si>
  <si>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</si>
  <si>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</si>
  <si>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</si>
  <si>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</si>
  <si>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</si>
  <si>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</si>
  <si>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</si>
  <si>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</si>
  <si>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</si>
  <si>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</si>
  <si>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</si>
  <si>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</si>
  <si>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</si>
  <si>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</si>
  <si>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</si>
  <si>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</si>
  <si>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</si>
  <si>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</si>
  <si>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</si>
  <si>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</si>
  <si>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</si>
  <si>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</si>
  <si>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</si>
  <si>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</si>
  <si>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</si>
  <si>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</si>
  <si>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</si>
  <si>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</si>
  <si>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</si>
  <si>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</si>
  <si>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</si>
  <si>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</si>
  <si>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</si>
  <si>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</si>
  <si>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</si>
  <si>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</si>
  <si>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</si>
  <si>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</si>
  <si>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</si>
  <si>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</si>
  <si>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</si>
  <si>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</si>
  <si>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</si>
  <si>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</si>
  <si>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</si>
  <si>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</si>
  <si>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</si>
  <si>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</si>
  <si>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</si>
  <si>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</si>
  <si>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</si>
  <si>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</si>
  <si>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</si>
  <si>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</si>
  <si>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</si>
  <si>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</si>
  <si>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</si>
  <si>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</si>
  <si>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</si>
  <si>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</si>
  <si>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</si>
  <si>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</si>
  <si>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</si>
  <si>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</si>
  <si>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</si>
  <si>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</si>
  <si>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</si>
  <si>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</si>
  <si>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</si>
  <si>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</si>
  <si>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</si>
  <si>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</si>
  <si>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</si>
  <si>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</si>
  <si>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</si>
  <si>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</si>
  <si>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</si>
  <si>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</si>
  <si>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</si>
  <si>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</si>
  <si>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</si>
  <si>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</si>
  <si>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</si>
  <si>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</si>
  <si>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</si>
  <si>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</si>
  <si>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</si>
  <si>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</si>
  <si>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</si>
  <si>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</si>
  <si>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</si>
  <si>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</si>
  <si>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</si>
  <si>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</si>
  <si>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</si>
  <si>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</si>
  <si>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</si>
  <si>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</si>
  <si>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</si>
  <si>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</si>
  <si>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</si>
  <si>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</si>
  <si>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</si>
  <si>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</si>
  <si>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</si>
  <si>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</si>
  <si>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</si>
  <si>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</si>
  <si>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</si>
  <si>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</si>
  <si>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</si>
  <si>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</si>
  <si>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</si>
  <si>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</si>
  <si>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</si>
  <si>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</si>
  <si>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</si>
  <si>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</si>
  <si>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</si>
  <si>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</si>
  <si>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</si>
  <si>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</si>
  <si>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</si>
  <si>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</si>
  <si>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</si>
  <si>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</si>
  <si>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</si>
  <si>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</si>
  <si>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</si>
  <si>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</si>
  <si>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</si>
  <si>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</si>
  <si>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</si>
  <si>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</si>
  <si>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</si>
  <si>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</si>
  <si>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</si>
  <si>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</si>
  <si>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</si>
  <si>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</si>
  <si>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</si>
  <si>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</si>
  <si>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</si>
  <si>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</si>
  <si>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</si>
  <si>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</si>
  <si>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</si>
  <si>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</si>
  <si>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</si>
  <si>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</si>
  <si>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</si>
  <si>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</si>
  <si>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</si>
  <si>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</si>
  <si>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</si>
  <si>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</si>
  <si>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</si>
  <si>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</si>
  <si>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</si>
  <si>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</si>
  <si>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</si>
  <si>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</si>
  <si>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</si>
  <si>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</si>
  <si>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</si>
  <si>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</si>
  <si>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</si>
  <si>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</si>
  <si>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</si>
  <si>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</si>
  <si>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</si>
  <si>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</si>
  <si>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</si>
  <si>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</si>
  <si>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</si>
  <si>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</si>
  <si>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</si>
  <si>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</si>
  <si>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</si>
  <si>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</si>
  <si>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</si>
  <si>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</si>
  <si>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</si>
  <si>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</si>
  <si>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</si>
  <si>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</si>
  <si>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</si>
  <si>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</si>
  <si>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</si>
  <si>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</si>
  <si>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</si>
  <si>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</si>
  <si>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</si>
  <si>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</si>
  <si>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</si>
  <si>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</si>
  <si>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</si>
  <si>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</si>
  <si>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</si>
  <si>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</si>
  <si>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</si>
  <si>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</si>
  <si>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</si>
  <si>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</si>
  <si>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</si>
  <si>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</si>
  <si>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</si>
  <si>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</si>
  <si>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</si>
  <si>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</si>
  <si>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</si>
  <si>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</si>
  <si>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</si>
  <si>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</si>
  <si>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</si>
  <si>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</si>
  <si>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</si>
  <si>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</si>
  <si>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</si>
  <si>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</si>
  <si>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</si>
  <si>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</si>
  <si>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</si>
  <si>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</si>
  <si>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</si>
  <si>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</si>
  <si>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</si>
  <si>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</si>
  <si>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</si>
  <si>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</si>
  <si>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</si>
  <si>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</si>
  <si>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</si>
  <si>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</si>
  <si>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</si>
  <si>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</si>
  <si>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</si>
  <si>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</si>
  <si>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</si>
  <si>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</si>
  <si>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</si>
  <si>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</si>
  <si>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</si>
  <si>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</si>
  <si>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</si>
  <si>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</si>
  <si>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</si>
  <si>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</si>
  <si>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</si>
  <si>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</si>
  <si>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</si>
  <si>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</si>
  <si>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</si>
  <si>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</si>
  <si>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</si>
  <si>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</si>
  <si>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</si>
  <si>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</si>
  <si>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</si>
  <si>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</si>
  <si>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</si>
  <si>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</si>
  <si>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</si>
  <si>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</si>
  <si>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</si>
  <si>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</si>
  <si>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</si>
  <si>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</si>
  <si>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</si>
  <si>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</si>
  <si>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</si>
  <si>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</si>
  <si>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</si>
  <si>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</si>
  <si>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</si>
  <si>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</si>
  <si>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</si>
  <si>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</si>
  <si>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</si>
  <si>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</si>
  <si>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</si>
  <si>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</si>
  <si>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</si>
  <si>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</si>
  <si>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</si>
  <si>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</si>
  <si>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</si>
  <si>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</si>
  <si>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</si>
  <si>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</si>
  <si>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</si>
  <si>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</si>
  <si>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</si>
  <si>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</si>
  <si>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</si>
  <si>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</si>
  <si>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</si>
  <si>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</si>
  <si>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</si>
  <si>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</si>
  <si>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</si>
  <si>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</si>
  <si>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</si>
  <si>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</si>
  <si>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</si>
  <si>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</si>
  <si>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</si>
  <si>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</si>
  <si>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</si>
  <si>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</si>
  <si>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</si>
  <si>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</si>
  <si>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</si>
  <si>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</si>
  <si>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</si>
  <si>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</si>
  <si>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</si>
  <si>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</si>
  <si>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</si>
  <si>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</si>
  <si>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</si>
  <si>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</si>
  <si>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</si>
  <si>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</si>
  <si>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</si>
  <si>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</si>
  <si>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</si>
  <si>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</si>
  <si>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</si>
  <si>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</si>
  <si>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</si>
  <si>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</si>
  <si>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</si>
  <si>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</si>
  <si>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</si>
  <si>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</si>
  <si>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</si>
  <si>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</si>
  <si>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</si>
  <si>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</si>
  <si>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</si>
  <si>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</si>
  <si>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</si>
  <si>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</si>
  <si>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</si>
  <si>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</si>
  <si>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</si>
  <si>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</si>
  <si>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</si>
  <si>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</si>
  <si>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</si>
  <si>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</si>
  <si>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</si>
  <si>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</si>
  <si>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</si>
  <si>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</si>
  <si>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</si>
  <si>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</si>
  <si>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</si>
  <si>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</si>
  <si>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</si>
  <si>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</si>
  <si>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</si>
  <si>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</si>
  <si>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</si>
  <si>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</si>
  <si>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</si>
  <si>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</si>
  <si>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</si>
  <si>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</si>
  <si>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</si>
  <si>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</si>
  <si>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</si>
  <si>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</si>
  <si>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</si>
  <si>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</si>
  <si>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</si>
  <si>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</si>
  <si>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</si>
  <si>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</si>
  <si>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</si>
  <si>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</si>
  <si>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</si>
  <si>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</si>
  <si>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</si>
  <si>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</si>
  <si>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</si>
  <si>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</si>
  <si>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</si>
  <si>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</si>
  <si>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</si>
  <si>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</si>
  <si>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</si>
  <si>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</si>
  <si>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</si>
  <si>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</si>
  <si>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</si>
  <si>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</si>
  <si>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</si>
  <si>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</si>
  <si>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</si>
  <si>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</si>
  <si>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</si>
  <si>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</si>
  <si>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</si>
  <si>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</si>
  <si>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</si>
  <si>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</si>
  <si>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</si>
  <si>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</si>
  <si>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</si>
  <si>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</si>
  <si>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</si>
  <si>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</si>
  <si>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</si>
  <si>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</si>
  <si>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</si>
  <si>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</si>
  <si>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</si>
  <si>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</si>
  <si>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</si>
  <si>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</si>
  <si>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</si>
  <si>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</si>
  <si>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</si>
  <si>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</si>
  <si>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</si>
  <si>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</si>
  <si>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</si>
  <si>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</si>
  <si>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</si>
  <si>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</si>
  <si>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</si>
  <si>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</si>
  <si>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</si>
  <si>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</si>
  <si>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</si>
  <si>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</si>
  <si>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</si>
  <si>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</si>
  <si>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</si>
  <si>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</si>
  <si>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</si>
  <si>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</si>
  <si>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</si>
  <si>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</si>
  <si>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</si>
  <si>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</si>
  <si>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</si>
  <si>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</si>
  <si>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</si>
  <si>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</si>
  <si>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</si>
  <si>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</si>
  <si>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</si>
  <si>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</si>
  <si>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</si>
  <si>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</si>
  <si>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</si>
  <si>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</si>
  <si>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</si>
  <si>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</si>
  <si>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</si>
  <si>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</si>
  <si>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</si>
  <si>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</si>
  <si>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</si>
  <si>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</si>
  <si>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</si>
  <si>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</si>
  <si>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</si>
  <si>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</si>
  <si>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</si>
  <si>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</si>
  <si>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</si>
  <si>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</si>
  <si>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</si>
  <si>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</si>
  <si>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</si>
  <si>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</si>
  <si>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</si>
  <si>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</si>
  <si>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</si>
  <si>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</si>
  <si>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</si>
  <si>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</si>
  <si>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</si>
  <si>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</si>
  <si>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</si>
  <si>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</si>
  <si>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</si>
  <si>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</si>
  <si>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</si>
  <si>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</si>
  <si>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</si>
  <si>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</si>
  <si>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</si>
  <si>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</si>
  <si>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</si>
  <si>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</si>
  <si>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</si>
  <si>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</si>
  <si>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</si>
  <si>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</si>
  <si>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</si>
  <si>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</si>
  <si>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</si>
  <si>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</si>
  <si>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</si>
  <si>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</si>
  <si>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</si>
  <si>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</si>
  <si>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</si>
  <si>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</si>
  <si>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</si>
  <si>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</si>
  <si>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</si>
  <si>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</si>
  <si>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</si>
  <si>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</si>
  <si>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</si>
  <si>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</si>
  <si>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</si>
  <si>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</si>
  <si>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</si>
  <si>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</si>
  <si>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</si>
  <si>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</si>
  <si>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</si>
  <si>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</si>
  <si>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</si>
  <si>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</si>
  <si>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</si>
  <si>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</si>
  <si>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</si>
  <si>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</si>
  <si>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</si>
  <si>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</si>
  <si>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</si>
  <si>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</si>
  <si>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</si>
  <si>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</si>
  <si>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</si>
  <si>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</si>
  <si>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</si>
  <si>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</si>
  <si>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</si>
  <si>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</si>
  <si>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</si>
  <si>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</si>
  <si>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</si>
  <si>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</si>
  <si>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</si>
  <si>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</si>
  <si>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</si>
  <si>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</si>
  <si>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</si>
  <si>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</si>
  <si>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</si>
  <si>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</si>
  <si>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</si>
  <si>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</si>
  <si>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</si>
  <si>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</si>
  <si>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</si>
  <si>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</si>
  <si>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</si>
  <si>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</si>
  <si>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</si>
  <si>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</si>
  <si>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</si>
  <si>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</si>
  <si>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</si>
  <si>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</si>
  <si>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</si>
  <si>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</si>
  <si>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</si>
  <si>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</si>
  <si>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</si>
  <si>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</si>
  <si>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</si>
  <si>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</si>
  <si>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</si>
  <si>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</si>
  <si>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</si>
  <si>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</si>
  <si>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</si>
  <si>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</si>
  <si>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</si>
  <si>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</si>
  <si>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</si>
  <si>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</si>
  <si>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</si>
  <si>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</si>
  <si>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</si>
  <si>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</si>
  <si>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</si>
  <si>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</si>
  <si>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</si>
  <si>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</si>
  <si>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</si>
  <si>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</si>
  <si>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</si>
  <si>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</si>
  <si>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</si>
  <si>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</si>
  <si>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</si>
  <si>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</si>
  <si>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</si>
  <si>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</si>
  <si>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</si>
  <si>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</si>
  <si>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</si>
  <si>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</si>
  <si>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</si>
  <si>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</si>
  <si>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</si>
  <si>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</si>
  <si>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</si>
  <si>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</si>
  <si>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</si>
  <si>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</si>
  <si>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</si>
  <si>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</si>
  <si>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</si>
  <si>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</si>
  <si>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</si>
  <si>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</si>
  <si>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</si>
  <si>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</si>
  <si>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</si>
  <si>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</si>
  <si>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</si>
  <si>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</si>
  <si>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</si>
  <si>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</si>
  <si>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</si>
  <si>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</si>
  <si>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</si>
  <si>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</si>
  <si>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</si>
  <si>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</si>
  <si>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</si>
  <si>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</si>
  <si>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</si>
  <si>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</si>
  <si>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</si>
  <si>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</si>
  <si>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</si>
  <si>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</si>
  <si>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</si>
  <si>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</si>
  <si>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</si>
  <si>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</si>
  <si>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</si>
  <si>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</si>
  <si>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</si>
  <si>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</si>
  <si>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</si>
  <si>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</si>
  <si>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</si>
  <si>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</si>
  <si>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</si>
  <si>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</si>
  <si>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</si>
  <si>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</si>
  <si>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</si>
  <si>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</si>
  <si>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</si>
  <si>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</si>
  <si>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</si>
  <si>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</si>
  <si>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</si>
  <si>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</si>
  <si>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</si>
  <si>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</si>
  <si>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</si>
  <si>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</si>
  <si>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</si>
  <si>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</si>
  <si>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</si>
  <si>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</si>
  <si>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</si>
  <si>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</si>
  <si>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</si>
  <si>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</si>
  <si>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</si>
  <si>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</si>
  <si>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</si>
  <si>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</si>
  <si>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</si>
  <si>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</si>
  <si>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</si>
  <si>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</si>
  <si>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</si>
  <si>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</si>
  <si>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</si>
  <si>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</si>
  <si>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</si>
  <si>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</si>
  <si>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</si>
  <si>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</si>
  <si>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</si>
  <si>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</si>
  <si>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</si>
  <si>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</si>
  <si>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</si>
  <si>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</si>
  <si>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</si>
  <si>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</si>
  <si>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</si>
  <si>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</si>
  <si>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</si>
  <si>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</si>
  <si>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</si>
  <si>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</si>
  <si>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</si>
  <si>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</si>
  <si>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</si>
  <si>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</si>
  <si>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</si>
  <si>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</si>
  <si>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</si>
  <si>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</si>
  <si>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</si>
  <si>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</si>
  <si>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</si>
  <si>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</si>
  <si>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</si>
  <si>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</si>
  <si>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</si>
  <si>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</si>
  <si>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</si>
  <si>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</si>
  <si>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</si>
  <si>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</si>
  <si>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</si>
  <si>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</si>
  <si>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</si>
  <si>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</si>
  <si>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</si>
  <si>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</si>
  <si>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</si>
  <si>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</si>
  <si>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</si>
  <si>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</si>
  <si>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</si>
  <si>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</si>
  <si>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</si>
  <si>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</si>
  <si>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</si>
  <si>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</si>
  <si>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</si>
  <si>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</si>
  <si>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</si>
  <si>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</si>
  <si>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</si>
  <si>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</si>
  <si>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</si>
  <si>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</si>
  <si>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</si>
  <si>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</si>
  <si>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</si>
  <si>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</si>
  <si>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</si>
  <si>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</si>
  <si>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</si>
  <si>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</si>
  <si>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</si>
  <si>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</si>
  <si>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</si>
  <si>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</si>
  <si>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</si>
  <si>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</si>
  <si>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</si>
  <si>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</si>
  <si>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</si>
  <si>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</si>
  <si>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</si>
  <si>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</si>
  <si>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</si>
  <si>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</si>
  <si>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</si>
  <si>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</si>
  <si>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</si>
  <si>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</si>
  <si>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</si>
  <si>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</si>
  <si>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</si>
  <si>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</si>
  <si>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</si>
  <si>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</si>
  <si>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</si>
  <si>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</si>
  <si>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</si>
  <si>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</si>
  <si>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</si>
  <si>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</si>
  <si>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</si>
  <si>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</si>
  <si>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</si>
  <si>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</si>
  <si>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</si>
  <si>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</si>
  <si>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</si>
  <si>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</si>
  <si>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</si>
  <si>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</si>
  <si>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</si>
  <si>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</si>
  <si>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</si>
  <si>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</si>
  <si>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</si>
  <si>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</si>
  <si>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</si>
  <si>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</si>
  <si>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</si>
  <si>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</si>
  <si>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</si>
  <si>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</si>
  <si>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</si>
  <si>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</si>
  <si>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</si>
  <si>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</si>
  <si>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</si>
  <si>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</si>
  <si>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</si>
  <si>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</si>
  <si>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</si>
  <si>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</si>
  <si>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</si>
  <si>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</si>
  <si>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</si>
  <si>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</si>
  <si>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</si>
  <si>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</si>
  <si>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</si>
  <si>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</si>
  <si>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</si>
  <si>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</si>
  <si>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</si>
  <si>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</si>
  <si>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</si>
  <si>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</si>
  <si>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</si>
  <si>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</si>
  <si>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</si>
  <si>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</si>
  <si>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</si>
  <si>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</si>
  <si>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</si>
  <si>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</si>
  <si>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</si>
  <si>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</si>
  <si>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</si>
  <si>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</si>
  <si>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</si>
  <si>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</si>
  <si>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</si>
  <si>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</si>
  <si>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</si>
  <si>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</si>
  <si>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</si>
  <si>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</si>
  <si>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</si>
  <si>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</si>
  <si>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</si>
  <si>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</si>
  <si>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</si>
  <si>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</si>
  <si>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</si>
  <si>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</si>
  <si>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</si>
  <si>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</si>
  <si>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</si>
  <si>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</si>
  <si>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</si>
  <si>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</si>
  <si>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</si>
  <si>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</si>
  <si>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</si>
  <si>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</si>
  <si>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</si>
  <si>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</si>
  <si>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</si>
  <si>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</si>
  <si>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</si>
  <si>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</si>
  <si>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</si>
  <si>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</si>
  <si>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</si>
  <si>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</si>
  <si>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</si>
  <si>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</si>
  <si>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</si>
  <si>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</si>
  <si>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</si>
  <si>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</si>
  <si>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</si>
  <si>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</si>
  <si>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</si>
  <si>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</si>
  <si>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</si>
  <si>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</si>
  <si>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</si>
  <si>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</si>
  <si>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</si>
  <si>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</si>
  <si>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</si>
  <si>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</si>
  <si>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</si>
  <si>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</si>
  <si>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</si>
  <si>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</si>
  <si>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</si>
  <si>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</si>
  <si>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</si>
  <si>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</si>
  <si>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</si>
  <si>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</si>
  <si>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</si>
  <si>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</si>
  <si>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</si>
  <si>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</si>
  <si>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</si>
  <si>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</si>
  <si>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</si>
  <si>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</si>
  <si>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</si>
  <si>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</si>
  <si>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</si>
  <si>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</si>
  <si>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</si>
  <si>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</si>
  <si>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</si>
  <si>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</si>
  <si>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</si>
  <si>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</si>
  <si>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</si>
  <si>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</si>
  <si>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</si>
  <si>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</si>
  <si>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</si>
  <si>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</si>
  <si>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</si>
  <si>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</si>
  <si>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</si>
  <si>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</si>
  <si>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</si>
  <si>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</si>
  <si>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</si>
  <si>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</si>
  <si>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</si>
  <si>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</si>
  <si>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</si>
  <si>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</si>
  <si>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</si>
  <si>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</si>
  <si>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</si>
  <si>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</si>
  <si>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</si>
  <si>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</si>
  <si>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</si>
  <si>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</si>
  <si>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</si>
  <si>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</si>
  <si>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</si>
  <si>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</si>
  <si>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</si>
  <si>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</si>
  <si>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</si>
  <si>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</si>
  <si>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</si>
  <si>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</si>
  <si>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</si>
  <si>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</si>
  <si>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</si>
  <si>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</si>
  <si>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</si>
  <si>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</si>
  <si>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</si>
  <si>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</si>
  <si>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</si>
  <si>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</si>
  <si>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</si>
  <si>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</si>
  <si>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</si>
  <si>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</si>
  <si>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</si>
  <si>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</si>
  <si>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</si>
  <si>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</si>
  <si>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</si>
  <si>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</si>
  <si>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</si>
  <si>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</si>
  <si>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</si>
  <si>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</si>
  <si>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</si>
  <si>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</si>
  <si>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</si>
  <si>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</si>
  <si>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</si>
  <si>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</si>
  <si>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</si>
  <si>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</si>
  <si>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</si>
  <si>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</si>
  <si>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</si>
  <si>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</si>
  <si>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</si>
  <si>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</si>
  <si>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</si>
  <si>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</si>
  <si>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</si>
  <si>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</si>
  <si>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</si>
  <si>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</si>
  <si>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</si>
  <si>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</si>
  <si>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</si>
  <si>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</si>
  <si>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</si>
  <si>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</si>
  <si>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</si>
  <si>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</si>
  <si>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</si>
  <si>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</si>
  <si>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</si>
  <si>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</si>
  <si>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</si>
  <si>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</si>
  <si>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</si>
  <si>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</si>
  <si>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</si>
  <si>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</si>
  <si>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</si>
  <si>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</si>
  <si>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</si>
  <si>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</si>
  <si>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</si>
  <si>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</si>
  <si>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</si>
  <si>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</si>
  <si>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</si>
  <si>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</si>
  <si>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</si>
  <si>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</si>
  <si>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</si>
  <si>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</si>
  <si>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</si>
  <si>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</si>
  <si>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</si>
  <si>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</si>
  <si>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</si>
  <si>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</si>
  <si>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</si>
  <si>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</si>
  <si>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</si>
  <si>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</si>
  <si>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</si>
  <si>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</si>
  <si>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</si>
  <si>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</si>
  <si>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</si>
  <si>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</si>
  <si>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</si>
  <si>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</si>
  <si>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</si>
  <si>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</si>
  <si>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</si>
  <si>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</si>
  <si>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</si>
  <si>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</si>
  <si>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</si>
  <si>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</si>
  <si>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</si>
  <si>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</si>
  <si>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</si>
  <si>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</si>
  <si>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</si>
  <si>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</si>
  <si>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</si>
  <si>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</si>
  <si>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</si>
  <si>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</si>
  <si>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</si>
  <si>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</si>
  <si>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</si>
  <si>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</si>
  <si>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</si>
  <si>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</si>
  <si>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</si>
  <si>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</si>
  <si>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</si>
  <si>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</si>
  <si>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</si>
  <si>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</si>
  <si>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</si>
  <si>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</si>
  <si>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</si>
  <si>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</si>
  <si>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</si>
  <si>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</si>
  <si>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</si>
  <si>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</si>
  <si>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</si>
  <si>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</si>
  <si>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</si>
  <si>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</si>
  <si>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</si>
  <si>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</si>
  <si>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</si>
  <si>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</si>
  <si>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</si>
  <si>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</si>
  <si>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</si>
  <si>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</si>
  <si>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</si>
  <si>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</si>
  <si>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</si>
  <si>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</si>
  <si>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</si>
  <si>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</si>
  <si>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</si>
  <si>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</si>
  <si>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</si>
  <si>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</si>
  <si>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</si>
  <si>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</si>
  <si>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</si>
  <si>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</si>
  <si>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</si>
  <si>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</si>
  <si>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</si>
  <si>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</si>
  <si>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</si>
  <si>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</si>
  <si>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</si>
  <si>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</si>
  <si>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</si>
  <si>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</si>
  <si>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</si>
  <si>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</si>
  <si>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</si>
  <si>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</si>
  <si>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</si>
  <si>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</si>
  <si>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</si>
  <si>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</si>
  <si>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</si>
  <si>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</si>
  <si>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</si>
  <si>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</si>
  <si>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</si>
  <si>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</si>
  <si>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</si>
  <si>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</si>
  <si>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</si>
  <si>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</si>
  <si>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</si>
  <si>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</si>
  <si>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</si>
  <si>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</si>
  <si>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</si>
  <si>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</si>
  <si>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</si>
  <si>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</si>
  <si>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</si>
  <si>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</si>
  <si>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</si>
  <si>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</si>
  <si>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</si>
  <si>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</si>
  <si>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</si>
  <si>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</si>
  <si>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</si>
  <si>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</si>
  <si>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</si>
  <si>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</si>
  <si>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</si>
  <si>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</si>
  <si>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</si>
  <si>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</si>
  <si>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</si>
  <si>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</si>
  <si>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</si>
  <si>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</si>
  <si>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</si>
  <si>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</si>
  <si>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</si>
  <si>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</si>
  <si>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</si>
  <si>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</si>
  <si>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</si>
  <si>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</si>
  <si>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</si>
  <si>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</si>
  <si>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</si>
  <si>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</si>
  <si>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</si>
  <si>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</si>
  <si>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</si>
  <si>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</si>
  <si>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</si>
  <si>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</si>
  <si>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</si>
  <si>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</si>
  <si>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</si>
  <si>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</si>
  <si>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</si>
  <si>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</si>
  <si>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</si>
  <si>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</si>
  <si>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</si>
  <si>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</si>
  <si>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</si>
  <si>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</si>
  <si>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</si>
  <si>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</si>
  <si>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</si>
  <si>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</si>
  <si>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</si>
  <si>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</si>
  <si>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</si>
  <si>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</si>
  <si>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</si>
  <si>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</si>
  <si>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</si>
  <si>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</si>
  <si>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</si>
  <si>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</si>
  <si>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</si>
  <si>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</si>
  <si>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</si>
  <si>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</si>
  <si>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</si>
  <si>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</si>
  <si>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</si>
  <si>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</si>
  <si>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</si>
  <si>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</si>
  <si>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</si>
  <si>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</si>
  <si>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</si>
  <si>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</si>
  <si>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</si>
  <si>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</si>
  <si>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</si>
  <si>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</si>
  <si>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</si>
  <si>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</si>
  <si>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</si>
  <si>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</si>
  <si>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</si>
  <si>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</si>
  <si>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</si>
  <si>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</si>
  <si>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</si>
  <si>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</si>
  <si>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</si>
  <si>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</si>
  <si>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</si>
  <si>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</si>
  <si>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</si>
  <si>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</si>
  <si>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</si>
  <si>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</si>
  <si>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</si>
  <si>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</si>
  <si>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</si>
  <si>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</si>
  <si>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</si>
  <si>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</si>
  <si>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</si>
  <si>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</si>
  <si>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</si>
  <si>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</si>
  <si>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</si>
  <si>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</si>
  <si>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</si>
  <si>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</si>
  <si>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</si>
  <si>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</si>
  <si>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</si>
  <si>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</si>
  <si>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</si>
  <si>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</si>
  <si>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</si>
  <si>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</si>
  <si>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</si>
  <si>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</si>
  <si>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</si>
  <si>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</si>
  <si>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</si>
  <si>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</si>
  <si>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</si>
  <si>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</si>
  <si>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</si>
  <si>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</si>
  <si>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</si>
  <si>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</si>
  <si>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</si>
  <si>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</si>
  <si>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</si>
  <si>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</si>
  <si>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</si>
  <si>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</si>
  <si>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</si>
  <si>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</si>
  <si>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</si>
  <si>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</si>
  <si>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</si>
  <si>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</si>
  <si>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</si>
  <si>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</si>
  <si>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</si>
  <si>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</si>
  <si>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</si>
  <si>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</si>
  <si>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</si>
  <si>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</si>
  <si>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</si>
  <si>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</si>
  <si>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</si>
  <si>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</si>
  <si>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</si>
  <si>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</si>
  <si>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</si>
  <si>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</si>
  <si>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</si>
  <si>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</si>
  <si>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</si>
  <si>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</si>
  <si>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</si>
  <si>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</si>
  <si>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</si>
  <si>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</si>
  <si>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</si>
  <si>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</si>
  <si>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</si>
  <si>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</si>
  <si>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</si>
  <si>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</si>
  <si>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</si>
  <si>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</si>
  <si>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</si>
  <si>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</si>
  <si>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</si>
  <si>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</si>
  <si>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</si>
  <si>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</si>
  <si>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</si>
  <si>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</si>
  <si>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</si>
  <si>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</si>
  <si>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</si>
  <si>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</si>
  <si>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</si>
  <si>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</si>
  <si>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</si>
  <si>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</si>
  <si>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</si>
  <si>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</si>
  <si>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</si>
  <si>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</si>
  <si>
    <t>ARES：THE IRON VANGUARD</t>
    <phoneticPr fontId="2" type="noConversion"/>
  </si>
  <si>
    <t>締造者：放逐之境</t>
    <phoneticPr fontId="2" type="noConversion"/>
  </si>
  <si>
    <t>閃耀吧！嚕咪</t>
    <phoneticPr fontId="2" type="noConversion"/>
  </si>
  <si>
    <t>https://apps.apple.com/tw/app/%E9%96%83%E8%80%80%E5%90%A7-%E5%9A%95%E5%92%AA/id6754979232</t>
  </si>
  <si>
    <t>https://lumi.biligames.com/zh-tw</t>
  </si>
  <si>
    <t>https://play.google.com/store/apps/details?id=com.bilibili.lumi&amp;hl=zh_TW</t>
  </si>
  <si>
    <t>https://www.facebook.com/lumimasterhmt/?locale=zh_TW</t>
  </si>
  <si>
    <t>https://apps.apple.com/tw/app/%E7%B7%A0%E9%80%A0%E8%80%85-%E6%94%BE%E9%80%90%E4%B9%8B%E5%A2%83/id6698862298</t>
  </si>
  <si>
    <t>https://www.facebook.com/ARCHITECT.TAIWAN/</t>
  </si>
  <si>
    <t>https://architectgb.drimage.com/zh-tw/main</t>
  </si>
  <si>
    <t>https://play.google.com/store/apps/details?id=com.hybeim.architect&amp;hl=zh_TW</t>
  </si>
  <si>
    <t>https://aresglobal.com2us.com/zh-hant?r=p1</t>
  </si>
  <si>
    <t>https://www.facebook.com/ARES.OFFICIAL.EN/</t>
  </si>
  <si>
    <t>https://apps.apple.com/tw/app/ares-the-iron-vanguard/id6755576582</t>
  </si>
  <si>
    <t>https://play.google.com/store/apps/details?id=com.com2usholdings.agwiv.android.google.global.normal</t>
  </si>
  <si>
    <t>死神養成：中世篇</t>
    <phoneticPr fontId="2" type="noConversion"/>
  </si>
  <si>
    <t>https://play.google.com/store/apps/details?id=com.daerigame.reaperage&amp;hl=zh_TW</t>
  </si>
  <si>
    <t>https://apps.apple.com/tw/app/%E6%AD%BB%E7%A5%9E%E9%A4%8A%E6%88%90-%E4%B8%AD%E4%B8%96%E7%AF%87/id6757416717</t>
  </si>
  <si>
    <t>《ARES: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t>
    <phoneticPr fontId="2" type="noConversion"/>
  </si>
  <si>
    <t>《締造者：放逐之境》是一款魔幻開放世界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t>
    <phoneticPr fontId="2" type="noConversion"/>
  </si>
  <si>
    <t>《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t>
    <phoneticPr fontId="2" type="noConversion"/>
  </si>
  <si>
    <t>《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t>
    <phoneticPr fontId="2" type="noConversion"/>
  </si>
  <si>
    <t>Dcgift</t>
    <phoneticPr fontId="2" type="noConversion"/>
  </si>
  <si>
    <t>找到禮包碼後點進去</t>
    <phoneticPr fontId="2" type="noConversion"/>
  </si>
  <si>
    <t>VIP888</t>
    <phoneticPr fontId="2" type="noConversion"/>
  </si>
  <si>
    <t>RO仙境傳說：口袋戰記</t>
    <phoneticPr fontId="2" type="noConversion"/>
  </si>
  <si>
    <t>蠟筆小新：GO！</t>
    <phoneticPr fontId="2" type="noConversion"/>
  </si>
  <si>
    <t>https://www.facebook.com/ROSenki.TW/?locale=zh_TW</t>
  </si>
  <si>
    <t>https://play.google.com/store/apps/details?id=com.rojourney.and&amp;hl=zh_TW</t>
  </si>
  <si>
    <t>https://apps.apple.com/tw/app/ro%E4%BB%99%E5%A2%83%E5%82%B3%E8%AA%AA-%E5%8F%A3%E8%A2%8B%E6%88%B0%E8%A8%98/id6762712984</t>
  </si>
  <si>
    <t>https://rosenki.gnjoy.com.tw/reservation</t>
  </si>
  <si>
    <t>https://www.facebook.com/CrayonShinchanGO.tc/?locale=zh_TW</t>
  </si>
  <si>
    <t>https://play.google.com/store/apps/details?id=com.fivexgames.shin.tc&amp;hl=zh_TW</t>
  </si>
  <si>
    <t>https://test.shinchango.com/tw/pre/</t>
  </si>
  <si>
    <t>https://apps.apple.com/tw/app/%E8%A0%9F%E7%AD%86%E5%B0%8F%E6%96%B0-go/id6761524901</t>
  </si>
  <si>
    <t>《RO仙境傳說：口袋戰記》是一款承襲經典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t>
    <phoneticPr fontId="2" type="noConversion"/>
  </si>
  <si>
    <t>《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t>
    <phoneticPr fontId="2" type="noConversion"/>
  </si>
  <si>
    <t>LUMIWORLD</t>
    <phoneticPr fontId="2" type="noConversion"/>
  </si>
  <si>
    <t>LUMIWORLD</t>
    <phoneticPr fontId="2" type="noConversion"/>
  </si>
  <si>
    <t>LUMIMAY2026</t>
    <phoneticPr fontId="2" type="noConversion"/>
  </si>
  <si>
    <t>HAPPYLUMI</t>
    <phoneticPr fontId="2" type="noConversion"/>
  </si>
  <si>
    <t>LUMIGIFT</t>
    <phoneticPr fontId="2" type="noConversion"/>
  </si>
  <si>
    <t>LUCKYMAY</t>
    <phoneticPr fontId="2" type="noConversion"/>
  </si>
  <si>
    <t>JUNEGIFT</t>
    <phoneticPr fontId="2" type="noConversion"/>
  </si>
  <si>
    <t>ROCBTOpen</t>
    <phoneticPr fontId="2" type="noConversion"/>
  </si>
  <si>
    <t>a8875765</t>
    <phoneticPr fontId="2" type="noConversion"/>
  </si>
  <si>
    <t>hiROsenki</t>
    <phoneticPr fontId="2" type="noConversion"/>
  </si>
  <si>
    <t>ROLOVE</t>
    <phoneticPr fontId="2" type="noConversion"/>
  </si>
  <si>
    <t>遊戲內的右上角點「選單」</t>
    <phoneticPr fontId="2" type="noConversion"/>
  </si>
  <si>
    <t>然後找禮包圖案點進去</t>
    <phoneticPr fontId="2" type="noConversion"/>
  </si>
  <si>
    <t>在遊戲畫面的左上角點「頭像」</t>
    <phoneticPr fontId="2" type="noConversion"/>
  </si>
  <si>
    <t>跳出視窗的右下方禮包圖案「兌換碼」</t>
    <phoneticPr fontId="2" type="noConversion"/>
  </si>
  <si>
    <t>ShinchanSayHello</t>
    <phoneticPr fontId="2" type="noConversion"/>
  </si>
  <si>
    <t>0917THANKYOUGIFT</t>
    <phoneticPr fontId="2" type="noConversion"/>
  </si>
  <si>
    <t>GLOBALGM0917</t>
    <phoneticPr fontId="2" type="noConversion"/>
  </si>
  <si>
    <t>ARCHITECT0918GM</t>
    <phoneticPr fontId="2" type="noConversion"/>
  </si>
  <si>
    <t>GMGIFT0918FORYOU</t>
    <phoneticPr fontId="2" type="noConversion"/>
  </si>
  <si>
    <t>密庫鑰匙補充券 ×120</t>
    <phoneticPr fontId="2" type="noConversion"/>
  </si>
  <si>
    <t>金幣 ×500,000</t>
    <phoneticPr fontId="2" type="noConversion"/>
  </si>
  <si>
    <t>破損材料選擇箱 ×50</t>
    <phoneticPr fontId="2" type="noConversion"/>
  </si>
  <si>
    <t>強化石選擇箱 ×50</t>
    <phoneticPr fontId="2" type="noConversion"/>
  </si>
  <si>
    <t>進設定後找到帳號內的兌換碼</t>
    <phoneticPr fontId="2" type="noConversion"/>
  </si>
  <si>
    <t>前往兌換碼網頁後選擇正確資料</t>
    <phoneticPr fontId="2" type="noConversion"/>
  </si>
  <si>
    <t>HE4WSDC</t>
    <phoneticPr fontId="2" type="noConversion"/>
  </si>
  <si>
    <t>2U3NYM3</t>
    <phoneticPr fontId="2" type="noConversion"/>
  </si>
  <si>
    <t>LUMIOL0917</t>
    <phoneticPr fontId="2" type="noConversion"/>
  </si>
  <si>
    <t>LUMI0917</t>
    <phoneticPr fontId="2" type="noConversion"/>
  </si>
  <si>
    <t>GIFT100</t>
    <phoneticPr fontId="2" type="noConversion"/>
  </si>
  <si>
    <t>CATCHLUMI</t>
    <phoneticPr fontId="2" type="noConversion"/>
  </si>
  <si>
    <t>LUCKY777</t>
    <phoneticPr fontId="2" type="noConversion"/>
  </si>
  <si>
    <t>LUMIMASTER2026</t>
    <phoneticPr fontId="2" type="noConversion"/>
  </si>
  <si>
    <t>畫面左下方點選單圖案</t>
    <phoneticPr fontId="2" type="noConversion"/>
  </si>
  <si>
    <t>右下方進入設定後點「兌換碼」</t>
    <phoneticPr fontId="2" type="noConversion"/>
  </si>
  <si>
    <t>左上方點頭像後在右下方有禮包碼</t>
    <phoneticPr fontId="2" type="noConversion"/>
  </si>
  <si>
    <t>VIP888</t>
    <phoneticPr fontId="2" type="noConversion"/>
  </si>
  <si>
    <t>BLR666</t>
    <phoneticPr fontId="2" type="noConversion"/>
  </si>
  <si>
    <t>BLR888</t>
    <phoneticPr fontId="2" type="noConversion"/>
  </si>
  <si>
    <t>PILI666</t>
    <phoneticPr fontId="2" type="noConversion"/>
  </si>
  <si>
    <t>PILI888</t>
    <phoneticPr fontId="2" type="noConversion"/>
  </si>
  <si>
    <t>PRE999</t>
    <phoneticPr fontId="2" type="noConversion"/>
  </si>
  <si>
    <t>FORTBLOX：荒原堡壘 GO!</t>
    <phoneticPr fontId="2" type="noConversion"/>
  </si>
  <si>
    <t>戰鎚40,000：爆矢槍 Boom</t>
    <phoneticPr fontId="2" type="noConversion"/>
  </si>
  <si>
    <t>伊莫</t>
    <phoneticPr fontId="2" type="noConversion"/>
  </si>
  <si>
    <t>BanG Dream! 交織的樂章</t>
    <phoneticPr fontId="2" type="noConversion"/>
  </si>
  <si>
    <t>花物語</t>
    <phoneticPr fontId="2" type="noConversion"/>
  </si>
  <si>
    <t>小蝦米闖江湖</t>
    <phoneticPr fontId="2" type="noConversion"/>
  </si>
  <si>
    <t>米卡：地城背包客</t>
    <phoneticPr fontId="2" type="noConversion"/>
  </si>
  <si>
    <t>永夜幻想：契約之戰</t>
    <phoneticPr fontId="2" type="noConversion"/>
  </si>
  <si>
    <t>風之痕跡</t>
    <phoneticPr fontId="2" type="noConversion"/>
  </si>
  <si>
    <t>魔物獵人：旅人</t>
    <phoneticPr fontId="2" type="noConversion"/>
  </si>
  <si>
    <t>屍控防線</t>
    <phoneticPr fontId="2" type="noConversion"/>
  </si>
  <si>
    <t>雲海之下</t>
    <phoneticPr fontId="2" type="noConversion"/>
  </si>
  <si>
    <t>https://play.google.com/store/apps/details?id=global.hyperrise.wl&amp;hl=zh_TW</t>
  </si>
  <si>
    <t>https://apps.apple.com/tw/app/fortblox-%E8%8D%92%E5%8E%9F%E5%A0%A1%E5%A3%98-go/id6761804867</t>
  </si>
  <si>
    <t>https://play.google.com/store/apps/details?id=com.nitrogames.boltgunboom&amp;hl=zh_TW</t>
  </si>
  <si>
    <t>https://apps.apple.com/hk/app/%E6%88%B0%E9%8E%9A40-000-%E7%88%86%E7%9F%A2%E6%A7%8D-boom/id6767193770</t>
  </si>
  <si>
    <t>https://play.google.com/store/apps/details?id=com.x.aniimos</t>
  </si>
  <si>
    <t>https://www.aniimo.com/zh-tw</t>
  </si>
  <si>
    <t>https://apps.apple.com/tw/app/%E4%BC%8A%E8%8E%AB/id6759098797</t>
  </si>
  <si>
    <t>https://play.google.com/store/apps/details?id=com.bilibili.sirius&amp;hl=zh_TW</t>
  </si>
  <si>
    <t>https://www.facebook.com/bangdreamon.TCN/</t>
  </si>
  <si>
    <t>https://bdon.biligames.com/?lang=zh-tw</t>
  </si>
  <si>
    <t>https://www.facebook.com/FloralTalesGame/</t>
  </si>
  <si>
    <t>https://play.google.com/store/apps/details?id=com.tfhwy.gp&amp;hl=zh_TW</t>
  </si>
  <si>
    <t>https://pre.xxmcjh.com/bhmt</t>
  </si>
  <si>
    <t>https://apps.apple.com/tw/app/%E5%B0%8F%E8%9D%A6%E7%B1%B3%E9%97%96%E6%B1%9F%E6%B9%96-%E9%96%8B%E5%B1%80%E9%87%8E%E7%90%83%E6%8B%B3%E5%88%B0%E5%A4%A9%E4%B8%8B%E7%AC%AC%E4%B8%80/id6787008543</t>
  </si>
  <si>
    <t>https://play.google.com/store/apps/details?id=com.gtwx.gp&amp;referrer=utm_source%3Dgamer.com.tw%26utm_campaign%3Dgnn</t>
  </si>
  <si>
    <t>https://www.facebook.com/shrimptw</t>
  </si>
  <si>
    <t>https://play.google.com/store/apps/details?id=com.davestudio.mika&amp;hl=zh_TW</t>
  </si>
  <si>
    <t>https://apps.apple.com/tw/app/%E7%B1%B3%E5%8D%A1-%E5%9C%B0%E5%9F%8E%E8%83%8C%E5%8C%85%E5%AE%A2/id6761421604</t>
  </si>
  <si>
    <t>https://www.facebook.com/yyhxqyzz/?locale=zh_TW</t>
  </si>
  <si>
    <t>https://play.google.com/store/apps/details?id=com.acingame.ym.google&amp;hl=zh_TW</t>
  </si>
  <si>
    <t>https://apps.apple.com/tw/app/%E6%B0%B8%E5%A4%9C%E5%B9%BB%E6%83%B3-%E5%A5%91%E7%B4%84%E4%B9%8B%E6%88%B0/id6788278275?l=en-GB</t>
  </si>
  <si>
    <t>KLMNO</t>
    <phoneticPr fontId="2" type="noConversion"/>
  </si>
  <si>
    <t>https://play.google.com/store/apps/details?id=com.neptune.windtrace&amp;referrer=utm_source%3Dgamer.com.tw%26utm_campaign%3Dgnn</t>
  </si>
  <si>
    <t>https://mho.garena.com/zh_tw/</t>
  </si>
  <si>
    <t>https://apps.apple.com/tw/app/%E9%AD%94%E7%89%A9%E7%8D%B5%E4%BA%BA-%E6%97%85%E4%BA%BA/id6763262759</t>
  </si>
  <si>
    <t>https://zls.wgame-hk.com/</t>
  </si>
  <si>
    <t>https://www.facebook.com/profile.php?id=61560168200738</t>
  </si>
  <si>
    <t>WELCOMEZLSPAGE</t>
    <phoneticPr fontId="2" type="noConversion"/>
  </si>
  <si>
    <t>https://play.google.com/store/apps/details?id=com.mangot5.soc</t>
  </si>
  <si>
    <t>https://apps.apple.com/tw/app/%E9%9B%B2%E6%B5%B7%E4%B9%8B%E4%B8%8B/id6761469646</t>
  </si>
  <si>
    <t>https://soc.mangot5.com/soc/index</t>
  </si>
  <si>
    <t>https://www.facebook.com/HappyTukSOC</t>
  </si>
  <si>
    <t>https://swift-ovs.funmedia.work/landpage/hzwyov/index.html</t>
  </si>
  <si>
    <t>https://apps.apple.com/tw/app/%E8%8A%B1%E7%89%A9%E8%AA%9E/id6775776268</t>
  </si>
  <si>
    <t>https://apps.apple.com/tw/app/%E9%A2%A8%E4%B9%8B%E7%97%95%E8%B7%A1/id6779527511</t>
  </si>
  <si>
    <t>https://play.google.com/store/apps/details?id=com.wgame.codeball&amp;hl=zh_TW</t>
  </si>
  <si>
    <t>https://apps.apple.com/tw/app/%E5%B1%8D%E6%8E%A7%E9%98%B2%E7%B7%9A-zomline-survival/id6791922794</t>
  </si>
  <si>
    <t>點進去頭像後找到設定</t>
    <phoneticPr fontId="2" type="noConversion"/>
  </si>
  <si>
    <t>在設定內找到兌換碼</t>
    <phoneticPr fontId="2" type="noConversion"/>
  </si>
  <si>
    <t>ZS500RISE</t>
    <phoneticPr fontId="2" type="noConversion"/>
  </si>
  <si>
    <t>ZS1KBASE</t>
    <phoneticPr fontId="2" type="noConversion"/>
  </si>
  <si>
    <t>ZS2KWALL</t>
    <phoneticPr fontId="2" type="noConversion"/>
  </si>
  <si>
    <t>ZS3KHERO</t>
    <phoneticPr fontId="2" type="noConversion"/>
  </si>
  <si>
    <t>https://play.google.com/store/apps/details?id=com.garena.game.mho&amp;hl=zh_TW</t>
  </si>
  <si>
    <t>《FORTBLOX：荒原堡壘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t>
    <phoneticPr fontId="2" type="noConversion"/>
  </si>
  <si>
    <t>《戰鎚40,000：爆矢槍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t>
    <phoneticPr fontId="2" type="noConversion"/>
  </si>
  <si>
    <t>《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t>
    <phoneticPr fontId="2" type="noConversion"/>
  </si>
  <si>
    <t>《BanG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t>
    <phoneticPr fontId="2" type="noConversion"/>
  </si>
  <si>
    <t>《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t>
    <phoneticPr fontId="2" type="noConversion"/>
  </si>
  <si>
    <t>《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t>
    <phoneticPr fontId="2" type="noConversion"/>
  </si>
  <si>
    <t>《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t>
    <phoneticPr fontId="2" type="noConversion"/>
  </si>
  <si>
    <t>《永夜幻想：契約之戰》最新攻略與獨家禮包碼驚喜公開！作為一款極具沉浸感的後日談卡牌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t>
    <phoneticPr fontId="2" type="noConversion"/>
  </si>
  <si>
    <t>《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t>
    <phoneticPr fontId="2" type="noConversion"/>
  </si>
  <si>
    <t>《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t>
    <phoneticPr fontId="2" type="noConversion"/>
  </si>
  <si>
    <t>《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t>
    <phoneticPr fontId="2" type="noConversion"/>
  </si>
  <si>
    <t>《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t>
    <phoneticPr fontId="2" type="noConversion"/>
  </si>
  <si>
    <t>https://apps.apple.com/tw/app/bang-dream-%E4%BA%A4%E7%B9%94%E7%9A%84%E6%A8%82%E7%AB%A0/id6757695187</t>
  </si>
  <si>
    <t>Aniimo2026</t>
    <phoneticPr fontId="2" type="noConversion"/>
  </si>
  <si>
    <t xml:space="preserve"> 輝石x20</t>
    <phoneticPr fontId="2" type="noConversion"/>
  </si>
  <si>
    <t>aniimolaunch2026</t>
    <phoneticPr fontId="2" type="noConversion"/>
  </si>
  <si>
    <t>輝石x50、成長之花x5、高級立方x5</t>
    <phoneticPr fontId="2" type="noConversion"/>
  </si>
  <si>
    <t>aniimobonus</t>
    <phoneticPr fontId="2" type="noConversion"/>
  </si>
  <si>
    <t>輝石x50、成長之花x5、高級立方x5</t>
    <phoneticPr fontId="2" type="noConversion"/>
  </si>
  <si>
    <t>aniimowelcome</t>
    <phoneticPr fontId="2" type="noConversion"/>
  </si>
  <si>
    <t>輝石x50、成長之花x5、高級立方x5</t>
    <phoneticPr fontId="2" type="noConversion"/>
  </si>
  <si>
    <t>ANIIMOGIFT</t>
    <phoneticPr fontId="2" type="noConversion"/>
  </si>
  <si>
    <t>輝石x10、信用幣x20,000、成長之花x10、高級立方x5</t>
    <phoneticPr fontId="2" type="noConversion"/>
  </si>
  <si>
    <t>aniimotogether</t>
    <phoneticPr fontId="2" type="noConversion"/>
  </si>
  <si>
    <t xml:space="preserve"> 信用幣x20,000、成長之花x3</t>
    <phoneticPr fontId="2" type="noConversion"/>
  </si>
  <si>
    <t>aniimoopenworld</t>
    <phoneticPr fontId="2" type="noConversion"/>
  </si>
  <si>
    <t>信用幣x10,000、謎立方x5</t>
    <phoneticPr fontId="2" type="noConversion"/>
  </si>
  <si>
    <t>anyoneaniimo</t>
    <phoneticPr fontId="2" type="noConversion"/>
  </si>
  <si>
    <t>信用幣x10,000、謎立方x5</t>
    <phoneticPr fontId="2" type="noConversion"/>
  </si>
  <si>
    <t>aniimofreetoplay</t>
    <phoneticPr fontId="2" type="noConversion"/>
  </si>
  <si>
    <t>輝石x50、成長之花x5、高級立方x5</t>
    <phoneticPr fontId="2" type="noConversion"/>
  </si>
  <si>
    <t>READYON924</t>
  </si>
  <si>
    <t>Abracadabra</t>
  </si>
  <si>
    <t>樂團強化稜晶×10、硬幣×20000</t>
    <phoneticPr fontId="2" type="noConversion"/>
  </si>
  <si>
    <t xml:space="preserve"> 小型LIVE BOOST飲料×3</t>
    <phoneticPr fontId="2" type="noConversion"/>
  </si>
  <si>
    <t>主畫面的選單點進去</t>
    <phoneticPr fontId="2" type="noConversion"/>
  </si>
  <si>
    <t>LZQWE</t>
    <phoneticPr fontId="2" type="noConversion"/>
  </si>
  <si>
    <t>JNHGT</t>
    <phoneticPr fontId="2" type="noConversion"/>
  </si>
  <si>
    <t>HPLOA</t>
    <phoneticPr fontId="2" type="noConversion"/>
  </si>
  <si>
    <t>GYHNB</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</si>
</sst>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346"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37"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348"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56"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349"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339"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350"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340"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351"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341"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35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342"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353" Type="http://schemas.openxmlformats.org/officeDocument/2006/relationships/printerSettings" Target="../printerSettings/printerSettings2.bin"/><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343"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344"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345"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336"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347"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3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142"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45"/>
  <sheetViews>
    <sheetView zoomScale="85" zoomScaleNormal="85" workbookViewId="0">
      <pane xSplit="1" ySplit="1" topLeftCell="B597" activePane="bottomRight" state="frozen"/>
      <selection pane="topRight" activeCell="B1" sqref="B1"/>
      <selection pane="bottomLeft" activeCell="A2" sqref="A2"/>
      <selection pane="bottomRight" activeCell="E603" sqref="E603"/>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1"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1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9.2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9.2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9.2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9.2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9.2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9.2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9.2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9.2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9.2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9.2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9.2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9.2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ht="29.25" customHeight="1" thickBot="1">
      <c r="A594" s="114" t="s">
        <v>9899</v>
      </c>
      <c r="C594" s="8" t="s">
        <v>9911</v>
      </c>
      <c r="D594" s="9" t="s">
        <v>9910</v>
      </c>
      <c r="E594" s="9" t="s">
        <v>9912</v>
      </c>
      <c r="F594" s="8" t="str">
        <f t="shared" si="23"/>
        <v>gift-codes.html?game=ARES：THE IRON VANGUARD</v>
      </c>
      <c r="G594" s="9" t="s">
        <v>9913</v>
      </c>
      <c r="H594" s="9" t="str">
        <f t="shared" si="22"/>
        <v>https://www.ssbuy.tw/game-detail.html?game=ARES：THE IRON VANGUARD</v>
      </c>
      <c r="I594" s="10" t="s">
        <v>9917</v>
      </c>
      <c r="J594" s="16" t="s">
        <v>5418</v>
      </c>
      <c r="K594" s="39" t="s">
        <v>5446</v>
      </c>
      <c r="L594" s="111" t="s">
        <v>46</v>
      </c>
      <c r="M594" s="112">
        <v>2559</v>
      </c>
      <c r="N594" s="111" t="s">
        <v>1677</v>
      </c>
      <c r="O594" s="112">
        <v>1287</v>
      </c>
      <c r="P594" s="111" t="s">
        <v>151</v>
      </c>
      <c r="Q594" s="112">
        <v>863</v>
      </c>
      <c r="R594" s="111" t="s">
        <v>152</v>
      </c>
      <c r="S594" s="112">
        <v>584</v>
      </c>
      <c r="T594" s="111" t="s">
        <v>153</v>
      </c>
      <c r="U594" s="112">
        <v>427</v>
      </c>
      <c r="V594" s="111" t="s">
        <v>6549</v>
      </c>
      <c r="W594" s="112">
        <v>279</v>
      </c>
      <c r="X594" s="111" t="s">
        <v>6550</v>
      </c>
      <c r="Y594" s="112">
        <v>131</v>
      </c>
      <c r="Z594" s="111" t="s">
        <v>8447</v>
      </c>
      <c r="AA594" s="112">
        <v>87</v>
      </c>
      <c r="AB594" s="111" t="s">
        <v>6553</v>
      </c>
      <c r="AC594" s="112">
        <v>29</v>
      </c>
    </row>
    <row r="595" spans="1:29" ht="29.25" customHeight="1" thickBot="1">
      <c r="A595" s="114" t="s">
        <v>9900</v>
      </c>
      <c r="C595" s="8" t="s">
        <v>9907</v>
      </c>
      <c r="D595" s="9" t="s">
        <v>9908</v>
      </c>
      <c r="E595" s="9" t="s">
        <v>9906</v>
      </c>
      <c r="F595" s="8" t="str">
        <f t="shared" si="23"/>
        <v>gift-codes.html?game=締造者：放逐之境</v>
      </c>
      <c r="G595" s="9" t="s">
        <v>9909</v>
      </c>
      <c r="H595" s="9" t="str">
        <f t="shared" si="22"/>
        <v>https://www.ssbuy.tw/game-detail.html?game=締造者：放逐之境</v>
      </c>
      <c r="I595" s="10" t="s">
        <v>9918</v>
      </c>
      <c r="J595" s="16" t="s">
        <v>5418</v>
      </c>
      <c r="K595" s="39" t="s">
        <v>5446</v>
      </c>
      <c r="L595" s="111" t="s">
        <v>46</v>
      </c>
      <c r="M595" s="112">
        <v>2559</v>
      </c>
      <c r="N595" s="111" t="s">
        <v>1677</v>
      </c>
      <c r="O595" s="112">
        <v>1287</v>
      </c>
      <c r="P595" s="111" t="s">
        <v>151</v>
      </c>
      <c r="Q595" s="112">
        <v>863</v>
      </c>
      <c r="R595" s="111" t="s">
        <v>152</v>
      </c>
      <c r="S595" s="112">
        <v>584</v>
      </c>
      <c r="T595" s="111" t="s">
        <v>153</v>
      </c>
      <c r="U595" s="112">
        <v>427</v>
      </c>
      <c r="V595" s="111" t="s">
        <v>6549</v>
      </c>
      <c r="W595" s="112">
        <v>279</v>
      </c>
      <c r="X595" s="111" t="s">
        <v>6550</v>
      </c>
      <c r="Y595" s="112">
        <v>131</v>
      </c>
      <c r="Z595" s="111" t="s">
        <v>8447</v>
      </c>
      <c r="AA595" s="112">
        <v>87</v>
      </c>
      <c r="AB595" s="111" t="s">
        <v>6553</v>
      </c>
      <c r="AC595" s="112">
        <v>29</v>
      </c>
    </row>
    <row r="596" spans="1:29" ht="29.25" customHeight="1" thickBot="1">
      <c r="A596" s="114" t="s">
        <v>9901</v>
      </c>
      <c r="C596" s="8" t="s">
        <v>9905</v>
      </c>
      <c r="D596" s="9" t="s">
        <v>9903</v>
      </c>
      <c r="E596" s="9" t="s">
        <v>9902</v>
      </c>
      <c r="F596" s="8" t="str">
        <f t="shared" si="23"/>
        <v>gift-codes.html?game=閃耀吧！嚕咪</v>
      </c>
      <c r="G596" s="9" t="s">
        <v>9904</v>
      </c>
      <c r="H596" s="9" t="str">
        <f t="shared" si="22"/>
        <v>https://www.ssbuy.tw/game-detail.html?game=閃耀吧！嚕咪</v>
      </c>
      <c r="I596" s="10" t="s">
        <v>9920</v>
      </c>
      <c r="J596" s="16" t="s">
        <v>5418</v>
      </c>
      <c r="K596" s="39" t="s">
        <v>5446</v>
      </c>
      <c r="L596" s="1" t="s">
        <v>5939</v>
      </c>
      <c r="M596" s="26">
        <v>2816</v>
      </c>
      <c r="N596" s="1" t="s">
        <v>5940</v>
      </c>
      <c r="O596" s="26">
        <v>1460</v>
      </c>
      <c r="P596" s="1" t="s">
        <v>5941</v>
      </c>
      <c r="Q596" s="26">
        <v>863</v>
      </c>
      <c r="R596" s="1" t="s">
        <v>5942</v>
      </c>
      <c r="S596" s="26">
        <v>759</v>
      </c>
      <c r="T596" s="1" t="s">
        <v>5943</v>
      </c>
      <c r="U596" s="26">
        <v>584</v>
      </c>
      <c r="V596" s="1" t="s">
        <v>5944</v>
      </c>
      <c r="W596" s="26">
        <v>427</v>
      </c>
      <c r="X596" s="1" t="s">
        <v>5945</v>
      </c>
      <c r="Y596" s="26">
        <v>288</v>
      </c>
      <c r="Z596" s="1" t="s">
        <v>5946</v>
      </c>
      <c r="AA596" s="26">
        <v>148</v>
      </c>
      <c r="AB596" s="1" t="s">
        <v>5947</v>
      </c>
      <c r="AC596" s="26">
        <v>29</v>
      </c>
    </row>
    <row r="597" spans="1:29" ht="29.25" customHeight="1" thickBot="1">
      <c r="A597" s="114" t="s">
        <v>9914</v>
      </c>
      <c r="E597" s="9" t="s">
        <v>9916</v>
      </c>
      <c r="F597" s="8" t="str">
        <f t="shared" si="23"/>
        <v>gift-codes.html?game=死神養成：中世篇</v>
      </c>
      <c r="G597" s="9" t="s">
        <v>9915</v>
      </c>
      <c r="H597" s="9" t="str">
        <f t="shared" si="22"/>
        <v>https://www.ssbuy.tw/game-detail.html?game=死神養成：中世篇</v>
      </c>
      <c r="I597" s="10" t="s">
        <v>9919</v>
      </c>
      <c r="J597" s="16" t="s">
        <v>5418</v>
      </c>
      <c r="K597" s="39" t="s">
        <v>5446</v>
      </c>
      <c r="L597" s="111" t="s">
        <v>46</v>
      </c>
      <c r="M597" s="112">
        <v>2559</v>
      </c>
      <c r="N597" s="111" t="s">
        <v>1677</v>
      </c>
      <c r="O597" s="112">
        <v>1287</v>
      </c>
      <c r="P597" s="111" t="s">
        <v>151</v>
      </c>
      <c r="Q597" s="112">
        <v>863</v>
      </c>
      <c r="R597" s="111" t="s">
        <v>152</v>
      </c>
      <c r="S597" s="112">
        <v>584</v>
      </c>
      <c r="T597" s="111" t="s">
        <v>153</v>
      </c>
      <c r="U597" s="112">
        <v>427</v>
      </c>
      <c r="V597" s="111" t="s">
        <v>6549</v>
      </c>
      <c r="W597" s="112">
        <v>279</v>
      </c>
      <c r="X597" s="111" t="s">
        <v>6550</v>
      </c>
      <c r="Y597" s="112">
        <v>131</v>
      </c>
      <c r="Z597" s="111" t="s">
        <v>8447</v>
      </c>
      <c r="AA597" s="112">
        <v>87</v>
      </c>
      <c r="AB597" s="111" t="s">
        <v>6553</v>
      </c>
      <c r="AC597" s="112">
        <v>29</v>
      </c>
    </row>
    <row r="598" spans="1:29" ht="29.25" customHeight="1" thickBot="1">
      <c r="A598" s="114" t="s">
        <v>9924</v>
      </c>
      <c r="C598" s="8" t="s">
        <v>9926</v>
      </c>
      <c r="D598" s="9" t="s">
        <v>9929</v>
      </c>
      <c r="E598" s="9" t="s">
        <v>9928</v>
      </c>
      <c r="F598" s="8" t="str">
        <f t="shared" si="23"/>
        <v>gift-codes.html?game=RO仙境傳說：口袋戰記</v>
      </c>
      <c r="G598" s="9" t="s">
        <v>9927</v>
      </c>
      <c r="H598" s="9" t="str">
        <f t="shared" si="22"/>
        <v>https://www.ssbuy.tw/game-detail.html?game=RO仙境傳說：口袋戰記</v>
      </c>
      <c r="I598" s="10" t="s">
        <v>9934</v>
      </c>
      <c r="J598" s="16" t="s">
        <v>5418</v>
      </c>
      <c r="K598" s="39" t="s">
        <v>5446</v>
      </c>
      <c r="L598" s="1" t="s">
        <v>5939</v>
      </c>
      <c r="M598" s="26">
        <v>2816</v>
      </c>
      <c r="N598" s="1" t="s">
        <v>5940</v>
      </c>
      <c r="O598" s="26">
        <v>1460</v>
      </c>
      <c r="P598" s="1" t="s">
        <v>5941</v>
      </c>
      <c r="Q598" s="26">
        <v>863</v>
      </c>
      <c r="R598" s="1" t="s">
        <v>5942</v>
      </c>
      <c r="S598" s="26">
        <v>759</v>
      </c>
      <c r="T598" s="1" t="s">
        <v>5943</v>
      </c>
      <c r="U598" s="26">
        <v>584</v>
      </c>
      <c r="V598" s="1" t="s">
        <v>5944</v>
      </c>
      <c r="W598" s="26">
        <v>427</v>
      </c>
      <c r="X598" s="1" t="s">
        <v>5945</v>
      </c>
      <c r="Y598" s="26">
        <v>288</v>
      </c>
      <c r="Z598" s="1" t="s">
        <v>5946</v>
      </c>
      <c r="AA598" s="26">
        <v>148</v>
      </c>
      <c r="AB598" s="1" t="s">
        <v>5947</v>
      </c>
      <c r="AC598" s="26">
        <v>29</v>
      </c>
    </row>
    <row r="599" spans="1:29" ht="29.25" customHeight="1" thickBot="1">
      <c r="A599" s="114" t="s">
        <v>9925</v>
      </c>
      <c r="C599" s="8" t="s">
        <v>9930</v>
      </c>
      <c r="D599" s="9" t="s">
        <v>9932</v>
      </c>
      <c r="E599" s="9" t="s">
        <v>9933</v>
      </c>
      <c r="F599" s="8" t="str">
        <f t="shared" si="23"/>
        <v>gift-codes.html?game=蠟筆小新：GO！</v>
      </c>
      <c r="G599" s="9" t="s">
        <v>9931</v>
      </c>
      <c r="H599" s="9" t="str">
        <f t="shared" si="22"/>
        <v>https://www.ssbuy.tw/game-detail.html?game=蠟筆小新：GO！</v>
      </c>
      <c r="I599" s="10" t="s">
        <v>9935</v>
      </c>
      <c r="J599" s="16" t="s">
        <v>5418</v>
      </c>
      <c r="K599" s="39" t="s">
        <v>5446</v>
      </c>
      <c r="L599" s="1" t="s">
        <v>5939</v>
      </c>
      <c r="M599" s="26">
        <v>2816</v>
      </c>
      <c r="N599" s="1" t="s">
        <v>5940</v>
      </c>
      <c r="O599" s="26">
        <v>1460</v>
      </c>
      <c r="P599" s="1" t="s">
        <v>5941</v>
      </c>
      <c r="Q599" s="26">
        <v>863</v>
      </c>
      <c r="R599" s="1" t="s">
        <v>5942</v>
      </c>
      <c r="S599" s="26">
        <v>759</v>
      </c>
      <c r="T599" s="1" t="s">
        <v>5943</v>
      </c>
      <c r="U599" s="26">
        <v>584</v>
      </c>
      <c r="V599" s="1" t="s">
        <v>5944</v>
      </c>
      <c r="W599" s="26">
        <v>427</v>
      </c>
      <c r="X599" s="1" t="s">
        <v>5945</v>
      </c>
      <c r="Y599" s="26">
        <v>288</v>
      </c>
      <c r="Z599" s="1" t="s">
        <v>5946</v>
      </c>
      <c r="AA599" s="26">
        <v>148</v>
      </c>
      <c r="AB599" s="1" t="s">
        <v>5947</v>
      </c>
      <c r="AC599" s="26">
        <v>29</v>
      </c>
    </row>
    <row r="600" spans="1:29" ht="29.25" customHeight="1" thickBot="1">
      <c r="A600" s="114" t="s">
        <v>9979</v>
      </c>
      <c r="E600" s="9" t="s">
        <v>9992</v>
      </c>
      <c r="F600" s="8" t="str">
        <f t="shared" si="23"/>
        <v>gift-codes.html?game=FORTBLOX：荒原堡壘 GO!</v>
      </c>
      <c r="G600" s="9" t="s">
        <v>9991</v>
      </c>
      <c r="H600" s="9" t="str">
        <f t="shared" si="22"/>
        <v>https://www.ssbuy.tw/game-detail.html?game=FORTBLOX：荒原堡壘 GO!</v>
      </c>
      <c r="I600" s="10" t="s">
        <v>10035</v>
      </c>
      <c r="J600" s="16" t="s">
        <v>5418</v>
      </c>
      <c r="K600" s="39" t="s">
        <v>5446</v>
      </c>
      <c r="L600" s="1" t="s">
        <v>5939</v>
      </c>
      <c r="M600" s="26">
        <v>2816</v>
      </c>
      <c r="N600" s="1" t="s">
        <v>5940</v>
      </c>
      <c r="O600" s="26">
        <v>1460</v>
      </c>
      <c r="P600" s="1" t="s">
        <v>5941</v>
      </c>
      <c r="Q600" s="26">
        <v>863</v>
      </c>
      <c r="R600" s="1" t="s">
        <v>5942</v>
      </c>
      <c r="S600" s="26">
        <v>759</v>
      </c>
      <c r="T600" s="1" t="s">
        <v>5943</v>
      </c>
      <c r="U600" s="26">
        <v>584</v>
      </c>
      <c r="V600" s="1" t="s">
        <v>5944</v>
      </c>
      <c r="W600" s="26">
        <v>427</v>
      </c>
      <c r="X600" s="1" t="s">
        <v>5945</v>
      </c>
      <c r="Y600" s="26">
        <v>288</v>
      </c>
      <c r="Z600" s="1" t="s">
        <v>5946</v>
      </c>
      <c r="AA600" s="26">
        <v>148</v>
      </c>
      <c r="AB600" s="1" t="s">
        <v>5947</v>
      </c>
      <c r="AC600" s="26">
        <v>29</v>
      </c>
    </row>
    <row r="601" spans="1:29" ht="29.25" customHeight="1" thickBot="1">
      <c r="A601" s="114" t="s">
        <v>9980</v>
      </c>
      <c r="E601" s="9" t="s">
        <v>9994</v>
      </c>
      <c r="F601" s="8" t="str">
        <f t="shared" si="23"/>
        <v>gift-codes.html?game=戰鎚40,000：爆矢槍 Boom</v>
      </c>
      <c r="G601" s="9" t="s">
        <v>9993</v>
      </c>
      <c r="H601" s="9" t="str">
        <f t="shared" si="22"/>
        <v>https://www.ssbuy.tw/game-detail.html?game=戰鎚40,000：爆矢槍 Boom</v>
      </c>
      <c r="I601" s="10" t="s">
        <v>10036</v>
      </c>
      <c r="J601" s="16" t="s">
        <v>5418</v>
      </c>
      <c r="K601" s="39" t="s">
        <v>5446</v>
      </c>
      <c r="L601" s="111" t="s">
        <v>46</v>
      </c>
      <c r="M601" s="112">
        <v>2559</v>
      </c>
      <c r="N601" s="111" t="s">
        <v>1677</v>
      </c>
      <c r="O601" s="112">
        <v>1287</v>
      </c>
      <c r="P601" s="111" t="s">
        <v>151</v>
      </c>
      <c r="Q601" s="112">
        <v>863</v>
      </c>
      <c r="R601" s="111" t="s">
        <v>152</v>
      </c>
      <c r="S601" s="112">
        <v>584</v>
      </c>
      <c r="T601" s="111" t="s">
        <v>153</v>
      </c>
      <c r="U601" s="112">
        <v>427</v>
      </c>
      <c r="V601" s="111" t="s">
        <v>6549</v>
      </c>
      <c r="W601" s="112">
        <v>279</v>
      </c>
      <c r="X601" s="111" t="s">
        <v>6550</v>
      </c>
      <c r="Y601" s="112">
        <v>131</v>
      </c>
      <c r="Z601" s="111" t="s">
        <v>8447</v>
      </c>
      <c r="AA601" s="112">
        <v>87</v>
      </c>
      <c r="AB601" s="111" t="s">
        <v>6553</v>
      </c>
      <c r="AC601" s="112">
        <v>29</v>
      </c>
    </row>
    <row r="602" spans="1:29" ht="29.25" customHeight="1" thickBot="1">
      <c r="A602" s="114" t="s">
        <v>9981</v>
      </c>
      <c r="D602" s="9" t="s">
        <v>9996</v>
      </c>
      <c r="E602" s="9" t="s">
        <v>9997</v>
      </c>
      <c r="F602" s="8" t="str">
        <f t="shared" si="23"/>
        <v>gift-codes.html?game=伊莫</v>
      </c>
      <c r="G602" s="9" t="s">
        <v>9995</v>
      </c>
      <c r="H602" s="9" t="str">
        <f t="shared" si="22"/>
        <v>https://www.ssbuy.tw/game-detail.html?game=伊莫</v>
      </c>
      <c r="I602" s="10" t="s">
        <v>10037</v>
      </c>
      <c r="J602" s="16" t="s">
        <v>5418</v>
      </c>
      <c r="K602" s="39" t="s">
        <v>5446</v>
      </c>
      <c r="L602" s="111" t="s">
        <v>46</v>
      </c>
      <c r="M602" s="112">
        <v>2559</v>
      </c>
      <c r="N602" s="111" t="s">
        <v>1677</v>
      </c>
      <c r="O602" s="112">
        <v>1287</v>
      </c>
      <c r="P602" s="111" t="s">
        <v>151</v>
      </c>
      <c r="Q602" s="112">
        <v>863</v>
      </c>
      <c r="R602" s="111" t="s">
        <v>152</v>
      </c>
      <c r="S602" s="112">
        <v>584</v>
      </c>
      <c r="T602" s="111" t="s">
        <v>153</v>
      </c>
      <c r="U602" s="112">
        <v>427</v>
      </c>
      <c r="V602" s="111" t="s">
        <v>6549</v>
      </c>
      <c r="W602" s="112">
        <v>279</v>
      </c>
      <c r="X602" s="111" t="s">
        <v>6550</v>
      </c>
      <c r="Y602" s="112">
        <v>131</v>
      </c>
      <c r="Z602" s="111" t="s">
        <v>8447</v>
      </c>
      <c r="AA602" s="112">
        <v>87</v>
      </c>
      <c r="AB602" s="111" t="s">
        <v>6553</v>
      </c>
      <c r="AC602" s="112">
        <v>29</v>
      </c>
    </row>
    <row r="603" spans="1:29" ht="29.25" customHeight="1" thickBot="1">
      <c r="A603" s="114" t="s">
        <v>9982</v>
      </c>
      <c r="C603" s="8" t="s">
        <v>9999</v>
      </c>
      <c r="D603" s="9" t="s">
        <v>10000</v>
      </c>
      <c r="E603" s="9" t="s">
        <v>10047</v>
      </c>
      <c r="F603" s="8" t="str">
        <f t="shared" si="23"/>
        <v>gift-codes.html?game=BanG Dream! 交織的樂章</v>
      </c>
      <c r="G603" s="9" t="s">
        <v>9998</v>
      </c>
      <c r="H603" s="9" t="str">
        <f t="shared" si="22"/>
        <v>https://www.ssbuy.tw/game-detail.html?game=BanG Dream! 交織的樂章</v>
      </c>
      <c r="I603" s="10" t="s">
        <v>10038</v>
      </c>
      <c r="J603" s="16" t="s">
        <v>5418</v>
      </c>
      <c r="K603" s="39" t="s">
        <v>5446</v>
      </c>
      <c r="L603" s="111" t="s">
        <v>46</v>
      </c>
      <c r="M603" s="112">
        <v>2559</v>
      </c>
      <c r="N603" s="111" t="s">
        <v>1677</v>
      </c>
      <c r="O603" s="112">
        <v>1287</v>
      </c>
      <c r="P603" s="111" t="s">
        <v>151</v>
      </c>
      <c r="Q603" s="112">
        <v>863</v>
      </c>
      <c r="R603" s="111" t="s">
        <v>152</v>
      </c>
      <c r="S603" s="112">
        <v>584</v>
      </c>
      <c r="T603" s="111" t="s">
        <v>153</v>
      </c>
      <c r="U603" s="112">
        <v>427</v>
      </c>
      <c r="V603" s="111" t="s">
        <v>6549</v>
      </c>
      <c r="W603" s="112">
        <v>279</v>
      </c>
      <c r="X603" s="111" t="s">
        <v>6550</v>
      </c>
      <c r="Y603" s="112">
        <v>131</v>
      </c>
      <c r="Z603" s="111" t="s">
        <v>8447</v>
      </c>
      <c r="AA603" s="112">
        <v>87</v>
      </c>
      <c r="AB603" s="111" t="s">
        <v>6553</v>
      </c>
      <c r="AC603" s="112">
        <v>29</v>
      </c>
    </row>
    <row r="604" spans="1:29" ht="29.25" customHeight="1" thickBot="1">
      <c r="A604" s="114" t="s">
        <v>9983</v>
      </c>
      <c r="C604" s="8" t="s">
        <v>10001</v>
      </c>
      <c r="D604" s="9" t="s">
        <v>10023</v>
      </c>
      <c r="E604" s="9" t="s">
        <v>10024</v>
      </c>
      <c r="F604" s="8" t="str">
        <f t="shared" si="23"/>
        <v>gift-codes.html?game=花物語</v>
      </c>
      <c r="G604" s="9" t="s">
        <v>10002</v>
      </c>
      <c r="H604" s="9" t="str">
        <f t="shared" si="22"/>
        <v>https://www.ssbuy.tw/game-detail.html?game=花物語</v>
      </c>
      <c r="I604" s="10" t="s">
        <v>10039</v>
      </c>
      <c r="J604" s="16" t="s">
        <v>5418</v>
      </c>
      <c r="K604" s="39" t="s">
        <v>5446</v>
      </c>
      <c r="L604" s="1" t="s">
        <v>5939</v>
      </c>
      <c r="M604" s="26">
        <v>2816</v>
      </c>
      <c r="N604" s="1" t="s">
        <v>5940</v>
      </c>
      <c r="O604" s="26">
        <v>1460</v>
      </c>
      <c r="P604" s="1" t="s">
        <v>5941</v>
      </c>
      <c r="Q604" s="26">
        <v>863</v>
      </c>
      <c r="R604" s="1" t="s">
        <v>5942</v>
      </c>
      <c r="S604" s="26">
        <v>759</v>
      </c>
      <c r="T604" s="1" t="s">
        <v>5943</v>
      </c>
      <c r="U604" s="26">
        <v>584</v>
      </c>
      <c r="V604" s="1" t="s">
        <v>5944</v>
      </c>
      <c r="W604" s="26">
        <v>427</v>
      </c>
      <c r="X604" s="1" t="s">
        <v>5945</v>
      </c>
      <c r="Y604" s="26">
        <v>288</v>
      </c>
      <c r="Z604" s="1" t="s">
        <v>5946</v>
      </c>
      <c r="AA604" s="26">
        <v>148</v>
      </c>
      <c r="AB604" s="1" t="s">
        <v>5947</v>
      </c>
      <c r="AC604" s="26">
        <v>29</v>
      </c>
    </row>
    <row r="605" spans="1:29" ht="29.25" customHeight="1" thickBot="1">
      <c r="A605" s="114" t="s">
        <v>9984</v>
      </c>
      <c r="C605" s="8" t="s">
        <v>10006</v>
      </c>
      <c r="D605" s="9" t="s">
        <v>10003</v>
      </c>
      <c r="E605" s="9" t="s">
        <v>10004</v>
      </c>
      <c r="F605" s="8" t="str">
        <f t="shared" si="23"/>
        <v>gift-codes.html?game=小蝦米闖江湖</v>
      </c>
      <c r="G605" s="9" t="s">
        <v>10005</v>
      </c>
      <c r="H605" s="9" t="str">
        <f t="shared" si="22"/>
        <v>https://www.ssbuy.tw/game-detail.html?game=小蝦米闖江湖</v>
      </c>
      <c r="I605" s="10" t="s">
        <v>10040</v>
      </c>
      <c r="J605" s="16" t="s">
        <v>5418</v>
      </c>
      <c r="K605" s="39" t="s">
        <v>5446</v>
      </c>
      <c r="L605" s="1" t="s">
        <v>5939</v>
      </c>
      <c r="M605" s="26">
        <v>2816</v>
      </c>
      <c r="N605" s="1" t="s">
        <v>5940</v>
      </c>
      <c r="O605" s="26">
        <v>1460</v>
      </c>
      <c r="P605" s="1" t="s">
        <v>5941</v>
      </c>
      <c r="Q605" s="26">
        <v>863</v>
      </c>
      <c r="R605" s="1" t="s">
        <v>5942</v>
      </c>
      <c r="S605" s="26">
        <v>759</v>
      </c>
      <c r="T605" s="1" t="s">
        <v>5943</v>
      </c>
      <c r="U605" s="26">
        <v>584</v>
      </c>
      <c r="V605" s="1" t="s">
        <v>5944</v>
      </c>
      <c r="W605" s="26">
        <v>427</v>
      </c>
      <c r="X605" s="1" t="s">
        <v>5945</v>
      </c>
      <c r="Y605" s="26">
        <v>288</v>
      </c>
      <c r="Z605" s="1" t="s">
        <v>5946</v>
      </c>
      <c r="AA605" s="26">
        <v>148</v>
      </c>
      <c r="AB605" s="1" t="s">
        <v>5947</v>
      </c>
      <c r="AC605" s="26">
        <v>29</v>
      </c>
    </row>
    <row r="606" spans="1:29" ht="29.25" customHeight="1" thickBot="1">
      <c r="A606" s="114" t="s">
        <v>9985</v>
      </c>
      <c r="E606" s="9" t="s">
        <v>10008</v>
      </c>
      <c r="F606" s="8" t="str">
        <f t="shared" si="23"/>
        <v>gift-codes.html?game=米卡：地城背包客</v>
      </c>
      <c r="G606" s="9" t="s">
        <v>10007</v>
      </c>
      <c r="H606" s="9" t="str">
        <f t="shared" si="22"/>
        <v>https://www.ssbuy.tw/game-detail.html?game=米卡：地城背包客</v>
      </c>
      <c r="I606" s="10" t="s">
        <v>10041</v>
      </c>
      <c r="J606" s="16" t="s">
        <v>5418</v>
      </c>
      <c r="K606" s="39" t="s">
        <v>5446</v>
      </c>
      <c r="L606" s="111" t="s">
        <v>46</v>
      </c>
      <c r="M606" s="112">
        <v>2559</v>
      </c>
      <c r="N606" s="111" t="s">
        <v>1677</v>
      </c>
      <c r="O606" s="112">
        <v>1287</v>
      </c>
      <c r="P606" s="111" t="s">
        <v>151</v>
      </c>
      <c r="Q606" s="112">
        <v>863</v>
      </c>
      <c r="R606" s="111" t="s">
        <v>152</v>
      </c>
      <c r="S606" s="112">
        <v>584</v>
      </c>
      <c r="T606" s="111" t="s">
        <v>153</v>
      </c>
      <c r="U606" s="112">
        <v>427</v>
      </c>
      <c r="V606" s="111" t="s">
        <v>6549</v>
      </c>
      <c r="W606" s="112">
        <v>279</v>
      </c>
      <c r="X606" s="111" t="s">
        <v>6550</v>
      </c>
      <c r="Y606" s="112">
        <v>131</v>
      </c>
      <c r="Z606" s="111" t="s">
        <v>8447</v>
      </c>
      <c r="AA606" s="112">
        <v>87</v>
      </c>
      <c r="AB606" s="111" t="s">
        <v>6553</v>
      </c>
      <c r="AC606" s="112">
        <v>29</v>
      </c>
    </row>
    <row r="607" spans="1:29" ht="29.25" customHeight="1" thickBot="1">
      <c r="A607" s="114" t="s">
        <v>9986</v>
      </c>
      <c r="C607" s="8" t="s">
        <v>10009</v>
      </c>
      <c r="E607" s="9" t="s">
        <v>10011</v>
      </c>
      <c r="F607" s="8" t="str">
        <f t="shared" si="23"/>
        <v>gift-codes.html?game=永夜幻想：契約之戰</v>
      </c>
      <c r="G607" s="9" t="s">
        <v>10010</v>
      </c>
      <c r="H607" s="9" t="str">
        <f t="shared" si="22"/>
        <v>https://www.ssbuy.tw/game-detail.html?game=永夜幻想：契約之戰</v>
      </c>
      <c r="I607" s="10" t="s">
        <v>10042</v>
      </c>
      <c r="J607" s="16" t="s">
        <v>5418</v>
      </c>
      <c r="K607" s="39" t="s">
        <v>5446</v>
      </c>
      <c r="L607" s="111" t="s">
        <v>46</v>
      </c>
      <c r="M607" s="112">
        <v>2559</v>
      </c>
      <c r="N607" s="111" t="s">
        <v>1677</v>
      </c>
      <c r="O607" s="112">
        <v>1287</v>
      </c>
      <c r="P607" s="111" t="s">
        <v>151</v>
      </c>
      <c r="Q607" s="112">
        <v>863</v>
      </c>
      <c r="R607" s="111" t="s">
        <v>152</v>
      </c>
      <c r="S607" s="112">
        <v>584</v>
      </c>
      <c r="T607" s="111" t="s">
        <v>153</v>
      </c>
      <c r="U607" s="112">
        <v>427</v>
      </c>
      <c r="V607" s="111" t="s">
        <v>6549</v>
      </c>
      <c r="W607" s="112">
        <v>279</v>
      </c>
      <c r="X607" s="111" t="s">
        <v>6550</v>
      </c>
      <c r="Y607" s="112">
        <v>131</v>
      </c>
      <c r="Z607" s="111" t="s">
        <v>8447</v>
      </c>
      <c r="AA607" s="112">
        <v>87</v>
      </c>
      <c r="AB607" s="111" t="s">
        <v>6553</v>
      </c>
      <c r="AC607" s="112">
        <v>29</v>
      </c>
    </row>
    <row r="608" spans="1:29" ht="29.25" customHeight="1" thickBot="1">
      <c r="A608" s="114" t="s">
        <v>9987</v>
      </c>
      <c r="E608" s="9" t="s">
        <v>10025</v>
      </c>
      <c r="F608" s="8" t="str">
        <f t="shared" si="23"/>
        <v>gift-codes.html?game=風之痕跡</v>
      </c>
      <c r="G608" s="9" t="s">
        <v>10013</v>
      </c>
      <c r="H608" s="9" t="str">
        <f t="shared" si="22"/>
        <v>https://www.ssbuy.tw/game-detail.html?game=風之痕跡</v>
      </c>
      <c r="I608" s="10" t="s">
        <v>10043</v>
      </c>
      <c r="J608" s="16" t="s">
        <v>5418</v>
      </c>
      <c r="K608" s="39" t="s">
        <v>5446</v>
      </c>
      <c r="L608" s="111" t="s">
        <v>46</v>
      </c>
      <c r="M608" s="112">
        <v>2559</v>
      </c>
      <c r="N608" s="111" t="s">
        <v>1677</v>
      </c>
      <c r="O608" s="112">
        <v>1287</v>
      </c>
      <c r="P608" s="111" t="s">
        <v>151</v>
      </c>
      <c r="Q608" s="112">
        <v>863</v>
      </c>
      <c r="R608" s="111" t="s">
        <v>152</v>
      </c>
      <c r="S608" s="112">
        <v>584</v>
      </c>
      <c r="T608" s="111" t="s">
        <v>153</v>
      </c>
      <c r="U608" s="112">
        <v>427</v>
      </c>
      <c r="V608" s="111" t="s">
        <v>6549</v>
      </c>
      <c r="W608" s="112">
        <v>279</v>
      </c>
      <c r="X608" s="111" t="s">
        <v>6550</v>
      </c>
      <c r="Y608" s="112">
        <v>131</v>
      </c>
      <c r="Z608" s="111" t="s">
        <v>8447</v>
      </c>
      <c r="AA608" s="112">
        <v>87</v>
      </c>
      <c r="AB608" s="111" t="s">
        <v>6553</v>
      </c>
      <c r="AC608" s="112">
        <v>29</v>
      </c>
    </row>
    <row r="609" spans="1:29" ht="29.25" customHeight="1" thickBot="1">
      <c r="A609" s="114" t="s">
        <v>9988</v>
      </c>
      <c r="D609" s="9" t="s">
        <v>10014</v>
      </c>
      <c r="E609" s="9" t="s">
        <v>10015</v>
      </c>
      <c r="F609" s="8" t="str">
        <f t="shared" si="23"/>
        <v>gift-codes.html?game=魔物獵人：旅人</v>
      </c>
      <c r="G609" s="9" t="s">
        <v>10034</v>
      </c>
      <c r="H609" s="9" t="str">
        <f t="shared" si="22"/>
        <v>https://www.ssbuy.tw/game-detail.html?game=魔物獵人：旅人</v>
      </c>
      <c r="I609" s="10" t="s">
        <v>10044</v>
      </c>
      <c r="J609" s="16" t="s">
        <v>5418</v>
      </c>
      <c r="K609" s="39" t="s">
        <v>5446</v>
      </c>
      <c r="L609" s="1" t="s">
        <v>5939</v>
      </c>
      <c r="M609" s="26">
        <v>2816</v>
      </c>
      <c r="N609" s="1" t="s">
        <v>5940</v>
      </c>
      <c r="O609" s="26">
        <v>1460</v>
      </c>
      <c r="P609" s="1" t="s">
        <v>5941</v>
      </c>
      <c r="Q609" s="26">
        <v>863</v>
      </c>
      <c r="R609" s="1" t="s">
        <v>5942</v>
      </c>
      <c r="S609" s="26">
        <v>759</v>
      </c>
      <c r="T609" s="1" t="s">
        <v>5943</v>
      </c>
      <c r="U609" s="26">
        <v>584</v>
      </c>
      <c r="V609" s="1" t="s">
        <v>5944</v>
      </c>
      <c r="W609" s="26">
        <v>427</v>
      </c>
      <c r="X609" s="1" t="s">
        <v>5945</v>
      </c>
      <c r="Y609" s="26">
        <v>288</v>
      </c>
      <c r="Z609" s="1" t="s">
        <v>5946</v>
      </c>
      <c r="AA609" s="26">
        <v>148</v>
      </c>
      <c r="AB609" s="1" t="s">
        <v>5947</v>
      </c>
      <c r="AC609" s="26">
        <v>29</v>
      </c>
    </row>
    <row r="610" spans="1:29" ht="29.25" customHeight="1" thickBot="1">
      <c r="A610" s="114" t="s">
        <v>9989</v>
      </c>
      <c r="C610" s="8" t="s">
        <v>10017</v>
      </c>
      <c r="D610" s="9" t="s">
        <v>10016</v>
      </c>
      <c r="E610" s="9" t="s">
        <v>10027</v>
      </c>
      <c r="F610" s="8" t="str">
        <f t="shared" si="23"/>
        <v>gift-codes.html?game=屍控防線</v>
      </c>
      <c r="G610" s="9" t="s">
        <v>10026</v>
      </c>
      <c r="H610" s="9" t="str">
        <f t="shared" si="22"/>
        <v>https://www.ssbuy.tw/game-detail.html?game=屍控防線</v>
      </c>
      <c r="I610" s="10" t="s">
        <v>10045</v>
      </c>
      <c r="J610" s="16" t="s">
        <v>5418</v>
      </c>
      <c r="K610" s="39" t="s">
        <v>5446</v>
      </c>
      <c r="L610" s="111" t="s">
        <v>46</v>
      </c>
      <c r="M610" s="112">
        <v>2559</v>
      </c>
      <c r="N610" s="111" t="s">
        <v>1677</v>
      </c>
      <c r="O610" s="112">
        <v>1287</v>
      </c>
      <c r="P610" s="111" t="s">
        <v>151</v>
      </c>
      <c r="Q610" s="112">
        <v>863</v>
      </c>
      <c r="R610" s="111" t="s">
        <v>152</v>
      </c>
      <c r="S610" s="112">
        <v>584</v>
      </c>
      <c r="T610" s="111" t="s">
        <v>153</v>
      </c>
      <c r="U610" s="112">
        <v>427</v>
      </c>
      <c r="V610" s="111" t="s">
        <v>6549</v>
      </c>
      <c r="W610" s="112">
        <v>279</v>
      </c>
      <c r="X610" s="111" t="s">
        <v>6550</v>
      </c>
      <c r="Y610" s="112">
        <v>131</v>
      </c>
      <c r="Z610" s="111" t="s">
        <v>8447</v>
      </c>
      <c r="AA610" s="112">
        <v>87</v>
      </c>
      <c r="AB610" s="111" t="s">
        <v>6553</v>
      </c>
      <c r="AC610" s="112">
        <v>29</v>
      </c>
    </row>
    <row r="611" spans="1:29" ht="29.25" customHeight="1" thickBot="1">
      <c r="A611" s="114" t="s">
        <v>9990</v>
      </c>
      <c r="C611" s="8" t="s">
        <v>10022</v>
      </c>
      <c r="D611" s="9" t="s">
        <v>10021</v>
      </c>
      <c r="E611" s="9" t="s">
        <v>10020</v>
      </c>
      <c r="F611" s="8" t="str">
        <f t="shared" si="23"/>
        <v>gift-codes.html?game=雲海之下</v>
      </c>
      <c r="G611" s="9" t="s">
        <v>10019</v>
      </c>
      <c r="H611" s="9" t="str">
        <f t="shared" si="22"/>
        <v>https://www.ssbuy.tw/game-detail.html?game=雲海之下</v>
      </c>
      <c r="I611" s="10" t="s">
        <v>10046</v>
      </c>
      <c r="J611" s="16" t="s">
        <v>5418</v>
      </c>
      <c r="K611" s="39" t="s">
        <v>5446</v>
      </c>
      <c r="L611" s="1" t="s">
        <v>5939</v>
      </c>
      <c r="M611" s="26">
        <v>2816</v>
      </c>
      <c r="N611" s="1" t="s">
        <v>5940</v>
      </c>
      <c r="O611" s="26">
        <v>1460</v>
      </c>
      <c r="P611" s="1" t="s">
        <v>5941</v>
      </c>
      <c r="Q611" s="26">
        <v>863</v>
      </c>
      <c r="R611" s="1" t="s">
        <v>5942</v>
      </c>
      <c r="S611" s="26">
        <v>759</v>
      </c>
      <c r="T611" s="1" t="s">
        <v>5943</v>
      </c>
      <c r="U611" s="26">
        <v>584</v>
      </c>
      <c r="V611" s="1" t="s">
        <v>5944</v>
      </c>
      <c r="W611" s="26">
        <v>427</v>
      </c>
      <c r="X611" s="1" t="s">
        <v>5945</v>
      </c>
      <c r="Y611" s="26">
        <v>288</v>
      </c>
      <c r="Z611" s="1" t="s">
        <v>5946</v>
      </c>
      <c r="AA611" s="26">
        <v>148</v>
      </c>
      <c r="AB611" s="1" t="s">
        <v>5947</v>
      </c>
      <c r="AC611" s="26">
        <v>29</v>
      </c>
    </row>
    <row r="612" spans="1:29" ht="29.25" customHeight="1"/>
    <row r="613" spans="1:29" ht="29.25" customHeight="1"/>
    <row r="614" spans="1:29" ht="29.25" customHeight="1"/>
    <row r="615" spans="1:29" ht="29.25" customHeight="1"/>
    <row r="616" spans="1:29" ht="29.25" customHeight="1"/>
    <row r="617" spans="1:29" ht="29.25" customHeight="1"/>
    <row r="618" spans="1:29" ht="29.25" customHeight="1"/>
    <row r="619" spans="1:29" ht="29.25" customHeight="1"/>
    <row r="620" spans="1:29" ht="29.25" customHeight="1"/>
    <row r="621" spans="1:29" ht="29.25" customHeight="1"/>
    <row r="622" spans="1:29" ht="29.25" customHeight="1"/>
    <row r="623" spans="1:29" ht="29.25" customHeight="1"/>
    <row r="624" spans="1:29"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8"/>
  <sheetViews>
    <sheetView tabSelected="1" zoomScale="85" zoomScaleNormal="85" workbookViewId="0">
      <pane xSplit="1" ySplit="1" topLeftCell="I593" activePane="bottomRight" state="frozen"/>
      <selection pane="topRight" activeCell="B1" sqref="B1"/>
      <selection pane="bottomLeft" activeCell="A2" sqref="A2"/>
      <selection pane="bottomRight" activeCell="N602" sqref="N602"/>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31"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31"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9972</v>
      </c>
      <c r="G578" s="3" t="s">
        <v>9922</v>
      </c>
      <c r="H578" s="51" t="s">
        <v>6988</v>
      </c>
      <c r="K578" s="100" t="s">
        <v>5495</v>
      </c>
      <c r="L578" s="51" t="s">
        <v>5496</v>
      </c>
      <c r="M578" s="6" t="s">
        <v>9921</v>
      </c>
      <c r="O578" s="6" t="s">
        <v>3216</v>
      </c>
      <c r="Q578" s="6" t="s">
        <v>9973</v>
      </c>
      <c r="S578" s="6" t="s">
        <v>2400</v>
      </c>
      <c r="U578" s="6" t="s">
        <v>2200</v>
      </c>
      <c r="W578" s="6" t="s">
        <v>9974</v>
      </c>
      <c r="Y578" s="6" t="s">
        <v>9975</v>
      </c>
      <c r="AA578" s="6" t="s">
        <v>9976</v>
      </c>
      <c r="AC578" s="6" t="s">
        <v>9977</v>
      </c>
      <c r="AE578" s="6" t="s">
        <v>9978</v>
      </c>
    </row>
    <row r="579" spans="1:31"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31" ht="24.75" customHeight="1">
      <c r="A580" s="67" t="str">
        <f>IF(games!A580="", "", games!A580)</f>
        <v>永恆聖域</v>
      </c>
      <c r="C580" s="51" t="str">
        <f t="shared" ref="C580:C642" si="24">IF(A580="","", "giftcodesbanner/" &amp; A580 &amp; "-禮包碼.jpg")</f>
        <v>giftcodesbanner/永恆聖域-禮包碼.jpg</v>
      </c>
      <c r="D580" s="51" t="str">
        <f t="shared" ref="D580:D642"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31"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31"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31" ht="24.75" customHeight="1">
      <c r="A583" s="67" t="str">
        <f>IF(games!A583="", "", games!A583)</f>
        <v>弓姬城塞：放置守城 RPG</v>
      </c>
      <c r="C583" s="51" t="str">
        <f t="shared" si="24"/>
        <v>giftcodesbanner/弓姬城塞：放置守城 RPG-禮包碼.jpg</v>
      </c>
      <c r="D583" s="51" t="str">
        <f t="shared" si="25"/>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
        <v>5232</v>
      </c>
      <c r="K583" s="100" t="s">
        <v>5495</v>
      </c>
      <c r="L583" s="51" t="s">
        <v>5496</v>
      </c>
    </row>
    <row r="584" spans="1:31" ht="24.75" customHeight="1">
      <c r="A584" s="67" t="str">
        <f>IF(games!A584="", "", games!A584)</f>
        <v>癲狂三國：少年無雙</v>
      </c>
      <c r="C584" s="51" t="str">
        <f t="shared" si="24"/>
        <v>giftcodesbanner/癲狂三國：少年無雙-禮包碼.jpg</v>
      </c>
      <c r="D584" s="51" t="str">
        <f t="shared" si="25"/>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31" ht="24.75" customHeight="1">
      <c r="A585" s="67" t="str">
        <f>IF(games!A585="", "", games!A585)</f>
        <v>藍色星原：旅謠</v>
      </c>
      <c r="C585" s="51" t="str">
        <f t="shared" si="24"/>
        <v>giftcodesbanner/藍色星原：旅謠-禮包碼.jpg</v>
      </c>
      <c r="D585" s="51" t="str">
        <f t="shared" si="25"/>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
        <v>5232</v>
      </c>
      <c r="K585" s="100" t="s">
        <v>5495</v>
      </c>
      <c r="L585" s="51" t="s">
        <v>5496</v>
      </c>
    </row>
    <row r="586" spans="1:31" ht="24.75" customHeight="1">
      <c r="A586" s="67" t="str">
        <f>IF(games!A586="", "", games!A586)</f>
        <v>鬥陣騎士 Knightica</v>
      </c>
      <c r="C586" s="51" t="str">
        <f t="shared" si="24"/>
        <v>giftcodesbanner/鬥陣騎士 Knightica-禮包碼.jpg</v>
      </c>
      <c r="D586" s="51" t="str">
        <f t="shared" si="25"/>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
        <v>5232</v>
      </c>
      <c r="K586" s="100" t="s">
        <v>5495</v>
      </c>
      <c r="L586" s="51" t="s">
        <v>5496</v>
      </c>
    </row>
    <row r="587" spans="1:31" ht="24.75" customHeight="1">
      <c r="A587" s="67" t="str">
        <f>IF(games!A587="", "", games!A587)</f>
        <v>敖丙-頑強進化</v>
      </c>
      <c r="C587" s="51" t="str">
        <f t="shared" si="24"/>
        <v>giftcodesbanner/敖丙-頑強進化-禮包碼.jpg</v>
      </c>
      <c r="D587" s="51" t="str">
        <f t="shared" si="25"/>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5464</v>
      </c>
      <c r="G587" s="3" t="s">
        <v>9340</v>
      </c>
      <c r="H587" s="51" t="s">
        <v>6988</v>
      </c>
      <c r="K587" s="100" t="s">
        <v>5495</v>
      </c>
      <c r="L587" s="51" t="s">
        <v>5496</v>
      </c>
      <c r="M587" s="6" t="s">
        <v>9860</v>
      </c>
      <c r="O587" s="6" t="s">
        <v>9923</v>
      </c>
      <c r="Q587" s="6" t="s">
        <v>5103</v>
      </c>
    </row>
    <row r="588" spans="1:31" ht="24.75" customHeight="1">
      <c r="A588" s="67" t="str">
        <f>IF(games!A588="", "", games!A588)</f>
        <v>劍與盾少女：放置型RPG</v>
      </c>
      <c r="C588" s="51" t="str">
        <f t="shared" si="24"/>
        <v>giftcodesbanner/劍與盾少女：放置型RPG-禮包碼.jpg</v>
      </c>
      <c r="D588" s="51" t="str">
        <f t="shared" si="25"/>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
        <v>5232</v>
      </c>
      <c r="K588" s="100" t="s">
        <v>5495</v>
      </c>
      <c r="L588" s="51" t="s">
        <v>5496</v>
      </c>
    </row>
    <row r="589" spans="1:31" ht="24.75" customHeight="1">
      <c r="A589" s="67" t="str">
        <f>IF(games!A589="", "", games!A589)</f>
        <v>半夜別修仙</v>
      </c>
      <c r="C589" s="51" t="str">
        <f t="shared" si="24"/>
        <v>giftcodesbanner/半夜別修仙-禮包碼.jpg</v>
      </c>
      <c r="D589" s="51" t="str">
        <f t="shared" si="25"/>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
        <v>5232</v>
      </c>
      <c r="K589" s="100" t="s">
        <v>5495</v>
      </c>
      <c r="L589" s="51" t="s">
        <v>5496</v>
      </c>
    </row>
    <row r="590" spans="1:31" ht="24.75" customHeight="1">
      <c r="A590" s="67" t="str">
        <f>IF(games!A590="", "", games!A590)</f>
        <v>少女迷境</v>
      </c>
      <c r="C590" s="51" t="str">
        <f t="shared" si="24"/>
        <v>giftcodesbanner/少女迷境-禮包碼.jpg</v>
      </c>
      <c r="D590" s="51" t="str">
        <f t="shared" si="25"/>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
        <v>5232</v>
      </c>
      <c r="K590" s="100" t="s">
        <v>5495</v>
      </c>
      <c r="L590" s="51" t="s">
        <v>5496</v>
      </c>
    </row>
    <row r="591" spans="1:31" ht="24.75" customHeight="1">
      <c r="A591" s="67" t="str">
        <f>IF(games!A591="", "", games!A591)</f>
        <v>魔卡紀元</v>
      </c>
      <c r="C591" s="51" t="str">
        <f t="shared" si="24"/>
        <v>giftcodesbanner/魔卡紀元-禮包碼.jpg</v>
      </c>
      <c r="D591" s="51" t="str">
        <f t="shared" si="25"/>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31" ht="24.75" customHeight="1">
      <c r="A592" s="67" t="str">
        <f>IF(games!A592="", "", games!A592)</f>
        <v>牛馬通緝令</v>
      </c>
      <c r="C592" s="51" t="str">
        <f t="shared" si="24"/>
        <v>giftcodesbanner/牛馬通緝令-禮包碼.jpg</v>
      </c>
      <c r="D592" s="51" t="str">
        <f t="shared" si="25"/>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41" ht="24.75" customHeight="1">
      <c r="A593" s="67" t="str">
        <f>IF(games!A593="", "", games!A593)</f>
        <v>我在三國當村長</v>
      </c>
      <c r="C593" s="51" t="str">
        <f t="shared" si="24"/>
        <v>giftcodesbanner/我在三國當村長-禮包碼.jpg</v>
      </c>
      <c r="D593" s="51" t="str">
        <f t="shared" si="25"/>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
        <v>5232</v>
      </c>
      <c r="K593" s="100" t="s">
        <v>5495</v>
      </c>
      <c r="L593" s="51" t="s">
        <v>5496</v>
      </c>
    </row>
    <row r="594" spans="1:41" ht="24.75" customHeight="1">
      <c r="A594" s="67" t="str">
        <f>IF(games!A594="", "", games!A594)</f>
        <v>ARES：THE IRON VANGUARD</v>
      </c>
      <c r="C594" s="51" t="str">
        <f t="shared" si="24"/>
        <v>giftcodesbanner/ARES：THE IRON VANGUARD-禮包碼.jpg</v>
      </c>
      <c r="D594" s="51" t="str">
        <f t="shared" si="25"/>
        <v>https://www.ssbuy.tw/gift-codes.html?game=ARES：THE IRON VANGUARD</v>
      </c>
      <c r="E594" s="91" t="str">
        <f>IF(games!I594&lt;&gt;"", games!I594, "")</f>
        <v>《ARES: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v>
      </c>
      <c r="F594" s="92" t="s">
        <v>5232</v>
      </c>
      <c r="K594" s="100" t="s">
        <v>5495</v>
      </c>
      <c r="L594" s="51" t="s">
        <v>5496</v>
      </c>
    </row>
    <row r="595" spans="1:41" ht="24.75" customHeight="1">
      <c r="A595" s="67" t="str">
        <f>IF(games!A595="", "", games!A595)</f>
        <v>締造者：放逐之境</v>
      </c>
      <c r="C595" s="51" t="str">
        <f t="shared" si="24"/>
        <v>giftcodesbanner/締造者：放逐之境-禮包碼.jpg</v>
      </c>
      <c r="D595" s="51" t="str">
        <f t="shared" si="25"/>
        <v>https://www.ssbuy.tw/gift-codes.html?game=締造者：放逐之境</v>
      </c>
      <c r="E595" s="91" t="str">
        <f>IF(games!I595&lt;&gt;"", games!I595, "")</f>
        <v>《締造者：放逐之境》是一款魔幻開放世界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v>
      </c>
      <c r="F595" s="92" t="s">
        <v>9960</v>
      </c>
      <c r="G595" s="3" t="s">
        <v>9961</v>
      </c>
      <c r="H595" s="51" t="s">
        <v>6988</v>
      </c>
      <c r="K595" s="100" t="s">
        <v>5495</v>
      </c>
      <c r="L595" s="51" t="s">
        <v>5496</v>
      </c>
      <c r="M595" s="6" t="s">
        <v>9952</v>
      </c>
      <c r="N595" s="40" t="s">
        <v>9956</v>
      </c>
      <c r="O595" s="6" t="s">
        <v>9953</v>
      </c>
      <c r="P595" s="40" t="s">
        <v>9957</v>
      </c>
      <c r="Q595" s="6" t="s">
        <v>9954</v>
      </c>
      <c r="R595" s="40" t="s">
        <v>9958</v>
      </c>
      <c r="S595" s="6" t="s">
        <v>9955</v>
      </c>
      <c r="T595" s="40" t="s">
        <v>9959</v>
      </c>
    </row>
    <row r="596" spans="1:41" ht="24.75" customHeight="1">
      <c r="A596" s="67" t="str">
        <f>IF(games!A596="", "", games!A596)</f>
        <v>閃耀吧！嚕咪</v>
      </c>
      <c r="C596" s="51" t="str">
        <f t="shared" si="24"/>
        <v>giftcodesbanner/閃耀吧！嚕咪-禮包碼.jpg</v>
      </c>
      <c r="D596" s="51" t="str">
        <f t="shared" si="25"/>
        <v>https://www.ssbuy.tw/gift-codes.html?game=閃耀吧！嚕咪</v>
      </c>
      <c r="E596" s="91" t="str">
        <f>IF(games!I596&lt;&gt;"", games!I596, "")</f>
        <v>《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v>
      </c>
      <c r="F596" s="92" t="s">
        <v>9970</v>
      </c>
      <c r="G596" s="51" t="s">
        <v>9971</v>
      </c>
      <c r="H596" s="51" t="s">
        <v>6988</v>
      </c>
      <c r="K596" s="100" t="s">
        <v>5495</v>
      </c>
      <c r="L596" s="51" t="s">
        <v>5496</v>
      </c>
      <c r="M596" s="6" t="s">
        <v>9936</v>
      </c>
      <c r="O596" s="6" t="s">
        <v>9937</v>
      </c>
      <c r="Q596" s="6" t="s">
        <v>9938</v>
      </c>
      <c r="S596" s="6" t="s">
        <v>9939</v>
      </c>
      <c r="U596" s="6" t="s">
        <v>9940</v>
      </c>
      <c r="W596" s="6" t="s">
        <v>9941</v>
      </c>
      <c r="Y596" s="6" t="s">
        <v>9942</v>
      </c>
      <c r="AA596" s="6" t="s">
        <v>9962</v>
      </c>
      <c r="AC596" s="6" t="s">
        <v>9963</v>
      </c>
      <c r="AE596" s="6" t="s">
        <v>9964</v>
      </c>
      <c r="AG596" s="6" t="s">
        <v>9965</v>
      </c>
      <c r="AI596" s="6" t="s">
        <v>9966</v>
      </c>
      <c r="AK596" s="6" t="s">
        <v>9967</v>
      </c>
      <c r="AM596" s="6" t="s">
        <v>9968</v>
      </c>
      <c r="AO596" s="6" t="s">
        <v>9969</v>
      </c>
    </row>
    <row r="597" spans="1:41" ht="24.75" customHeight="1">
      <c r="A597" s="67" t="str">
        <f>IF(games!A597="", "", games!A597)</f>
        <v>死神養成：中世篇</v>
      </c>
      <c r="C597" s="51" t="str">
        <f t="shared" si="24"/>
        <v>giftcodesbanner/死神養成：中世篇-禮包碼.jpg</v>
      </c>
      <c r="D597" s="51" t="str">
        <f t="shared" si="25"/>
        <v>https://www.ssbuy.tw/gift-codes.html?game=死神養成：中世篇</v>
      </c>
      <c r="E597" s="91" t="str">
        <f>IF(games!I597&lt;&gt;"", games!I597, "")</f>
        <v>《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v>
      </c>
      <c r="F597" s="92" t="s">
        <v>5232</v>
      </c>
      <c r="K597" s="100" t="s">
        <v>5495</v>
      </c>
      <c r="L597" s="51" t="s">
        <v>5496</v>
      </c>
    </row>
    <row r="598" spans="1:41" ht="24.75" customHeight="1">
      <c r="A598" s="67" t="str">
        <f>IF(games!A598="", "", games!A598)</f>
        <v>RO仙境傳說：口袋戰記</v>
      </c>
      <c r="C598" s="51" t="str">
        <f t="shared" si="24"/>
        <v>giftcodesbanner/RO仙境傳說：口袋戰記-禮包碼.jpg</v>
      </c>
      <c r="D598" s="51" t="str">
        <f t="shared" si="25"/>
        <v>https://www.ssbuy.tw/gift-codes.html?game=RO仙境傳說：口袋戰記</v>
      </c>
      <c r="E598" s="91" t="str">
        <f>IF(games!I598&lt;&gt;"", games!I598, "")</f>
        <v>《RO仙境傳說：口袋戰記》是一款承襲經典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v>
      </c>
      <c r="F598" s="92" t="s">
        <v>9947</v>
      </c>
      <c r="G598" s="3" t="s">
        <v>9948</v>
      </c>
      <c r="H598" s="51" t="s">
        <v>6988</v>
      </c>
      <c r="K598" s="100" t="s">
        <v>5495</v>
      </c>
      <c r="L598" s="51" t="s">
        <v>5496</v>
      </c>
      <c r="M598" s="6" t="s">
        <v>9943</v>
      </c>
      <c r="O598" s="6" t="s">
        <v>9944</v>
      </c>
      <c r="Q598" s="6" t="s">
        <v>9945</v>
      </c>
      <c r="S598" s="6" t="s">
        <v>9946</v>
      </c>
    </row>
    <row r="599" spans="1:41" ht="24.75" customHeight="1">
      <c r="A599" s="67" t="str">
        <f>IF(games!A599="", "", games!A599)</f>
        <v>蠟筆小新：GO！</v>
      </c>
      <c r="C599" s="51" t="str">
        <f t="shared" si="24"/>
        <v>giftcodesbanner/蠟筆小新：GO！-禮包碼.jpg</v>
      </c>
      <c r="D599" s="51" t="str">
        <f t="shared" si="25"/>
        <v>https://www.ssbuy.tw/gift-codes.html?game=蠟筆小新：GO！</v>
      </c>
      <c r="E599" s="91" t="str">
        <f>IF(games!I599&lt;&gt;"", games!I599, "")</f>
        <v>《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v>
      </c>
      <c r="F599" s="92" t="s">
        <v>9949</v>
      </c>
      <c r="G599" s="3" t="s">
        <v>9950</v>
      </c>
      <c r="H599" s="51" t="s">
        <v>6988</v>
      </c>
      <c r="K599" s="100" t="s">
        <v>5495</v>
      </c>
      <c r="L599" s="51" t="s">
        <v>5496</v>
      </c>
      <c r="M599" s="6" t="s">
        <v>9951</v>
      </c>
    </row>
    <row r="600" spans="1:41" ht="24.75" customHeight="1">
      <c r="A600" s="67" t="str">
        <f>IF(games!A600="", "", games!A600)</f>
        <v>FORTBLOX：荒原堡壘 GO!</v>
      </c>
      <c r="C600" s="51" t="str">
        <f t="shared" si="24"/>
        <v>giftcodesbanner/FORTBLOX：荒原堡壘 GO!-禮包碼.jpg</v>
      </c>
      <c r="D600" s="51" t="str">
        <f t="shared" si="25"/>
        <v>https://www.ssbuy.tw/gift-codes.html?game=FORTBLOX：荒原堡壘 GO!</v>
      </c>
      <c r="E600" s="91" t="str">
        <f>IF(games!I600&lt;&gt;"", games!I600, "")</f>
        <v>《FORTBLOX：荒原堡壘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v>
      </c>
      <c r="F600" s="92" t="s">
        <v>5232</v>
      </c>
      <c r="K600" s="100" t="s">
        <v>5495</v>
      </c>
      <c r="L600" s="51" t="s">
        <v>5496</v>
      </c>
    </row>
    <row r="601" spans="1:41" ht="24.75" customHeight="1">
      <c r="A601" s="67" t="str">
        <f>IF(games!A601="", "", games!A601)</f>
        <v>戰鎚40,000：爆矢槍 Boom</v>
      </c>
      <c r="C601" s="51" t="str">
        <f t="shared" si="24"/>
        <v>giftcodesbanner/戰鎚40,000：爆矢槍 Boom-禮包碼.jpg</v>
      </c>
      <c r="D601" s="51" t="str">
        <f t="shared" si="25"/>
        <v>https://www.ssbuy.tw/gift-codes.html?game=戰鎚40,000：爆矢槍 Boom</v>
      </c>
      <c r="E601" s="91" t="str">
        <f>IF(games!I601&lt;&gt;"", games!I601, "")</f>
        <v>《戰鎚40,000：爆矢槍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v>
      </c>
      <c r="F601" s="92" t="s">
        <v>5232</v>
      </c>
      <c r="K601" s="100" t="s">
        <v>5495</v>
      </c>
      <c r="L601" s="51" t="s">
        <v>5496</v>
      </c>
    </row>
    <row r="602" spans="1:41" ht="24.75" customHeight="1">
      <c r="A602" s="67" t="str">
        <f>IF(games!A602="", "", games!A602)</f>
        <v>伊莫</v>
      </c>
      <c r="C602" s="51" t="str">
        <f t="shared" si="24"/>
        <v>giftcodesbanner/伊莫-禮包碼.jpg</v>
      </c>
      <c r="D602" s="51" t="str">
        <f t="shared" si="25"/>
        <v>https://www.ssbuy.tw/gift-codes.html?game=伊莫</v>
      </c>
      <c r="E602" s="91" t="str">
        <f>IF(games!I602&lt;&gt;"", games!I602, "")</f>
        <v>《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v>
      </c>
      <c r="F602" s="92" t="s">
        <v>9960</v>
      </c>
      <c r="G602" s="3" t="s">
        <v>9961</v>
      </c>
      <c r="H602" s="51" t="s">
        <v>6988</v>
      </c>
      <c r="K602" s="100" t="s">
        <v>5495</v>
      </c>
      <c r="L602" s="51" t="s">
        <v>5496</v>
      </c>
      <c r="M602" s="6" t="s">
        <v>10048</v>
      </c>
      <c r="N602" s="40" t="s">
        <v>10049</v>
      </c>
      <c r="O602" s="6" t="s">
        <v>10050</v>
      </c>
      <c r="P602" s="40" t="s">
        <v>10051</v>
      </c>
      <c r="Q602" s="6" t="s">
        <v>10052</v>
      </c>
      <c r="R602" s="40" t="s">
        <v>10053</v>
      </c>
      <c r="S602" s="6" t="s">
        <v>10054</v>
      </c>
      <c r="T602" s="40" t="s">
        <v>10055</v>
      </c>
      <c r="U602" s="6" t="s">
        <v>10056</v>
      </c>
      <c r="V602" s="40" t="s">
        <v>10057</v>
      </c>
      <c r="W602" s="6" t="s">
        <v>10058</v>
      </c>
      <c r="X602" s="40" t="s">
        <v>10059</v>
      </c>
      <c r="Y602" s="6" t="s">
        <v>10060</v>
      </c>
      <c r="Z602" s="40" t="s">
        <v>10061</v>
      </c>
      <c r="AA602" s="6" t="s">
        <v>10062</v>
      </c>
      <c r="AB602" s="40" t="s">
        <v>10063</v>
      </c>
      <c r="AC602" s="6" t="s">
        <v>10064</v>
      </c>
      <c r="AD602" s="40" t="s">
        <v>10065</v>
      </c>
    </row>
    <row r="603" spans="1:41" ht="24.75" customHeight="1">
      <c r="A603" s="67" t="str">
        <f>IF(games!A603="", "", games!A603)</f>
        <v>BanG Dream! 交織的樂章</v>
      </c>
      <c r="C603" s="51" t="str">
        <f t="shared" si="24"/>
        <v>giftcodesbanner/BanG Dream! 交織的樂章-禮包碼.jpg</v>
      </c>
      <c r="D603" s="51" t="str">
        <f t="shared" si="25"/>
        <v>https://www.ssbuy.tw/gift-codes.html?game=BanG Dream! 交織的樂章</v>
      </c>
      <c r="E603" s="91" t="str">
        <f>IF(games!I603&lt;&gt;"", games!I603, "")</f>
        <v>《BanG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v>
      </c>
      <c r="F603" s="92" t="s">
        <v>10070</v>
      </c>
      <c r="G603" s="3" t="s">
        <v>3638</v>
      </c>
      <c r="H603" s="51" t="s">
        <v>6988</v>
      </c>
      <c r="K603" s="100" t="s">
        <v>5495</v>
      </c>
      <c r="L603" s="51" t="s">
        <v>5496</v>
      </c>
      <c r="M603" s="6" t="s">
        <v>10066</v>
      </c>
      <c r="N603" s="40" t="s">
        <v>10069</v>
      </c>
      <c r="O603" s="6" t="s">
        <v>10067</v>
      </c>
      <c r="P603" s="40" t="s">
        <v>10068</v>
      </c>
    </row>
    <row r="604" spans="1:41" ht="24.75" customHeight="1">
      <c r="A604" s="67" t="str">
        <f>IF(games!A604="", "", games!A604)</f>
        <v>花物語</v>
      </c>
      <c r="C604" s="51" t="str">
        <f t="shared" si="24"/>
        <v>giftcodesbanner/花物語-禮包碼.jpg</v>
      </c>
      <c r="D604" s="51" t="str">
        <f t="shared" si="25"/>
        <v>https://www.ssbuy.tw/gift-codes.html?game=花物語</v>
      </c>
      <c r="E604" s="91" t="str">
        <f>IF(games!I604&lt;&gt;"", games!I604, "")</f>
        <v>《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v>
      </c>
      <c r="F604" s="92" t="s">
        <v>5232</v>
      </c>
      <c r="K604" s="100" t="s">
        <v>5495</v>
      </c>
      <c r="L604" s="51" t="s">
        <v>5496</v>
      </c>
    </row>
    <row r="605" spans="1:41" ht="24.75" customHeight="1">
      <c r="A605" s="67" t="str">
        <f>IF(games!A605="", "", games!A605)</f>
        <v>小蝦米闖江湖</v>
      </c>
      <c r="C605" s="51" t="str">
        <f t="shared" si="24"/>
        <v>giftcodesbanner/小蝦米闖江湖-禮包碼.jpg</v>
      </c>
      <c r="D605" s="51" t="str">
        <f t="shared" si="25"/>
        <v>https://www.ssbuy.tw/gift-codes.html?game=小蝦米闖江湖</v>
      </c>
      <c r="E605" s="91" t="str">
        <f>IF(games!I605&lt;&gt;"", games!I605, "")</f>
        <v>《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v>
      </c>
      <c r="F605" s="92" t="s">
        <v>5232</v>
      </c>
      <c r="K605" s="100" t="s">
        <v>5495</v>
      </c>
      <c r="L605" s="51" t="s">
        <v>5496</v>
      </c>
    </row>
    <row r="606" spans="1:41" ht="24.75" customHeight="1">
      <c r="A606" s="67" t="str">
        <f>IF(games!A606="", "", games!A606)</f>
        <v>米卡：地城背包客</v>
      </c>
      <c r="C606" s="51" t="str">
        <f t="shared" si="24"/>
        <v>giftcodesbanner/米卡：地城背包客-禮包碼.jpg</v>
      </c>
      <c r="D606" s="51" t="str">
        <f t="shared" si="25"/>
        <v>https://www.ssbuy.tw/gift-codes.html?game=米卡：地城背包客</v>
      </c>
      <c r="E606" s="91" t="str">
        <f>IF(games!I606&lt;&gt;"", games!I606, "")</f>
        <v>《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v>
      </c>
      <c r="F606" s="92" t="s">
        <v>5232</v>
      </c>
      <c r="K606" s="100" t="s">
        <v>5495</v>
      </c>
      <c r="L606" s="51" t="s">
        <v>5496</v>
      </c>
    </row>
    <row r="607" spans="1:41" ht="24.75" customHeight="1">
      <c r="A607" s="67" t="str">
        <f>IF(games!A607="", "", games!A607)</f>
        <v>永夜幻想：契約之戰</v>
      </c>
      <c r="C607" s="51" t="str">
        <f t="shared" si="24"/>
        <v>giftcodesbanner/永夜幻想：契約之戰-禮包碼.jpg</v>
      </c>
      <c r="D607" s="51" t="str">
        <f t="shared" si="25"/>
        <v>https://www.ssbuy.tw/gift-codes.html?game=永夜幻想：契約之戰</v>
      </c>
      <c r="E607" s="91" t="str">
        <f>IF(games!I607&lt;&gt;"", games!I607, "")</f>
        <v>《永夜幻想：契約之戰》最新攻略與獨家禮包碼驚喜公開！作為一款極具沉浸感的後日談卡牌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v>
      </c>
      <c r="F607" s="92" t="s">
        <v>10070</v>
      </c>
      <c r="G607" s="3" t="s">
        <v>3638</v>
      </c>
      <c r="H607" s="51" t="s">
        <v>6988</v>
      </c>
      <c r="K607" s="100" t="s">
        <v>5495</v>
      </c>
      <c r="L607" s="51" t="s">
        <v>5496</v>
      </c>
      <c r="M607" s="6" t="s">
        <v>10012</v>
      </c>
      <c r="O607" s="6" t="s">
        <v>10071</v>
      </c>
      <c r="Q607" s="6" t="s">
        <v>10072</v>
      </c>
      <c r="S607" s="6" t="s">
        <v>10073</v>
      </c>
      <c r="U607" s="6" t="s">
        <v>10074</v>
      </c>
    </row>
    <row r="608" spans="1:41" ht="24.75" customHeight="1">
      <c r="A608" s="67" t="str">
        <f>IF(games!A608="", "", games!A608)</f>
        <v>風之痕跡</v>
      </c>
      <c r="C608" s="51" t="str">
        <f t="shared" si="24"/>
        <v>giftcodesbanner/風之痕跡-禮包碼.jpg</v>
      </c>
      <c r="D608" s="51" t="str">
        <f t="shared" si="25"/>
        <v>https://www.ssbuy.tw/gift-codes.html?game=風之痕跡</v>
      </c>
      <c r="E608" s="91" t="str">
        <f>IF(games!I608&lt;&gt;"", games!I608, "")</f>
        <v>《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v>
      </c>
      <c r="F608" s="92" t="s">
        <v>5232</v>
      </c>
      <c r="K608" s="100" t="s">
        <v>5495</v>
      </c>
      <c r="L608" s="51" t="s">
        <v>5496</v>
      </c>
    </row>
    <row r="609" spans="1:21" ht="24.75" customHeight="1">
      <c r="A609" s="67" t="str">
        <f>IF(games!A609="", "", games!A609)</f>
        <v>魔物獵人：旅人</v>
      </c>
      <c r="C609" s="51" t="str">
        <f t="shared" si="24"/>
        <v>giftcodesbanner/魔物獵人：旅人-禮包碼.jpg</v>
      </c>
      <c r="D609" s="51" t="str">
        <f t="shared" si="25"/>
        <v>https://www.ssbuy.tw/gift-codes.html?game=魔物獵人：旅人</v>
      </c>
      <c r="E609" s="91" t="str">
        <f>IF(games!I609&lt;&gt;"", games!I609, "")</f>
        <v>《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v>
      </c>
      <c r="F609" s="92" t="s">
        <v>5232</v>
      </c>
      <c r="K609" s="100" t="s">
        <v>5495</v>
      </c>
      <c r="L609" s="51" t="s">
        <v>5496</v>
      </c>
    </row>
    <row r="610" spans="1:21" ht="24.75" customHeight="1">
      <c r="A610" s="67" t="str">
        <f>IF(games!A610="", "", games!A610)</f>
        <v>屍控防線</v>
      </c>
      <c r="C610" s="51" t="str">
        <f t="shared" si="24"/>
        <v>giftcodesbanner/屍控防線-禮包碼.jpg</v>
      </c>
      <c r="D610" s="51" t="str">
        <f t="shared" si="25"/>
        <v>https://www.ssbuy.tw/gift-codes.html?game=屍控防線</v>
      </c>
      <c r="E610" s="91" t="str">
        <f>IF(games!I610&lt;&gt;"", games!I610, "")</f>
        <v>《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v>
      </c>
      <c r="F610" s="7" t="s">
        <v>10028</v>
      </c>
      <c r="G610" s="3" t="s">
        <v>10029</v>
      </c>
      <c r="H610" s="51" t="s">
        <v>6988</v>
      </c>
      <c r="K610" s="100" t="s">
        <v>5495</v>
      </c>
      <c r="L610" s="51" t="s">
        <v>5496</v>
      </c>
      <c r="M610" s="9" t="s">
        <v>10018</v>
      </c>
      <c r="O610" s="6" t="s">
        <v>10030</v>
      </c>
      <c r="Q610" s="6" t="s">
        <v>10031</v>
      </c>
      <c r="S610" s="6" t="s">
        <v>10032</v>
      </c>
      <c r="U610" s="6" t="s">
        <v>10033</v>
      </c>
    </row>
    <row r="611" spans="1:21" ht="24.75" customHeight="1">
      <c r="A611" s="67" t="str">
        <f>IF(games!A611="", "", games!A611)</f>
        <v>雲海之下</v>
      </c>
      <c r="C611" s="51" t="str">
        <f t="shared" si="24"/>
        <v>giftcodesbanner/雲海之下-禮包碼.jpg</v>
      </c>
      <c r="D611" s="51" t="str">
        <f t="shared" si="25"/>
        <v>https://www.ssbuy.tw/gift-codes.html?game=雲海之下</v>
      </c>
      <c r="E611" s="91" t="str">
        <f>IF(games!I611&lt;&gt;"", games!I611, "")</f>
        <v>《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v>
      </c>
      <c r="F611" s="92" t="s">
        <v>5232</v>
      </c>
      <c r="K611" s="100" t="s">
        <v>5495</v>
      </c>
      <c r="L611" s="51" t="s">
        <v>5496</v>
      </c>
    </row>
    <row r="612" spans="1:21" ht="24.75" customHeight="1">
      <c r="A612" s="67" t="str">
        <f>IF(games!A612="", "", games!A612)</f>
        <v/>
      </c>
      <c r="C612" s="51" t="str">
        <f t="shared" si="24"/>
        <v/>
      </c>
      <c r="D612" s="51" t="str">
        <f t="shared" si="25"/>
        <v/>
      </c>
      <c r="E612" s="91" t="str">
        <f>IF(games!I612&lt;&gt;"", games!I612, "")</f>
        <v/>
      </c>
    </row>
    <row r="613" spans="1:21" ht="24.75" customHeight="1">
      <c r="A613" s="67" t="str">
        <f>IF(games!A613="", "", games!A613)</f>
        <v/>
      </c>
      <c r="C613" s="51" t="str">
        <f t="shared" si="24"/>
        <v/>
      </c>
      <c r="D613" s="51" t="str">
        <f t="shared" si="25"/>
        <v/>
      </c>
      <c r="E613" s="91" t="str">
        <f>IF(games!I613&lt;&gt;"", games!I613, "")</f>
        <v/>
      </c>
    </row>
    <row r="614" spans="1:21" ht="24.75" customHeight="1">
      <c r="A614" s="67" t="str">
        <f>IF(games!A614="", "", games!A614)</f>
        <v/>
      </c>
      <c r="C614" s="51" t="str">
        <f t="shared" si="24"/>
        <v/>
      </c>
      <c r="D614" s="51" t="str">
        <f t="shared" si="25"/>
        <v/>
      </c>
      <c r="E614" s="91" t="str">
        <f>IF(games!I614&lt;&gt;"", games!I614, "")</f>
        <v/>
      </c>
    </row>
    <row r="615" spans="1:21" ht="24.75" customHeight="1">
      <c r="A615" s="67" t="str">
        <f>IF(games!A615="", "", games!A615)</f>
        <v/>
      </c>
      <c r="C615" s="51" t="str">
        <f t="shared" si="24"/>
        <v/>
      </c>
      <c r="D615" s="51" t="str">
        <f t="shared" si="25"/>
        <v/>
      </c>
      <c r="E615" s="91" t="str">
        <f>IF(games!I615&lt;&gt;"", games!I615, "")</f>
        <v/>
      </c>
    </row>
    <row r="616" spans="1:21" ht="24.75" customHeight="1">
      <c r="A616" s="67" t="str">
        <f>IF(games!A616="", "", games!A616)</f>
        <v/>
      </c>
      <c r="C616" s="51" t="str">
        <f t="shared" si="24"/>
        <v/>
      </c>
      <c r="D616" s="51" t="str">
        <f t="shared" si="25"/>
        <v/>
      </c>
      <c r="E616" s="91" t="str">
        <f>IF(games!I616&lt;&gt;"", games!I616, "")</f>
        <v/>
      </c>
    </row>
    <row r="617" spans="1:21" ht="24.75" customHeight="1">
      <c r="A617" s="67" t="str">
        <f>IF(games!A617="", "", games!A617)</f>
        <v/>
      </c>
      <c r="C617" s="51" t="str">
        <f t="shared" si="24"/>
        <v/>
      </c>
      <c r="D617" s="51" t="str">
        <f t="shared" si="25"/>
        <v/>
      </c>
      <c r="E617" s="91" t="str">
        <f>IF(games!I617&lt;&gt;"", games!I617, "")</f>
        <v/>
      </c>
    </row>
    <row r="618" spans="1:21" ht="24.75" customHeight="1">
      <c r="A618" s="67" t="str">
        <f>IF(games!A618="", "", games!A618)</f>
        <v/>
      </c>
      <c r="C618" s="51" t="str">
        <f t="shared" si="24"/>
        <v/>
      </c>
      <c r="D618" s="51" t="str">
        <f t="shared" si="25"/>
        <v/>
      </c>
      <c r="E618" s="91" t="str">
        <f>IF(games!I618&lt;&gt;"", games!I618, "")</f>
        <v/>
      </c>
    </row>
    <row r="619" spans="1:21" ht="24.75" customHeight="1">
      <c r="A619" s="67" t="str">
        <f>IF(games!A619="", "", games!A619)</f>
        <v/>
      </c>
      <c r="C619" s="51" t="str">
        <f t="shared" si="24"/>
        <v/>
      </c>
      <c r="D619" s="51" t="str">
        <f t="shared" si="25"/>
        <v/>
      </c>
      <c r="E619" s="91" t="str">
        <f>IF(games!I619&lt;&gt;"", games!I619, "")</f>
        <v/>
      </c>
    </row>
    <row r="620" spans="1:21" ht="24.75" customHeight="1">
      <c r="A620" s="67" t="str">
        <f>IF(games!A620="", "", games!A620)</f>
        <v/>
      </c>
      <c r="C620" s="51" t="str">
        <f t="shared" si="24"/>
        <v/>
      </c>
      <c r="D620" s="51" t="str">
        <f t="shared" si="25"/>
        <v/>
      </c>
      <c r="E620" s="91" t="str">
        <f>IF(games!I620&lt;&gt;"", games!I620, "")</f>
        <v/>
      </c>
    </row>
    <row r="621" spans="1:21" ht="24.75" customHeight="1">
      <c r="A621" s="67" t="str">
        <f>IF(games!A621="", "", games!A621)</f>
        <v/>
      </c>
      <c r="C621" s="51" t="str">
        <f t="shared" si="24"/>
        <v/>
      </c>
      <c r="D621" s="51" t="str">
        <f t="shared" si="25"/>
        <v/>
      </c>
      <c r="E621" s="91" t="str">
        <f>IF(games!I621&lt;&gt;"", games!I621, "")</f>
        <v/>
      </c>
    </row>
    <row r="622" spans="1:21" ht="24.75" customHeight="1">
      <c r="A622" s="67" t="str">
        <f>IF(games!A622="", "", games!A622)</f>
        <v/>
      </c>
      <c r="C622" s="51" t="str">
        <f t="shared" si="24"/>
        <v/>
      </c>
      <c r="D622" s="51" t="str">
        <f t="shared" si="25"/>
        <v/>
      </c>
      <c r="E622" s="91" t="str">
        <f>IF(games!I622&lt;&gt;"", games!I622, "")</f>
        <v/>
      </c>
    </row>
    <row r="623" spans="1:21" ht="24.75" customHeight="1">
      <c r="A623" s="67" t="str">
        <f>IF(games!A623="", "", games!A623)</f>
        <v/>
      </c>
      <c r="C623" s="51" t="str">
        <f t="shared" si="24"/>
        <v/>
      </c>
      <c r="D623" s="51" t="str">
        <f t="shared" si="25"/>
        <v/>
      </c>
      <c r="E623" s="91" t="str">
        <f>IF(games!I623&lt;&gt;"", games!I623, "")</f>
        <v/>
      </c>
    </row>
    <row r="624" spans="1:21"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ref="C643:C706" si="26">IF(A643="","", "giftcodesbanner/" &amp; A643 &amp; "-禮包碼.jpg")</f>
        <v/>
      </c>
      <c r="D643" s="51" t="str">
        <f t="shared" ref="D643:D706" si="27">IF(A643="","", "https://www.ssbuy.tw/gift-codes.html?game="&amp;A643)</f>
        <v/>
      </c>
      <c r="E643" s="91" t="str">
        <f>IF(games!I643&lt;&gt;"", games!I643, "")</f>
        <v/>
      </c>
    </row>
    <row r="644" spans="1:5" ht="24.75" customHeight="1">
      <c r="A644" s="67" t="str">
        <f>IF(games!A644="", "", games!A644)</f>
        <v/>
      </c>
      <c r="C644" s="51" t="str">
        <f t="shared" si="26"/>
        <v/>
      </c>
      <c r="D644" s="51" t="str">
        <f t="shared" si="27"/>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ref="C707:C725" si="28">IF(A707="","", "giftcodesbanner/" &amp; A707 &amp; "-禮包碼.jpg")</f>
        <v/>
      </c>
      <c r="D707" s="51" t="str">
        <f t="shared" ref="D707:D725" si="29">IF(A707="","", "https://www.ssbuy.tw/gift-codes.html?game="&amp;A707)</f>
        <v/>
      </c>
      <c r="E707" s="91" t="str">
        <f>IF(games!I707&lt;&gt;"", games!I707, "")</f>
        <v/>
      </c>
    </row>
    <row r="708" spans="1:5" ht="24.75" customHeight="1">
      <c r="C708" s="51" t="str">
        <f t="shared" si="28"/>
        <v/>
      </c>
      <c r="D708" s="51" t="str">
        <f t="shared" si="29"/>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 ref="K594" r:id="rId335"/>
    <hyperlink ref="K595" r:id="rId336"/>
    <hyperlink ref="K596" r:id="rId337"/>
    <hyperlink ref="K597" r:id="rId338"/>
    <hyperlink ref="K598" r:id="rId339"/>
    <hyperlink ref="K599" r:id="rId340"/>
    <hyperlink ref="K600" r:id="rId341"/>
    <hyperlink ref="K601" r:id="rId342"/>
    <hyperlink ref="K602" r:id="rId343"/>
    <hyperlink ref="K603" r:id="rId344"/>
    <hyperlink ref="K604" r:id="rId345"/>
    <hyperlink ref="K605" r:id="rId346"/>
    <hyperlink ref="K606" r:id="rId347"/>
    <hyperlink ref="K607" r:id="rId348"/>
    <hyperlink ref="K608" r:id="rId349"/>
    <hyperlink ref="K609" r:id="rId350"/>
    <hyperlink ref="K610" r:id="rId351"/>
    <hyperlink ref="K611" r:id="rId352"/>
  </hyperlinks>
  <pageMargins left="0.7" right="0.7" top="0.75" bottom="0.75" header="0.3" footer="0.3"/>
  <pageSetup paperSize="9" orientation="portrait" r:id="rId35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2026-09-24T04:43:23Z</dcterms:modified>
</cp:coreProperties>
</file>