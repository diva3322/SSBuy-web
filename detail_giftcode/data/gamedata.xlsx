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240" yWindow="105" windowWidth="14805" windowHeight="8010"/>
  </bookViews>
  <sheets>
    <sheet name="games" sheetId="1" r:id="rId1"/>
    <sheet name="gift_codes" sheetId="3" r:id="rId2"/>
  </sheets>
  <calcPr calcId="152511"/>
</workbook>
</file>

<file path=xl/calcChain.xml><?xml version="1.0" encoding="utf-8"?>
<calcChain xmlns="http://schemas.openxmlformats.org/spreadsheetml/2006/main">
  <c r="E272" i="3" l="1"/>
  <c r="E273" i="3"/>
  <c r="E274" i="3"/>
  <c r="E275" i="3"/>
  <c r="E276" i="3"/>
  <c r="E277" i="3"/>
  <c r="E278" i="3"/>
  <c r="E279" i="3"/>
  <c r="E280" i="3"/>
  <c r="E281" i="3"/>
  <c r="E282" i="3"/>
  <c r="E283" i="3"/>
  <c r="E284" i="3"/>
  <c r="E285" i="3"/>
  <c r="E286" i="3"/>
  <c r="E287" i="3"/>
  <c r="E288" i="3"/>
  <c r="E289" i="3"/>
  <c r="E290" i="3"/>
  <c r="E291" i="3"/>
  <c r="E292" i="3"/>
  <c r="E293" i="3"/>
  <c r="E294" i="3"/>
  <c r="E295" i="3"/>
  <c r="E296" i="3"/>
  <c r="E297" i="3"/>
  <c r="E298" i="3"/>
  <c r="E299" i="3"/>
  <c r="E300" i="3"/>
  <c r="E301" i="3"/>
  <c r="E302" i="3"/>
  <c r="E303" i="3"/>
  <c r="E304" i="3"/>
  <c r="E305" i="3"/>
  <c r="E306" i="3"/>
  <c r="E307" i="3"/>
  <c r="E308" i="3"/>
  <c r="E309" i="3"/>
  <c r="E310" i="3"/>
  <c r="E311" i="3"/>
  <c r="E312" i="3"/>
  <c r="E313" i="3"/>
  <c r="E314" i="3"/>
  <c r="E315" i="3"/>
  <c r="E316" i="3"/>
  <c r="E317" i="3"/>
  <c r="E318" i="3"/>
  <c r="E319" i="3"/>
  <c r="E320" i="3"/>
  <c r="E321" i="3"/>
  <c r="E322" i="3"/>
  <c r="E323" i="3"/>
  <c r="E324" i="3"/>
  <c r="E325" i="3"/>
  <c r="E326" i="3"/>
  <c r="E327" i="3"/>
  <c r="E328" i="3"/>
  <c r="E329" i="3"/>
  <c r="E330" i="3"/>
  <c r="E331" i="3"/>
  <c r="E332" i="3"/>
  <c r="E333" i="3"/>
  <c r="E334" i="3"/>
  <c r="E335" i="3"/>
  <c r="E336" i="3"/>
  <c r="E337" i="3"/>
  <c r="E338" i="3"/>
  <c r="E339" i="3"/>
  <c r="E340" i="3"/>
  <c r="E341" i="3"/>
  <c r="E342" i="3"/>
  <c r="E343" i="3"/>
  <c r="E344" i="3"/>
  <c r="E345" i="3"/>
  <c r="E346" i="3"/>
  <c r="E347" i="3"/>
  <c r="E348" i="3"/>
  <c r="E349" i="3"/>
  <c r="E350" i="3"/>
  <c r="E351" i="3"/>
  <c r="E352" i="3"/>
  <c r="E353" i="3"/>
  <c r="E354" i="3"/>
  <c r="E355" i="3"/>
  <c r="E356" i="3"/>
  <c r="E357" i="3"/>
  <c r="E358" i="3"/>
  <c r="E359" i="3"/>
  <c r="E360" i="3"/>
  <c r="E361" i="3"/>
  <c r="E362" i="3"/>
  <c r="E363" i="3"/>
  <c r="E364" i="3"/>
  <c r="E365" i="3"/>
  <c r="E366" i="3"/>
  <c r="E367" i="3"/>
  <c r="E368" i="3"/>
  <c r="E369" i="3"/>
  <c r="E370" i="3"/>
  <c r="E371" i="3"/>
  <c r="E372" i="3"/>
  <c r="E373" i="3"/>
  <c r="E374" i="3"/>
  <c r="E375" i="3"/>
  <c r="E376" i="3"/>
  <c r="E377" i="3"/>
  <c r="E378" i="3"/>
  <c r="E379" i="3"/>
  <c r="E380" i="3"/>
  <c r="E381" i="3"/>
  <c r="E382" i="3"/>
  <c r="E383" i="3"/>
  <c r="E384" i="3"/>
  <c r="E385" i="3"/>
  <c r="E386" i="3"/>
  <c r="E387" i="3"/>
  <c r="E388" i="3"/>
  <c r="E389" i="3"/>
  <c r="E390" i="3"/>
  <c r="E391" i="3"/>
  <c r="E392" i="3"/>
  <c r="E393" i="3"/>
  <c r="E394" i="3"/>
  <c r="E395" i="3"/>
  <c r="E396" i="3"/>
  <c r="E397" i="3"/>
  <c r="E398" i="3"/>
  <c r="E399" i="3"/>
  <c r="A269" i="3"/>
  <c r="E255" i="3"/>
  <c r="E256" i="3"/>
  <c r="E257" i="3"/>
  <c r="E258" i="3"/>
  <c r="E259" i="3"/>
  <c r="E260" i="3"/>
  <c r="E261" i="3"/>
  <c r="E262" i="3"/>
  <c r="E263" i="3"/>
  <c r="E264" i="3"/>
  <c r="E265" i="3"/>
  <c r="E266" i="3"/>
  <c r="E267" i="3"/>
  <c r="E268" i="3"/>
  <c r="E269" i="3"/>
  <c r="E270" i="3"/>
  <c r="E271" i="3"/>
  <c r="A250" i="3"/>
  <c r="A251" i="3"/>
  <c r="A252" i="3"/>
  <c r="A253" i="3"/>
  <c r="A254" i="3"/>
  <c r="A255" i="3"/>
  <c r="A256" i="3"/>
  <c r="A257" i="3"/>
  <c r="A258" i="3"/>
  <c r="A259" i="3"/>
  <c r="A260" i="3"/>
  <c r="A261" i="3"/>
  <c r="A262" i="3"/>
  <c r="A263" i="3"/>
  <c r="A264" i="3"/>
  <c r="A265" i="3"/>
  <c r="A266" i="3"/>
  <c r="A267" i="3"/>
  <c r="A268" i="3"/>
  <c r="A270" i="3"/>
  <c r="A271" i="3"/>
  <c r="A272" i="3"/>
  <c r="A273" i="3"/>
  <c r="A274" i="3"/>
  <c r="A275" i="3"/>
  <c r="A276" i="3"/>
  <c r="A277" i="3"/>
  <c r="A278" i="3"/>
  <c r="A279" i="3"/>
  <c r="A280" i="3"/>
  <c r="A281" i="3"/>
  <c r="A282" i="3"/>
  <c r="A283" i="3"/>
  <c r="A284" i="3"/>
  <c r="A285" i="3"/>
  <c r="A286" i="3"/>
  <c r="A287" i="3"/>
  <c r="A288" i="3"/>
  <c r="A289" i="3"/>
  <c r="A290" i="3"/>
  <c r="A291" i="3"/>
  <c r="A292" i="3"/>
  <c r="A293" i="3"/>
  <c r="A294" i="3"/>
  <c r="A295" i="3"/>
  <c r="A296" i="3"/>
  <c r="A297" i="3"/>
  <c r="A298" i="3"/>
  <c r="A299" i="3"/>
  <c r="A300" i="3"/>
  <c r="A301" i="3"/>
  <c r="A302" i="3"/>
  <c r="A303" i="3"/>
  <c r="F249" i="1"/>
  <c r="H249" i="1"/>
  <c r="F250" i="1"/>
  <c r="H250" i="1"/>
  <c r="F251" i="1"/>
  <c r="H251" i="1"/>
  <c r="F252" i="1"/>
  <c r="H252" i="1"/>
  <c r="F253" i="1"/>
  <c r="H253" i="1"/>
  <c r="E240" i="3" l="1"/>
  <c r="E241" i="3"/>
  <c r="E242" i="3"/>
  <c r="E243" i="3"/>
  <c r="E244" i="3"/>
  <c r="E245" i="3"/>
  <c r="E246" i="3"/>
  <c r="E247" i="3"/>
  <c r="E248" i="3"/>
  <c r="E249" i="3"/>
  <c r="E250" i="3"/>
  <c r="E251" i="3"/>
  <c r="E252" i="3"/>
  <c r="E253" i="3"/>
  <c r="E254" i="3"/>
  <c r="E231" i="3" l="1"/>
  <c r="E232" i="3"/>
  <c r="E233" i="3"/>
  <c r="E234" i="3"/>
  <c r="E235" i="3"/>
  <c r="E236" i="3"/>
  <c r="E237" i="3"/>
  <c r="E238" i="3"/>
  <c r="E239" i="3"/>
  <c r="F3" i="1" l="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54" i="1"/>
  <c r="F255" i="1"/>
  <c r="F256" i="1"/>
  <c r="F257" i="1"/>
  <c r="F258" i="1"/>
  <c r="F259" i="1"/>
  <c r="F260" i="1"/>
  <c r="F261" i="1"/>
  <c r="F262" i="1"/>
  <c r="F263" i="1"/>
  <c r="F264" i="1"/>
  <c r="F265" i="1"/>
  <c r="F266" i="1"/>
  <c r="F267" i="1"/>
  <c r="F2" i="1"/>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251" i="3"/>
  <c r="D252" i="3"/>
  <c r="D253" i="3"/>
  <c r="D254" i="3"/>
  <c r="D255" i="3"/>
  <c r="D256" i="3"/>
  <c r="D257" i="3"/>
  <c r="D258" i="3"/>
  <c r="D259" i="3"/>
  <c r="D260" i="3"/>
  <c r="D261" i="3"/>
  <c r="D262" i="3"/>
  <c r="D263" i="3"/>
  <c r="D264" i="3"/>
  <c r="D265" i="3"/>
  <c r="D266" i="3"/>
  <c r="D267" i="3"/>
  <c r="D2" i="3"/>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 i="1"/>
  <c r="E221" i="3" l="1"/>
  <c r="E222" i="3"/>
  <c r="E223" i="3"/>
  <c r="E224" i="3"/>
  <c r="E225" i="3"/>
  <c r="E226" i="3"/>
  <c r="E227" i="3"/>
  <c r="E228" i="3"/>
  <c r="E229" i="3"/>
  <c r="E230" i="3"/>
  <c r="A222" i="3"/>
  <c r="D222" i="3" s="1"/>
  <c r="A223" i="3"/>
  <c r="D223" i="3" s="1"/>
  <c r="A224" i="3"/>
  <c r="D224" i="3" s="1"/>
  <c r="A225" i="3"/>
  <c r="D225" i="3" s="1"/>
  <c r="A226" i="3"/>
  <c r="D226" i="3" s="1"/>
  <c r="A227" i="3"/>
  <c r="D227" i="3" s="1"/>
  <c r="A228" i="3"/>
  <c r="D228" i="3" s="1"/>
  <c r="A229" i="3"/>
  <c r="D229" i="3" s="1"/>
  <c r="A230" i="3"/>
  <c r="D230" i="3" s="1"/>
  <c r="A231" i="3"/>
  <c r="D231" i="3" s="1"/>
  <c r="A232" i="3"/>
  <c r="D232" i="3" s="1"/>
  <c r="A233" i="3"/>
  <c r="D233" i="3" s="1"/>
  <c r="A234" i="3"/>
  <c r="D234" i="3" s="1"/>
  <c r="A235" i="3"/>
  <c r="D235" i="3" s="1"/>
  <c r="A236" i="3"/>
  <c r="D236" i="3" s="1"/>
  <c r="A237" i="3"/>
  <c r="D237" i="3" s="1"/>
  <c r="A238" i="3"/>
  <c r="D238" i="3" s="1"/>
  <c r="A239" i="3"/>
  <c r="D239" i="3" s="1"/>
  <c r="A240" i="3"/>
  <c r="D240" i="3" s="1"/>
  <c r="A241" i="3"/>
  <c r="D241" i="3" s="1"/>
  <c r="A242" i="3"/>
  <c r="D242" i="3" s="1"/>
  <c r="A243" i="3"/>
  <c r="D243" i="3" s="1"/>
  <c r="A244" i="3"/>
  <c r="D244" i="3" s="1"/>
  <c r="A245" i="3"/>
  <c r="D245" i="3" s="1"/>
  <c r="A246" i="3"/>
  <c r="D246" i="3" s="1"/>
  <c r="A247" i="3"/>
  <c r="D247" i="3" s="1"/>
  <c r="A248" i="3"/>
  <c r="D248" i="3" s="1"/>
  <c r="A249" i="3"/>
  <c r="D249" i="3" s="1"/>
  <c r="D250" i="3"/>
  <c r="E215" i="3"/>
  <c r="E216" i="3"/>
  <c r="E217" i="3"/>
  <c r="E218" i="3"/>
  <c r="E219" i="3"/>
  <c r="E220" i="3"/>
  <c r="E201" i="3"/>
  <c r="E202" i="3"/>
  <c r="E203" i="3"/>
  <c r="E204" i="3"/>
  <c r="E205" i="3"/>
  <c r="E206" i="3"/>
  <c r="E207" i="3"/>
  <c r="E208" i="3"/>
  <c r="E209" i="3"/>
  <c r="E210" i="3"/>
  <c r="E211" i="3"/>
  <c r="E212" i="3"/>
  <c r="E213" i="3"/>
  <c r="E214" i="3"/>
  <c r="E198" i="3"/>
  <c r="E195" i="3" l="1"/>
  <c r="E196" i="3"/>
  <c r="E197" i="3"/>
  <c r="E199" i="3"/>
  <c r="E200" i="3"/>
  <c r="E194" i="3"/>
  <c r="E192" i="3"/>
  <c r="E193" i="3"/>
  <c r="A192" i="3"/>
  <c r="D192" i="3" s="1"/>
  <c r="A193" i="3"/>
  <c r="D193" i="3" s="1"/>
  <c r="A194" i="3"/>
  <c r="D194" i="3" s="1"/>
  <c r="A195" i="3"/>
  <c r="D195" i="3" s="1"/>
  <c r="A196" i="3"/>
  <c r="D196" i="3" s="1"/>
  <c r="A197" i="3"/>
  <c r="D197" i="3" s="1"/>
  <c r="A198" i="3"/>
  <c r="D198" i="3" s="1"/>
  <c r="A199" i="3"/>
  <c r="D199" i="3" s="1"/>
  <c r="A200" i="3"/>
  <c r="D200" i="3" s="1"/>
  <c r="A201" i="3"/>
  <c r="D201" i="3" s="1"/>
  <c r="A202" i="3"/>
  <c r="D202" i="3" s="1"/>
  <c r="A203" i="3"/>
  <c r="D203" i="3" s="1"/>
  <c r="A204" i="3"/>
  <c r="D204" i="3" s="1"/>
  <c r="A205" i="3"/>
  <c r="D205" i="3" s="1"/>
  <c r="A206" i="3"/>
  <c r="D206" i="3" s="1"/>
  <c r="A207" i="3"/>
  <c r="D207" i="3" s="1"/>
  <c r="A208" i="3"/>
  <c r="D208" i="3" s="1"/>
  <c r="A209" i="3"/>
  <c r="D209" i="3" s="1"/>
  <c r="A210" i="3"/>
  <c r="D210" i="3" s="1"/>
  <c r="A211" i="3"/>
  <c r="D211" i="3" s="1"/>
  <c r="A212" i="3"/>
  <c r="D212" i="3" s="1"/>
  <c r="A213" i="3"/>
  <c r="D213" i="3" s="1"/>
  <c r="A214" i="3"/>
  <c r="D214" i="3" s="1"/>
  <c r="A215" i="3"/>
  <c r="D215" i="3" s="1"/>
  <c r="A216" i="3"/>
  <c r="D216" i="3" s="1"/>
  <c r="A217" i="3"/>
  <c r="D217" i="3" s="1"/>
  <c r="A218" i="3"/>
  <c r="D218" i="3" s="1"/>
  <c r="A219" i="3"/>
  <c r="D219" i="3" s="1"/>
  <c r="A220" i="3"/>
  <c r="D220" i="3" s="1"/>
  <c r="A221" i="3"/>
  <c r="D221" i="3" s="1"/>
  <c r="A191" i="3"/>
  <c r="D191" i="3" s="1"/>
  <c r="F268" i="1" l="1"/>
  <c r="F269" i="1"/>
  <c r="F270" i="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89"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4"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F557" i="1"/>
  <c r="F558" i="1"/>
  <c r="F559" i="1"/>
  <c r="F560" i="1"/>
  <c r="F561" i="1"/>
  <c r="F562" i="1"/>
  <c r="F563" i="1"/>
  <c r="F564" i="1"/>
  <c r="F565" i="1"/>
  <c r="F566" i="1"/>
  <c r="F567" i="1"/>
  <c r="F568" i="1"/>
  <c r="F569" i="1"/>
  <c r="F570" i="1"/>
  <c r="F571"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38" i="1"/>
  <c r="H439" i="1"/>
  <c r="H440" i="1"/>
  <c r="H441" i="1"/>
  <c r="H442" i="1"/>
  <c r="H443" i="1"/>
  <c r="H444" i="1"/>
  <c r="H445"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H613" i="1"/>
  <c r="H614" i="1"/>
  <c r="H615" i="1"/>
  <c r="H616" i="1"/>
  <c r="H617" i="1"/>
  <c r="H618" i="1"/>
  <c r="H619" i="1"/>
  <c r="H620" i="1"/>
  <c r="H621" i="1"/>
  <c r="H622" i="1"/>
  <c r="H623" i="1"/>
  <c r="H624" i="1"/>
  <c r="H625" i="1"/>
  <c r="H626" i="1"/>
  <c r="H627" i="1"/>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5" i="3"/>
  <c r="C226" i="3"/>
  <c r="C227" i="3"/>
  <c r="C228" i="3"/>
  <c r="C229" i="3"/>
  <c r="C230" i="3"/>
  <c r="C231" i="3"/>
  <c r="C232" i="3"/>
  <c r="C233" i="3"/>
  <c r="C234" i="3"/>
  <c r="C235" i="3"/>
  <c r="C236" i="3"/>
  <c r="C237" i="3"/>
  <c r="C238" i="3"/>
  <c r="C239" i="3"/>
  <c r="C240" i="3"/>
  <c r="C241" i="3"/>
  <c r="C242" i="3"/>
  <c r="C243" i="3"/>
  <c r="C244" i="3"/>
  <c r="C245" i="3"/>
  <c r="C246" i="3"/>
  <c r="C247" i="3"/>
  <c r="C248" i="3"/>
  <c r="C249" i="3"/>
  <c r="C250" i="3"/>
  <c r="C251" i="3"/>
  <c r="C252" i="3"/>
  <c r="C253" i="3"/>
  <c r="C254" i="3"/>
  <c r="C255" i="3"/>
  <c r="C256" i="3"/>
  <c r="C257" i="3"/>
  <c r="C258" i="3"/>
  <c r="C259" i="3"/>
  <c r="C260" i="3"/>
  <c r="C261" i="3"/>
  <c r="C262" i="3"/>
  <c r="C263" i="3"/>
  <c r="C264" i="3"/>
  <c r="C265" i="3"/>
  <c r="C266" i="3"/>
  <c r="C267" i="3"/>
  <c r="C268" i="3"/>
  <c r="D268" i="3"/>
  <c r="C269" i="3"/>
  <c r="D269" i="3"/>
  <c r="C270" i="3"/>
  <c r="D270" i="3"/>
  <c r="C271" i="3"/>
  <c r="D271" i="3"/>
  <c r="C272" i="3"/>
  <c r="D272" i="3"/>
  <c r="C273" i="3"/>
  <c r="D273" i="3"/>
  <c r="C274" i="3"/>
  <c r="D274" i="3"/>
  <c r="C275" i="3"/>
  <c r="D275" i="3"/>
  <c r="C276" i="3"/>
  <c r="D276" i="3"/>
  <c r="C277" i="3"/>
  <c r="D277" i="3"/>
  <c r="C278" i="3"/>
  <c r="D278" i="3"/>
  <c r="C279" i="3"/>
  <c r="D279" i="3"/>
  <c r="C280" i="3"/>
  <c r="D280" i="3"/>
  <c r="C281" i="3"/>
  <c r="D281" i="3"/>
  <c r="C282" i="3"/>
  <c r="D282" i="3"/>
  <c r="C283" i="3"/>
  <c r="D283" i="3"/>
  <c r="C284" i="3"/>
  <c r="D284" i="3"/>
  <c r="C285" i="3"/>
  <c r="D285" i="3"/>
  <c r="C286" i="3"/>
  <c r="D286" i="3"/>
  <c r="C287" i="3"/>
  <c r="D287" i="3"/>
  <c r="C288" i="3"/>
  <c r="D288" i="3"/>
  <c r="C289" i="3"/>
  <c r="D289" i="3"/>
  <c r="C290" i="3"/>
  <c r="D290" i="3"/>
  <c r="C291" i="3"/>
  <c r="D291" i="3"/>
  <c r="C292" i="3"/>
  <c r="D292" i="3"/>
  <c r="C293" i="3"/>
  <c r="D293" i="3"/>
  <c r="C294" i="3"/>
  <c r="D294" i="3"/>
  <c r="C295" i="3"/>
  <c r="D295" i="3"/>
  <c r="C296" i="3"/>
  <c r="D296" i="3"/>
  <c r="C297" i="3"/>
  <c r="D297" i="3"/>
  <c r="C298" i="3"/>
  <c r="D298" i="3"/>
  <c r="C299" i="3"/>
  <c r="D299" i="3"/>
  <c r="C300" i="3"/>
  <c r="D300" i="3"/>
  <c r="C301" i="3"/>
  <c r="D301" i="3"/>
  <c r="C302" i="3"/>
  <c r="D302" i="3"/>
  <c r="C303" i="3"/>
  <c r="D303" i="3"/>
  <c r="C304" i="3"/>
  <c r="D304" i="3"/>
  <c r="C305" i="3"/>
  <c r="D305" i="3"/>
  <c r="C306" i="3"/>
  <c r="D306" i="3"/>
  <c r="C307" i="3"/>
  <c r="D307" i="3"/>
  <c r="C308" i="3"/>
  <c r="D308" i="3"/>
  <c r="C309" i="3"/>
  <c r="D309" i="3"/>
  <c r="C310" i="3"/>
  <c r="D310" i="3"/>
  <c r="C311" i="3"/>
  <c r="D311" i="3"/>
  <c r="C312" i="3"/>
  <c r="D312" i="3"/>
  <c r="C313" i="3"/>
  <c r="D313" i="3"/>
  <c r="C314" i="3"/>
  <c r="D314" i="3"/>
  <c r="C315" i="3"/>
  <c r="D315" i="3"/>
  <c r="C316" i="3"/>
  <c r="D316" i="3"/>
  <c r="C317" i="3"/>
  <c r="D317" i="3"/>
  <c r="C318" i="3"/>
  <c r="D318" i="3"/>
  <c r="C319" i="3"/>
  <c r="D319" i="3"/>
  <c r="C320" i="3"/>
  <c r="D320" i="3"/>
  <c r="C321" i="3"/>
  <c r="D321" i="3"/>
  <c r="C322" i="3"/>
  <c r="D322" i="3"/>
  <c r="C323" i="3"/>
  <c r="D323" i="3"/>
  <c r="C324" i="3"/>
  <c r="D324" i="3"/>
  <c r="C325" i="3"/>
  <c r="D325" i="3"/>
  <c r="C326" i="3"/>
  <c r="D326" i="3"/>
  <c r="C327" i="3"/>
  <c r="D327" i="3"/>
  <c r="C328" i="3"/>
  <c r="D328" i="3"/>
  <c r="C329" i="3"/>
  <c r="D329" i="3"/>
  <c r="C330" i="3"/>
  <c r="D330" i="3"/>
  <c r="C331" i="3"/>
  <c r="D331" i="3"/>
  <c r="C332" i="3"/>
  <c r="D332" i="3"/>
  <c r="C333" i="3"/>
  <c r="D333" i="3"/>
  <c r="C334" i="3"/>
  <c r="D334" i="3"/>
  <c r="C335" i="3"/>
  <c r="D335" i="3"/>
  <c r="C336" i="3"/>
  <c r="D336" i="3"/>
  <c r="C337" i="3"/>
  <c r="D337" i="3"/>
  <c r="C338" i="3"/>
  <c r="D338" i="3"/>
  <c r="C339" i="3"/>
  <c r="D339" i="3"/>
  <c r="C340" i="3"/>
  <c r="D340" i="3"/>
  <c r="C341" i="3"/>
  <c r="D341" i="3"/>
  <c r="C342" i="3"/>
  <c r="D342" i="3"/>
  <c r="C343" i="3"/>
  <c r="D343" i="3"/>
  <c r="C344" i="3"/>
  <c r="D344" i="3"/>
  <c r="C345" i="3"/>
  <c r="D345" i="3"/>
  <c r="C346" i="3"/>
  <c r="D346" i="3"/>
  <c r="C347" i="3"/>
  <c r="D347" i="3"/>
  <c r="C348" i="3"/>
  <c r="D348" i="3"/>
  <c r="C349" i="3"/>
  <c r="D349" i="3"/>
  <c r="C350" i="3"/>
  <c r="D350" i="3"/>
  <c r="C351" i="3"/>
  <c r="D351" i="3"/>
  <c r="C352" i="3"/>
  <c r="D352" i="3"/>
  <c r="C353" i="3"/>
  <c r="D353" i="3"/>
  <c r="C354" i="3"/>
  <c r="D354" i="3"/>
  <c r="C355" i="3"/>
  <c r="D355" i="3"/>
  <c r="C356" i="3"/>
  <c r="D356" i="3"/>
  <c r="C357" i="3"/>
  <c r="D357" i="3"/>
  <c r="C358" i="3"/>
  <c r="D358" i="3"/>
  <c r="C359" i="3"/>
  <c r="D359" i="3"/>
  <c r="C360" i="3"/>
  <c r="D360" i="3"/>
  <c r="C361" i="3"/>
  <c r="D361" i="3"/>
  <c r="C362" i="3"/>
  <c r="D362" i="3"/>
  <c r="C363" i="3"/>
  <c r="D363" i="3"/>
  <c r="C364" i="3"/>
  <c r="D364" i="3"/>
  <c r="C365" i="3"/>
  <c r="D365" i="3"/>
  <c r="C366" i="3"/>
  <c r="D366" i="3"/>
  <c r="C367" i="3"/>
  <c r="D367" i="3"/>
  <c r="C368" i="3"/>
  <c r="D368" i="3"/>
  <c r="C369" i="3"/>
  <c r="D369" i="3"/>
  <c r="C370" i="3"/>
  <c r="D370" i="3"/>
  <c r="C371" i="3"/>
  <c r="D371" i="3"/>
  <c r="C372" i="3"/>
  <c r="D372" i="3"/>
  <c r="C373" i="3"/>
  <c r="D373" i="3"/>
  <c r="C374" i="3"/>
  <c r="D374" i="3"/>
  <c r="C375" i="3"/>
  <c r="D375" i="3"/>
  <c r="C376" i="3"/>
  <c r="D376" i="3"/>
  <c r="C377" i="3"/>
  <c r="D377" i="3"/>
  <c r="C378" i="3"/>
  <c r="D378" i="3"/>
  <c r="C379" i="3"/>
  <c r="D379" i="3"/>
  <c r="C380" i="3"/>
  <c r="D380" i="3"/>
  <c r="C381" i="3"/>
  <c r="D381" i="3"/>
  <c r="C382" i="3"/>
  <c r="D382" i="3"/>
  <c r="C383" i="3"/>
  <c r="D383" i="3"/>
  <c r="C384" i="3"/>
  <c r="D384" i="3"/>
  <c r="C385" i="3"/>
  <c r="D385" i="3"/>
  <c r="C386" i="3"/>
  <c r="D386" i="3"/>
  <c r="C387" i="3"/>
  <c r="D387" i="3"/>
  <c r="C388" i="3"/>
  <c r="D388" i="3"/>
  <c r="C389" i="3"/>
  <c r="D389" i="3"/>
  <c r="C390" i="3"/>
  <c r="D390" i="3"/>
  <c r="C391" i="3"/>
  <c r="D391" i="3"/>
  <c r="C392" i="3"/>
  <c r="D392" i="3"/>
  <c r="C393" i="3"/>
  <c r="D393" i="3"/>
  <c r="C394" i="3"/>
  <c r="D394" i="3"/>
  <c r="C395" i="3"/>
  <c r="D395" i="3"/>
  <c r="C396" i="3"/>
  <c r="D396" i="3"/>
  <c r="C397" i="3"/>
  <c r="D397" i="3"/>
  <c r="C398" i="3"/>
  <c r="D398" i="3"/>
  <c r="C399" i="3"/>
  <c r="D399" i="3"/>
  <c r="C400" i="3"/>
  <c r="D400" i="3"/>
  <c r="C401" i="3"/>
  <c r="D401" i="3"/>
  <c r="C402" i="3"/>
  <c r="D402" i="3"/>
  <c r="C403" i="3"/>
  <c r="D403" i="3"/>
  <c r="C404" i="3"/>
  <c r="D404" i="3"/>
  <c r="C405" i="3"/>
  <c r="D405" i="3"/>
  <c r="C406" i="3"/>
  <c r="D406" i="3"/>
  <c r="C407" i="3"/>
  <c r="D407" i="3"/>
  <c r="C408" i="3"/>
  <c r="D408" i="3"/>
  <c r="C409" i="3"/>
  <c r="D409" i="3"/>
  <c r="C410" i="3"/>
  <c r="D410" i="3"/>
  <c r="C411" i="3"/>
  <c r="D411" i="3"/>
  <c r="C412" i="3"/>
  <c r="D412" i="3"/>
  <c r="C413" i="3"/>
  <c r="D413" i="3"/>
  <c r="C414" i="3"/>
  <c r="D414" i="3"/>
  <c r="C415" i="3"/>
  <c r="D415" i="3"/>
  <c r="C416" i="3"/>
  <c r="D416" i="3"/>
  <c r="C417" i="3"/>
  <c r="D417" i="3"/>
  <c r="C418" i="3"/>
  <c r="D418" i="3"/>
  <c r="C419" i="3"/>
  <c r="D419" i="3"/>
  <c r="C420" i="3"/>
  <c r="D420" i="3"/>
  <c r="C421" i="3"/>
  <c r="D421" i="3"/>
  <c r="C422" i="3"/>
  <c r="D422" i="3"/>
  <c r="C423" i="3"/>
  <c r="D423" i="3"/>
  <c r="C424" i="3"/>
  <c r="D424" i="3"/>
  <c r="C425" i="3"/>
  <c r="D425" i="3"/>
  <c r="C426" i="3"/>
  <c r="D426" i="3"/>
  <c r="C427" i="3"/>
  <c r="D427" i="3"/>
  <c r="C428" i="3"/>
  <c r="D428" i="3"/>
  <c r="C429" i="3"/>
  <c r="D429" i="3"/>
  <c r="C430" i="3"/>
  <c r="D430" i="3"/>
  <c r="C431" i="3"/>
  <c r="D431" i="3"/>
  <c r="C432" i="3"/>
  <c r="D432" i="3"/>
  <c r="C433" i="3"/>
  <c r="D433" i="3"/>
  <c r="C434" i="3"/>
  <c r="D434" i="3"/>
  <c r="C435" i="3"/>
  <c r="D435" i="3"/>
  <c r="E191" i="3"/>
  <c r="E190" i="3"/>
  <c r="A190" i="3"/>
  <c r="D190" i="3" s="1"/>
  <c r="C190" i="3" l="1"/>
  <c r="C189" i="3"/>
  <c r="C188" i="3"/>
  <c r="C187" i="3"/>
  <c r="C186" i="3"/>
  <c r="C185" i="3"/>
  <c r="C184" i="3"/>
  <c r="C183" i="3"/>
  <c r="C182" i="3"/>
  <c r="C181" i="3"/>
  <c r="C180" i="3"/>
  <c r="C179" i="3"/>
  <c r="C178" i="3"/>
  <c r="C177" i="3"/>
  <c r="C176" i="3"/>
  <c r="C175" i="3"/>
  <c r="C174" i="3"/>
  <c r="C173" i="3"/>
  <c r="C172" i="3"/>
  <c r="C171" i="3"/>
  <c r="C170" i="3"/>
  <c r="C169" i="3"/>
  <c r="C168" i="3"/>
  <c r="C167" i="3"/>
  <c r="C166" i="3"/>
  <c r="C165" i="3"/>
  <c r="C164" i="3"/>
  <c r="C163" i="3"/>
  <c r="C162" i="3"/>
  <c r="C161" i="3"/>
  <c r="C160" i="3"/>
  <c r="C159" i="3"/>
  <c r="C158" i="3"/>
  <c r="C157" i="3"/>
  <c r="C156" i="3"/>
  <c r="C155" i="3"/>
  <c r="C154" i="3"/>
  <c r="C153" i="3"/>
  <c r="C152" i="3"/>
  <c r="C151" i="3"/>
  <c r="C150" i="3"/>
  <c r="C149" i="3"/>
  <c r="C148" i="3"/>
  <c r="C147" i="3"/>
  <c r="C146" i="3"/>
  <c r="C145" i="3"/>
  <c r="C144" i="3"/>
  <c r="C143" i="3"/>
  <c r="C142" i="3"/>
  <c r="C141" i="3"/>
  <c r="C140" i="3"/>
  <c r="C139" i="3"/>
  <c r="C138" i="3"/>
  <c r="C137" i="3"/>
  <c r="C136" i="3"/>
  <c r="C135" i="3"/>
  <c r="B134" i="3"/>
  <c r="B133" i="3"/>
  <c r="B132" i="3"/>
  <c r="B131" i="3"/>
  <c r="B130" i="3"/>
  <c r="B129" i="3"/>
  <c r="B128" i="3"/>
  <c r="B127" i="3"/>
  <c r="B126" i="3"/>
  <c r="B125" i="3"/>
  <c r="B124" i="3"/>
  <c r="B123" i="3"/>
  <c r="B122" i="3"/>
  <c r="B121" i="3"/>
  <c r="B120" i="3"/>
  <c r="B119" i="3"/>
  <c r="B118" i="3"/>
  <c r="B117" i="3"/>
  <c r="B116" i="3"/>
  <c r="B115" i="3"/>
  <c r="B114" i="3"/>
  <c r="B113" i="3"/>
  <c r="B112" i="3"/>
  <c r="B111" i="3"/>
  <c r="B110" i="3"/>
  <c r="B109" i="3"/>
  <c r="B108" i="3"/>
  <c r="B107" i="3"/>
  <c r="B106" i="3"/>
  <c r="B105" i="3"/>
  <c r="B104" i="3"/>
  <c r="B103" i="3"/>
  <c r="B102" i="3"/>
  <c r="B101" i="3"/>
  <c r="B100" i="3"/>
  <c r="B99" i="3"/>
  <c r="B98" i="3"/>
  <c r="B97" i="3"/>
  <c r="B96" i="3"/>
  <c r="B95" i="3"/>
  <c r="B94" i="3"/>
  <c r="B93" i="3"/>
  <c r="B92" i="3"/>
  <c r="B91" i="3"/>
  <c r="B90" i="3"/>
  <c r="B89" i="3"/>
  <c r="B88" i="3"/>
  <c r="B87" i="3"/>
  <c r="B86" i="3"/>
  <c r="B85" i="3"/>
  <c r="B84" i="3"/>
  <c r="B83" i="3"/>
  <c r="B82" i="3"/>
  <c r="B81" i="3"/>
  <c r="B80" i="3"/>
  <c r="B79" i="3"/>
  <c r="B78" i="3"/>
  <c r="B77" i="3"/>
  <c r="B76" i="3"/>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alcChain>
</file>

<file path=xl/sharedStrings.xml><?xml version="1.0" encoding="utf-8"?>
<sst xmlns="http://schemas.openxmlformats.org/spreadsheetml/2006/main" count="7651" uniqueCount="5263">
  <si>
    <t>Facebook</t>
  </si>
  <si>
    <t>Logo</t>
    <phoneticPr fontId="2" type="noConversion"/>
  </si>
  <si>
    <t>Last War</t>
  </si>
  <si>
    <t>kingshot</t>
  </si>
  <si>
    <t>10000鑽石</t>
  </si>
  <si>
    <t>5000鑽石</t>
  </si>
  <si>
    <t>500鑽石</t>
  </si>
  <si>
    <t>60鑽石</t>
  </si>
  <si>
    <t>tokyo beast</t>
  </si>
  <si>
    <t>790禮包</t>
  </si>
  <si>
    <t>290禮包</t>
  </si>
  <si>
    <t>120禮包</t>
  </si>
  <si>
    <t>6480鑽石</t>
  </si>
  <si>
    <t>3280鑽石</t>
  </si>
  <si>
    <t>1280鑽石</t>
  </si>
  <si>
    <t>980鑽石</t>
  </si>
  <si>
    <t>300鑽石</t>
  </si>
  <si>
    <t>2000鑽石</t>
  </si>
  <si>
    <t>6480珍珠</t>
  </si>
  <si>
    <t>3280珍珠</t>
  </si>
  <si>
    <t>1980珍珠</t>
  </si>
  <si>
    <t>1280珍珠</t>
  </si>
  <si>
    <t>680珍珠</t>
  </si>
  <si>
    <t>300珍珠</t>
  </si>
  <si>
    <t>1980鑽石</t>
  </si>
  <si>
    <t>基金</t>
  </si>
  <si>
    <t>榮耀月卡</t>
  </si>
  <si>
    <t>500寶石</t>
  </si>
  <si>
    <t>300寶石</t>
  </si>
  <si>
    <t>150寶石</t>
  </si>
  <si>
    <t>90寶石</t>
  </si>
  <si>
    <t>50寶石</t>
  </si>
  <si>
    <t>30寶石</t>
  </si>
  <si>
    <t>648玉龍</t>
  </si>
  <si>
    <t>328玉龍</t>
  </si>
  <si>
    <t>198玉龍</t>
  </si>
  <si>
    <t>98玉龍</t>
  </si>
  <si>
    <t>50玉龍</t>
  </si>
  <si>
    <t>30玉龍</t>
  </si>
  <si>
    <t>8玉龍</t>
  </si>
  <si>
    <t>8250金元寶</t>
  </si>
  <si>
    <t>3550金元寶</t>
  </si>
  <si>
    <t>2170金元寶</t>
  </si>
  <si>
    <t>795金元寶</t>
  </si>
  <si>
    <t>355金元寶</t>
  </si>
  <si>
    <t>90金元寶</t>
  </si>
  <si>
    <t>2990禮包</t>
  </si>
  <si>
    <t>1290禮包</t>
  </si>
  <si>
    <t>5400藍色石榴石</t>
  </si>
  <si>
    <t>3000藍色石榴石</t>
  </si>
  <si>
    <t>1200藍色石榴石</t>
  </si>
  <si>
    <t>600藍色石榴石</t>
  </si>
  <si>
    <t>240藍色石榴石</t>
  </si>
  <si>
    <t>60藍色石榴石</t>
  </si>
  <si>
    <t>普通石榴石月卡</t>
  </si>
  <si>
    <t>高級石榴石月卡</t>
  </si>
  <si>
    <t>奢華石榴石月卡</t>
  </si>
  <si>
    <t>胡來英雄</t>
  </si>
  <si>
    <t>一天又一天的RPG</t>
  </si>
  <si>
    <t>銀與血</t>
  </si>
  <si>
    <t>緋石之心</t>
  </si>
  <si>
    <t>6000鑽石</t>
  </si>
  <si>
    <t>3000鑽石</t>
  </si>
  <si>
    <t>1800鑽石</t>
  </si>
  <si>
    <t>1200鑽石</t>
  </si>
  <si>
    <t>600鑽石</t>
  </si>
  <si>
    <t>成長基金</t>
  </si>
  <si>
    <t>戰役基金</t>
  </si>
  <si>
    <t>幻塔基金</t>
  </si>
  <si>
    <t>648代金券</t>
  </si>
  <si>
    <t>448代金券</t>
  </si>
  <si>
    <t>328代金券</t>
  </si>
  <si>
    <t>198代金券</t>
  </si>
  <si>
    <t>128代金券</t>
  </si>
  <si>
    <t>98代金券</t>
  </si>
  <si>
    <t>30代金券</t>
  </si>
  <si>
    <t>18代金券</t>
  </si>
  <si>
    <t>12代金券</t>
  </si>
  <si>
    <t>6代金券</t>
  </si>
  <si>
    <t>6200枚月之啼</t>
  </si>
  <si>
    <t>4200枚月之啼</t>
  </si>
  <si>
    <t>2300枚月之啼</t>
  </si>
  <si>
    <t>1500枚月之啼</t>
  </si>
  <si>
    <t>720枚月之啼</t>
  </si>
  <si>
    <t>320枚月之啼</t>
  </si>
  <si>
    <t>新月盟約</t>
  </si>
  <si>
    <t>滿月盟約</t>
  </si>
  <si>
    <t>同行見證</t>
  </si>
  <si>
    <t>管家的心意</t>
  </si>
  <si>
    <t>新月之示</t>
  </si>
  <si>
    <t>5980金鑽</t>
  </si>
  <si>
    <t>2980金鑽</t>
  </si>
  <si>
    <t>1980金鑽</t>
  </si>
  <si>
    <t>1380金鑽</t>
  </si>
  <si>
    <t>660金鑽</t>
  </si>
  <si>
    <t>300金鑽</t>
  </si>
  <si>
    <t>60金鑽</t>
  </si>
  <si>
    <t>標準月卡</t>
  </si>
  <si>
    <t>豪華月卡</t>
  </si>
  <si>
    <t>漫威祕法狂潮</t>
  </si>
  <si>
    <t>魔教回歸：2D MMORPG</t>
  </si>
  <si>
    <t>6000夢之石</t>
  </si>
  <si>
    <t>3000夢之石</t>
  </si>
  <si>
    <t>1200夢之石</t>
  </si>
  <si>
    <t>600夢之石</t>
  </si>
  <si>
    <t>300夢之石</t>
  </si>
  <si>
    <t>60夢之石</t>
  </si>
  <si>
    <t>月卡</t>
  </si>
  <si>
    <t>3300寶石</t>
  </si>
  <si>
    <t>1650寶石</t>
  </si>
  <si>
    <t>990寶石</t>
  </si>
  <si>
    <t>320寶石</t>
  </si>
  <si>
    <t>96寶石</t>
  </si>
  <si>
    <t>月寶石禮包</t>
  </si>
  <si>
    <t>每周補給禮包</t>
  </si>
  <si>
    <t>初心者機會禮包</t>
  </si>
  <si>
    <t>優厚寶石包</t>
  </si>
  <si>
    <t>特殊寶石禮包</t>
  </si>
  <si>
    <t>4480鑽石</t>
  </si>
  <si>
    <t>3290鑽石</t>
  </si>
  <si>
    <t>680鑽石</t>
  </si>
  <si>
    <t>180鑽石</t>
  </si>
  <si>
    <t>屍戰王朝</t>
  </si>
  <si>
    <t>機甲變變變</t>
  </si>
  <si>
    <t>星曲Ultra</t>
  </si>
  <si>
    <t>6000金條</t>
  </si>
  <si>
    <t>5400金條</t>
  </si>
  <si>
    <t>4500金條</t>
  </si>
  <si>
    <t>3000金條</t>
  </si>
  <si>
    <t>2400金條</t>
  </si>
  <si>
    <t>1800金條</t>
  </si>
  <si>
    <t>1200金條</t>
  </si>
  <si>
    <t>900金條</t>
  </si>
  <si>
    <t>600金條</t>
  </si>
  <si>
    <t>300金條</t>
  </si>
  <si>
    <t>60金條</t>
  </si>
  <si>
    <t>三種卡</t>
  </si>
  <si>
    <t>4500鑽石</t>
  </si>
  <si>
    <t>1700鑽石</t>
  </si>
  <si>
    <t>800鑽石</t>
  </si>
  <si>
    <t>350鑽石</t>
  </si>
  <si>
    <t>高級月卡</t>
  </si>
  <si>
    <t>至尊月卡</t>
  </si>
  <si>
    <t>高級戰令</t>
  </si>
  <si>
    <t>豪華戰令</t>
  </si>
  <si>
    <t>99900鑽石</t>
  </si>
  <si>
    <t>49900鑽石</t>
  </si>
  <si>
    <t>29900鑽石</t>
  </si>
  <si>
    <t>9900鑽石</t>
  </si>
  <si>
    <t>5900鑽石</t>
  </si>
  <si>
    <t>1990禮包</t>
  </si>
  <si>
    <t>990禮包</t>
  </si>
  <si>
    <t>690禮包</t>
  </si>
  <si>
    <t>490禮包</t>
  </si>
  <si>
    <t>190禮包</t>
  </si>
  <si>
    <t>3290台幣商品</t>
  </si>
  <si>
    <t>1690台幣商品</t>
  </si>
  <si>
    <t>990台幣商品</t>
  </si>
  <si>
    <t>670台幣商品</t>
  </si>
  <si>
    <t>490台幣商品</t>
  </si>
  <si>
    <t>330台幣商品</t>
  </si>
  <si>
    <t>170台幣商品</t>
  </si>
  <si>
    <t>33台幣商品</t>
  </si>
  <si>
    <t>1000鑽石</t>
  </si>
  <si>
    <t>100鑽石</t>
  </si>
  <si>
    <t>特惠禮包</t>
  </si>
  <si>
    <t>第七天災</t>
  </si>
  <si>
    <t>Dark war</t>
  </si>
  <si>
    <t>6480龍晶</t>
  </si>
  <si>
    <t>3280龍晶</t>
  </si>
  <si>
    <t>1980龍晶</t>
  </si>
  <si>
    <t>1280龍晶</t>
  </si>
  <si>
    <t>980龍晶</t>
  </si>
  <si>
    <t>680龍晶</t>
  </si>
  <si>
    <t>300龍晶</t>
  </si>
  <si>
    <t>60龍晶</t>
  </si>
  <si>
    <t>周卡</t>
  </si>
  <si>
    <t>尊享月卡</t>
  </si>
  <si>
    <t>特權月卡</t>
  </si>
  <si>
    <t>12960鑽石</t>
  </si>
  <si>
    <t>6560鑽石</t>
  </si>
  <si>
    <t>3960鑽石</t>
  </si>
  <si>
    <t>2560鑽石</t>
  </si>
  <si>
    <t>1360鑽石</t>
  </si>
  <si>
    <t>成長戰令</t>
  </si>
  <si>
    <t>英雄養成手冊</t>
  </si>
  <si>
    <t>建築佇列禮包</t>
  </si>
  <si>
    <t>美男惡徒</t>
    <phoneticPr fontId="2" type="noConversion"/>
  </si>
  <si>
    <t>12100鑽石</t>
  </si>
  <si>
    <t>8000鑽石</t>
  </si>
  <si>
    <t>5500鑽石</t>
  </si>
  <si>
    <t>3200鑽石</t>
  </si>
  <si>
    <t>1180鑽石</t>
  </si>
  <si>
    <t>700鑽石</t>
  </si>
  <si>
    <t>240鑽石</t>
  </si>
  <si>
    <t>110鑽石</t>
  </si>
  <si>
    <t>鑽石月卡</t>
  </si>
  <si>
    <t>三國冰河時代</t>
  </si>
  <si>
    <t>暗黑崛起</t>
  </si>
  <si>
    <t>轉生魔劍士養成：策略放置RPG</t>
  </si>
  <si>
    <t>64800元寶</t>
  </si>
  <si>
    <t>32800元寶</t>
  </si>
  <si>
    <t>12800元寶</t>
  </si>
  <si>
    <t>6800元寶</t>
  </si>
  <si>
    <t>3000元寶</t>
  </si>
  <si>
    <t>600元寶</t>
  </si>
  <si>
    <t>建造列隊</t>
  </si>
  <si>
    <t>980珍珠</t>
  </si>
  <si>
    <t>60珍珠</t>
  </si>
  <si>
    <t>雙倍離線卡</t>
  </si>
  <si>
    <t>91510寶石</t>
  </si>
  <si>
    <t>43910寶石</t>
  </si>
  <si>
    <t>23740寶石</t>
  </si>
  <si>
    <t>7540寶石</t>
  </si>
  <si>
    <t>3720寶石</t>
  </si>
  <si>
    <t>1480寶石</t>
  </si>
  <si>
    <t>150元造型禮包</t>
  </si>
  <si>
    <t>320元禮包</t>
  </si>
  <si>
    <t>690元禮包</t>
  </si>
  <si>
    <t>990元禮包</t>
  </si>
  <si>
    <t>極速漂移：3V3</t>
  </si>
  <si>
    <t>挑戰手冊</t>
  </si>
  <si>
    <t>菁英挑戰手冊</t>
  </si>
  <si>
    <t>每日特惠</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</si>
  <si>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</si>
  <si>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</si>
  <si>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</si>
  <si>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</si>
  <si>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</si>
  <si>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</si>
  <si>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</si>
  <si>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</si>
  <si>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780鑽石</t>
  </si>
  <si>
    <t>450鑽石</t>
  </si>
  <si>
    <t>經典月卡</t>
  </si>
  <si>
    <t>6480元寶</t>
  </si>
  <si>
    <t>3280元寶</t>
  </si>
  <si>
    <t>1280元寶</t>
  </si>
  <si>
    <t>680元寶</t>
  </si>
  <si>
    <t>300元寶</t>
  </si>
  <si>
    <t>60元寶</t>
  </si>
  <si>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</si>
  <si>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</si>
  <si>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</si>
  <si>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</si>
  <si>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50000鑽石</t>
  </si>
  <si>
    <t>25000鑽石</t>
  </si>
  <si>
    <t>15000鑽石</t>
  </si>
  <si>
    <t>7500鑽石</t>
  </si>
  <si>
    <t>290台幣禮包</t>
  </si>
  <si>
    <t>220台幣禮包</t>
  </si>
  <si>
    <t>150台幣禮包</t>
  </si>
  <si>
    <t>120台幣禮包</t>
  </si>
  <si>
    <t>60台幣禮包</t>
  </si>
  <si>
    <t>119000紅點</t>
  </si>
  <si>
    <t>65000紅點</t>
  </si>
  <si>
    <t>37000紅點</t>
  </si>
  <si>
    <t>19000紅點</t>
  </si>
  <si>
    <t>5900紅點</t>
  </si>
  <si>
    <t>2290台幣禮包</t>
  </si>
  <si>
    <t>1990台幣禮包</t>
  </si>
  <si>
    <t>1290台幣禮包</t>
  </si>
  <si>
    <t>990台幣禮包</t>
  </si>
  <si>
    <t>790台幣禮包</t>
  </si>
  <si>
    <t>690台幣禮包</t>
  </si>
  <si>
    <t>320台幣禮包</t>
  </si>
  <si>
    <t>90台幣禮包</t>
  </si>
  <si>
    <t>30台幣禮包</t>
  </si>
  <si>
    <t>杖劍傳說：坎斯汀之約</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</si>
  <si>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</si>
  <si>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6480耀星</t>
  </si>
  <si>
    <t>3280耀星</t>
  </si>
  <si>
    <t>1980耀星</t>
  </si>
  <si>
    <t>980耀星</t>
  </si>
  <si>
    <t>300耀星</t>
  </si>
  <si>
    <t>60耀星</t>
  </si>
  <si>
    <t>月度獎勵</t>
  </si>
  <si>
    <t>七日祈願</t>
  </si>
  <si>
    <t>1690台幣禮包</t>
  </si>
  <si>
    <t>670台幣禮包</t>
  </si>
  <si>
    <t>330台幣禮包</t>
  </si>
  <si>
    <t>170台幣禮包</t>
  </si>
  <si>
    <t>100台幣禮包</t>
  </si>
  <si>
    <t>超級海戰：紀元崛起</t>
  </si>
  <si>
    <t>580鑽石</t>
  </si>
  <si>
    <t>120鑽石</t>
  </si>
  <si>
    <t>9999戰艦幣</t>
  </si>
  <si>
    <t>4999戰艦幣</t>
  </si>
  <si>
    <t>2999戰艦幣</t>
  </si>
  <si>
    <t>1499戰艦幣</t>
  </si>
  <si>
    <t>499戰艦幣</t>
  </si>
  <si>
    <t>99戰艦幣</t>
  </si>
  <si>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</si>
  <si>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進擊的惡魔團</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</si>
  <si>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</si>
  <si>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13000紅寶石</t>
  </si>
  <si>
    <t>6500紅寶石</t>
  </si>
  <si>
    <t>2450紅寶石</t>
  </si>
  <si>
    <t>1100紅寶石</t>
  </si>
  <si>
    <t>500紅寶石</t>
  </si>
  <si>
    <t>80紅寶石</t>
  </si>
  <si>
    <t>2990台幣禮包</t>
  </si>
  <si>
    <t>1490台幣禮包</t>
  </si>
  <si>
    <t>390台幣禮包</t>
  </si>
  <si>
    <t>蝕影：緋之契</t>
  </si>
  <si>
    <t>RO：Crush</t>
  </si>
  <si>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</si>
  <si>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</si>
  <si>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32400仙玉</t>
  </si>
  <si>
    <t>16400仙玉</t>
  </si>
  <si>
    <t>9900仙玉</t>
  </si>
  <si>
    <t>6400仙玉</t>
  </si>
  <si>
    <t>4900仙玉</t>
  </si>
  <si>
    <t>3400仙玉</t>
  </si>
  <si>
    <t>1500仙玉</t>
  </si>
  <si>
    <t>1250仙玉</t>
  </si>
  <si>
    <t>900仙玉</t>
  </si>
  <si>
    <t>600仙玉</t>
  </si>
  <si>
    <t>300仙玉</t>
  </si>
  <si>
    <t>9880鑽石</t>
  </si>
  <si>
    <t>4880鑽石</t>
  </si>
  <si>
    <t>1880鑽石</t>
  </si>
  <si>
    <t>380鑽石</t>
  </si>
  <si>
    <t>溯回青空</t>
  </si>
  <si>
    <t>蒼之啟示錄</t>
  </si>
  <si>
    <t>第六絕區</t>
  </si>
  <si>
    <t>幻世三國：一騎當千</t>
  </si>
  <si>
    <t>遊戲名稱</t>
  </si>
  <si>
    <t>官方網站</t>
    <phoneticPr fontId="2" type="noConversion"/>
  </si>
  <si>
    <t>禮包碼</t>
    <phoneticPr fontId="2" type="noConversion"/>
  </si>
  <si>
    <t>簡介</t>
    <phoneticPr fontId="2" type="noConversion"/>
  </si>
  <si>
    <t>商品1名稱</t>
  </si>
  <si>
    <t>商品1價格</t>
  </si>
  <si>
    <t>商品2名稱</t>
  </si>
  <si>
    <t>商品2價格</t>
  </si>
  <si>
    <t>商品3名稱</t>
  </si>
  <si>
    <t>商品3價格</t>
  </si>
  <si>
    <t>商品4名稱</t>
  </si>
  <si>
    <t>商品4價格</t>
  </si>
  <si>
    <t>商品5名稱</t>
  </si>
  <si>
    <t>商品5價格</t>
  </si>
  <si>
    <t>商品6名稱</t>
    <phoneticPr fontId="2" type="noConversion"/>
  </si>
  <si>
    <t>商品6價格</t>
    <phoneticPr fontId="2" type="noConversion"/>
  </si>
  <si>
    <t>商品7名稱</t>
    <phoneticPr fontId="2" type="noConversion"/>
  </si>
  <si>
    <t>商品7價格</t>
    <phoneticPr fontId="2" type="noConversion"/>
  </si>
  <si>
    <t>商品8名稱</t>
    <phoneticPr fontId="2" type="noConversion"/>
  </si>
  <si>
    <t>商品8價格</t>
    <phoneticPr fontId="2" type="noConversion"/>
  </si>
  <si>
    <t>商品9名稱</t>
    <phoneticPr fontId="2" type="noConversion"/>
  </si>
  <si>
    <t>商品9價格</t>
    <phoneticPr fontId="2" type="noConversion"/>
  </si>
  <si>
    <t>商品10名稱</t>
    <phoneticPr fontId="2" type="noConversion"/>
  </si>
  <si>
    <t>商品10價格</t>
    <phoneticPr fontId="2" type="noConversion"/>
  </si>
  <si>
    <t>商品11名稱</t>
    <phoneticPr fontId="2" type="noConversion"/>
  </si>
  <si>
    <t>商品11價格</t>
    <phoneticPr fontId="2" type="noConversion"/>
  </si>
  <si>
    <t>商品12名稱</t>
    <phoneticPr fontId="2" type="noConversion"/>
  </si>
  <si>
    <t>商品12價格</t>
    <phoneticPr fontId="2" type="noConversion"/>
  </si>
  <si>
    <t>商品13名稱</t>
    <phoneticPr fontId="2" type="noConversion"/>
  </si>
  <si>
    <t>商品13價格</t>
    <phoneticPr fontId="2" type="noConversion"/>
  </si>
  <si>
    <t>商品14名稱</t>
    <phoneticPr fontId="2" type="noConversion"/>
  </si>
  <si>
    <t>商品14價格</t>
    <phoneticPr fontId="2" type="noConversion"/>
  </si>
  <si>
    <t>商品15名稱</t>
    <phoneticPr fontId="2" type="noConversion"/>
  </si>
  <si>
    <t>商品15價格</t>
    <phoneticPr fontId="2" type="noConversion"/>
  </si>
  <si>
    <t>巔峰極速</t>
  </si>
  <si>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</si>
  <si>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鑽石 60顆</t>
  </si>
  <si>
    <t>鑽石 300顆</t>
  </si>
  <si>
    <t>鑽石 680顆</t>
  </si>
  <si>
    <t>鑽石 980顆</t>
  </si>
  <si>
    <t>鑽石 1280顆</t>
  </si>
  <si>
    <t>鑽石 1980顆</t>
    <phoneticPr fontId="2" type="noConversion"/>
  </si>
  <si>
    <t>鑽石 3280顆</t>
    <phoneticPr fontId="2" type="noConversion"/>
  </si>
  <si>
    <t>鑽石6480顆</t>
    <phoneticPr fontId="2" type="noConversion"/>
  </si>
  <si>
    <t>月卡</t>
    <phoneticPr fontId="2" type="noConversion"/>
  </si>
  <si>
    <t>高級合約</t>
    <phoneticPr fontId="2" type="noConversion"/>
  </si>
  <si>
    <t>特級合約</t>
    <phoneticPr fontId="2" type="noConversion"/>
  </si>
  <si>
    <t>合約組合禮包</t>
    <phoneticPr fontId="2" type="noConversion"/>
  </si>
  <si>
    <t>合約組合禮包(折扣)</t>
    <phoneticPr fontId="2" type="noConversion"/>
  </si>
  <si>
    <t>原神</t>
  </si>
  <si>
    <t>《原神》是一款開放世界冒險角色扮演遊戲。 踏上跨越奇幻世界提瓦特大陸的旅程。 在這個廣闊世界中，探索七個國家，遇到擁有獨特性格和能力的不同角色，並與他們一起對抗強大的敵人，並同時尋找您失散的手足。 自由冒險，沈浸在充滿生命力的世界中，讓好奇心引領您揭開它所有的神秘面紗。</t>
    <phoneticPr fontId="2" type="noConversion"/>
  </si>
  <si>
    <t>創世結晶 60顆</t>
  </si>
  <si>
    <t>創世結晶 300顆</t>
  </si>
  <si>
    <t>創世結晶 980顆</t>
    <phoneticPr fontId="2" type="noConversion"/>
  </si>
  <si>
    <t>創世結晶 1980顆</t>
    <phoneticPr fontId="2" type="noConversion"/>
  </si>
  <si>
    <t>創世結晶 3280顆</t>
    <phoneticPr fontId="2" type="noConversion"/>
  </si>
  <si>
    <t>創世結晶 6480顆</t>
    <phoneticPr fontId="2" type="noConversion"/>
  </si>
  <si>
    <t>空月祝福</t>
    <phoneticPr fontId="2" type="noConversion"/>
  </si>
  <si>
    <t>珍珠紀行</t>
    <phoneticPr fontId="2" type="noConversion"/>
  </si>
  <si>
    <t>珍珠之歌</t>
    <phoneticPr fontId="2" type="noConversion"/>
  </si>
  <si>
    <t>極速快感</t>
    <phoneticPr fontId="2" type="noConversion"/>
  </si>
  <si>
    <t>《極速快感：集結》（英語：Need for Speed Mobile，中國大陸譯作「極品飛車：集結」）是一款由騰訊遊戲旗下天美工作室群開發、美商藝電發行的開放世界競速手機遊戲，台灣、香港和澳門地區由Garena代理發行。</t>
    <phoneticPr fontId="2" type="noConversion"/>
  </si>
  <si>
    <t>66點券</t>
    <phoneticPr fontId="2" type="noConversion"/>
  </si>
  <si>
    <t>340點券</t>
    <phoneticPr fontId="2" type="noConversion"/>
  </si>
  <si>
    <t>660點券</t>
    <phoneticPr fontId="2" type="noConversion"/>
  </si>
  <si>
    <t>980點券</t>
    <phoneticPr fontId="2" type="noConversion"/>
  </si>
  <si>
    <t>1980點券</t>
    <phoneticPr fontId="2" type="noConversion"/>
  </si>
  <si>
    <t>2580點券</t>
    <phoneticPr fontId="2" type="noConversion"/>
  </si>
  <si>
    <t>3380點券</t>
    <phoneticPr fontId="2" type="noConversion"/>
  </si>
  <si>
    <t>6580點券</t>
    <phoneticPr fontId="2" type="noConversion"/>
  </si>
  <si>
    <t>月卡</t>
    <phoneticPr fontId="2" type="noConversion"/>
  </si>
  <si>
    <t>普通通行證</t>
    <phoneticPr fontId="2" type="noConversion"/>
  </si>
  <si>
    <t>豪華通行證</t>
    <phoneticPr fontId="2" type="noConversion"/>
  </si>
  <si>
    <t>超值理財</t>
    <phoneticPr fontId="2" type="noConversion"/>
  </si>
  <si>
    <t>俠客傳說：小小英雄</t>
  </si>
  <si>
    <t>有你的地方，就有江湖。</t>
  </si>
  <si>
    <t>9999仙玉</t>
    <phoneticPr fontId="2" type="noConversion"/>
  </si>
  <si>
    <t>3290仙玉</t>
    <phoneticPr fontId="2" type="noConversion"/>
  </si>
  <si>
    <t>1690仙玉</t>
    <phoneticPr fontId="2" type="noConversion"/>
  </si>
  <si>
    <t>670仙玉</t>
    <phoneticPr fontId="2" type="noConversion"/>
  </si>
  <si>
    <t>330仙玉</t>
    <phoneticPr fontId="2" type="noConversion"/>
  </si>
  <si>
    <t>170仙玉</t>
    <phoneticPr fontId="2" type="noConversion"/>
  </si>
  <si>
    <t>33仙玉</t>
    <phoneticPr fontId="2" type="noConversion"/>
  </si>
  <si>
    <t>逆水寒</t>
    <phoneticPr fontId="2" type="noConversion"/>
  </si>
  <si>
    <t>新武俠大世界冒險RPG《俠客傳說：小小英雄》</t>
  </si>
  <si>
    <t>6480玉</t>
    <phoneticPr fontId="2" type="noConversion"/>
  </si>
  <si>
    <t>3280玉</t>
    <phoneticPr fontId="2" type="noConversion"/>
  </si>
  <si>
    <t>1980玉</t>
    <phoneticPr fontId="2" type="noConversion"/>
  </si>
  <si>
    <t>980玉</t>
    <phoneticPr fontId="2" type="noConversion"/>
  </si>
  <si>
    <t>300玉</t>
    <phoneticPr fontId="2" type="noConversion"/>
  </si>
  <si>
    <t>60玉</t>
    <phoneticPr fontId="2" type="noConversion"/>
  </si>
  <si>
    <t>RO仙境傳說：一定要可愛</t>
  </si>
  <si>
    <t>可不可愛？我們說了算！</t>
    <phoneticPr fontId="2" type="noConversion"/>
  </si>
  <si>
    <t>4500鑽</t>
    <phoneticPr fontId="2" type="noConversion"/>
  </si>
  <si>
    <t>3000鑽</t>
    <phoneticPr fontId="2" type="noConversion"/>
  </si>
  <si>
    <t>1500鑽</t>
    <phoneticPr fontId="2" type="noConversion"/>
  </si>
  <si>
    <t>750鑽</t>
    <phoneticPr fontId="2" type="noConversion"/>
  </si>
  <si>
    <t>450鑽</t>
    <phoneticPr fontId="2" type="noConversion"/>
  </si>
  <si>
    <t>225鑽</t>
    <phoneticPr fontId="2" type="noConversion"/>
  </si>
  <si>
    <t>75鑽</t>
    <phoneticPr fontId="2" type="noConversion"/>
  </si>
  <si>
    <t>RO新世代</t>
  </si>
  <si>
    <t>官方正版RO最新作「RO仙境傳説：新世代的誕生」，煥新啓航！不刪檔公測開啟！</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</si>
  <si>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</si>
  <si>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</si>
  <si>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</si>
  <si>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</si>
  <si>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</si>
  <si>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</si>
  <si>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</si>
  <si>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上古：龍神覺醒</t>
  </si>
  <si>
    <t>首款龍主題MMO鉅作！</t>
  </si>
  <si>
    <t>9999紅寶石</t>
    <phoneticPr fontId="2" type="noConversion"/>
  </si>
  <si>
    <t>4999紅寶石</t>
    <phoneticPr fontId="2" type="noConversion"/>
  </si>
  <si>
    <t>2999紅寶石</t>
    <phoneticPr fontId="2" type="noConversion"/>
  </si>
  <si>
    <t>1999紅寶石</t>
    <phoneticPr fontId="2" type="noConversion"/>
  </si>
  <si>
    <t>1499紅寶石</t>
    <phoneticPr fontId="2" type="noConversion"/>
  </si>
  <si>
    <t>999紅寶石</t>
    <phoneticPr fontId="2" type="noConversion"/>
  </si>
  <si>
    <t>499紅寶石</t>
    <phoneticPr fontId="2" type="noConversion"/>
  </si>
  <si>
    <t>99紅寶石</t>
    <phoneticPr fontId="2" type="noConversion"/>
  </si>
  <si>
    <t>小艦艦超勇</t>
  </si>
  <si>
    <t>無止境的武器升級，打造你的最強艦隊！</t>
  </si>
  <si>
    <t>9999冰海水晶</t>
    <phoneticPr fontId="2" type="noConversion"/>
  </si>
  <si>
    <t>4999冰海水晶</t>
    <phoneticPr fontId="2" type="noConversion"/>
  </si>
  <si>
    <t>1999冰海水晶</t>
    <phoneticPr fontId="2" type="noConversion"/>
  </si>
  <si>
    <t>999冰海水晶</t>
    <phoneticPr fontId="2" type="noConversion"/>
  </si>
  <si>
    <t>499冰海水晶</t>
    <phoneticPr fontId="2" type="noConversion"/>
  </si>
  <si>
    <t>99冰海水晶</t>
    <phoneticPr fontId="2" type="noConversion"/>
  </si>
  <si>
    <t>天使軍團</t>
  </si>
  <si>
    <t>天使軍團是最新推出的3D天使銀河冒險RPG手遊。 希拉星系，深邃而瑰麗……這裡曾存在著古老時期的文明。 </t>
  </si>
  <si>
    <t>3290商品</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</si>
  <si>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</si>
  <si>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</si>
  <si>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</si>
  <si>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</si>
  <si>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</si>
  <si>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天堂W</t>
  </si>
  <si>
    <t>《天堂W》是繼承PC MMORPG天堂正統性的跨平台遊戲，全球單一版本服務，即時AI翻譯；Full 3D畫面和斜45度視角開發的暗黑奇幻世界；將天堂的核心內容戰鬥社群延伸到世界。</t>
  </si>
  <si>
    <t>5900商品</t>
    <phoneticPr fontId="2" type="noConversion"/>
  </si>
  <si>
    <t>2600商品</t>
    <phoneticPr fontId="2" type="noConversion"/>
  </si>
  <si>
    <t>1300商品</t>
    <phoneticPr fontId="2" type="noConversion"/>
  </si>
  <si>
    <t>780商品</t>
    <phoneticPr fontId="2" type="noConversion"/>
  </si>
  <si>
    <t>260商品</t>
    <phoneticPr fontId="2" type="noConversion"/>
  </si>
  <si>
    <t>少女前線2：追放</t>
  </si>
  <si>
    <t>講述了指揮官與格里芬之間無法調和的理念衝突，導致指揮官選擇自我流放，成為賞金獵人。</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</si>
  <si>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</si>
  <si>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</si>
  <si>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</si>
  <si>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</si>
  <si>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</si>
  <si>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</si>
  <si>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</si>
  <si>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</si>
  <si>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6488彩鑽</t>
    <phoneticPr fontId="2" type="noConversion"/>
  </si>
  <si>
    <t>3280彩鑽</t>
    <phoneticPr fontId="2" type="noConversion"/>
  </si>
  <si>
    <t>1980彩鑽</t>
    <phoneticPr fontId="2" type="noConversion"/>
  </si>
  <si>
    <t>1280彩鑽</t>
    <phoneticPr fontId="2" type="noConversion"/>
  </si>
  <si>
    <t>980彩鑽</t>
    <phoneticPr fontId="2" type="noConversion"/>
  </si>
  <si>
    <t>680彩鑽</t>
    <phoneticPr fontId="2" type="noConversion"/>
  </si>
  <si>
    <t>300彩鑽</t>
    <phoneticPr fontId="2" type="noConversion"/>
  </si>
  <si>
    <t>60彩鑽</t>
    <phoneticPr fontId="2" type="noConversion"/>
  </si>
  <si>
    <t>未定事件簿</t>
    <phoneticPr fontId="2" type="noConversion"/>
  </si>
  <si>
    <t>當正義與邪惡的界定越來越模糊，妳手中的天平將會傾向何方？一場戀愛與推理的冒險，此刻，邀妳共赴。</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</si>
  <si>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</si>
  <si>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</si>
  <si>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</si>
  <si>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</si>
  <si>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</si>
  <si>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</si>
  <si>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</si>
  <si>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永恆靈魂</t>
  </si>
  <si>
    <t>末日的今天，精靈們等候您的指示…救援者，帶領著她們的靈魂活下去吧。</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</si>
  <si>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</si>
  <si>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</si>
  <si>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</si>
  <si>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</si>
  <si>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</si>
  <si>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守住呀主公</t>
  </si>
  <si>
    <t>喜歡策略塔防、鍾愛三國名將的你，絕對不容錯過這款高畫質3D塔防力作！豐富的塔防玩法、酷炫的技能特效，讓你盡享爽快的遊戲體驗。</t>
    <phoneticPr fontId="2" type="noConversion"/>
  </si>
  <si>
    <t>6000元寶</t>
    <phoneticPr fontId="2" type="noConversion"/>
  </si>
  <si>
    <t>3000元寶</t>
    <phoneticPr fontId="2" type="noConversion"/>
  </si>
  <si>
    <t>1800元寶</t>
    <phoneticPr fontId="2" type="noConversion"/>
  </si>
  <si>
    <t>1200元寶</t>
    <phoneticPr fontId="2" type="noConversion"/>
  </si>
  <si>
    <t>900元寶</t>
    <phoneticPr fontId="2" type="noConversion"/>
  </si>
  <si>
    <t>600元寶</t>
    <phoneticPr fontId="2" type="noConversion"/>
  </si>
  <si>
    <t>300元寶</t>
    <phoneticPr fontId="2" type="noConversion"/>
  </si>
  <si>
    <t>60元寶</t>
    <phoneticPr fontId="2" type="noConversion"/>
  </si>
  <si>
    <t>吟遊戰記</t>
    <phoneticPr fontId="2" type="noConversion"/>
  </si>
  <si>
    <t xml:space="preserve">新感覺放置型勇者冒險RPG，登入即可獲得免費9999連抽！輕鬆休閒的冒險，來一場解放雙手的戰鬥吧！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</si>
  <si>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</si>
  <si>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</si>
  <si>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</si>
  <si>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</si>
  <si>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</si>
  <si>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</si>
  <si>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</si>
  <si>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</si>
  <si>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我獨自升級：ARISE</t>
    <phoneticPr fontId="2" type="noConversion"/>
  </si>
  <si>
    <t>德國最強的獵人，也是世界獵人排名第12名的S級「萊納德．尼爾曼」已加入完成！</t>
  </si>
  <si>
    <t>8700鑽</t>
    <phoneticPr fontId="2" type="noConversion"/>
  </si>
  <si>
    <t>4750鑽</t>
    <phoneticPr fontId="2" type="noConversion"/>
  </si>
  <si>
    <t>2600鑽</t>
    <phoneticPr fontId="2" type="noConversion"/>
  </si>
  <si>
    <t>1150鑽</t>
    <phoneticPr fontId="2" type="noConversion"/>
  </si>
  <si>
    <t>335鑽</t>
    <phoneticPr fontId="2" type="noConversion"/>
  </si>
  <si>
    <t>110鑽</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</si>
  <si>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</si>
  <si>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</si>
  <si>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</si>
  <si>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</si>
  <si>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</si>
  <si>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</si>
  <si>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</si>
  <si>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</si>
  <si>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放置軍團</t>
  </si>
  <si>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</si>
  <si>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6480氪晶</t>
    <phoneticPr fontId="2" type="noConversion"/>
  </si>
  <si>
    <t>3280氪晶</t>
    <phoneticPr fontId="2" type="noConversion"/>
  </si>
  <si>
    <t>1280氪晶</t>
    <phoneticPr fontId="2" type="noConversion"/>
  </si>
  <si>
    <t>680氪晶</t>
    <phoneticPr fontId="2" type="noConversion"/>
  </si>
  <si>
    <t>300氪晶</t>
    <phoneticPr fontId="2" type="noConversion"/>
  </si>
  <si>
    <t>明日方舟</t>
    <phoneticPr fontId="2" type="noConversion"/>
  </si>
  <si>
    <t>迷宮裡……竟然存在這樣的地方？準備好刀劍和法杖，也別忘了鍋、鏟和調味料！準備好了嗎，我們要開動了喔！</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</si>
  <si>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</si>
  <si>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</si>
  <si>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</si>
  <si>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</si>
  <si>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</si>
  <si>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</si>
  <si>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</si>
  <si>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6000金玉</t>
    <phoneticPr fontId="2" type="noConversion"/>
  </si>
  <si>
    <t>3000金玉</t>
    <phoneticPr fontId="2" type="noConversion"/>
  </si>
  <si>
    <t>1800金玉</t>
    <phoneticPr fontId="2" type="noConversion"/>
  </si>
  <si>
    <t>900金玉</t>
    <phoneticPr fontId="2" type="noConversion"/>
  </si>
  <si>
    <t>300金玉</t>
    <phoneticPr fontId="2" type="noConversion"/>
  </si>
  <si>
    <t>60金玉</t>
    <phoneticPr fontId="2" type="noConversion"/>
  </si>
  <si>
    <t>星鏈計畫：未來少女</t>
    <phoneticPr fontId="2" type="noConversion"/>
  </si>
  <si>
    <t xml:space="preserve">在無盡的絕望中，為少女們構築希望藍圖！ </t>
    <phoneticPr fontId="2" type="noConversion"/>
  </si>
  <si>
    <t>5500星際比特</t>
    <phoneticPr fontId="2" type="noConversion"/>
  </si>
  <si>
    <t>4400星際比特</t>
    <phoneticPr fontId="2" type="noConversion"/>
  </si>
  <si>
    <t>2750星際比特</t>
    <phoneticPr fontId="2" type="noConversion"/>
  </si>
  <si>
    <t>1650星際比特</t>
    <phoneticPr fontId="2" type="noConversion"/>
  </si>
  <si>
    <t>750星際比特</t>
    <phoneticPr fontId="2" type="noConversion"/>
  </si>
  <si>
    <t>165星際比特</t>
    <phoneticPr fontId="2" type="noConversion"/>
  </si>
  <si>
    <t>英雄之王</t>
  </si>
  <si>
    <t>除了我們分享的遊戲畫面、影片和其他細節之外，我還想讓大家了解我們對遊戲的期望與願景。
我們希望能藉由《英雄之王》捕捉遊戲的本質。</t>
    <phoneticPr fontId="2" type="noConversion"/>
  </si>
  <si>
    <t>3290商品</t>
    <phoneticPr fontId="2" type="noConversion"/>
  </si>
  <si>
    <t>670商品</t>
    <phoneticPr fontId="2" type="noConversion"/>
  </si>
  <si>
    <t>330商品</t>
    <phoneticPr fontId="2" type="noConversion"/>
  </si>
  <si>
    <t>170商品</t>
    <phoneticPr fontId="2" type="noConversion"/>
  </si>
  <si>
    <t>33商品</t>
    <phoneticPr fontId="2" type="noConversion"/>
  </si>
  <si>
    <t>英雄聯盟</t>
  </si>
  <si>
    <t>12150聯盟幣</t>
    <phoneticPr fontId="2" type="noConversion"/>
  </si>
  <si>
    <t>7050聯盟幣</t>
    <phoneticPr fontId="2" type="noConversion"/>
  </si>
  <si>
    <t>3500聯盟幣</t>
    <phoneticPr fontId="2" type="noConversion"/>
  </si>
  <si>
    <t>1380聯盟幣</t>
    <phoneticPr fontId="2" type="noConversion"/>
  </si>
  <si>
    <t>660聯盟幣</t>
    <phoneticPr fontId="2" type="noConversion"/>
  </si>
  <si>
    <t>恐龍突變</t>
  </si>
  <si>
    <t>» 配對以產生受精卵: 進行戰略性交配以創造更強大的恐龍。» 點擊孵化無限的蛋: 不斷擴展你的恐龍收藏。</t>
    <phoneticPr fontId="2" type="noConversion"/>
  </si>
  <si>
    <t>1490商品</t>
    <phoneticPr fontId="2" type="noConversion"/>
  </si>
  <si>
    <t>1290商品</t>
    <phoneticPr fontId="2" type="noConversion"/>
  </si>
  <si>
    <t>990商品</t>
    <phoneticPr fontId="2" type="noConversion"/>
  </si>
  <si>
    <t>790商品</t>
    <phoneticPr fontId="2" type="noConversion"/>
  </si>
  <si>
    <t>690商品</t>
    <phoneticPr fontId="2" type="noConversion"/>
  </si>
  <si>
    <t>490商品</t>
    <phoneticPr fontId="2" type="noConversion"/>
  </si>
  <si>
    <t>320商品</t>
    <phoneticPr fontId="2" type="noConversion"/>
  </si>
  <si>
    <t>190商品</t>
    <phoneticPr fontId="2" type="noConversion"/>
  </si>
  <si>
    <t>神域</t>
  </si>
  <si>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</si>
  <si>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</si>
  <si>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</si>
  <si>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</si>
  <si>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</si>
  <si>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</si>
  <si>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</si>
  <si>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</si>
  <si>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6480古老夢華</t>
    <phoneticPr fontId="2" type="noConversion"/>
  </si>
  <si>
    <t>3280古老夢華</t>
    <phoneticPr fontId="2" type="noConversion"/>
  </si>
  <si>
    <t>1980古老夢華</t>
    <phoneticPr fontId="2" type="noConversion"/>
  </si>
  <si>
    <t>980古老夢華</t>
    <phoneticPr fontId="2" type="noConversion"/>
  </si>
  <si>
    <t>300古老夢華</t>
    <phoneticPr fontId="2" type="noConversion"/>
  </si>
  <si>
    <t>60古老夢華</t>
    <phoneticPr fontId="2" type="noConversion"/>
  </si>
  <si>
    <t>列車補給憑證</t>
    <phoneticPr fontId="2" type="noConversion"/>
  </si>
  <si>
    <t>無名客的榮勳</t>
    <phoneticPr fontId="2" type="noConversion"/>
  </si>
  <si>
    <t>無名客的獎章</t>
    <phoneticPr fontId="2" type="noConversion"/>
  </si>
  <si>
    <t>救世者之樹：新世界</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</si>
  <si>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</si>
  <si>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</si>
  <si>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</si>
  <si>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</si>
  <si>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</si>
  <si>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</si>
  <si>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</si>
  <si>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球球英雄</t>
  </si>
  <si>
    <t>怪物們在這一天毫無預兆地突然降臨，城市與家園都籠罩在猙獰與陰霾中。
我們需要你，勇士！為我們抵禦黑暗勢力！
來吧！和我們一起，召喚出賦有神奇力量的球球，與黑暗勢力戰鬥！</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</si>
  <si>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</si>
  <si>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</si>
  <si>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</si>
  <si>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</si>
  <si>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</si>
  <si>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</si>
  <si>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第七史詩</t>
  </si>
  <si>
    <t>第七個世界的故事...生命的女神迪彩將自己的權勢瓜分，創造出聖約的繼承者及神獸</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</si>
  <si>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</si>
  <si>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</si>
  <si>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</si>
  <si>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</si>
  <si>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</si>
  <si>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33商品</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</si>
  <si>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</si>
  <si>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</si>
  <si>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6350鑽石</t>
    <phoneticPr fontId="2" type="noConversion"/>
  </si>
  <si>
    <t>4400鑽石</t>
    <phoneticPr fontId="2" type="noConversion"/>
  </si>
  <si>
    <t>3200鑽石</t>
    <phoneticPr fontId="2" type="noConversion"/>
  </si>
  <si>
    <t>1850鑽石</t>
    <phoneticPr fontId="2" type="noConversion"/>
  </si>
  <si>
    <t>1250鑽石</t>
    <phoneticPr fontId="2" type="noConversion"/>
  </si>
  <si>
    <t>900鑽石</t>
    <phoneticPr fontId="2" type="noConversion"/>
  </si>
  <si>
    <t>310鑽石</t>
    <phoneticPr fontId="2" type="noConversion"/>
  </si>
  <si>
    <t>60鑽石</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</si>
  <si>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</si>
  <si>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</si>
  <si>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99.99美金仙玉</t>
    <phoneticPr fontId="2" type="noConversion"/>
  </si>
  <si>
    <t>49.99美金仙玉</t>
    <phoneticPr fontId="2" type="noConversion"/>
  </si>
  <si>
    <t>29.99美金仙玉</t>
    <phoneticPr fontId="2" type="noConversion"/>
  </si>
  <si>
    <t>19.99美金仙玉</t>
    <phoneticPr fontId="2" type="noConversion"/>
  </si>
  <si>
    <t>14.99美金仙玉</t>
    <phoneticPr fontId="2" type="noConversion"/>
  </si>
  <si>
    <t>9.99美金仙玉</t>
    <phoneticPr fontId="2" type="noConversion"/>
  </si>
  <si>
    <t>4.99美金仙玉</t>
    <phoneticPr fontId="2" type="noConversion"/>
  </si>
  <si>
    <t>1.99美金仙玉</t>
    <phoneticPr fontId="2" type="noConversion"/>
  </si>
  <si>
    <t>0.99美金仙玉</t>
    <phoneticPr fontId="2" type="noConversion"/>
  </si>
  <si>
    <t>無期迷途</t>
  </si>
  <si>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</si>
  <si>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6480晶源</t>
    <phoneticPr fontId="2" type="noConversion"/>
  </si>
  <si>
    <t>3280晶源</t>
    <phoneticPr fontId="2" type="noConversion"/>
  </si>
  <si>
    <t>1980晶源</t>
    <phoneticPr fontId="2" type="noConversion"/>
  </si>
  <si>
    <t>980晶源</t>
    <phoneticPr fontId="2" type="noConversion"/>
  </si>
  <si>
    <t>300晶源</t>
    <phoneticPr fontId="2" type="noConversion"/>
  </si>
  <si>
    <t>60晶源</t>
    <phoneticPr fontId="2" type="noConversion"/>
  </si>
  <si>
    <t>絕區零</t>
  </si>
  <si>
    <t xml:space="preserve">遊戲故事發生在被神秘災害「空洞」所侵襲的後世界末日世界中，主角是一位名為「繩匠」的角色，負責引導人們進入「空洞」並與怪物「以骸」戰鬥。 </t>
    <phoneticPr fontId="2" type="noConversion"/>
  </si>
  <si>
    <t>6480菲林底片</t>
    <phoneticPr fontId="2" type="noConversion"/>
  </si>
  <si>
    <t>3280菲林底片</t>
    <phoneticPr fontId="2" type="noConversion"/>
  </si>
  <si>
    <t>1980菲林底片</t>
    <phoneticPr fontId="2" type="noConversion"/>
  </si>
  <si>
    <t>980菲林底片</t>
    <phoneticPr fontId="2" type="noConversion"/>
  </si>
  <si>
    <t>300菲林底片</t>
    <phoneticPr fontId="2" type="noConversion"/>
  </si>
  <si>
    <t>60菲林底片</t>
    <phoneticPr fontId="2" type="noConversion"/>
  </si>
  <si>
    <t>繩網會員</t>
  </si>
  <si>
    <t>成長計畫</t>
    <phoneticPr fontId="2" type="noConversion"/>
  </si>
  <si>
    <t>典藏計畫</t>
    <phoneticPr fontId="2" type="noConversion"/>
  </si>
  <si>
    <t>傳說對決</t>
  </si>
  <si>
    <t xml:space="preserve">Garena 傳說對決是一款節奏快速、輕鬆又不失競技成分的MOBA 手遊，經典玩法加上獨特的輪盤指向施法的直覺操作模式，輕鬆競技於指掌之間！ </t>
    <phoneticPr fontId="2" type="noConversion"/>
  </si>
  <si>
    <t>4110點券</t>
    <phoneticPr fontId="2" type="noConversion"/>
  </si>
  <si>
    <t>3692點券</t>
    <phoneticPr fontId="2" type="noConversion"/>
  </si>
  <si>
    <t>2943點券</t>
    <phoneticPr fontId="2" type="noConversion"/>
  </si>
  <si>
    <t>2047點券</t>
    <phoneticPr fontId="2" type="noConversion"/>
  </si>
  <si>
    <t>1466點券</t>
    <phoneticPr fontId="2" type="noConversion"/>
  </si>
  <si>
    <t>1092點券</t>
    <phoneticPr fontId="2" type="noConversion"/>
  </si>
  <si>
    <t>728點券</t>
    <phoneticPr fontId="2" type="noConversion"/>
  </si>
  <si>
    <t>364點券</t>
    <phoneticPr fontId="2" type="noConversion"/>
  </si>
  <si>
    <t>楓之谷M</t>
  </si>
  <si>
    <t xml:space="preserve">《楓之谷M》是一款由Nexon開發的免費大型多人線上角色扮演遊戲，是基於《楓之谷》的移動版。 遊戲中玩家可以扮演來自各地的角色，進行冒險、戰鬥、任務、以及和其他玩家互動。 </t>
    <phoneticPr fontId="2" type="noConversion"/>
  </si>
  <si>
    <t>3290商品</t>
    <phoneticPr fontId="2" type="noConversion"/>
  </si>
  <si>
    <t>1690商品</t>
    <phoneticPr fontId="2" type="noConversion"/>
  </si>
  <si>
    <t>990商品</t>
    <phoneticPr fontId="2" type="noConversion"/>
  </si>
  <si>
    <t>670商品</t>
    <phoneticPr fontId="2" type="noConversion"/>
  </si>
  <si>
    <t>170商品</t>
    <phoneticPr fontId="2" type="noConversion"/>
  </si>
  <si>
    <t>33商品</t>
    <phoneticPr fontId="2" type="noConversion"/>
  </si>
  <si>
    <t>鳴潮</t>
  </si>
  <si>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</si>
  <si>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 xml:space="preserve">6480月相 </t>
    <phoneticPr fontId="2" type="noConversion"/>
  </si>
  <si>
    <t xml:space="preserve">3280月相 </t>
    <phoneticPr fontId="2" type="noConversion"/>
  </si>
  <si>
    <t xml:space="preserve">1980月相 </t>
    <phoneticPr fontId="2" type="noConversion"/>
  </si>
  <si>
    <t xml:space="preserve">980月相 </t>
    <phoneticPr fontId="2" type="noConversion"/>
  </si>
  <si>
    <t xml:space="preserve">300月相 </t>
    <phoneticPr fontId="2" type="noConversion"/>
  </si>
  <si>
    <t xml:space="preserve">60月相 </t>
    <phoneticPr fontId="2" type="noConversion"/>
  </si>
  <si>
    <t>月相觀測卡</t>
    <phoneticPr fontId="2" type="noConversion"/>
  </si>
  <si>
    <t>寰宇頻道</t>
    <phoneticPr fontId="2" type="noConversion"/>
  </si>
  <si>
    <t>寰宇特約</t>
    <phoneticPr fontId="2" type="noConversion"/>
  </si>
  <si>
    <t>劍與遠征：啟程</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</si>
  <si>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</si>
  <si>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</si>
  <si>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</si>
  <si>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</si>
  <si>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</si>
  <si>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</si>
  <si>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熱血大作戰</t>
  </si>
  <si>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</si>
  <si>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6580元寶</t>
    <phoneticPr fontId="2" type="noConversion"/>
  </si>
  <si>
    <t>3380元寶</t>
    <phoneticPr fontId="2" type="noConversion"/>
  </si>
  <si>
    <t>1980元寶</t>
    <phoneticPr fontId="2" type="noConversion"/>
  </si>
  <si>
    <t>980元寶</t>
    <phoneticPr fontId="2" type="noConversion"/>
  </si>
  <si>
    <t>340元寶</t>
    <phoneticPr fontId="2" type="noConversion"/>
  </si>
  <si>
    <t>66元寶</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</si>
  <si>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</si>
  <si>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</si>
  <si>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4500000金券</t>
    <phoneticPr fontId="2" type="noConversion"/>
  </si>
  <si>
    <t>2820000金券</t>
    <phoneticPr fontId="2" type="noConversion"/>
  </si>
  <si>
    <t>900000金券</t>
    <phoneticPr fontId="2" type="noConversion"/>
  </si>
  <si>
    <t>480000金券</t>
    <phoneticPr fontId="2" type="noConversion"/>
  </si>
  <si>
    <t>300000金券</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</si>
  <si>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</si>
  <si>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</si>
  <si>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</si>
  <si>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</si>
  <si>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</si>
  <si>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</si>
  <si>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</si>
  <si>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</si>
  <si>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</si>
  <si>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</si>
  <si>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黎明啟示錄</t>
  </si>
  <si>
    <t xml:space="preserve">有聲有色不俗套的英雄設定，超過90名來源於世界各地的神話人物與歷史大家齊聚一堂，不同信仰的夥伴助力你的異世界之旅！ </t>
    <phoneticPr fontId="2" type="noConversion"/>
  </si>
  <si>
    <t>3290商品</t>
    <phoneticPr fontId="2" type="noConversion"/>
  </si>
  <si>
    <t>990商品</t>
    <phoneticPr fontId="2" type="noConversion"/>
  </si>
  <si>
    <t>670商品</t>
    <phoneticPr fontId="2" type="noConversion"/>
  </si>
  <si>
    <t>33商品</t>
    <phoneticPr fontId="2" type="noConversion"/>
  </si>
  <si>
    <t>龍魂旅人</t>
  </si>
  <si>
    <t xml:space="preserve">一款日系輕鬆番RPG遊戲，玩家將作為失去力量的傳說之龍法夫納，與尋求幫助的傲嬌公主兼屠龍勇士齊格菲，一同穿梭在奇幻世界的相愛相殺之旅。 </t>
    <phoneticPr fontId="2" type="noConversion"/>
  </si>
  <si>
    <t>6580鑽石</t>
    <phoneticPr fontId="2" type="noConversion"/>
  </si>
  <si>
    <t>3380鑽石</t>
    <phoneticPr fontId="2" type="noConversion"/>
  </si>
  <si>
    <t>1340鑽石</t>
    <phoneticPr fontId="2" type="noConversion"/>
  </si>
  <si>
    <t>660鑽石</t>
    <phoneticPr fontId="2" type="noConversion"/>
  </si>
  <si>
    <t>340鑽石</t>
    <phoneticPr fontId="2" type="noConversion"/>
  </si>
  <si>
    <t>60鑽石</t>
    <phoneticPr fontId="2" type="noConversion"/>
  </si>
  <si>
    <t>戀與深空</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</si>
  <si>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</si>
  <si>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</si>
  <si>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</si>
  <si>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</si>
  <si>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</si>
  <si>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</si>
  <si>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</si>
  <si>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靈魂衝擊：無限放置</t>
  </si>
  <si>
    <t>玩家將透過召喚職業與技能來殲滅蜂擁而至的怪物，稀有的職業將額外擁有特殊的被動技能屬性，可增加角色的暴擊傷害量或是閃避效果等</t>
    <phoneticPr fontId="2" type="noConversion"/>
  </si>
  <si>
    <t>99900乙醚</t>
    <phoneticPr fontId="2" type="noConversion"/>
  </si>
  <si>
    <t>49900乙醚</t>
    <phoneticPr fontId="2" type="noConversion"/>
  </si>
  <si>
    <t>29900乙醚</t>
    <phoneticPr fontId="2" type="noConversion"/>
  </si>
  <si>
    <t>11900乙醚</t>
    <phoneticPr fontId="2" type="noConversion"/>
  </si>
  <si>
    <t>5900乙醚</t>
    <phoneticPr fontId="2" type="noConversion"/>
  </si>
  <si>
    <t>1400乙醚</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</si>
  <si>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</si>
  <si>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</si>
  <si>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6480彩晶</t>
    <phoneticPr fontId="2" type="noConversion"/>
  </si>
  <si>
    <t>3280彩晶</t>
    <phoneticPr fontId="2" type="noConversion"/>
  </si>
  <si>
    <t>1980彩晶</t>
    <phoneticPr fontId="2" type="noConversion"/>
  </si>
  <si>
    <t>980彩晶</t>
    <phoneticPr fontId="2" type="noConversion"/>
  </si>
  <si>
    <t>300彩晶</t>
    <phoneticPr fontId="2" type="noConversion"/>
  </si>
  <si>
    <t>120彩晶</t>
    <phoneticPr fontId="2" type="noConversion"/>
  </si>
  <si>
    <t>60彩晶</t>
    <phoneticPr fontId="2" type="noConversion"/>
  </si>
  <si>
    <t>無名江湖</t>
  </si>
  <si>
    <t xml:space="preserve">以收集百家武學為目標的放置類卡牌遊戲。 遊戲中，玩家可以體驗完整的俠客人生，拜師學藝，闖蕩江湖，一步步成為一代大俠的傳奇故事。 </t>
    <phoneticPr fontId="2" type="noConversion"/>
  </si>
  <si>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</si>
  <si>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</si>
  <si>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</si>
  <si>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</si>
  <si>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</si>
  <si>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300元寶</t>
    <phoneticPr fontId="2" type="noConversion"/>
  </si>
  <si>
    <t>萬妖領域</t>
  </si>
  <si>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</si>
  <si>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648仙玉</t>
    <phoneticPr fontId="2" type="noConversion"/>
  </si>
  <si>
    <t>328仙玉</t>
    <phoneticPr fontId="2" type="noConversion"/>
  </si>
  <si>
    <t>198仙玉</t>
    <phoneticPr fontId="2" type="noConversion"/>
  </si>
  <si>
    <t>128仙玉</t>
    <phoneticPr fontId="2" type="noConversion"/>
  </si>
  <si>
    <t>68仙玉</t>
    <phoneticPr fontId="2" type="noConversion"/>
  </si>
  <si>
    <t>30仙玉</t>
    <phoneticPr fontId="2" type="noConversion"/>
  </si>
  <si>
    <t>一姬當千TD</t>
  </si>
  <si>
    <t>這裡是一姬當千TD的官方中心，歡迎follow我們獲取最新的遊戲訊息。這是一款輕鬆趣味策略塔防遊戲，在遊戲中您將運用策略來合理佈局，通關不同難度的關卡。</t>
    <phoneticPr fontId="2" type="noConversion"/>
  </si>
  <si>
    <t>6480元寶</t>
    <phoneticPr fontId="2" type="noConversion"/>
  </si>
  <si>
    <t>3280元寶</t>
    <phoneticPr fontId="2" type="noConversion"/>
  </si>
  <si>
    <t>1280元寶</t>
    <phoneticPr fontId="2" type="noConversion"/>
  </si>
  <si>
    <t>300元寶</t>
    <phoneticPr fontId="2" type="noConversion"/>
  </si>
  <si>
    <t>60元寶</t>
    <phoneticPr fontId="2" type="noConversion"/>
  </si>
  <si>
    <t>劍客行</t>
  </si>
  <si>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</si>
  <si>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</si>
  <si>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</si>
  <si>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</si>
  <si>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</si>
  <si>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</si>
  <si>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</si>
  <si>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</si>
  <si>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時之樹少女</t>
  </si>
  <si>
    <t>❤ 殿下，你回來了!❤</t>
    <phoneticPr fontId="2" type="noConversion"/>
  </si>
  <si>
    <t>6870龍玉</t>
    <phoneticPr fontId="2" type="noConversion"/>
  </si>
  <si>
    <t>3470龍玉</t>
    <phoneticPr fontId="2" type="noConversion"/>
  </si>
  <si>
    <t>2070龍玉</t>
    <phoneticPr fontId="2" type="noConversion"/>
  </si>
  <si>
    <t>680龍玉</t>
    <phoneticPr fontId="2" type="noConversion"/>
  </si>
  <si>
    <t>330龍玉</t>
    <phoneticPr fontId="2" type="noConversion"/>
  </si>
  <si>
    <t>60龍玉</t>
    <phoneticPr fontId="2" type="noConversion"/>
  </si>
  <si>
    <t>錨點降臨Re：Code</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</si>
  <si>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</si>
  <si>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6480源晶</t>
    <phoneticPr fontId="2" type="noConversion"/>
  </si>
  <si>
    <t>3280源晶</t>
    <phoneticPr fontId="2" type="noConversion"/>
  </si>
  <si>
    <t>1980源晶</t>
    <phoneticPr fontId="2" type="noConversion"/>
  </si>
  <si>
    <t>980源晶</t>
    <phoneticPr fontId="2" type="noConversion"/>
  </si>
  <si>
    <t>300源晶</t>
    <phoneticPr fontId="2" type="noConversion"/>
  </si>
  <si>
    <t>60源晶</t>
    <phoneticPr fontId="2" type="noConversion"/>
  </si>
  <si>
    <t>神契氣靈師</t>
    <phoneticPr fontId="2"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</si>
  <si>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</si>
  <si>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6480元寶</t>
    <phoneticPr fontId="2" type="noConversion"/>
  </si>
  <si>
    <t>3280元寶</t>
    <phoneticPr fontId="2" type="noConversion"/>
  </si>
  <si>
    <t>1980元寶</t>
    <phoneticPr fontId="2" type="noConversion"/>
  </si>
  <si>
    <t>980元寶</t>
    <phoneticPr fontId="2" type="noConversion"/>
  </si>
  <si>
    <t>180元寶</t>
    <phoneticPr fontId="2" type="noConversion"/>
  </si>
  <si>
    <t>60元寶</t>
    <phoneticPr fontId="2" type="noConversion"/>
  </si>
  <si>
    <t>不休旅途：繪卷世界</t>
    <phoneticPr fontId="2"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</si>
  <si>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</si>
  <si>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3290魔晶</t>
    <phoneticPr fontId="2" type="noConversion"/>
  </si>
  <si>
    <t>1690魔晶</t>
    <phoneticPr fontId="2" type="noConversion"/>
  </si>
  <si>
    <t>670魔晶</t>
    <phoneticPr fontId="2" type="noConversion"/>
  </si>
  <si>
    <t>330魔晶</t>
    <phoneticPr fontId="2" type="noConversion"/>
  </si>
  <si>
    <t>170魔晶</t>
    <phoneticPr fontId="2" type="noConversion"/>
  </si>
  <si>
    <t>33魔晶</t>
    <phoneticPr fontId="2" type="noConversion"/>
  </si>
  <si>
    <t>別破防鴨</t>
    <phoneticPr fontId="2" type="noConversion"/>
  </si>
  <si>
    <t>寂靜的森林裡，鴨子弓箭手們已準備好守護森林！
巨量怪物來襲！鴨子莊園危在旦夕！</t>
    <phoneticPr fontId="2" type="noConversion"/>
  </si>
  <si>
    <t>150000鑽</t>
    <phoneticPr fontId="2" type="noConversion"/>
  </si>
  <si>
    <t>75000鑽</t>
    <phoneticPr fontId="2" type="noConversion"/>
  </si>
  <si>
    <t>30000鑽</t>
    <phoneticPr fontId="2" type="noConversion"/>
  </si>
  <si>
    <t>15000鑽</t>
    <phoneticPr fontId="2" type="noConversion"/>
  </si>
  <si>
    <t>6000鑽</t>
    <phoneticPr fontId="2" type="noConversion"/>
  </si>
  <si>
    <t>1200鑽</t>
    <phoneticPr fontId="2" type="noConversion"/>
  </si>
  <si>
    <t>超派救星幫幫忙</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</si>
  <si>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</si>
  <si>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6480子彈</t>
    <phoneticPr fontId="2" type="noConversion"/>
  </si>
  <si>
    <t>3280子彈</t>
    <phoneticPr fontId="2" type="noConversion"/>
  </si>
  <si>
    <t>1980子彈</t>
    <phoneticPr fontId="2" type="noConversion"/>
  </si>
  <si>
    <t>1280子彈</t>
    <phoneticPr fontId="2" type="noConversion"/>
  </si>
  <si>
    <t>680子彈</t>
    <phoneticPr fontId="2" type="noConversion"/>
  </si>
  <si>
    <t>300子彈</t>
    <phoneticPr fontId="2" type="noConversion"/>
  </si>
  <si>
    <t>180子彈</t>
    <phoneticPr fontId="2" type="noConversion"/>
  </si>
  <si>
    <t>120子彈</t>
    <phoneticPr fontId="2" type="noConversion"/>
  </si>
  <si>
    <t>60子彈</t>
    <phoneticPr fontId="2" type="noConversion"/>
  </si>
  <si>
    <t>時光大爆炸</t>
  </si>
  <si>
    <t>穿梭燦爛文明 開啟奇幻之旅，一起體驗從石器時代、到蒸汽時代的多文明經營之路吧~</t>
    <phoneticPr fontId="2" type="noConversion"/>
  </si>
  <si>
    <t>6480玉壁</t>
    <phoneticPr fontId="2" type="noConversion"/>
  </si>
  <si>
    <t>3280玉壁</t>
    <phoneticPr fontId="2" type="noConversion"/>
  </si>
  <si>
    <t>1980玉壁</t>
    <phoneticPr fontId="2" type="noConversion"/>
  </si>
  <si>
    <t>980玉壁</t>
    <phoneticPr fontId="2" type="noConversion"/>
  </si>
  <si>
    <t>680玉壁</t>
    <phoneticPr fontId="2" type="noConversion"/>
  </si>
  <si>
    <t>300玉壁</t>
    <phoneticPr fontId="2" type="noConversion"/>
  </si>
  <si>
    <t>60玉壁</t>
    <phoneticPr fontId="2" type="noConversion"/>
  </si>
  <si>
    <t>深淵：不滅者</t>
  </si>
  <si>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</si>
  <si>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6480仙玉</t>
    <phoneticPr fontId="2" type="noConversion"/>
  </si>
  <si>
    <t>3280仙玉</t>
    <phoneticPr fontId="2" type="noConversion"/>
  </si>
  <si>
    <t>1980仙玉</t>
    <phoneticPr fontId="2" type="noConversion"/>
  </si>
  <si>
    <t>1280仙玉</t>
    <phoneticPr fontId="2" type="noConversion"/>
  </si>
  <si>
    <t>980仙玉</t>
    <phoneticPr fontId="2" type="noConversion"/>
  </si>
  <si>
    <t>680仙玉</t>
    <phoneticPr fontId="2" type="noConversion"/>
  </si>
  <si>
    <t>300仙玉</t>
    <phoneticPr fontId="2" type="noConversion"/>
  </si>
  <si>
    <t>60仙玉</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</si>
  <si>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</si>
  <si>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3290禮包</t>
    <phoneticPr fontId="2" type="noConversion"/>
  </si>
  <si>
    <t>1690禮包</t>
    <phoneticPr fontId="2" type="noConversion"/>
  </si>
  <si>
    <t>650禮包</t>
    <phoneticPr fontId="2" type="noConversion"/>
  </si>
  <si>
    <t>330禮包</t>
    <phoneticPr fontId="2" type="noConversion"/>
  </si>
  <si>
    <t>170禮包</t>
    <phoneticPr fontId="2" type="noConversion"/>
  </si>
  <si>
    <t>33禮包</t>
    <phoneticPr fontId="2" type="noConversion"/>
  </si>
  <si>
    <t>勇士不要停</t>
  </si>
  <si>
    <t>3D 放置卡牌遊戲，玩家可以在其中輕鬆掛機、躺平，享受隨玩隨停的戰鬥樂趣。 遊戲的特色包括多元的玩法、輕鬆的放置養成、以及豐富的卡牌收集和陣容搭配。</t>
    <phoneticPr fontId="2" type="noConversion"/>
  </si>
  <si>
    <t>6000鑽石</t>
    <phoneticPr fontId="2" type="noConversion"/>
  </si>
  <si>
    <t>3000鑽石</t>
    <phoneticPr fontId="2" type="noConversion"/>
  </si>
  <si>
    <t>1200鑽石</t>
    <phoneticPr fontId="2" type="noConversion"/>
  </si>
  <si>
    <t>600鑽石</t>
    <phoneticPr fontId="2" type="noConversion"/>
  </si>
  <si>
    <t>300鑽石</t>
    <phoneticPr fontId="2" type="noConversion"/>
  </si>
  <si>
    <t>元氣火柴人</t>
  </si>
  <si>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</si>
  <si>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6480彩鑽</t>
    <phoneticPr fontId="2" type="noConversion"/>
  </si>
  <si>
    <t>3280彩鑽</t>
    <phoneticPr fontId="2" type="noConversion"/>
  </si>
  <si>
    <t>1980彩鑽</t>
    <phoneticPr fontId="2" type="noConversion"/>
  </si>
  <si>
    <t>1280彩鑽</t>
    <phoneticPr fontId="2" type="noConversion"/>
  </si>
  <si>
    <t>680彩鑽</t>
    <phoneticPr fontId="2" type="noConversion"/>
  </si>
  <si>
    <t>340彩鑽</t>
    <phoneticPr fontId="2" type="noConversion"/>
  </si>
  <si>
    <t>30彩鑽</t>
    <phoneticPr fontId="2" type="noConversion"/>
  </si>
  <si>
    <t>深淵之影</t>
  </si>
  <si>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</si>
  <si>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4000金鑽</t>
    <phoneticPr fontId="2" type="noConversion"/>
  </si>
  <si>
    <t>1900金鑽</t>
    <phoneticPr fontId="2" type="noConversion"/>
  </si>
  <si>
    <t>600金鑽</t>
    <phoneticPr fontId="2" type="noConversion"/>
  </si>
  <si>
    <t>玩星派對</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</si>
  <si>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</si>
  <si>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6580星鑽</t>
    <phoneticPr fontId="2" type="noConversion"/>
  </si>
  <si>
    <t>3380星鑽</t>
    <phoneticPr fontId="2" type="noConversion"/>
  </si>
  <si>
    <t>1980星鑽</t>
    <phoneticPr fontId="2" type="noConversion"/>
  </si>
  <si>
    <t>980星鑽</t>
    <phoneticPr fontId="2" type="noConversion"/>
  </si>
  <si>
    <t>340星鑽</t>
    <phoneticPr fontId="2" type="noConversion"/>
  </si>
  <si>
    <t>66星鑽</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</si>
  <si>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</si>
  <si>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</si>
  <si>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12500水晶</t>
    <phoneticPr fontId="2" type="noConversion"/>
  </si>
  <si>
    <t>6000水晶</t>
    <phoneticPr fontId="2" type="noConversion"/>
  </si>
  <si>
    <t>2300水晶</t>
    <phoneticPr fontId="2" type="noConversion"/>
  </si>
  <si>
    <t>1100水晶</t>
    <phoneticPr fontId="2" type="noConversion"/>
  </si>
  <si>
    <t>525水晶</t>
    <phoneticPr fontId="2" type="noConversion"/>
  </si>
  <si>
    <t>100水晶</t>
    <phoneticPr fontId="2" type="noConversion"/>
  </si>
  <si>
    <t>星之夢幻島</t>
  </si>
  <si>
    <t>擁有高自由度的森林系輕度冒 險MMORPG，玩家可以運用靈活切換武器的技巧，來 討伐BOSS，或是在廣闊的世界中，享受生活模式玩法 ，獲得意想不到的樂趣。</t>
    <phoneticPr fontId="2" type="noConversion"/>
  </si>
  <si>
    <t>9000卡巴拉彩晶</t>
    <phoneticPr fontId="2" type="noConversion"/>
  </si>
  <si>
    <t>4500卡巴拉彩晶</t>
    <phoneticPr fontId="2" type="noConversion"/>
  </si>
  <si>
    <t>1800卡巴拉彩晶</t>
    <phoneticPr fontId="2" type="noConversion"/>
  </si>
  <si>
    <t>900卡巴拉彩晶</t>
    <phoneticPr fontId="2" type="noConversion"/>
  </si>
  <si>
    <t>450卡巴拉彩晶</t>
    <phoneticPr fontId="2" type="noConversion"/>
  </si>
  <si>
    <t>180卡巴拉彩晶</t>
    <phoneticPr fontId="2" type="noConversion"/>
  </si>
  <si>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</si>
  <si>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</si>
  <si>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</si>
  <si>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</si>
  <si>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</si>
  <si>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</si>
  <si>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</si>
  <si>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60鑽石</t>
    <phoneticPr fontId="2" type="noConversion"/>
  </si>
  <si>
    <t>江湖風雲傳</t>
  </si>
  <si>
    <t xml:space="preserve">融合經典武俠與復古像素風格的手機RPG，讓玩家體驗快意恩仇的江湖世界。 </t>
    <phoneticPr fontId="2" type="noConversion"/>
  </si>
  <si>
    <t>64800金錠</t>
    <phoneticPr fontId="2" type="noConversion"/>
  </si>
  <si>
    <t>32800金錠</t>
    <phoneticPr fontId="2" type="noConversion"/>
  </si>
  <si>
    <t>19800金錠</t>
    <phoneticPr fontId="2" type="noConversion"/>
  </si>
  <si>
    <t>12800金錠</t>
    <phoneticPr fontId="2" type="noConversion"/>
  </si>
  <si>
    <t>9800金錠</t>
    <phoneticPr fontId="2" type="noConversion"/>
  </si>
  <si>
    <t>5000金錠</t>
    <phoneticPr fontId="2" type="noConversion"/>
  </si>
  <si>
    <t>3000金錠</t>
    <phoneticPr fontId="2" type="noConversion"/>
  </si>
  <si>
    <t>1200金錠</t>
    <phoneticPr fontId="2" type="noConversion"/>
  </si>
  <si>
    <t>600金錠</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</si>
  <si>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</si>
  <si>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</si>
  <si>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100K鑽石</t>
    <phoneticPr fontId="2" type="noConversion"/>
  </si>
  <si>
    <t>50K鑽石</t>
    <phoneticPr fontId="2" type="noConversion"/>
  </si>
  <si>
    <t>30K鑽石</t>
    <phoneticPr fontId="2" type="noConversion"/>
  </si>
  <si>
    <t>10K鑽石</t>
    <phoneticPr fontId="2" type="noConversion"/>
  </si>
  <si>
    <t>5K鑽石</t>
    <phoneticPr fontId="2" type="noConversion"/>
  </si>
  <si>
    <t>1K鑽石</t>
    <phoneticPr fontId="2" type="noConversion"/>
  </si>
  <si>
    <t>香蕉缺個芭樂</t>
  </si>
  <si>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</si>
  <si>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</si>
  <si>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</si>
  <si>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</si>
  <si>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</si>
  <si>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</si>
  <si>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精靈塔塔開</t>
  </si>
  <si>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</si>
  <si>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14000鑽石</t>
    <phoneticPr fontId="2" type="noConversion"/>
  </si>
  <si>
    <t>6500鑽石</t>
    <phoneticPr fontId="2" type="noConversion"/>
  </si>
  <si>
    <t>2500鑽石</t>
    <phoneticPr fontId="2" type="noConversion"/>
  </si>
  <si>
    <t>1200鑽石</t>
    <phoneticPr fontId="2" type="noConversion"/>
  </si>
  <si>
    <t>500鑽石</t>
    <phoneticPr fontId="2" type="noConversion"/>
  </si>
  <si>
    <t>80鑽石</t>
    <phoneticPr fontId="2" type="noConversion"/>
  </si>
  <si>
    <t>終末之歌</t>
  </si>
  <si>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</si>
  <si>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6480元寶</t>
    <phoneticPr fontId="2" type="noConversion"/>
  </si>
  <si>
    <t>3280元寶</t>
    <phoneticPr fontId="2" type="noConversion"/>
  </si>
  <si>
    <t>1980元寶</t>
    <phoneticPr fontId="2" type="noConversion"/>
  </si>
  <si>
    <t>980元寶</t>
    <phoneticPr fontId="2" type="noConversion"/>
  </si>
  <si>
    <t>300元寶</t>
    <phoneticPr fontId="2" type="noConversion"/>
  </si>
  <si>
    <t>60元寶</t>
    <phoneticPr fontId="2" type="noConversion"/>
  </si>
  <si>
    <t>森靈奇境</t>
  </si>
  <si>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</si>
  <si>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64800鑽石</t>
    <phoneticPr fontId="2" type="noConversion"/>
  </si>
  <si>
    <t>32800鑽石</t>
    <phoneticPr fontId="2" type="noConversion"/>
  </si>
  <si>
    <t>19800鑽石</t>
    <phoneticPr fontId="2" type="noConversion"/>
  </si>
  <si>
    <t>12800鑽石</t>
    <phoneticPr fontId="2" type="noConversion"/>
  </si>
  <si>
    <t>6800鑽石</t>
    <phoneticPr fontId="2" type="noConversion"/>
  </si>
  <si>
    <t>3000鑽石</t>
    <phoneticPr fontId="2" type="noConversion"/>
  </si>
  <si>
    <t>鬥破蒼穹：蕭門篇</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</si>
  <si>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</si>
  <si>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9999蕭門券</t>
    <phoneticPr fontId="2" type="noConversion"/>
  </si>
  <si>
    <t>4999蕭門券</t>
    <phoneticPr fontId="2" type="noConversion"/>
  </si>
  <si>
    <t>2999蕭門券</t>
    <phoneticPr fontId="2" type="noConversion"/>
  </si>
  <si>
    <t>1490蕭門券</t>
    <phoneticPr fontId="2" type="noConversion"/>
  </si>
  <si>
    <t>999蕭門券</t>
    <phoneticPr fontId="2" type="noConversion"/>
  </si>
  <si>
    <t>499蕭門券</t>
    <phoneticPr fontId="2" type="noConversion"/>
  </si>
  <si>
    <t>99蕭門券</t>
    <phoneticPr fontId="2" type="noConversion"/>
  </si>
  <si>
    <t>無畏的狼煙</t>
  </si>
  <si>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</si>
  <si>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6480鑽石</t>
    <phoneticPr fontId="2" type="noConversion"/>
  </si>
  <si>
    <t>3280鑽石</t>
    <phoneticPr fontId="2" type="noConversion"/>
  </si>
  <si>
    <t>1980鑽石</t>
    <phoneticPr fontId="2" type="noConversion"/>
  </si>
  <si>
    <t>1280鑽石</t>
    <phoneticPr fontId="2" type="noConversion"/>
  </si>
  <si>
    <t>680鑽石</t>
    <phoneticPr fontId="2" type="noConversion"/>
  </si>
  <si>
    <t>340鑽石</t>
    <phoneticPr fontId="2" type="noConversion"/>
  </si>
  <si>
    <t>60鑽石</t>
    <phoneticPr fontId="2" type="noConversion"/>
  </si>
  <si>
    <t>代號：無頭</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</si>
  <si>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</si>
  <si>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10080鑽石</t>
    <phoneticPr fontId="2" type="noConversion"/>
  </si>
  <si>
    <t>4620鑽石</t>
    <phoneticPr fontId="2" type="noConversion"/>
  </si>
  <si>
    <t>1660鑽石</t>
    <phoneticPr fontId="2" type="noConversion"/>
  </si>
  <si>
    <t>820鑽石</t>
    <phoneticPr fontId="2" type="noConversion"/>
  </si>
  <si>
    <t>340鑽石</t>
    <phoneticPr fontId="2" type="noConversion"/>
  </si>
  <si>
    <t>60鑽石</t>
    <phoneticPr fontId="2" type="noConversion"/>
  </si>
  <si>
    <t>牛頭人GO</t>
  </si>
  <si>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</si>
  <si>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3290禮包</t>
    <phoneticPr fontId="2" type="noConversion"/>
  </si>
  <si>
    <t>1690禮包</t>
    <phoneticPr fontId="2" type="noConversion"/>
  </si>
  <si>
    <t>660禮包</t>
    <phoneticPr fontId="2" type="noConversion"/>
  </si>
  <si>
    <t>330禮包</t>
    <phoneticPr fontId="2" type="noConversion"/>
  </si>
  <si>
    <t>170禮包</t>
    <phoneticPr fontId="2" type="noConversion"/>
  </si>
  <si>
    <t>100禮包</t>
    <phoneticPr fontId="2" type="noConversion"/>
  </si>
  <si>
    <t>33禮包</t>
    <phoneticPr fontId="2" type="noConversion"/>
  </si>
  <si>
    <t>派對吧三國</t>
  </si>
  <si>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</si>
  <si>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9999通寶</t>
    <phoneticPr fontId="2" type="noConversion"/>
  </si>
  <si>
    <t>6999通寶</t>
    <phoneticPr fontId="2" type="noConversion"/>
  </si>
  <si>
    <t>4999通寶</t>
    <phoneticPr fontId="2" type="noConversion"/>
  </si>
  <si>
    <t>2999通寶</t>
    <phoneticPr fontId="2" type="noConversion"/>
  </si>
  <si>
    <t>1999通寶</t>
    <phoneticPr fontId="2" type="noConversion"/>
  </si>
  <si>
    <t>1499通寶</t>
    <phoneticPr fontId="2" type="noConversion"/>
  </si>
  <si>
    <t>999通寶</t>
    <phoneticPr fontId="2" type="noConversion"/>
  </si>
  <si>
    <t>899通寶</t>
    <phoneticPr fontId="2" type="noConversion"/>
  </si>
  <si>
    <t>499通寶</t>
    <phoneticPr fontId="2" type="noConversion"/>
  </si>
  <si>
    <t>299通寶</t>
    <phoneticPr fontId="2" type="noConversion"/>
  </si>
  <si>
    <t>199通寶</t>
    <phoneticPr fontId="2" type="noConversion"/>
  </si>
  <si>
    <t>99通寶</t>
    <phoneticPr fontId="2" type="noConversion"/>
  </si>
  <si>
    <t>酒酒大俠</t>
  </si>
  <si>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</si>
  <si>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</si>
  <si>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</si>
  <si>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</si>
  <si>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</si>
  <si>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</si>
  <si>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</si>
  <si>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</si>
  <si>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鼠衛家園</t>
  </si>
  <si>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</si>
  <si>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6480寶石</t>
    <phoneticPr fontId="2" type="noConversion"/>
  </si>
  <si>
    <t>3280寶石</t>
    <phoneticPr fontId="2" type="noConversion"/>
  </si>
  <si>
    <t>1280寶石</t>
    <phoneticPr fontId="2" type="noConversion"/>
  </si>
  <si>
    <t>680寶石</t>
    <phoneticPr fontId="2" type="noConversion"/>
  </si>
  <si>
    <t>300寶石</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</si>
  <si>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</si>
  <si>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</si>
  <si>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6480鑽石</t>
    <phoneticPr fontId="2" type="noConversion"/>
  </si>
  <si>
    <t>3280鑽石</t>
    <phoneticPr fontId="2" type="noConversion"/>
  </si>
  <si>
    <t>1280鑽石</t>
    <phoneticPr fontId="2" type="noConversion"/>
  </si>
  <si>
    <t>680鑽石</t>
    <phoneticPr fontId="2" type="noConversion"/>
  </si>
  <si>
    <t>300鑽石</t>
    <phoneticPr fontId="2" type="noConversion"/>
  </si>
  <si>
    <t>60鑽石</t>
    <phoneticPr fontId="2" type="noConversion"/>
  </si>
  <si>
    <t>熱練戰士</t>
  </si>
  <si>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</si>
  <si>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1300紅寶石</t>
    <phoneticPr fontId="2" type="noConversion"/>
  </si>
  <si>
    <t>350紅寶石</t>
    <phoneticPr fontId="2" type="noConversion"/>
  </si>
  <si>
    <t>65紅寶石</t>
    <phoneticPr fontId="2" type="noConversion"/>
  </si>
  <si>
    <t>聯盟戰棋</t>
  </si>
  <si>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</si>
  <si>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11525戰棋幣</t>
    <phoneticPr fontId="2" type="noConversion"/>
  </si>
  <si>
    <t>5750戰棋幣</t>
    <phoneticPr fontId="2" type="noConversion"/>
  </si>
  <si>
    <t>4025戰棋幣</t>
    <phoneticPr fontId="2" type="noConversion"/>
  </si>
  <si>
    <t>2525戰棋幣</t>
    <phoneticPr fontId="2" type="noConversion"/>
  </si>
  <si>
    <t>1275戰棋幣</t>
    <phoneticPr fontId="2" type="noConversion"/>
  </si>
  <si>
    <t>575戰棋幣</t>
    <phoneticPr fontId="2" type="noConversion"/>
  </si>
  <si>
    <t>劍客物語</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</si>
  <si>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</si>
  <si>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9000紅寶石</t>
    <phoneticPr fontId="2" type="noConversion"/>
  </si>
  <si>
    <t>4500紅寶石</t>
    <phoneticPr fontId="2" type="noConversion"/>
  </si>
  <si>
    <t>2700紅寶石</t>
    <phoneticPr fontId="2" type="noConversion"/>
  </si>
  <si>
    <t>9000紅寶石</t>
    <phoneticPr fontId="2" type="noConversion"/>
  </si>
  <si>
    <t>450紅寶石</t>
    <phoneticPr fontId="2" type="noConversion"/>
  </si>
  <si>
    <t>270紅寶石</t>
    <phoneticPr fontId="2" type="noConversion"/>
  </si>
  <si>
    <t>人在塔在</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</si>
  <si>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</si>
  <si>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14000鑽石</t>
    <phoneticPr fontId="2" type="noConversion"/>
  </si>
  <si>
    <t>6500鑽石</t>
    <phoneticPr fontId="2" type="noConversion"/>
  </si>
  <si>
    <t>1200鑽石</t>
    <phoneticPr fontId="2" type="noConversion"/>
  </si>
  <si>
    <t>500鑽石</t>
    <phoneticPr fontId="2" type="noConversion"/>
  </si>
  <si>
    <t>80鑽石</t>
    <phoneticPr fontId="2" type="noConversion"/>
  </si>
  <si>
    <t>龍語霜城</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</si>
  <si>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</si>
  <si>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30000鑽石</t>
    <phoneticPr fontId="2" type="noConversion"/>
  </si>
  <si>
    <t>14000鑽石</t>
    <phoneticPr fontId="2" type="noConversion"/>
  </si>
  <si>
    <t>11000鑽石</t>
    <phoneticPr fontId="2" type="noConversion"/>
  </si>
  <si>
    <t>8000鑽石</t>
    <phoneticPr fontId="2" type="noConversion"/>
  </si>
  <si>
    <t>5200鑽石</t>
    <phoneticPr fontId="2" type="noConversion"/>
  </si>
  <si>
    <t>3800鑽石</t>
    <phoneticPr fontId="2" type="noConversion"/>
  </si>
  <si>
    <t>2400鑽石</t>
    <phoneticPr fontId="2" type="noConversion"/>
  </si>
  <si>
    <t>1100鑽石</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</si>
  <si>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</si>
  <si>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</si>
  <si>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2990禮包</t>
    <phoneticPr fontId="2" type="noConversion"/>
  </si>
  <si>
    <t>2490禮包</t>
    <phoneticPr fontId="2" type="noConversion"/>
  </si>
  <si>
    <t>2290禮包</t>
    <phoneticPr fontId="2" type="noConversion"/>
  </si>
  <si>
    <t>1990禮包</t>
    <phoneticPr fontId="2" type="noConversion"/>
  </si>
  <si>
    <t>1490禮包</t>
    <phoneticPr fontId="2" type="noConversion"/>
  </si>
  <si>
    <t>1290禮包</t>
    <phoneticPr fontId="2" type="noConversion"/>
  </si>
  <si>
    <t>990禮包</t>
    <phoneticPr fontId="2" type="noConversion"/>
  </si>
  <si>
    <t>790禮包</t>
    <phoneticPr fontId="2" type="noConversion"/>
  </si>
  <si>
    <t>690禮包</t>
    <phoneticPr fontId="2" type="noConversion"/>
  </si>
  <si>
    <t>525禮包</t>
    <phoneticPr fontId="2" type="noConversion"/>
  </si>
  <si>
    <t>490禮包</t>
    <phoneticPr fontId="2" type="noConversion"/>
  </si>
  <si>
    <t>320禮包</t>
    <phoneticPr fontId="2" type="noConversion"/>
  </si>
  <si>
    <t>190禮包</t>
    <phoneticPr fontId="2" type="noConversion"/>
  </si>
  <si>
    <t>150禮包</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</si>
  <si>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</si>
  <si>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</si>
  <si>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13500寶石</t>
    <phoneticPr fontId="2" type="noConversion"/>
  </si>
  <si>
    <t>6800寶石</t>
    <phoneticPr fontId="2" type="noConversion"/>
  </si>
  <si>
    <t>3500寶石</t>
    <phoneticPr fontId="2" type="noConversion"/>
  </si>
  <si>
    <t>1500寶石</t>
    <phoneticPr fontId="2" type="noConversion"/>
  </si>
  <si>
    <t>620寶石</t>
    <phoneticPr fontId="2" type="noConversion"/>
  </si>
  <si>
    <t>150寶石</t>
    <phoneticPr fontId="2" type="noConversion"/>
  </si>
  <si>
    <t>東京謎影者</t>
  </si>
  <si>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</si>
  <si>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5000鑽石</t>
    <phoneticPr fontId="2" type="noConversion"/>
  </si>
  <si>
    <t>2100鑽石</t>
    <phoneticPr fontId="2" type="noConversion"/>
  </si>
  <si>
    <t>1100鑽石</t>
    <phoneticPr fontId="2" type="noConversion"/>
  </si>
  <si>
    <t>500鑽石</t>
    <phoneticPr fontId="2" type="noConversion"/>
  </si>
  <si>
    <t>325鑽石</t>
    <phoneticPr fontId="2" type="noConversion"/>
  </si>
  <si>
    <t>80鑽石</t>
    <phoneticPr fontId="2" type="noConversion"/>
  </si>
  <si>
    <t>戰極死遊</t>
  </si>
  <si>
    <t>時間來到20XX年。主宰著新東京國、臉戴面具的謎樣男子「ZERO」宣布，在全國的城市裡「所有事情將以遊戲來做定奪」。自此他便透過「戰極遊戲（Extreme Games）」，通稱「XG」 來統治新東京。</t>
    <phoneticPr fontId="2" type="noConversion"/>
  </si>
  <si>
    <t>4955神秘粒子結晶</t>
    <phoneticPr fontId="2" type="noConversion"/>
  </si>
  <si>
    <t>2793神秘粒子結晶</t>
    <phoneticPr fontId="2" type="noConversion"/>
  </si>
  <si>
    <t>1396神秘粒子結晶</t>
    <phoneticPr fontId="2" type="noConversion"/>
  </si>
  <si>
    <t>486神秘粒子結晶</t>
    <phoneticPr fontId="2" type="noConversion"/>
  </si>
  <si>
    <t>207神秘粒子結晶</t>
    <phoneticPr fontId="2" type="noConversion"/>
  </si>
  <si>
    <t>68神秘粒子結晶</t>
    <phoneticPr fontId="2" type="noConversion"/>
  </si>
  <si>
    <t>進擊的蝸牛</t>
  </si>
  <si>
    <t xml:space="preserve">《進擊的蝸牛》是一款放置類手遊，玩家可以輕鬆進行強化和升級，即使在工作或閒暇時也能享受遊戲樂趣。 遊戲中，玩家可以和夥伴一起探索、爬塔，進行自由遠征。 </t>
    <phoneticPr fontId="2" type="noConversion"/>
  </si>
  <si>
    <t>3290彩鑽</t>
    <phoneticPr fontId="2" type="noConversion"/>
  </si>
  <si>
    <t>1690彩鑽</t>
    <phoneticPr fontId="2" type="noConversion"/>
  </si>
  <si>
    <t>670彩鑽</t>
    <phoneticPr fontId="2" type="noConversion"/>
  </si>
  <si>
    <t>330彩鑽</t>
    <phoneticPr fontId="2" type="noConversion"/>
  </si>
  <si>
    <t>170彩鑽</t>
    <phoneticPr fontId="2" type="noConversion"/>
  </si>
  <si>
    <t>33彩鑽</t>
    <phoneticPr fontId="2" type="noConversion"/>
  </si>
  <si>
    <t>純白大作戰</t>
  </si>
  <si>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</si>
  <si>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668寶石</t>
    <phoneticPr fontId="2" type="noConversion"/>
  </si>
  <si>
    <t>328寶石</t>
    <phoneticPr fontId="2" type="noConversion"/>
  </si>
  <si>
    <t>198寶石</t>
    <phoneticPr fontId="2" type="noConversion"/>
  </si>
  <si>
    <t>98寶石</t>
    <phoneticPr fontId="2" type="noConversion"/>
  </si>
  <si>
    <t>30寶石</t>
    <phoneticPr fontId="2" type="noConversion"/>
  </si>
  <si>
    <t>60寶石</t>
    <phoneticPr fontId="2" type="noConversion"/>
  </si>
  <si>
    <t>黑星勇者</t>
  </si>
  <si>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</si>
  <si>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6480鑽石</t>
    <phoneticPr fontId="2" type="noConversion"/>
  </si>
  <si>
    <t>3880鑽石</t>
    <phoneticPr fontId="2" type="noConversion"/>
  </si>
  <si>
    <t>1280鑽石</t>
    <phoneticPr fontId="2" type="noConversion"/>
  </si>
  <si>
    <t>680鑽石</t>
    <phoneticPr fontId="2" type="noConversion"/>
  </si>
  <si>
    <t>300鑽石</t>
    <phoneticPr fontId="2" type="noConversion"/>
  </si>
  <si>
    <t>60鑽石</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</si>
  <si>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</si>
  <si>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</si>
  <si>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60000龍券</t>
    <phoneticPr fontId="2" type="noConversion"/>
  </si>
  <si>
    <t>30000龍券</t>
    <phoneticPr fontId="2" type="noConversion"/>
  </si>
  <si>
    <t>18000龍券</t>
    <phoneticPr fontId="2" type="noConversion"/>
  </si>
  <si>
    <t>12000龍券</t>
    <phoneticPr fontId="2" type="noConversion"/>
  </si>
  <si>
    <t>6000龍券</t>
    <phoneticPr fontId="2" type="noConversion"/>
  </si>
  <si>
    <t>3000龍券</t>
    <phoneticPr fontId="2" type="noConversion"/>
  </si>
  <si>
    <t>600龍券</t>
    <phoneticPr fontId="2" type="noConversion"/>
  </si>
  <si>
    <t>楓之谷Artale</t>
  </si>
  <si>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</si>
  <si>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13200金幣</t>
    <phoneticPr fontId="2" type="noConversion"/>
  </si>
  <si>
    <t>出發吧麥芬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</si>
  <si>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</si>
  <si>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</si>
  <si>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</si>
  <si>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</si>
  <si>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</si>
  <si>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</si>
  <si>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</si>
  <si>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RO仙境傳說：守護永恆的愛 Classic</t>
  </si>
  <si>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</si>
  <si>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6480萬zeny</t>
    <phoneticPr fontId="2" type="noConversion"/>
  </si>
  <si>
    <t>3280萬zeny</t>
    <phoneticPr fontId="2" type="noConversion"/>
  </si>
  <si>
    <t>1280萬zeny</t>
    <phoneticPr fontId="2" type="noConversion"/>
  </si>
  <si>
    <t>680萬zeny</t>
    <phoneticPr fontId="2" type="noConversion"/>
  </si>
  <si>
    <t>300萬zeny</t>
    <phoneticPr fontId="2" type="noConversion"/>
  </si>
  <si>
    <t>180萬zeny</t>
    <phoneticPr fontId="2" type="noConversion"/>
  </si>
  <si>
    <t>魔力寶貝：復興</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</si>
  <si>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</si>
  <si>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6480鑽石</t>
    <phoneticPr fontId="2" type="noConversion"/>
  </si>
  <si>
    <t>4880鑽石</t>
    <phoneticPr fontId="2" type="noConversion"/>
  </si>
  <si>
    <t>2980鑽石</t>
    <phoneticPr fontId="2" type="noConversion"/>
  </si>
  <si>
    <t>1980鑽石</t>
    <phoneticPr fontId="2" type="noConversion"/>
  </si>
  <si>
    <t>980鑽石</t>
    <phoneticPr fontId="2" type="noConversion"/>
  </si>
  <si>
    <t>500鑽石</t>
    <phoneticPr fontId="2" type="noConversion"/>
  </si>
  <si>
    <t>300鑽石</t>
    <phoneticPr fontId="2" type="noConversion"/>
  </si>
  <si>
    <t>60鑽石</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</si>
  <si>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</si>
  <si>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</si>
  <si>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8000鑽石</t>
    <phoneticPr fontId="2" type="noConversion"/>
  </si>
  <si>
    <t>4000鑽石</t>
    <phoneticPr fontId="2" type="noConversion"/>
  </si>
  <si>
    <t>2000鑽石</t>
    <phoneticPr fontId="2" type="noConversion"/>
  </si>
  <si>
    <t>1200鑽石</t>
    <phoneticPr fontId="2" type="noConversion"/>
  </si>
  <si>
    <t>400鑽石</t>
    <phoneticPr fontId="2" type="noConversion"/>
  </si>
  <si>
    <t>80鑽石</t>
    <phoneticPr fontId="2" type="noConversion"/>
  </si>
  <si>
    <t>晶核</t>
  </si>
  <si>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</si>
  <si>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6480歐珀(首儲雙倍)</t>
    <phoneticPr fontId="2" type="noConversion"/>
  </si>
  <si>
    <t>3280歐珀(首儲雙倍)</t>
    <phoneticPr fontId="2" type="noConversion"/>
  </si>
  <si>
    <t>1980歐珀(首儲雙倍)</t>
    <phoneticPr fontId="2" type="noConversion"/>
  </si>
  <si>
    <t>980歐珀(首儲雙倍)</t>
    <phoneticPr fontId="2" type="noConversion"/>
  </si>
  <si>
    <t>300歐珀(首儲雙倍)</t>
    <phoneticPr fontId="2" type="noConversion"/>
  </si>
  <si>
    <t>60歐珀(首儲雙倍)</t>
    <phoneticPr fontId="2" type="noConversion"/>
  </si>
  <si>
    <t>幻晶月令30天</t>
    <phoneticPr fontId="2" type="noConversion"/>
  </si>
  <si>
    <t>無盡夢迴</t>
  </si>
  <si>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</si>
  <si>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2990+898夢華</t>
    <phoneticPr fontId="2" type="noConversion"/>
  </si>
  <si>
    <t>1580+370夢華</t>
    <phoneticPr fontId="2" type="noConversion"/>
  </si>
  <si>
    <t>990+160夢華</t>
    <phoneticPr fontId="2" type="noConversion"/>
  </si>
  <si>
    <t>490+60夢華</t>
    <phoneticPr fontId="2" type="noConversion"/>
  </si>
  <si>
    <t>150+15夢華</t>
    <phoneticPr fontId="2" type="noConversion"/>
  </si>
  <si>
    <t>30夢華</t>
    <phoneticPr fontId="2" type="noConversion"/>
  </si>
  <si>
    <t>盈月美夢眷</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</si>
  <si>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</si>
  <si>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</si>
  <si>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6580金幣</t>
  </si>
  <si>
    <t>3380金幣</t>
  </si>
  <si>
    <t>1340金幣</t>
  </si>
  <si>
    <t>980金幣</t>
  </si>
  <si>
    <t>340金幣</t>
  </si>
  <si>
    <t>66金幣</t>
  </si>
  <si>
    <t>英雄刷刷刷</t>
  </si>
  <si>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</si>
  <si>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6480暗金幣</t>
  </si>
  <si>
    <t>3280暗金幣</t>
  </si>
  <si>
    <t>1980暗金幣</t>
  </si>
  <si>
    <t>1280暗金幣</t>
  </si>
  <si>
    <t>980暗金幣</t>
  </si>
  <si>
    <t>680暗金幣</t>
  </si>
  <si>
    <t>300暗金幣</t>
  </si>
  <si>
    <t>180暗金幣</t>
  </si>
  <si>
    <t>120暗金幣</t>
  </si>
  <si>
    <t>60暗金幣</t>
  </si>
  <si>
    <t>萬靈物語</t>
  </si>
  <si>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</si>
  <si>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斗羅大陸：逆轉時空</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</si>
  <si>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</si>
  <si>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648鑽石</t>
  </si>
  <si>
    <t>328鑽石</t>
  </si>
  <si>
    <t>198鑽石</t>
  </si>
  <si>
    <t>128鑽石</t>
  </si>
  <si>
    <t>98鑽石</t>
  </si>
  <si>
    <t>30鑽石</t>
  </si>
  <si>
    <t>18鑽石</t>
  </si>
  <si>
    <t>6鑽石</t>
  </si>
  <si>
    <t>魔靈召喚：保衛戰</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</si>
  <si>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</si>
  <si>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149000+149000紅水晶</t>
  </si>
  <si>
    <t>99000+99000紅水晶</t>
  </si>
  <si>
    <t>49000+49000紅水晶</t>
  </si>
  <si>
    <t>29000+29000紅水晶</t>
  </si>
  <si>
    <t>9900+9900紅水晶</t>
  </si>
  <si>
    <t>3300+3300紅水晶</t>
  </si>
  <si>
    <t>潘多蘭島</t>
  </si>
  <si>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</si>
  <si>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8200鑽石</t>
  </si>
  <si>
    <t>4000鑽石</t>
  </si>
  <si>
    <t>1560鑽石</t>
  </si>
  <si>
    <t>跳過廣告</t>
  </si>
  <si>
    <t>特權PASS</t>
  </si>
  <si>
    <t>每月PASS</t>
  </si>
  <si>
    <t>體力PASS</t>
  </si>
  <si>
    <t>電鋸果汁大亂鬥</t>
  </si>
  <si>
    <t>12000鑽石</t>
  </si>
  <si>
    <t>900鑽石</t>
  </si>
  <si>
    <t>400鑽石</t>
  </si>
  <si>
    <t>去廣告禮包</t>
  </si>
  <si>
    <t>VIP禮包</t>
    <phoneticPr fontId="2" type="noConversion"/>
  </si>
  <si>
    <t>風色幻想NeXus</t>
  </si>
  <si>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</si>
  <si>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6000幻月石</t>
  </si>
  <si>
    <t>2980幻月石</t>
  </si>
  <si>
    <t>2000幻月石</t>
  </si>
  <si>
    <t>1000幻月石</t>
  </si>
  <si>
    <t>300幻月石</t>
  </si>
  <si>
    <t>祭風呢喃</t>
  </si>
  <si>
    <t>風華星輝</t>
  </si>
  <si>
    <t>寶窟之鑰</t>
  </si>
  <si>
    <t>星河訣愛</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</si>
  <si>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</si>
  <si>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1980元寶</t>
  </si>
  <si>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</si>
  <si>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2500鑽石</t>
  </si>
  <si>
    <t>超值月卡</t>
  </si>
  <si>
    <t>時間周卡</t>
  </si>
  <si>
    <t>胡鬧地牢</t>
  </si>
  <si>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</si>
  <si>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8100鑽石</t>
  </si>
  <si>
    <t>3950鑽石</t>
  </si>
  <si>
    <t>1120鑽石</t>
  </si>
  <si>
    <t>320鑽石</t>
  </si>
  <si>
    <t>小小軍團-重生</t>
  </si>
  <si>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</si>
  <si>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3240紅鑽</t>
  </si>
  <si>
    <t>1640紅鑽</t>
  </si>
  <si>
    <t>640紅鑽</t>
  </si>
  <si>
    <t>340紅鑽</t>
  </si>
  <si>
    <t>150紅鑽</t>
  </si>
  <si>
    <t>30紅鑽</t>
  </si>
  <si>
    <t>超級月卡</t>
  </si>
  <si>
    <t>精品月卡</t>
  </si>
  <si>
    <t>成長禮包</t>
  </si>
  <si>
    <t>爪爪遠征</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</si>
  <si>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</si>
  <si>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99000寶石</t>
  </si>
  <si>
    <t>49000寶石</t>
  </si>
  <si>
    <t>29000寶石</t>
  </si>
  <si>
    <t>9900寶石</t>
  </si>
  <si>
    <t>4400寶石</t>
  </si>
  <si>
    <t>1500寶石</t>
  </si>
  <si>
    <t>移除廣告月票</t>
  </si>
  <si>
    <t>額外金幣月票</t>
  </si>
  <si>
    <t>勇士團團轉</t>
  </si>
  <si>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</si>
  <si>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660鑽石</t>
  </si>
  <si>
    <t>280鑽石</t>
  </si>
  <si>
    <t>金幣禮包</t>
  </si>
  <si>
    <t>新手禮包</t>
  </si>
  <si>
    <t>VIP禮包</t>
  </si>
  <si>
    <t>魁 三國志大戰</t>
  </si>
  <si>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</si>
  <si>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6000魁玉</t>
  </si>
  <si>
    <t>3000魁玉</t>
  </si>
  <si>
    <t>1600魁玉</t>
  </si>
  <si>
    <t>300魁玉</t>
  </si>
  <si>
    <t>100魁玉</t>
  </si>
  <si>
    <t>戰鬥通行證</t>
  </si>
  <si>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</si>
  <si>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10000珠寶</t>
  </si>
  <si>
    <t>6300珠寶</t>
  </si>
  <si>
    <t>4700珠寶</t>
  </si>
  <si>
    <t>3100珠寶</t>
  </si>
  <si>
    <t>2000珠寶</t>
  </si>
  <si>
    <t>1000珠寶</t>
  </si>
  <si>
    <t>500珠寶</t>
  </si>
  <si>
    <t>300珠寶</t>
  </si>
  <si>
    <t>100珠寶</t>
  </si>
  <si>
    <t>開服紀念10+1連轉蛋券*10</t>
  </si>
  <si>
    <t>開服紀念BEAST CHOICE券</t>
  </si>
  <si>
    <t>切換英雄：放置型RPG</t>
  </si>
  <si>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</si>
  <si>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198000寶石</t>
  </si>
  <si>
    <t>128000寶石</t>
  </si>
  <si>
    <t>78000寶石</t>
  </si>
  <si>
    <t>38000寶石</t>
  </si>
  <si>
    <t>19800寶石</t>
  </si>
  <si>
    <t>9800寶石</t>
  </si>
  <si>
    <t>每月副本禮包</t>
  </si>
  <si>
    <t>每周加速禮包</t>
  </si>
  <si>
    <t>每周390禮包</t>
  </si>
  <si>
    <t>小死神傳奇</t>
  </si>
  <si>
    <t>《小死神傳奇》放置遊戲的始祖，培養死神的全新故事！比培養死神時代更早的序章，小死神傳奇！請安全地培養剛轉生後脆弱的小小死神！</t>
    <phoneticPr fontId="2" type="noConversion"/>
  </si>
  <si>
    <t>50000血石</t>
  </si>
  <si>
    <t>24300血石</t>
  </si>
  <si>
    <t>4400血石</t>
  </si>
  <si>
    <t>2140血石</t>
  </si>
  <si>
    <t>420血石</t>
  </si>
  <si>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</si>
  <si>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</si>
  <si>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5000水晶</t>
  </si>
  <si>
    <t>2350水晶</t>
  </si>
  <si>
    <t>1400水晶</t>
  </si>
  <si>
    <t>920水晶</t>
  </si>
  <si>
    <t>450水晶</t>
  </si>
  <si>
    <t>220水晶</t>
  </si>
  <si>
    <t>60水晶</t>
  </si>
  <si>
    <t>牌組速成禮包</t>
  </si>
  <si>
    <t>雪月風花</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</si>
  <si>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</si>
  <si>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t>
  </si>
  <si>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</si>
  <si>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魔法商店大亨</t>
  </si>
  <si>
    <t>成為魔法世界的連鎖店商業大亨！ 準備好在魔法世界建造屬於你的商業帝國了嗎？瞭解商場經營的一切，從搬運鋪貨到擺放貨架，甚至培訓新的喵喵員工！</t>
    <phoneticPr fontId="2" type="noConversion"/>
  </si>
  <si>
    <t>新仙劍奇俠傳lite</t>
  </si>
  <si>
    <t>由《仙劍奇俠傳》系列正版授權卡牌RPG 手機遊戲《新仙劍奇俠傳Lite》今（20）日宣布正式上市。 官方表示，《新仙劍奇俠傳Lite》集結歷代經典角色，一場全新的仙劍之旅即將到來。</t>
    <phoneticPr fontId="2" type="noConversion"/>
  </si>
  <si>
    <t>神州M</t>
  </si>
  <si>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</si>
  <si>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英雄傳說：卡卡布三部曲</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</si>
  <si>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</si>
  <si>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親愛的勇者，歡迎進入「胡來國度」！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</si>
  <si>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</si>
  <si>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</si>
  <si>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</si>
  <si>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滔湧少女</t>
    <phoneticPr fontId="2"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</si>
  <si>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</si>
  <si>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</si>
  <si>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</si>
  <si>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</si>
  <si>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</si>
  <si>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</si>
  <si>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</si>
  <si>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</si>
  <si>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</si>
  <si>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</si>
  <si>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百萬神界</t>
    <phoneticPr fontId="2"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</si>
  <si>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</si>
  <si>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</si>
  <si>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</si>
  <si>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5000鑽石</t>
    <phoneticPr fontId="2" type="noConversion"/>
  </si>
  <si>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</si>
  <si>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</si>
  <si>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</si>
  <si>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</si>
  <si>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</si>
  <si>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MO.CO</t>
    <phoneticPr fontId="2" type="noConversion"/>
  </si>
  <si>
    <t>6480彩星</t>
  </si>
  <si>
    <t>3290彩星</t>
  </si>
  <si>
    <t>1980彩星</t>
  </si>
  <si>
    <t>1280彩星</t>
  </si>
  <si>
    <t>980彩星</t>
  </si>
  <si>
    <t>680彩星</t>
  </si>
  <si>
    <t>300彩星</t>
  </si>
  <si>
    <t>60彩星</t>
  </si>
  <si>
    <t>超值夥伴禮包</t>
  </si>
  <si>
    <t>絕世夥伴禮包</t>
  </si>
  <si>
    <t>3290台幣禮包</t>
  </si>
  <si>
    <t>33台幣禮包</t>
  </si>
  <si>
    <t>6480星鑽</t>
  </si>
  <si>
    <t>4880星鑽</t>
  </si>
  <si>
    <t>3280星鑽</t>
  </si>
  <si>
    <t>1980星鑽</t>
  </si>
  <si>
    <t>980星鑽</t>
  </si>
  <si>
    <t>300星鑽</t>
  </si>
  <si>
    <t>60星鑽</t>
  </si>
  <si>
    <t>永久卡</t>
  </si>
  <si>
    <t>4400付費鑽石</t>
  </si>
  <si>
    <t>4000付費鑽石</t>
  </si>
  <si>
    <t>2700付費鑽石</t>
  </si>
  <si>
    <t>2300付費鑽石</t>
  </si>
  <si>
    <t>1370付費鑽石</t>
  </si>
  <si>
    <t>600付費鑽石</t>
  </si>
  <si>
    <t>220付費鑽石</t>
  </si>
  <si>
    <t>60付費鑽石</t>
  </si>
  <si>
    <t>190台幣鑽石通行證</t>
  </si>
  <si>
    <t>120台幣鑽石通行證</t>
  </si>
  <si>
    <t>90台幣鑽石通行證</t>
  </si>
  <si>
    <t>小兵立大功</t>
  </si>
  <si>
    <t>像素全明星</t>
  </si>
  <si>
    <t>4000克拉</t>
  </si>
  <si>
    <t>2400克拉</t>
  </si>
  <si>
    <t>1600克拉</t>
  </si>
  <si>
    <t>800克拉</t>
  </si>
  <si>
    <t>400克拉</t>
  </si>
  <si>
    <t>80克拉</t>
  </si>
  <si>
    <t>2250台幣禮包</t>
  </si>
  <si>
    <t>590台幣禮包</t>
  </si>
  <si>
    <t>300台幣禮包</t>
  </si>
  <si>
    <t>1400金幣</t>
  </si>
  <si>
    <t>650金幣</t>
  </si>
  <si>
    <t>250金幣</t>
  </si>
  <si>
    <t>120金幣</t>
  </si>
  <si>
    <t>55金幣</t>
  </si>
  <si>
    <t>浣熊傳說</t>
  </si>
  <si>
    <t>勇者格鬥城</t>
  </si>
  <si>
    <t>6500鑽石</t>
  </si>
  <si>
    <t>6200鑽石</t>
  </si>
  <si>
    <t>1680鑽石</t>
  </si>
  <si>
    <t>880鑽石</t>
  </si>
  <si>
    <t>即時高智商對戰！獨創五行制衡戰術！
過百種浣熊英雄！每張都是藝術品！
全球PVP競技場！用策略證明誰是浣熊之王！
無門檻終極狂歡！首發限定SSR免費領！</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</si>
  <si>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</si>
  <si>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</si>
  <si>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</si>
  <si>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</si>
  <si>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</si>
  <si>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2100鑽石</t>
  </si>
  <si>
    <t>250鑽石</t>
  </si>
  <si>
    <t>去除廣告禮包</t>
  </si>
  <si>
    <t>10800金幣</t>
  </si>
  <si>
    <t>5000金幣</t>
  </si>
  <si>
    <t>1700金幣</t>
  </si>
  <si>
    <t>800金幣</t>
  </si>
  <si>
    <t>380金幣</t>
  </si>
  <si>
    <t>150金幣</t>
  </si>
  <si>
    <t>東方幻想ECLIPSE</t>
  </si>
  <si>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</si>
  <si>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16450幻晶石</t>
  </si>
  <si>
    <t>8450幻晶石</t>
  </si>
  <si>
    <t>4950幻晶石</t>
  </si>
  <si>
    <t>2450幻晶石</t>
  </si>
  <si>
    <t>850幻晶石</t>
  </si>
  <si>
    <t>165幻晶石</t>
  </si>
  <si>
    <t>490台幣禮包</t>
  </si>
  <si>
    <t>250台幣禮包</t>
  </si>
  <si>
    <t>世紀帝國M</t>
  </si>
  <si>
    <t>歐啦!守得豬</t>
  </si>
  <si>
    <t>18櫻花幕府</t>
  </si>
  <si>
    <t>50000帝國幣</t>
  </si>
  <si>
    <t>24000帝國幣</t>
  </si>
  <si>
    <t>9200帝國幣</t>
  </si>
  <si>
    <t>2100帝國幣</t>
  </si>
  <si>
    <t>400帝國幣</t>
  </si>
  <si>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</si>
  <si>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</si>
  <si>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</si>
  <si>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10000代金券</t>
  </si>
  <si>
    <t>5000代金券</t>
  </si>
  <si>
    <t>3000代金券</t>
  </si>
  <si>
    <t>2000代金券</t>
  </si>
  <si>
    <t>1000代金券</t>
  </si>
  <si>
    <t>500代金券</t>
  </si>
  <si>
    <t>100代金券</t>
  </si>
  <si>
    <t>大武道</t>
    <phoneticPr fontId="2" type="noConversion"/>
  </si>
  <si>
    <t>6480仙玉</t>
  </si>
  <si>
    <t>3280仙玉</t>
  </si>
  <si>
    <t>1280仙玉</t>
  </si>
  <si>
    <t>980仙玉</t>
  </si>
  <si>
    <t>60仙玉</t>
  </si>
  <si>
    <t>終身卡</t>
  </si>
  <si>
    <t>1650台幣商品</t>
  </si>
  <si>
    <t>790台幣商品</t>
  </si>
  <si>
    <t>690台幣商品</t>
  </si>
  <si>
    <t>220台幣商品</t>
  </si>
  <si>
    <t>190台幣商品</t>
  </si>
  <si>
    <t>165台幣商品</t>
  </si>
  <si>
    <t>《大武道》是一款將策略元素與武俠題材完美結合的國風卡牌遊戲。玩家將置身於一個充滿江湖恩怨的武俠世界，透過收集並培養各路經典武俠人物，組建專屬的強大隊伍。
遊戲核心玩法在於其獨特的策略性卡牌對戰。你需要善用不同角色的技能搭配、陣營加成以及戰術佈局，才能在變幻莫測的戰場中克敵制勝。無論是PVE闖關還是PVP競技，每一次對決都是對你智慧的考驗。立即進入《大武道》，體驗最純粹的武俠策略樂趣，成就你的武林傳奇！</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</si>
  <si>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</si>
  <si>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</si>
  <si>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劍太傳說：新的開始</t>
    <phoneticPr fontId="2" type="noConversion"/>
  </si>
  <si>
    <t>三國。群英燎原</t>
    <phoneticPr fontId="2" type="noConversion"/>
  </si>
  <si>
    <t>終生特權</t>
  </si>
  <si>
    <t>Final War：寒霜前線</t>
  </si>
  <si>
    <t>黑夜獵人</t>
  </si>
  <si>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</si>
  <si>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別再讓老媽扛傷害了</t>
    <phoneticPr fontId="2" type="noConversion"/>
  </si>
  <si>
    <t>23000金幣</t>
  </si>
  <si>
    <t>11200金幣</t>
  </si>
  <si>
    <t>4400金幣</t>
  </si>
  <si>
    <t>2200金幣</t>
  </si>
  <si>
    <t>1000金幣</t>
  </si>
  <si>
    <t>200金幣</t>
  </si>
  <si>
    <t>7780紅寶石</t>
  </si>
  <si>
    <t>3780紅寶石</t>
  </si>
  <si>
    <t>1480紅寶石</t>
  </si>
  <si>
    <t>750紅寶石</t>
  </si>
  <si>
    <t>330紅寶石</t>
  </si>
  <si>
    <t>60紅寶石</t>
  </si>
  <si>
    <t>魔法黯道</t>
    <phoneticPr fontId="2" type="noConversion"/>
  </si>
  <si>
    <t>https://apps.apple.com/tw/app/%E9%AD%94%E6%B3%95%E9%BB%AF%E9%81%93/id6745922493</t>
    <phoneticPr fontId="2" type="noConversion"/>
  </si>
  <si>
    <t>https://www.facebook.com/groups/mfadofficial?fbclid=IwY2xjawL8GuRleHRuA2FlbQIxMABicmlkETFCWFVzVjJpdGw0WGZCQWZYAR4okRRMZdPKEN1G7OeiA1zHf3rr0itUlllP-XiC-ELD9696aXuCQos4a4woTg_aem_FiHf8qxIM1SQ8j2Bv67NQg</t>
    <phoneticPr fontId="2" type="noConversion"/>
  </si>
  <si>
    <t>https://www.gamer.com.tw/</t>
    <phoneticPr fontId="2" type="noConversion"/>
  </si>
  <si>
    <t>https://www.facebook.com/magicroadtw?locale=zh_TW</t>
  </si>
  <si>
    <t>648代金鑽</t>
  </si>
  <si>
    <t>328代金鑽</t>
  </si>
  <si>
    <t>198代金鑽</t>
  </si>
  <si>
    <t>128代金鑽</t>
  </si>
  <si>
    <t>68代金鑽</t>
  </si>
  <si>
    <t>30代金鑽</t>
  </si>
  <si>
    <t>6代金鑽</t>
  </si>
  <si>
    <t>免廣告卡</t>
  </si>
  <si>
    <t>終生卡</t>
  </si>
  <si>
    <t>神代紀事</t>
  </si>
  <si>
    <t>https://www.facebook.com/ShindaiRecord</t>
    <phoneticPr fontId="2" type="noConversion"/>
  </si>
  <si>
    <t>https://play.google.com/store/apps/details?id=com.IceDragon.ShindaiRecord&amp;hl=zh_TW&amp;fbclid=IwY2xjawL8VbpleHRuA2FlbQIxMABicmlkETFMUEUzeWpMQUVnbUQxTW9FAR5khHVT2YUhE5xhO2B-MJL1ODx1zBZJcQeA0AGIDh_XBZzK6PEnlyENRfzI7A_aem_gXLvCoTZUoscSpWEZ4hYxg</t>
    <phoneticPr fontId="2" type="noConversion"/>
  </si>
  <si>
    <t>https://apps.apple.com/us/app/%E7%A5%9E%E4%BB%A3%E7%B4%80%E4%BA%8B-%E5%83%8F%E7%B4%A0%E9%A2%A8roguelike%E9%81%8A%E6%88%B2/id6720742591</t>
    <phoneticPr fontId="2" type="noConversion"/>
  </si>
  <si>
    <t>https://forum.gamer.com.tw/Co.php?bsn=60076&amp;sn=103640542</t>
    <phoneticPr fontId="2" type="noConversion"/>
  </si>
  <si>
    <t>500+150起源石</t>
  </si>
  <si>
    <t>250+50起源石</t>
  </si>
  <si>
    <t>150+15起源石</t>
  </si>
  <si>
    <t>75+5起源石</t>
  </si>
  <si>
    <t>25起源石</t>
  </si>
  <si>
    <t>5起源石</t>
  </si>
  <si>
    <t>冒險補給</t>
  </si>
  <si>
    <t>每月限購禮包</t>
  </si>
  <si>
    <t>每周限購禮包</t>
  </si>
  <si>
    <t>每日限購禮包</t>
  </si>
  <si>
    <t>超值自選包</t>
  </si>
  <si>
    <t>超值腳色包</t>
  </si>
  <si>
    <t>新手啟程包</t>
  </si>
  <si>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</si>
  <si>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</si>
  <si>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https://fatewar.igg.com/</t>
    <phoneticPr fontId="2" type="noConversion"/>
  </si>
  <si>
    <t>https://apps.apple.com/tw/app/fate-war/id1632729482</t>
    <phoneticPr fontId="2" type="noConversion"/>
  </si>
  <si>
    <t>https://www.facebook.com/FateWar/</t>
    <phoneticPr fontId="2" type="noConversion"/>
  </si>
  <si>
    <t>https://forum.gamer.com.tw/B.php?bsn=82987</t>
  </si>
  <si>
    <t>9999黃金</t>
  </si>
  <si>
    <t>4999黃金</t>
  </si>
  <si>
    <t>999黃金</t>
  </si>
  <si>
    <t>499黃金</t>
  </si>
  <si>
    <t>99黃金</t>
  </si>
  <si>
    <t>內政廳基金</t>
  </si>
  <si>
    <t>戰國武士道</t>
  </si>
  <si>
    <t>https://sengokubushido.daimaoo.com/?fbclid=IwY2xjawMAQbRleHRuA2FlbQIxMABicmlkETFPYlJ3QnBHdzJ2ZHpqTTR1AR6zM1yhT-zsCARVzhipU4ZQmqlUO1mnmbLB2-ADjU0f2LHx6kokbFYlE-eang_aem_yul5hCIFGTcCd7GAYVQ0Ug</t>
    <phoneticPr fontId="2" type="noConversion"/>
  </si>
  <si>
    <t>https://www.facebook.com/senbushi</t>
  </si>
  <si>
    <t>https://apps.apple.com/tw/app/%E6%88%B0%E5%9C%8B%E6%AD%A6%E5%A3%AB%E9%81%93-%E5%A4%A7%E9%87%8E%E6%9C%9B%E4%B9%8B%E5%8D%B7/id6744687916</t>
  </si>
  <si>
    <t>https://forum.gamer.com.tw/B.php?bsn=83113</t>
  </si>
  <si>
    <t>超蝦大作戰</t>
  </si>
  <si>
    <t>https://acg.gamer.com.tw/acgDetail.php?s=146280</t>
    <phoneticPr fontId="2" type="noConversion"/>
  </si>
  <si>
    <t>https://www.facebook.com/overbrawl.go</t>
    <phoneticPr fontId="2" type="noConversion"/>
  </si>
  <si>
    <t>https://overbrawl.knetgame.com/pre</t>
    <phoneticPr fontId="2" type="noConversion"/>
  </si>
  <si>
    <t>https://apps.apple.com/tw/app/%E8%B6%85%E8%9D%A6%E5%A4%A7%E4%BD%9C%E6%88%B0/id6746176096</t>
    <phoneticPr fontId="2" type="noConversion"/>
  </si>
  <si>
    <t>4600判金</t>
  </si>
  <si>
    <t>9000判金</t>
  </si>
  <si>
    <t>2650判金</t>
  </si>
  <si>
    <t>1300判金</t>
  </si>
  <si>
    <t>420判金</t>
  </si>
  <si>
    <t>70判金</t>
  </si>
  <si>
    <t>日本朱印狀</t>
  </si>
  <si>
    <t>戰國朱印狀</t>
  </si>
  <si>
    <t>守護朱印狀</t>
  </si>
  <si>
    <t>US$99.99商品</t>
  </si>
  <si>
    <t>US$69.99商品</t>
  </si>
  <si>
    <t>US$49.99商品</t>
  </si>
  <si>
    <t>US$29.99商品</t>
  </si>
  <si>
    <t>US$19.99商品</t>
  </si>
  <si>
    <t>US$14.99商品</t>
  </si>
  <si>
    <t>US$9.99商品</t>
  </si>
  <si>
    <t>US$8.99商品</t>
  </si>
  <si>
    <t>US$4.99商品</t>
  </si>
  <si>
    <t>US$3.99商品</t>
  </si>
  <si>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</si>
  <si>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真妖獸!廢柴要修仙</t>
  </si>
  <si>
    <t>https://www.facebook.com/TW.realmonster</t>
    <phoneticPr fontId="2" type="noConversion"/>
  </si>
  <si>
    <t>https://apps.apple.com/tw/app/%E7%9C%9F%E5%A6%96%E7%8D%B8-%E5%BB%A2%E6%9F%B4%E8%A6%81%E4%BF%AE%E4%BB%99/id6747165987</t>
  </si>
  <si>
    <t>https://www.itrimen.com/</t>
  </si>
  <si>
    <t>https://forum.gamer.com.tw/</t>
    <phoneticPr fontId="2" type="noConversion"/>
  </si>
  <si>
    <t>6660仙玉</t>
  </si>
  <si>
    <t>2000仙玉</t>
  </si>
  <si>
    <t>1300仙玉</t>
  </si>
  <si>
    <t>680仙玉</t>
  </si>
  <si>
    <t>330仙玉</t>
  </si>
  <si>
    <t>130仙玉</t>
  </si>
  <si>
    <t>https://apps.apple.com/tw/app/%E4%B8%89%E5%9C%8B%E5%BF%97thrones/id6741511767</t>
    <phoneticPr fontId="2" type="noConversion"/>
  </si>
  <si>
    <t>https://play.google.com/store/apps/details?id=com.statewill.shzz</t>
    <phoneticPr fontId="2" type="noConversion"/>
  </si>
  <si>
    <t>https://www.facebook.com/profile.php?id=61575005136218</t>
    <phoneticPr fontId="2" type="noConversion"/>
  </si>
  <si>
    <t>https://forum.gamer.com.tw/#</t>
    <phoneticPr fontId="2" type="noConversion"/>
  </si>
  <si>
    <t>三國志Thrones</t>
  </si>
  <si>
    <t>980元寶</t>
  </si>
  <si>
    <t>https://forum.gamer.com.tw/B.php?bsn=79185</t>
    <phoneticPr fontId="2" type="noConversion"/>
  </si>
  <si>
    <t>https://play.google.com/store/apps/details?id=com.orienjoy.heroland&amp;hl=ln</t>
    <phoneticPr fontId="2" type="noConversion"/>
  </si>
  <si>
    <t>https://www.facebook.com/profile.php?id=61577308460249</t>
    <phoneticPr fontId="2" type="noConversion"/>
  </si>
  <si>
    <t>https://apps.apple.com/cn/app/%E8%8B%B1%E5%8B%87%E4%B9%8B%E5%9C%B0/id6480160896</t>
    <phoneticPr fontId="2" type="noConversion"/>
  </si>
  <si>
    <t>晨輝新星時裝</t>
  </si>
  <si>
    <t>晨輝靈獅時裝</t>
  </si>
  <si>
    <t>英勇之地</t>
  </si>
  <si>
    <t>未鑑定勇者團</t>
    <phoneticPr fontId="2" type="noConversion"/>
  </si>
  <si>
    <t>戰靈異聞社</t>
    <phoneticPr fontId="2" type="noConversion"/>
  </si>
  <si>
    <t>https://play.google.com/store/apps/details?id=com.dreamplay.hiddenheroes.google&amp;fbclid=IwY2xjawMIIqZleHRuA2FlbQIxMABicmlkETFkZXV4UHJOSGFrcm92WWVYAR4-fZWlGr15cqSHFRjjaQwTW4OE4HDAfdBZ5LKH4DG9IgD3Tidgy-Udr-Yk3w_aem_evKrdZdXYqQCCS1J3i2qBg</t>
    <phoneticPr fontId="2" type="noConversion"/>
  </si>
  <si>
    <t>https://apps.apple.com/hk/app/%E6%9C%AA%E9%91%91%E5%AE%9A%E5%8B%87%E8%80%85%E5%9C%98-%E9%81%8B%E6%B0%A3%E5%9E%8B%E6%94%BE%E7%BD%AErpg/id6744206189</t>
    <phoneticPr fontId="2" type="noConversion"/>
  </si>
  <si>
    <t>https://www.facebook.com/profile.php?id=61577386190686</t>
    <phoneticPr fontId="2" type="noConversion"/>
  </si>
  <si>
    <t>https://forum.gamer.com.tw/B.php?bsn=83087</t>
  </si>
  <si>
    <t>https://soul.staroio.com/</t>
  </si>
  <si>
    <t>https://www.facebook.com/SpiritTaleSociety</t>
  </si>
  <si>
    <t>https://apps.apple.com/tw/app/%E6%88%B0%E9%9D%88%E7%95%B0%E8%81%9E%E7%A4%BE/id6745178365</t>
  </si>
  <si>
    <t>13000翡翠</t>
  </si>
  <si>
    <t>3450翡翠</t>
  </si>
  <si>
    <t>600翡翠</t>
  </si>
  <si>
    <t>難度通行證</t>
  </si>
  <si>
    <t>勇者等級通行證</t>
  </si>
  <si>
    <t>99.99禮包</t>
  </si>
  <si>
    <t>49.99禮包</t>
  </si>
  <si>
    <t>29.99禮包</t>
  </si>
  <si>
    <t>19.99禮包</t>
  </si>
  <si>
    <t>14.99禮包</t>
  </si>
  <si>
    <t>12.99禮包</t>
  </si>
  <si>
    <t>9.99禮包</t>
  </si>
  <si>
    <t>4.99禮包</t>
  </si>
  <si>
    <t>0.99禮包</t>
  </si>
  <si>
    <t>見習骷髏王</t>
    <phoneticPr fontId="2" type="noConversion"/>
  </si>
  <si>
    <t>https://apps.apple.com/tw/app/%E8%A6%8B%E7%BF%92%E9%AA%B7%E9%AB%8F%E7%8E%8B/id6747066550</t>
    <phoneticPr fontId="2" type="noConversion"/>
  </si>
  <si>
    <t>https://www.facebook.com/KLWOfficial</t>
    <phoneticPr fontId="2" type="noConversion"/>
  </si>
  <si>
    <t>https://klw.togaado.com/#/</t>
  </si>
  <si>
    <t>https://forum.gamer.com.tw/B.php?bsn=83350</t>
    <phoneticPr fontId="2" type="noConversion"/>
  </si>
  <si>
    <t>2490禮包</t>
  </si>
  <si>
    <t>2290禮包</t>
  </si>
  <si>
    <t>1690禮包</t>
  </si>
  <si>
    <t>1490禮包</t>
  </si>
  <si>
    <t>1190禮包</t>
  </si>
  <si>
    <t>670禮包</t>
  </si>
  <si>
    <t>330禮包</t>
  </si>
  <si>
    <t>230禮包</t>
  </si>
  <si>
    <t>170禮包</t>
  </si>
  <si>
    <t>33禮包</t>
  </si>
  <si>
    <t>https://www.facebook.com/allstarws</t>
  </si>
  <si>
    <t>全明星無雙</t>
    <phoneticPr fontId="2" type="noConversion"/>
  </si>
  <si>
    <t>橫幅圖片</t>
  </si>
  <si>
    <t>介紹</t>
  </si>
  <si>
    <t>兌換方式1</t>
  </si>
  <si>
    <t>兌換方式3</t>
  </si>
  <si>
    <t>兌換方式4</t>
  </si>
  <si>
    <t>兌換方式5</t>
  </si>
  <si>
    <t>兌換方式6</t>
  </si>
  <si>
    <t>禮包碼1</t>
  </si>
  <si>
    <t>內容物1</t>
  </si>
  <si>
    <t>禮包碼2</t>
  </si>
  <si>
    <t>內容物2</t>
  </si>
  <si>
    <t>禮包碼3</t>
  </si>
  <si>
    <t>內容物3</t>
  </si>
  <si>
    <t>禮包碼4</t>
  </si>
  <si>
    <t>內容物4</t>
  </si>
  <si>
    <t>禮包碼5</t>
  </si>
  <si>
    <t>內容物5</t>
  </si>
  <si>
    <t>禮包碼6</t>
  </si>
  <si>
    <t>內容物6</t>
  </si>
  <si>
    <t>內容物10</t>
    <phoneticPr fontId="2" type="noConversion"/>
  </si>
  <si>
    <t>內容物12</t>
    <phoneticPr fontId="2" type="noConversion"/>
  </si>
  <si>
    <t>內容物15</t>
    <phoneticPr fontId="2" type="noConversion"/>
  </si>
  <si>
    <t>禮包碼20</t>
  </si>
  <si>
    <t>內容物20</t>
  </si>
  <si>
    <t>進入主畫面，點選個人頭像</t>
    <phoneticPr fontId="2" type="noConversion"/>
  </si>
  <si>
    <t>進入設定（齒輪）</t>
  </si>
  <si>
    <t>10000racers</t>
  </si>
  <si>
    <t>2025商城元寶鑽石禮包</t>
  </si>
  <si>
    <t>VIP777</t>
  </si>
  <si>
    <t>VIP888</t>
  </si>
  <si>
    <t>KINGO1019</t>
  </si>
  <si>
    <t>BEBE888</t>
  </si>
  <si>
    <t>TEAMRACE666</t>
  </si>
  <si>
    <t>RACING777</t>
  </si>
  <si>
    <t>POST00</t>
  </si>
  <si>
    <t>RACING888</t>
  </si>
  <si>
    <t>NEAL888</t>
  </si>
  <si>
    <t>RKUI666</t>
  </si>
  <si>
    <t>LETSGO168</t>
  </si>
  <si>
    <t>DRIVER666</t>
  </si>
  <si>
    <t>MASTER777</t>
  </si>
  <si>
    <t>AHHINS</t>
  </si>
  <si>
    <t>RACING666</t>
  </si>
  <si>
    <t>WINWIN888  </t>
  </si>
  <si>
    <t>GOGORACING</t>
  </si>
  <si>
    <t>GG1019</t>
  </si>
  <si>
    <t>GS57YTSNLJ</t>
  </si>
  <si>
    <t>原神素材兌換專用</t>
  </si>
  <si>
    <t>LWKC638ULB16</t>
  </si>
  <si>
    <t>摩拉 x10,000、冒險家的經驗 x10、精鍛用雜礦 x5、香嫩椒椒雞 x5、乾炒魚河 x5</t>
  </si>
  <si>
    <t>ZT5RJ4AX4WYV</t>
  </si>
  <si>
    <t>原石 x60、冒險家的經驗 x5</t>
  </si>
  <si>
    <t>GenshinGIFT</t>
  </si>
  <si>
    <t>原石 x50、大英雄的經驗 x3</t>
  </si>
  <si>
    <t>進入主畫面，點選個人頭像</t>
    <phoneticPr fontId="2" type="noConversion"/>
  </si>
  <si>
    <t>極速快感集結666</t>
  </si>
  <si>
    <t>100鑽石、500熱彎幣</t>
  </si>
  <si>
    <t>極速快感沖刺測試</t>
  </si>
  <si>
    <t>50鑽石、300熱彎幣</t>
  </si>
  <si>
    <t>NFSM7EUV49</t>
  </si>
  <si>
    <t>NEEDFORSPEEDNOX</t>
  </si>
  <si>
    <t>sshero</t>
  </si>
  <si>
    <t>sshero66</t>
  </si>
  <si>
    <t>tiger666</t>
  </si>
  <si>
    <t>tiger777</t>
  </si>
  <si>
    <t>iu216yrtm4bn</t>
  </si>
  <si>
    <t>4d9xnyukxwsn</t>
  </si>
  <si>
    <t>x4ixkxaqglaq</t>
  </si>
  <si>
    <t>zbetdmodzxpj</t>
  </si>
  <si>
    <t>fp4rg7gq1g3a</t>
  </si>
  <si>
    <t>ox3olzfmkl1d</t>
  </si>
  <si>
    <t>ivqjvbqs4r7r</t>
  </si>
  <si>
    <t>bx523bo9c678</t>
  </si>
  <si>
    <t>vdpppx11t12n</t>
  </si>
  <si>
    <t>MMOKING</t>
  </si>
  <si>
    <t>66綁定紋玉、28,888交子</t>
  </si>
  <si>
    <t>BahamutNO1</t>
  </si>
  <si>
    <t>懸賞通緝掃蕩權 × 4</t>
  </si>
  <si>
    <t>fanpage3000</t>
  </si>
  <si>
    <t>ZENY*30,000</t>
  </si>
  <si>
    <t>NOVICE01</t>
  </si>
  <si>
    <t>地城入場補充卷*1</t>
  </si>
  <si>
    <t>SWORDSMAN02</t>
  </si>
  <si>
    <t>懸賞通緝掃蕩權* 4</t>
  </si>
  <si>
    <t>ARCHER03</t>
  </si>
  <si>
    <t>十字搞*2</t>
  </si>
  <si>
    <t>ACOLYTE04</t>
  </si>
  <si>
    <t>pfyloveroxictop4</t>
  </si>
  <si>
    <t>ROXIC666J</t>
  </si>
  <si>
    <t>ROXIC636J</t>
  </si>
  <si>
    <t>ROXIC973J</t>
  </si>
  <si>
    <t>ROXIC562J</t>
  </si>
  <si>
    <t>FPCPAJIE2624</t>
  </si>
  <si>
    <t>DG666</t>
  </si>
  <si>
    <t>DG777</t>
  </si>
  <si>
    <t>DG888</t>
  </si>
  <si>
    <t>VIP666</t>
  </si>
  <si>
    <t>SVIP666</t>
  </si>
  <si>
    <t>SVIP777</t>
  </si>
  <si>
    <t>SVIP888</t>
  </si>
  <si>
    <t>EVE209</t>
  </si>
  <si>
    <t>NEW2024</t>
  </si>
  <si>
    <t>LF2233</t>
  </si>
  <si>
    <t>OUTLANDER777</t>
  </si>
  <si>
    <t>ABBY01011</t>
  </si>
  <si>
    <t>MIMI01021</t>
  </si>
  <si>
    <t>HIGHSEASHEROGO</t>
  </si>
  <si>
    <t>HAPPYHSH777</t>
  </si>
  <si>
    <t>HSHLAUNCH0109</t>
  </si>
  <si>
    <t>DscdRetrom43zw</t>
  </si>
  <si>
    <t>Mkjptfjlny8j31</t>
  </si>
  <si>
    <t>ALFacebook</t>
  </si>
  <si>
    <t>HOTNEWYEARADEN24 </t>
  </si>
  <si>
    <t>BLUEDRAGONW</t>
  </si>
  <si>
    <t>ULLRID1205</t>
  </si>
  <si>
    <t>戰場報告*5000、解析圖紙*5000</t>
  </si>
  <si>
    <t>SUOMI1205</t>
  </si>
  <si>
    <t>ELMO1205</t>
  </si>
  <si>
    <t>坍塌晶條*150、薩狄斯金*5000</t>
  </si>
  <si>
    <t>EXILIUMDC</t>
  </si>
  <si>
    <t>GLASSISLE</t>
  </si>
  <si>
    <t>ELMOLIVE</t>
  </si>
  <si>
    <t>坍塌晶條*50、戰場報告*5000、解析圖紙*5000</t>
  </si>
  <si>
    <t>OMNGKTWN</t>
  </si>
  <si>
    <t>坍塌晶條*150、薩狄斯金*3000、接入密鑰*2</t>
  </si>
  <si>
    <t>GFL2LAUNCH</t>
  </si>
  <si>
    <t>接入密鑰*1、大容量記憶體*2</t>
  </si>
  <si>
    <t>FAFA666</t>
  </si>
  <si>
    <t>FAFA777</t>
  </si>
  <si>
    <t>FAFA888</t>
  </si>
  <si>
    <t>SSSVIP333</t>
  </si>
  <si>
    <t>SSSVIP444</t>
  </si>
  <si>
    <t>SSSVIP555</t>
  </si>
  <si>
    <t>VIP555</t>
  </si>
  <si>
    <t>VIP999</t>
  </si>
  <si>
    <t>INSTALL</t>
  </si>
  <si>
    <t>HAPPY38WOMENSDAY</t>
  </si>
  <si>
    <t>未名晶片*60+未名幣*3800+法理之諭III*8</t>
  </si>
  <si>
    <t>520FALLINLOVE</t>
  </si>
  <si>
    <t>未名晶片×100+友誼徽章×520+未名幣×13140</t>
  </si>
  <si>
    <t>SUMMERGIFT</t>
  </si>
  <si>
    <t>未名晶片×60+未名幣×10000+能量飲料普通裝×1</t>
  </si>
  <si>
    <t>DRAGONBOAT</t>
  </si>
  <si>
    <t>未名晶片×60+法理之諭III×20</t>
  </si>
  <si>
    <t>HappyDragonBoat2025</t>
  </si>
  <si>
    <t>未名晶片×60、未名幣 ×5500、能量飲料普通裝 ×1</t>
  </si>
  <si>
    <t>2Qgift0325</t>
  </si>
  <si>
    <t>1,000個永恆石</t>
  </si>
  <si>
    <t>WEEKGIFT</t>
  </si>
  <si>
    <t>KH26UB56P</t>
  </si>
  <si>
    <t>UYJH658YY</t>
  </si>
  <si>
    <t>VIP6699</t>
  </si>
  <si>
    <t>NOVGIHT</t>
  </si>
  <si>
    <t>吟遊戰記</t>
    <phoneticPr fontId="2" type="noConversion"/>
  </si>
  <si>
    <t>輸入禮包碼 → 確認兌換</t>
    <phoneticPr fontId="2" type="noConversion"/>
  </si>
  <si>
    <t>VIP888</t>
    <phoneticPr fontId="2" type="noConversion"/>
  </si>
  <si>
    <t>SOLOLEVELING2025商城元寶鑽石禮包0508</t>
  </si>
  <si>
    <t>FEEL001</t>
    <phoneticPr fontId="2" type="noConversion"/>
  </si>
  <si>
    <t>2024STARMAS</t>
  </si>
  <si>
    <t>光珀 × 500、福袋禮票 × 10</t>
    <phoneticPr fontId="2" type="noConversion"/>
  </si>
  <si>
    <t>TOSNNEKO</t>
    <phoneticPr fontId="2" type="noConversion"/>
  </si>
  <si>
    <t>造型20選一</t>
    <phoneticPr fontId="2" type="noConversion"/>
  </si>
  <si>
    <t>M2025NEWYEAR</t>
    <phoneticPr fontId="2" type="noConversion"/>
  </si>
  <si>
    <t>8EHD24I802UP</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</si>
  <si>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</si>
  <si>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</si>
  <si>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PREDLOPEN</t>
  </si>
  <si>
    <t>綠寶箱、藍寶箱、四星碎片</t>
  </si>
  <si>
    <t>NEKKETSU888</t>
  </si>
  <si>
    <t>綠色、藍色寶箱</t>
  </si>
  <si>
    <t>NEKKETSUBTL</t>
  </si>
  <si>
    <t>三色寶箱、四星碎片</t>
  </si>
  <si>
    <t>RANKTOP1</t>
  </si>
  <si>
    <t>包子箱*5、木材箱*3、銅幣箱*1、求賢令*1</t>
  </si>
  <si>
    <t>NEKKETSU777</t>
  </si>
  <si>
    <t>NEKKETSU666</t>
  </si>
  <si>
    <t>綠寶箱、藍寶箱</t>
  </si>
  <si>
    <t>OpeningGift</t>
  </si>
  <si>
    <t>free777</t>
  </si>
  <si>
    <t>code777</t>
  </si>
  <si>
    <t>gift777</t>
  </si>
  <si>
    <t>mg777</t>
  </si>
  <si>
    <t>SK777</t>
  </si>
  <si>
    <t>Sol777</t>
  </si>
  <si>
    <t>Loki777</t>
  </si>
  <si>
    <t>Odin777</t>
  </si>
  <si>
    <t>Freya777</t>
  </si>
  <si>
    <t>reddawngo</t>
  </si>
  <si>
    <t>milestone100</t>
  </si>
  <si>
    <t>reddawn0107</t>
  </si>
  <si>
    <t>reddawn666</t>
  </si>
  <si>
    <t>milestone80</t>
  </si>
  <si>
    <t>milestone50</t>
  </si>
  <si>
    <t>milestone30</t>
  </si>
  <si>
    <t>milestone20</t>
  </si>
  <si>
    <t>svip666</t>
  </si>
  <si>
    <t>svip777</t>
  </si>
  <si>
    <t>svip888</t>
  </si>
  <si>
    <t>maze666</t>
  </si>
  <si>
    <t>maze888</t>
  </si>
  <si>
    <t>VJ5ZS6222M2</t>
  </si>
  <si>
    <t>WANEQQ222MP</t>
  </si>
  <si>
    <t>GTTBMN222MQ</t>
  </si>
  <si>
    <t>HCTACF222MR</t>
  </si>
  <si>
    <t>KFV6RJ222MV</t>
  </si>
  <si>
    <t>HATW3U222P2</t>
  </si>
  <si>
    <t>EJMGC7222P3</t>
  </si>
  <si>
    <t>VAyuec222fc </t>
  </si>
  <si>
    <t>SODGOGO250109</t>
  </si>
  <si>
    <t>LETSPLAY250110</t>
  </si>
  <si>
    <t>PRINCESS999</t>
  </si>
  <si>
    <t>KEEPGOING2511</t>
  </si>
  <si>
    <t>ILOVESOD2512</t>
  </si>
  <si>
    <t>SSRHERO888</t>
  </si>
  <si>
    <t>opensod</t>
  </si>
  <si>
    <t>HERO666</t>
  </si>
  <si>
    <t>HERO777</t>
  </si>
  <si>
    <t>HERO888</t>
  </si>
  <si>
    <t>HERO999</t>
  </si>
  <si>
    <t>LDP777</t>
  </si>
  <si>
    <t>NOXSOD777</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</si>
  <si>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</si>
  <si>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3DLOVE</t>
    <phoneticPr fontId="2" type="noConversion"/>
  </si>
  <si>
    <t>love2024</t>
    <phoneticPr fontId="2" type="noConversion"/>
  </si>
  <si>
    <t>2025WOMENSDAY</t>
    <phoneticPr fontId="2" type="noConversion"/>
  </si>
  <si>
    <t>HAPPINESS</t>
    <phoneticPr fontId="2" type="noConversion"/>
  </si>
  <si>
    <t>100粉鑽+一張極空許願券</t>
    <phoneticPr fontId="2" type="noConversion"/>
  </si>
  <si>
    <t>加速魔方*1+銀砂磁石*1</t>
    <phoneticPr fontId="2" type="noConversion"/>
  </si>
  <si>
    <t>LnDxUki</t>
    <phoneticPr fontId="2" type="noConversion"/>
  </si>
  <si>
    <t>心願之瓶·珍貴*5+金幣*20000+體力*50</t>
    <phoneticPr fontId="2" type="noConversion"/>
  </si>
  <si>
    <t>LnDxIke</t>
    <phoneticPr fontId="2" type="noConversion"/>
  </si>
  <si>
    <t>LnDxLuca</t>
    <phoneticPr fontId="2" type="noConversion"/>
  </si>
  <si>
    <t>LnDxFulgur</t>
    <phoneticPr fontId="2" type="noConversion"/>
  </si>
  <si>
    <t>LOVEDEEP1004</t>
  </si>
  <si>
    <t>隨機虛寶或鑽石獎勵</t>
  </si>
  <si>
    <t>玩家將透過召喚職業與技能來殲滅蜂擁而至的怪物，稀有的職業將額外擁有特殊的被動技能屬性，可增加角色的暴擊傷害量或是閃避效果等</t>
    <phoneticPr fontId="2" type="noConversion"/>
  </si>
  <si>
    <t>CONGRATS59</t>
    <phoneticPr fontId="2" type="noConversion"/>
  </si>
  <si>
    <t>MASTERS29</t>
    <phoneticPr fontId="2" type="noConversion"/>
  </si>
  <si>
    <t>100CLASS</t>
    <phoneticPr fontId="2" type="noConversion"/>
  </si>
  <si>
    <t>laugh3</t>
    <phoneticPr fontId="2" type="noConversion"/>
  </si>
  <si>
    <t>rest2</t>
    <phoneticPr fontId="2" type="noConversion"/>
  </si>
  <si>
    <t>onemore</t>
    <phoneticPr fontId="2" type="noConversion"/>
  </si>
  <si>
    <t>guess1</t>
    <phoneticPr fontId="2" type="noConversion"/>
  </si>
  <si>
    <t xml:space="preserve">以收集百家武學為目標的放置類卡牌遊戲。 遊戲中，玩家可以體驗完整的俠客人生，拜師學藝，闖蕩江湖，一步步成為一代大俠的傳奇故事。 </t>
    <phoneticPr fontId="2" type="noConversion"/>
  </si>
  <si>
    <t>SZFIZWJPFT</t>
    <phoneticPr fontId="2" type="noConversion"/>
  </si>
  <si>
    <t>5GCN93VZA8</t>
    <phoneticPr fontId="2" type="noConversion"/>
  </si>
  <si>
    <t>VIP666</t>
    <phoneticPr fontId="2" type="noConversion"/>
  </si>
  <si>
    <t>VIP999</t>
    <phoneticPr fontId="2" type="noConversion"/>
  </si>
  <si>
    <t>barry987</t>
    <phoneticPr fontId="2" type="noConversion"/>
  </si>
  <si>
    <t>這裡是一姬當千TD的官方中心，歡迎follow我們獲取最新的遊戲訊息。這是一款輕鬆趣味策略塔防遊戲，在遊戲中您將運用策略來合理佈局，通關不同難度的關卡。</t>
    <phoneticPr fontId="2" type="noConversion"/>
  </si>
  <si>
    <t>SSS66</t>
    <phoneticPr fontId="2" type="noConversion"/>
  </si>
  <si>
    <t>SSS88</t>
    <phoneticPr fontId="2" type="noConversion"/>
  </si>
  <si>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</si>
  <si>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3PU7C5ROI</t>
    <phoneticPr fontId="2" type="noConversion"/>
  </si>
  <si>
    <t>元寶x200、閱歷x2000</t>
    <phoneticPr fontId="2" type="noConversion"/>
  </si>
  <si>
    <t>QWSF852</t>
    <phoneticPr fontId="2" type="noConversion"/>
  </si>
  <si>
    <t xml:space="preserve">龍玉*50  |   地心蓮*5 </t>
    <phoneticPr fontId="2" type="noConversion"/>
  </si>
  <si>
    <t xml:space="preserve">龍玉*50  |   黃土捲軸*5 </t>
    <phoneticPr fontId="2" type="noConversion"/>
  </si>
  <si>
    <t>CVBN456</t>
    <phoneticPr fontId="2" type="noConversion"/>
  </si>
  <si>
    <t xml:space="preserve">龍玉*50  |   雷霆捲軸*5 </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</si>
  <si>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</si>
  <si>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755B5Z53</t>
  </si>
  <si>
    <t>常規鏈接許可 ×1、泰諾幣 ×6000</t>
  </si>
  <si>
    <t>GNNUJCU5</t>
  </si>
  <si>
    <t>高級作戰報告 ×6、汙染中和酊(小) ×1</t>
  </si>
  <si>
    <t>4NPMAMZ5</t>
  </si>
  <si>
    <t>7NJTHNPW</t>
  </si>
  <si>
    <t>ENMBWTEM</t>
  </si>
  <si>
    <t>源晶輝錠 ×30、汙染中和酊(中) ×1</t>
  </si>
  <si>
    <t>EWB39Z5C</t>
  </si>
  <si>
    <t>神血試劑α ×1、烙痕強化劑α ×8</t>
  </si>
  <si>
    <t>FNVU2MGW</t>
  </si>
  <si>
    <t>WNRM5BZU</t>
  </si>
  <si>
    <t>MNHCW5SZ</t>
  </si>
  <si>
    <t>DU3UHBZ3</t>
  </si>
  <si>
    <t>源晶輝錠 ×100</t>
  </si>
  <si>
    <t>PUMWGZ7W</t>
  </si>
  <si>
    <t>AUUT858U</t>
  </si>
  <si>
    <t>BUG5XNXT</t>
  </si>
  <si>
    <t>PU5MBCR5</t>
  </si>
  <si>
    <t>AUBNSW6M</t>
  </si>
  <si>
    <t>MUGM935B</t>
  </si>
  <si>
    <t>2TUBGU9W</t>
  </si>
  <si>
    <t>RUMUYTAT</t>
  </si>
  <si>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</si>
  <si>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坐騎進階丹*10、銅錢*100000</t>
  </si>
  <si>
    <t>寵物進階丹*10、銅錢*200000</t>
  </si>
  <si>
    <t>坐騎靈魄*2、寵物靈魄*2、銅錢*300000</t>
  </si>
  <si>
    <t>坐騎靈魄*3、寵物靈魄*3</t>
  </si>
  <si>
    <t>坐騎祝福卷軸*1、寵物祝福卷軸*1</t>
  </si>
  <si>
    <t>綁定元寶*500</t>
  </si>
  <si>
    <t>JUDY888</t>
  </si>
  <si>
    <t>QQ666</t>
  </si>
  <si>
    <t>2倍經驗符、銅幣200W</t>
  </si>
  <si>
    <t>QQ777</t>
  </si>
  <si>
    <t>翅膀升級丹·初級*10、裝備尋寶鑰匙*10</t>
  </si>
  <si>
    <t>QQ888</t>
  </si>
  <si>
    <t>綁定元寶*300</t>
  </si>
  <si>
    <t>DOG777</t>
  </si>
  <si>
    <t>寵物進階丹*20、世界BOSS挑戰令*2</t>
  </si>
  <si>
    <t>LUCKY177</t>
  </si>
  <si>
    <t>銅錢*100萬</t>
  </si>
  <si>
    <t>LUCKY577</t>
  </si>
  <si>
    <t>寶石禮包Lv.4*1</t>
  </si>
  <si>
    <t>LUCKY777</t>
  </si>
  <si>
    <t>2倍經驗符*2</t>
  </si>
  <si>
    <t>LUCKY977</t>
  </si>
  <si>
    <t>寵物-忍者兔俠*1</t>
  </si>
  <si>
    <t>LUCKY888</t>
  </si>
  <si>
    <t>100億鑽石</t>
  </si>
  <si>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</si>
  <si>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storeno1</t>
  </si>
  <si>
    <t>魔晶*388、召喚铃*5、玉蝉子*3、裝備鍛造石*30、裝備強化石*30</t>
  </si>
  <si>
    <t>ALEX888</t>
  </si>
  <si>
    <t>NICK888</t>
    <phoneticPr fontId="2" type="noConversion"/>
  </si>
  <si>
    <t>BX666</t>
  </si>
  <si>
    <t>魔晶*100、裝備鍛造石*50</t>
  </si>
  <si>
    <t>BX2025</t>
  </si>
  <si>
    <t>魔晶*50、裝備鍛造石*30、裝備強化石*30</t>
  </si>
  <si>
    <t>PMBX888</t>
  </si>
  <si>
    <t>TCXJ888</t>
  </si>
  <si>
    <t>welcomeline</t>
  </si>
  <si>
    <t>魔晶*100、裝備鍛造石*30、裝備強化石*30</t>
  </si>
  <si>
    <t>YUNSII888</t>
  </si>
  <si>
    <t>別破防鴨</t>
    <phoneticPr fontId="2" type="noConversion"/>
  </si>
  <si>
    <t>寂靜的森林裡，鴨子弓箭手們已準備好守護森林！
巨量怪物來襲！鴨子莊園危在旦夕！</t>
    <phoneticPr fontId="2" type="noConversion"/>
  </si>
  <si>
    <t>springgift</t>
  </si>
  <si>
    <t>💎 3000 鑽石</t>
  </si>
  <si>
    <t>happyonline2025</t>
    <phoneticPr fontId="2" type="noConversion"/>
  </si>
  <si>
    <t>💎 2000 鑽石🎫 2 張首領挑戰卷</t>
    <phoneticPr fontId="2" type="noConversion"/>
  </si>
  <si>
    <t>duckk</t>
  </si>
  <si>
    <t>ducky</t>
  </si>
  <si>
    <t>duck2025</t>
  </si>
  <si>
    <t>💎 500 鑽石、🏹 10 箭矢補給石</t>
  </si>
  <si>
    <t>DUCK666</t>
  </si>
  <si>
    <t>💎 1000 鑽石</t>
  </si>
  <si>
    <t>DUCK777</t>
  </si>
  <si>
    <t>🏹 20 箭矢補給石</t>
  </si>
  <si>
    <t>DUCK888</t>
  </si>
  <si>
    <t>🎟 5 首領挑戰券</t>
  </si>
  <si>
    <t>DUCK999</t>
  </si>
  <si>
    <t>DUCK555</t>
  </si>
  <si>
    <t>DUCK333</t>
  </si>
  <si>
    <t>GUAGUA888</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</si>
  <si>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</si>
  <si>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強大物資</t>
  </si>
  <si>
    <t>AAFB5000</t>
    <phoneticPr fontId="2" type="noConversion"/>
  </si>
  <si>
    <t>AFBA10K</t>
  </si>
  <si>
    <t>AFB25KA</t>
  </si>
  <si>
    <t>BOOM888</t>
  </si>
  <si>
    <t>POWER666</t>
  </si>
  <si>
    <t>HUZI888</t>
  </si>
  <si>
    <t>PINK000</t>
  </si>
  <si>
    <t>AJH777</t>
  </si>
  <si>
    <t>BIG999</t>
  </si>
  <si>
    <t>HAPPYFOOL</t>
  </si>
  <si>
    <t>綁定仙玉×50、赤雷劍靈×1</t>
  </si>
  <si>
    <t>PLAYNOW</t>
  </si>
  <si>
    <t>綁定仙玉×50、中級神兵精華×2</t>
  </si>
  <si>
    <t>wk467</t>
  </si>
  <si>
    <t>坐騎進階丹×5、2級長生寶石×1</t>
  </si>
  <si>
    <t>BLESS44</t>
  </si>
  <si>
    <t>坐騎進階丹×5、護送令×5</t>
  </si>
  <si>
    <t>綁定仙玉×50、洗鍊凝露×5</t>
  </si>
  <si>
    <t>綁定仙玉×50、神魔通行證×1</t>
  </si>
  <si>
    <t>SVIP999</t>
  </si>
  <si>
    <t>LWDC400K</t>
    <phoneticPr fontId="2" type="noConversion"/>
  </si>
  <si>
    <t>3D 放置卡牌遊戲，玩家可以在其中輕鬆掛機、躺平，享受隨玩隨停的戰鬥樂趣。 遊戲的特色包括多元的玩法、輕鬆的放置養成、以及豐富的卡牌收集和陣容搭配。</t>
    <phoneticPr fontId="2" type="noConversion"/>
  </si>
  <si>
    <t>SAN777</t>
    <phoneticPr fontId="2" type="noConversion"/>
  </si>
  <si>
    <t>HERO666</t>
    <phoneticPr fontId="2" type="noConversion"/>
  </si>
  <si>
    <t>VIP777</t>
    <phoneticPr fontId="2" type="noConversion"/>
  </si>
  <si>
    <t>LINDA777</t>
    <phoneticPr fontId="2" type="noConversion"/>
  </si>
  <si>
    <t>PDLOPEN</t>
    <phoneticPr fontId="2" type="noConversion"/>
  </si>
  <si>
    <t>K7666</t>
    <phoneticPr fontId="2" type="noConversion"/>
  </si>
  <si>
    <t>HL666</t>
  </si>
  <si>
    <t>HL888</t>
  </si>
  <si>
    <t>GENKISTM</t>
  </si>
  <si>
    <t>MintCat666</t>
  </si>
  <si>
    <t>Kzee666</t>
  </si>
  <si>
    <t>JIGG666</t>
  </si>
  <si>
    <t>BAXUAN666</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</si>
  <si>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</si>
  <si>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helloline</t>
    <phoneticPr fontId="2" type="noConversion"/>
  </si>
  <si>
    <t>200linefans</t>
    <phoneticPr fontId="2" type="noConversion"/>
  </si>
  <si>
    <t>400LINEFANS</t>
    <phoneticPr fontId="2" type="noConversion"/>
  </si>
  <si>
    <t>600LINEFANS</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</si>
  <si>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</si>
  <si>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</si>
  <si>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BEAUTYEYE1</t>
  </si>
  <si>
    <t xml:space="preserve">經典造型美瞳券 * 1 </t>
    <phoneticPr fontId="2" type="noConversion"/>
  </si>
  <si>
    <t>經典造型眉毛券 * 3</t>
    <phoneticPr fontId="2" type="noConversion"/>
  </si>
  <si>
    <t>DESS2566</t>
    <phoneticPr fontId="2" type="noConversion"/>
  </si>
  <si>
    <t>技能召喚券 x36</t>
    <phoneticPr fontId="2" type="noConversion"/>
  </si>
  <si>
    <t xml:space="preserve">DRAGON666 </t>
    <phoneticPr fontId="2" type="noConversion"/>
  </si>
  <si>
    <t>擁有高自由度的森林系輕度冒 險MMORPG，玩家可以運用靈活切換武器的技巧，來 討伐BOSS，或是在廣闊的世界中，享受生活模式玩法 ，獲得意想不到的樂趣。</t>
    <phoneticPr fontId="2" type="noConversion"/>
  </si>
  <si>
    <t>Lucky66</t>
  </si>
  <si>
    <t>Lucky666</t>
  </si>
  <si>
    <t>Lucky777</t>
  </si>
  <si>
    <t>Lucky168</t>
  </si>
  <si>
    <t>Star9527</t>
  </si>
  <si>
    <t>Lucky88</t>
  </si>
  <si>
    <t>GameOn</t>
  </si>
  <si>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</si>
  <si>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</si>
  <si>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greedisgood</t>
    <phoneticPr fontId="2" type="noConversion"/>
  </si>
  <si>
    <t>randomdraft</t>
    <phoneticPr fontId="2" type="noConversion"/>
  </si>
  <si>
    <t>whosyourdaddy</t>
    <phoneticPr fontId="2" type="noConversion"/>
  </si>
  <si>
    <t>MAOBT1</t>
    <phoneticPr fontId="2" type="noConversion"/>
  </si>
  <si>
    <t>金幣 10,000 + 鑽石 100</t>
    <phoneticPr fontId="2" type="noConversion"/>
  </si>
  <si>
    <t>MAOBT22</t>
    <phoneticPr fontId="2" type="noConversion"/>
  </si>
  <si>
    <t>隨機裝備寶箱 x1</t>
    <phoneticPr fontId="2" type="noConversion"/>
  </si>
  <si>
    <t>TOJ777</t>
    <phoneticPr fontId="2" type="noConversion"/>
  </si>
  <si>
    <t>每日獎勵加倍</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</si>
  <si>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</si>
  <si>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</si>
  <si>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大量寶石和金幣</t>
    <phoneticPr fontId="2" type="noConversion"/>
  </si>
  <si>
    <t>KNIGHT500</t>
    <phoneticPr fontId="2" type="noConversion"/>
  </si>
  <si>
    <t>角色經驗加成道具</t>
    <phoneticPr fontId="2" type="noConversion"/>
  </si>
  <si>
    <t>BANANA666</t>
    <phoneticPr fontId="2" type="noConversion"/>
  </si>
  <si>
    <t>VWX9HT</t>
    <phoneticPr fontId="2" type="noConversion"/>
  </si>
  <si>
    <t>SFNYEAR25</t>
    <phoneticPr fontId="2" type="noConversion"/>
  </si>
  <si>
    <t>WDK121</t>
    <phoneticPr fontId="2" type="noConversion"/>
  </si>
  <si>
    <t>SFJWK1</t>
    <phoneticPr fontId="2" type="noConversion"/>
  </si>
  <si>
    <t>SFXMAS</t>
    <phoneticPr fontId="2" type="noConversion"/>
  </si>
  <si>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</si>
  <si>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ChristmasGift</t>
    <phoneticPr fontId="2" type="noConversion"/>
  </si>
  <si>
    <t>武將突破丹*5</t>
    <phoneticPr fontId="2" type="noConversion"/>
  </si>
  <si>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</si>
  <si>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金幣500、藍色裝備捲軸5</t>
    <phoneticPr fontId="2" type="noConversion"/>
  </si>
  <si>
    <t>白銀寶箱鑰匙*3</t>
    <phoneticPr fontId="2" type="noConversion"/>
  </si>
  <si>
    <t>LDPLAYER2025</t>
    <phoneticPr fontId="2" type="noConversion"/>
  </si>
  <si>
    <t>元寶75、坐騎進階石10、10萬金幣*5</t>
    <phoneticPr fontId="2" type="noConversion"/>
  </si>
  <si>
    <t>FORESTGIFT</t>
    <phoneticPr fontId="2" type="noConversion"/>
  </si>
  <si>
    <t>DEERSPIRIT</t>
    <phoneticPr fontId="2" type="noConversion"/>
  </si>
  <si>
    <t>group2024</t>
    <phoneticPr fontId="2" type="noConversion"/>
  </si>
  <si>
    <t>Merry888</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</si>
  <si>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</si>
  <si>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elfds0106</t>
    <phoneticPr fontId="2" type="noConversion"/>
  </si>
  <si>
    <t>Fight1week</t>
    <phoneticPr fontId="2" type="noConversion"/>
  </si>
  <si>
    <t>Happy2025</t>
    <phoneticPr fontId="2" type="noConversion"/>
  </si>
  <si>
    <t>靈石*2025；異火種子*888；鳳羽*66</t>
    <phoneticPr fontId="2" type="noConversion"/>
  </si>
  <si>
    <t>NewYear25</t>
    <phoneticPr fontId="2" type="noConversion"/>
  </si>
  <si>
    <t>DP777</t>
    <phoneticPr fontId="2" type="noConversion"/>
  </si>
  <si>
    <t>DP888</t>
    <phoneticPr fontId="2" type="noConversion"/>
  </si>
  <si>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</si>
  <si>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FEARLESS2024</t>
    <phoneticPr fontId="2" type="noConversion"/>
  </si>
  <si>
    <t>500鑽石，5個高級召喚卷</t>
    <phoneticPr fontId="2" type="noConversion"/>
  </si>
  <si>
    <t>300鑽石，3個高級召喚卷</t>
    <phoneticPr fontId="2" type="noConversion"/>
  </si>
  <si>
    <t>NEWPLAYER</t>
    <phoneticPr fontId="2" type="noConversion"/>
  </si>
  <si>
    <t>200鑽石，2個高級召喚卷</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</si>
  <si>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</si>
  <si>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WOMAN</t>
    <phoneticPr fontId="2" type="noConversion"/>
  </si>
  <si>
    <t>20000藍鑽與1000紅鑽</t>
    <phoneticPr fontId="2" type="noConversion"/>
  </si>
  <si>
    <t>FB1000</t>
    <phoneticPr fontId="2" type="noConversion"/>
  </si>
  <si>
    <t>300普通箱子與2000藍鑽</t>
    <phoneticPr fontId="2" type="noConversion"/>
  </si>
  <si>
    <t>vip666</t>
    <phoneticPr fontId="2" type="noConversion"/>
  </si>
  <si>
    <t>wow999</t>
    <phoneticPr fontId="2" type="noConversion"/>
  </si>
  <si>
    <t>ntrgo666</t>
    <phoneticPr fontId="2" type="noConversion"/>
  </si>
  <si>
    <t>Sora2025</t>
    <phoneticPr fontId="2" type="noConversion"/>
  </si>
  <si>
    <t>PDBSG666</t>
    <phoneticPr fontId="2" type="noConversion"/>
  </si>
  <si>
    <t>VIP8888</t>
    <phoneticPr fontId="2" type="noConversion"/>
  </si>
  <si>
    <t>VIP6666</t>
    <phoneticPr fontId="2" type="noConversion"/>
  </si>
  <si>
    <t>Svip888</t>
    <phoneticPr fontId="2" type="noConversion"/>
  </si>
  <si>
    <t>Svip777</t>
    <phoneticPr fontId="2" type="noConversion"/>
  </si>
  <si>
    <t>Svip666</t>
    <phoneticPr fontId="2" type="noConversion"/>
  </si>
  <si>
    <t>FUXGK</t>
    <phoneticPr fontId="2" type="noConversion"/>
  </si>
  <si>
    <t>ZIYOJ</t>
    <phoneticPr fontId="2" type="noConversion"/>
  </si>
  <si>
    <t>TISPH</t>
    <phoneticPr fontId="2" type="noConversion"/>
  </si>
  <si>
    <t>UISPWJLL</t>
    <phoneticPr fontId="2" type="noConversion"/>
  </si>
  <si>
    <t>OPENTODAY</t>
    <phoneticPr fontId="2" type="noConversion"/>
  </si>
  <si>
    <t>happydecember</t>
    <phoneticPr fontId="2" type="noConversion"/>
  </si>
  <si>
    <t>鑽石5,000個、裝備召喚券30張</t>
    <phoneticPr fontId="2" type="noConversion"/>
  </si>
  <si>
    <t>FRIDAYHCLW</t>
    <phoneticPr fontId="2" type="noConversion"/>
  </si>
  <si>
    <t>COMMUNITY</t>
    <phoneticPr fontId="2" type="noConversion"/>
  </si>
  <si>
    <t>HAPPY2025</t>
    <phoneticPr fontId="2" type="noConversion"/>
  </si>
  <si>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</si>
  <si>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劍客物語</t>
    <phoneticPr fontId="2" type="noConversion"/>
  </si>
  <si>
    <t>4星角色召喚卷x1、5星防具箱子x1、S級突襲箱子x3、四葉草x5</t>
    <phoneticPr fontId="2" type="noConversion"/>
  </si>
  <si>
    <t>HALLOWEEN</t>
    <phoneticPr fontId="2" type="noConversion"/>
  </si>
  <si>
    <t>300紅寶石</t>
    <phoneticPr fontId="2" type="noConversion"/>
  </si>
  <si>
    <t>THX12000</t>
    <phoneticPr fontId="2" type="noConversion"/>
  </si>
  <si>
    <t>TOWERA</t>
    <phoneticPr fontId="2" type="noConversion"/>
  </si>
  <si>
    <t>人在塔在</t>
    <phoneticPr fontId="2" type="noConversion"/>
  </si>
  <si>
    <t xml:space="preserve">AS3DDC </t>
    <phoneticPr fontId="2" type="noConversion"/>
  </si>
  <si>
    <t>龍語霜城</t>
    <phoneticPr fontId="2" type="noConversion"/>
  </si>
  <si>
    <t>D5C9P2</t>
    <phoneticPr fontId="2" type="noConversion"/>
  </si>
  <si>
    <t>JoyfulDay</t>
    <phoneticPr fontId="2" type="noConversion"/>
  </si>
  <si>
    <t>HAPPY777</t>
    <phoneticPr fontId="2" type="noConversion"/>
  </si>
  <si>
    <t>PNC888</t>
    <phoneticPr fontId="2" type="noConversion"/>
  </si>
  <si>
    <t>PC777</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</si>
  <si>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</si>
  <si>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</si>
  <si>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 xml:space="preserve">1003DAY </t>
    <phoneticPr fontId="2" type="noConversion"/>
  </si>
  <si>
    <t>1000寶石</t>
    <phoneticPr fontId="2" type="noConversion"/>
  </si>
  <si>
    <t xml:space="preserve">FSBESTONE </t>
    <phoneticPr fontId="2" type="noConversion"/>
  </si>
  <si>
    <t xml:space="preserve">FSGRANDOPEN </t>
    <phoneticPr fontId="2" type="noConversion"/>
  </si>
  <si>
    <t xml:space="preserve">FS100KDOWN </t>
    <phoneticPr fontId="2" type="noConversion"/>
  </si>
  <si>
    <t xml:space="preserve">18OMEDETOU </t>
    <phoneticPr fontId="2" type="noConversion"/>
  </si>
  <si>
    <t>技師20抽、大砲20抽、英雄20抽、蛋糕20個</t>
    <phoneticPr fontId="2" type="noConversion"/>
  </si>
  <si>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</si>
  <si>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時間來到20XX年。主宰著新東京國、臉戴面具的謎樣男子「ZERO」宣布，在全國的城市裡「所有事情將以遊戲來做定奪」。自此他便透過「戰極遊戲（Extreme Games）」，通稱「XG」 來統治新東京。</t>
    <phoneticPr fontId="2" type="noConversion"/>
  </si>
  <si>
    <t>g0vveW93yH</t>
    <phoneticPr fontId="2" type="noConversion"/>
  </si>
  <si>
    <t>Ari7ved0K9</t>
    <phoneticPr fontId="2" type="noConversion"/>
  </si>
  <si>
    <t xml:space="preserve">《進擊的蝸牛》是一款放置類手遊，玩家可以輕鬆進行強化和升級，即使在工作或閒暇時也能享受遊戲樂趣。 遊戲中，玩家可以和夥伴一起探索、爬塔，進行自由遠征。 </t>
    <phoneticPr fontId="2" type="noConversion"/>
  </si>
  <si>
    <t>SNAIL2025</t>
    <phoneticPr fontId="2" type="noConversion"/>
  </si>
  <si>
    <t>AOS7777</t>
    <phoneticPr fontId="2" type="noConversion"/>
  </si>
  <si>
    <t>AOS9999</t>
    <phoneticPr fontId="2" type="noConversion"/>
  </si>
  <si>
    <t>AOS2025</t>
    <phoneticPr fontId="2" type="noConversion"/>
  </si>
  <si>
    <t>DBSNAIL</t>
    <phoneticPr fontId="2" type="noConversion"/>
  </si>
  <si>
    <t>LICESNAIL</t>
    <phoneticPr fontId="2" type="noConversion"/>
  </si>
  <si>
    <t>SCSNAIL</t>
    <phoneticPr fontId="2" type="noConversion"/>
  </si>
  <si>
    <t>SUPER555</t>
    <phoneticPr fontId="2" type="noConversion"/>
  </si>
  <si>
    <t>SUPER111</t>
    <phoneticPr fontId="2" type="noConversion"/>
  </si>
  <si>
    <t>SVIP777</t>
    <phoneticPr fontId="2" type="noConversion"/>
  </si>
  <si>
    <t>SVIP888</t>
    <phoneticPr fontId="2" type="noConversion"/>
  </si>
  <si>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</si>
  <si>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寵物票券*20、墨菲斯托*1、鑽石*500、技能票券*20</t>
    <phoneticPr fontId="2" type="noConversion"/>
  </si>
  <si>
    <t>鑽石*50、百煉錘*20</t>
    <phoneticPr fontId="2" type="noConversion"/>
  </si>
  <si>
    <t>金幣*500、技能票券*20</t>
    <phoneticPr fontId="2" type="noConversion"/>
  </si>
  <si>
    <t>音魂票券*20、鑽石*50</t>
    <phoneticPr fontId="2" type="noConversion"/>
  </si>
  <si>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</si>
  <si>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NEWSERVER</t>
    <phoneticPr fontId="2" type="noConversion"/>
  </si>
  <si>
    <t>3枚薔薇之心徽章，10本專精强化書，20瓶致命傷治療藥水</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</si>
  <si>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</si>
  <si>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</si>
  <si>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dnm6661</t>
    <phoneticPr fontId="2" type="noConversion"/>
  </si>
  <si>
    <t>出發吧麥芬</t>
    <phoneticPr fontId="2" type="noConversion"/>
  </si>
  <si>
    <t>xvknsqea </t>
    <phoneticPr fontId="2" type="noConversion"/>
  </si>
  <si>
    <t>盧恩文字x10, 原材料x200, 金幣x10K</t>
    <phoneticPr fontId="2" type="noConversion"/>
  </si>
  <si>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</si>
  <si>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ROMC5DAYS</t>
    <phoneticPr fontId="2" type="noConversion"/>
  </si>
  <si>
    <t>ROMC1MORE</t>
    <phoneticPr fontId="2" type="noConversion"/>
  </si>
  <si>
    <t>ROMCOBT</t>
    <phoneticPr fontId="2" type="noConversion"/>
  </si>
  <si>
    <t>魔力寶貝：復興</t>
    <phoneticPr fontId="2" type="noConversion"/>
  </si>
  <si>
    <t>火焰鼠彩券*1，銀幣*10萬，綁鑽*100</t>
    <phoneticPr fontId="2" type="noConversion"/>
  </si>
  <si>
    <t>初級熟練度卷軸*10</t>
    <phoneticPr fontId="2" type="noConversion"/>
  </si>
  <si>
    <t>初級魔石*5</t>
    <phoneticPr fontId="2" type="noConversion"/>
  </si>
  <si>
    <t>83br75mt</t>
    <phoneticPr fontId="2" type="noConversion"/>
  </si>
  <si>
    <t>LAODONG0501</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</si>
  <si>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</si>
  <si>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</si>
  <si>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DGCDM</t>
    <phoneticPr fontId="2" type="noConversion"/>
  </si>
  <si>
    <t>進階結晶Ⅲ×8、赤紅結晶×10、招募券×10、界限晶幣×5</t>
    <phoneticPr fontId="2" type="noConversion"/>
  </si>
  <si>
    <t>YXZGO</t>
    <phoneticPr fontId="2" type="noConversion"/>
  </si>
  <si>
    <t>強化石×20、招募券×4、改良電池×1、掃蕩券×10</t>
    <phoneticPr fontId="2" type="noConversion"/>
  </si>
  <si>
    <t>JMYAD</t>
    <phoneticPr fontId="2" type="noConversion"/>
  </si>
  <si>
    <t>鑽石×188、黃金兔寶寶×1、經驗書·大×5</t>
    <phoneticPr fontId="2" type="noConversion"/>
  </si>
  <si>
    <t>SQYY40</t>
    <phoneticPr fontId="2" type="noConversion"/>
  </si>
  <si>
    <t>WDDXT</t>
    <phoneticPr fontId="2" type="noConversion"/>
  </si>
  <si>
    <t>SQDS2</t>
    <phoneticPr fontId="2" type="noConversion"/>
  </si>
  <si>
    <t>招募券×2、進階結晶Ⅱ×8、協同銘牌·藍×30</t>
    <phoneticPr fontId="2" type="noConversion"/>
  </si>
  <si>
    <t>SQDS5</t>
    <phoneticPr fontId="2" type="noConversion"/>
  </si>
  <si>
    <t>招募券×1、進階結晶Ⅱ×8、協同銘牌·黃×30</t>
    <phoneticPr fontId="2" type="noConversion"/>
  </si>
  <si>
    <t>SQDS7</t>
    <phoneticPr fontId="2" type="noConversion"/>
  </si>
  <si>
    <t>鑽石×100、赤紅結晶×5、進階結晶Ⅰ×10</t>
    <phoneticPr fontId="2" type="noConversion"/>
  </si>
  <si>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</si>
  <si>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COAJP123</t>
    <phoneticPr fontId="2" type="noConversion"/>
  </si>
  <si>
    <t>COAJP888</t>
    <phoneticPr fontId="2" type="noConversion"/>
  </si>
  <si>
    <t>COAwin2</t>
    <phoneticPr fontId="2" type="noConversion"/>
  </si>
  <si>
    <t>COA1500</t>
    <phoneticPr fontId="2" type="noConversion"/>
  </si>
  <si>
    <t>COAKunDa</t>
    <phoneticPr fontId="2" type="noConversion"/>
  </si>
  <si>
    <t>晚安幣 ×6666、傳頌之聲 ×666、靈感微光 ×6666</t>
    <phoneticPr fontId="2" type="noConversion"/>
  </si>
  <si>
    <t>ZZZ888</t>
    <phoneticPr fontId="2" type="noConversion"/>
  </si>
  <si>
    <t>新紡枕芯 ×5</t>
    <phoneticPr fontId="2" type="noConversion"/>
  </si>
  <si>
    <t>EAHQQNK8D</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</si>
  <si>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</si>
  <si>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</si>
  <si>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kolihAWi</t>
    <phoneticPr fontId="2" type="noConversion"/>
  </si>
  <si>
    <t>金幣*100&amp;高級技能書*1&amp;1小時掛機技能經驗*1</t>
    <phoneticPr fontId="2" type="noConversion"/>
  </si>
  <si>
    <t>kolrlEZ2</t>
    <phoneticPr fontId="2" type="noConversion"/>
  </si>
  <si>
    <t>kolLmdXo</t>
    <phoneticPr fontId="2" type="noConversion"/>
  </si>
  <si>
    <t>金幣*100&amp;高級技能書*1&amp;1小時掛機Base經驗*3</t>
    <phoneticPr fontId="2" type="noConversion"/>
  </si>
  <si>
    <t>命運繩結*2&amp;金幣*100&amp;1小時掛機銀幣獎勵*3</t>
    <phoneticPr fontId="2" type="noConversion"/>
  </si>
  <si>
    <t>kolERDEP</t>
    <phoneticPr fontId="2" type="noConversion"/>
  </si>
  <si>
    <t>金幣*100&amp;天使之淚*4&amp;1小時掛機技能經驗*3</t>
    <phoneticPr fontId="2" type="noConversion"/>
  </si>
  <si>
    <t>gnnD3lvS</t>
    <phoneticPr fontId="2" type="noConversion"/>
  </si>
  <si>
    <t>金幣*200&amp;許願寶箱*1&amp;4小時掛機夥伴經驗*</t>
    <phoneticPr fontId="2" type="noConversion"/>
  </si>
  <si>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</si>
  <si>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DRAGON25</t>
    <phoneticPr fontId="2" type="noConversion"/>
  </si>
  <si>
    <t>TSIB666</t>
    <phoneticPr fontId="2" type="noConversion"/>
  </si>
  <si>
    <t>Uzra666</t>
  </si>
  <si>
    <t>zl666</t>
  </si>
  <si>
    <t>roger666</t>
  </si>
  <si>
    <t>TC666</t>
  </si>
  <si>
    <t>Red666</t>
  </si>
  <si>
    <t>LY666</t>
  </si>
  <si>
    <t>YR2099</t>
  </si>
  <si>
    <t>YR520</t>
  </si>
  <si>
    <t>YR999</t>
  </si>
  <si>
    <t>YR888</t>
  </si>
  <si>
    <t>YR666</t>
  </si>
  <si>
    <t>UL505</t>
  </si>
  <si>
    <t>UL987</t>
  </si>
  <si>
    <t>UL999</t>
  </si>
  <si>
    <t>UL888</t>
  </si>
  <si>
    <t>UL666</t>
  </si>
  <si>
    <t>NOX</t>
  </si>
  <si>
    <t>NOWGG</t>
  </si>
  <si>
    <t>START</t>
  </si>
  <si>
    <t>DADA</t>
  </si>
  <si>
    <t>NICACH</t>
  </si>
  <si>
    <t>UBYE</t>
  </si>
  <si>
    <t>PABOVTB</t>
  </si>
  <si>
    <t>CONYSU</t>
  </si>
  <si>
    <t>YULER4U</t>
  </si>
  <si>
    <t>10thousand</t>
  </si>
  <si>
    <t>8thousand</t>
  </si>
  <si>
    <t>5thousand</t>
  </si>
  <si>
    <t>3thousand</t>
  </si>
  <si>
    <t>1thousand</t>
  </si>
  <si>
    <t>HK8888</t>
  </si>
  <si>
    <t>TW6666</t>
  </si>
  <si>
    <t>VIP444</t>
  </si>
  <si>
    <t>VIP222</t>
  </si>
  <si>
    <t>斗羅大陸：逆轉時空</t>
    <phoneticPr fontId="2" type="noConversion"/>
  </si>
  <si>
    <t>0825EATGRASS </t>
  </si>
  <si>
    <t>0601Sausage </t>
  </si>
  <si>
    <t>7RongRong9 </t>
  </si>
  <si>
    <t>DL55555</t>
  </si>
  <si>
    <t>DL66666 </t>
  </si>
  <si>
    <t xml:space="preserve">CaptainDai0731 </t>
    <phoneticPr fontId="2" type="noConversion"/>
  </si>
  <si>
    <t>魔靈召喚：保衛戰</t>
    <phoneticPr fontId="2" type="noConversion"/>
  </si>
  <si>
    <t>vip888</t>
    <phoneticPr fontId="2" type="noConversion"/>
  </si>
  <si>
    <t>CDGOOD</t>
    <phoneticPr fontId="2" type="noConversion"/>
  </si>
  <si>
    <t>SSR魔獸寶箱一入</t>
  </si>
  <si>
    <t>459YxUqbJ12u</t>
  </si>
  <si>
    <t>高級新月之露x20、結晶原石x10、刻紋法典x10</t>
    <phoneticPr fontId="2" type="noConversion"/>
  </si>
  <si>
    <t>1zgQa3AD812u</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</si>
  <si>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</si>
  <si>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神裝鑰匙 ×5、初級神兵經驗結晶 ×5、綁元 ×50</t>
    <phoneticPr fontId="2" type="noConversion"/>
  </si>
  <si>
    <t>高級寵物經驗丹 ×2、神裝鑰匙 ×10、世界首領體力藥酒 ×3、領主刷新令 ×1</t>
    <phoneticPr fontId="2" type="noConversion"/>
  </si>
  <si>
    <t>世界首領體力藥酒 ×3、邊境首領體力藥酒 ×1、神裝鑰匙 ×10、綁元 ×100</t>
    <phoneticPr fontId="2" type="noConversion"/>
  </si>
  <si>
    <t>vip777</t>
    <phoneticPr fontId="2" type="noConversion"/>
  </si>
  <si>
    <t xml:space="preserve"> 坐騎進階結晶 ×10、初級寵物經驗丹 ×10、綁元 ×50</t>
    <phoneticPr fontId="2" type="noConversion"/>
  </si>
  <si>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</si>
  <si>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KSFB150K</t>
    <phoneticPr fontId="2" type="noConversion"/>
  </si>
  <si>
    <t>WORKERS2025</t>
    <phoneticPr fontId="2" type="noConversion"/>
  </si>
  <si>
    <t>EASTER2025</t>
    <phoneticPr fontId="2" type="noConversion"/>
  </si>
  <si>
    <t>koreatop1</t>
    <phoneticPr fontId="2" type="noConversion"/>
  </si>
  <si>
    <t>top2025</t>
    <phoneticPr fontId="2" type="noConversion"/>
  </si>
  <si>
    <t>隨機傳說英雄禮包*1、金幣*10K</t>
  </si>
  <si>
    <t>topwd666</t>
    <phoneticPr fontId="2" type="noConversion"/>
  </si>
  <si>
    <t>英雄招募券*1、鑽石*100</t>
  </si>
  <si>
    <t>wd888</t>
    <phoneticPr fontId="2" type="noConversion"/>
  </si>
  <si>
    <t>鑽石*100、金幣*10K</t>
  </si>
  <si>
    <t>鑽石*100、女神聖水*2</t>
  </si>
  <si>
    <t>ob888</t>
    <phoneticPr fontId="2" type="noConversion"/>
  </si>
  <si>
    <t>鑽石*60、金幣*600、升階魔石*30、英雄招募券*1、普通小槌*2、女神聖水*1、冰系精華*1</t>
  </si>
  <si>
    <t>vr666</t>
    <phoneticPr fontId="2" type="noConversion"/>
  </si>
  <si>
    <t>as888</t>
    <phoneticPr fontId="2" type="noConversion"/>
  </si>
  <si>
    <t>ab888</t>
    <phoneticPr fontId="2" type="noConversion"/>
  </si>
  <si>
    <t>et888</t>
    <phoneticPr fontId="2" type="noConversion"/>
  </si>
  <si>
    <t>nl888</t>
  </si>
  <si>
    <t>LUCKY</t>
    <phoneticPr fontId="2" type="noConversion"/>
  </si>
  <si>
    <t>6666鑽石</t>
    <phoneticPr fontId="2" type="noConversion"/>
  </si>
  <si>
    <t>YYJLLSLT</t>
    <phoneticPr fontId="2" type="noConversion"/>
  </si>
  <si>
    <t>ZHDML</t>
    <phoneticPr fontId="2" type="noConversion"/>
  </si>
  <si>
    <t>YYDLSLT </t>
  </si>
  <si>
    <t>WDDYSW</t>
  </si>
  <si>
    <t>招募*10</t>
    <phoneticPr fontId="2" type="noConversion"/>
  </si>
  <si>
    <t>XXJTGC</t>
  </si>
  <si>
    <t>XXJTGC2</t>
  </si>
  <si>
    <t>GCZA0119</t>
  </si>
  <si>
    <t>GCZA0120</t>
  </si>
  <si>
    <t>招募*20</t>
    <phoneticPr fontId="2" type="noConversion"/>
  </si>
  <si>
    <t>GCZA0121</t>
  </si>
  <si>
    <t>GCZA0122</t>
  </si>
  <si>
    <t>GCZA0123</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</si>
  <si>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</si>
  <si>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尚無</t>
    <phoneticPr fontId="2" type="noConversion"/>
  </si>
  <si>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</si>
  <si>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黃蓋（吳）</t>
    <phoneticPr fontId="2" type="noConversion"/>
  </si>
  <si>
    <t>kai-sangokushi-taisen-x-sakigake02</t>
    <phoneticPr fontId="2" type="noConversion"/>
  </si>
  <si>
    <t>孫權（吳）</t>
    <phoneticPr fontId="2" type="noConversion"/>
  </si>
  <si>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</si>
  <si>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SH777</t>
    <phoneticPr fontId="2" type="noConversion"/>
  </si>
  <si>
    <t>寶石*30000</t>
    <phoneticPr fontId="2" type="noConversion"/>
  </si>
  <si>
    <t>GRANDOPEN</t>
  </si>
  <si>
    <t>英雄/武器/技能召喚券*30</t>
  </si>
  <si>
    <t>SWITCHING</t>
  </si>
  <si>
    <t>寶石*100000</t>
  </si>
  <si>
    <t>寶石*111100</t>
  </si>
  <si>
    <t>進入主畫面，點選個人頭像</t>
    <phoneticPr fontId="2" type="noConversion"/>
  </si>
  <si>
    <t>BLADE619</t>
  </si>
  <si>
    <t>荒靈果*3、情義值*1000</t>
  </si>
  <si>
    <t>競猜幣*1、巔峰幣*150、部落威望*5萬</t>
  </si>
  <si>
    <t>珍珠*300、競猜幣*1</t>
  </si>
  <si>
    <t>競猜幣*1、巔峰幣*150、靈石*10萬</t>
  </si>
  <si>
    <t>珍珠*150</t>
  </si>
  <si>
    <t>week1</t>
  </si>
  <si>
    <t>珍珠*100、靈石*10萬</t>
  </si>
  <si>
    <t>week2</t>
  </si>
  <si>
    <t>珍珠*100、太陰石*150</t>
  </si>
  <si>
    <t>week3</t>
  </si>
  <si>
    <t>珍珠*100、荒靈果*1</t>
  </si>
  <si>
    <t>week5</t>
  </si>
  <si>
    <t>珍珠*100、懸賞刷新券*3</t>
  </si>
  <si>
    <t>week6</t>
  </si>
  <si>
    <t>珍珠*100、英雄經驗*5萬</t>
  </si>
  <si>
    <t>week7</t>
  </si>
  <si>
    <t>珍珠*100、戰帖*5</t>
  </si>
  <si>
    <t>week8</t>
  </si>
  <si>
    <t>珍珠*100、4星英雄精魄*30</t>
  </si>
  <si>
    <t>week9</t>
  </si>
  <si>
    <t>珍珠*100、青銅裝備*2</t>
  </si>
  <si>
    <t>week10</t>
  </si>
  <si>
    <t>珍珠*100、法寶殘片*200</t>
  </si>
  <si>
    <t>CIVENARYDN10</t>
  </si>
  <si>
    <t>高級招募令*10</t>
  </si>
  <si>
    <t>GREATNESS-IS-OURS</t>
  </si>
  <si>
    <t>高級招募令*10與資源</t>
  </si>
  <si>
    <t>成為魔法世界的連鎖店商業大亨！ 準備好在魔法世界建造屬於你的商業帝國了嗎？瞭解商場經營的一切，從搬運鋪貨到擺放貨架，甚至培訓新的喵喵員工！</t>
    <phoneticPr fontId="2" type="noConversion"/>
  </si>
  <si>
    <t>100鑽石+1000金幣</t>
    <phoneticPr fontId="2" type="noConversion"/>
  </si>
  <si>
    <t>300鑽石+3000金幣</t>
    <phoneticPr fontId="2" type="noConversion"/>
  </si>
  <si>
    <t>SVIP666</t>
    <phoneticPr fontId="2" type="noConversion"/>
  </si>
  <si>
    <t>SVIP999</t>
    <phoneticPr fontId="2" type="noConversion"/>
  </si>
  <si>
    <t>vivi</t>
  </si>
  <si>
    <t>roger</t>
  </si>
  <si>
    <t>Lite888</t>
  </si>
  <si>
    <t>Lite777</t>
  </si>
  <si>
    <t>Lite666</t>
  </si>
  <si>
    <t>Litereleased</t>
  </si>
  <si>
    <t>gift</t>
  </si>
  <si>
    <t>misspudding</t>
  </si>
  <si>
    <t>et</t>
  </si>
  <si>
    <t>SWEET</t>
  </si>
  <si>
    <t>akaoni</t>
  </si>
  <si>
    <t>DCUST4MT</t>
  </si>
  <si>
    <t>FBedF7cc</t>
  </si>
  <si>
    <t>DC7fANG8</t>
  </si>
  <si>
    <t>DCbkGjBE</t>
  </si>
  <si>
    <t>FBnneN4Y</t>
  </si>
  <si>
    <t>無</t>
    <phoneticPr fontId="2" type="noConversion"/>
  </si>
  <si>
    <t>英雄傳說：卡卡布三部曲</t>
  </si>
  <si>
    <t>vip777</t>
  </si>
  <si>
    <t>vip888</t>
  </si>
  <si>
    <t>VIP2025</t>
    <phoneticPr fontId="2" type="noConversion"/>
  </si>
  <si>
    <t>LOH999</t>
    <phoneticPr fontId="2" type="noConversion"/>
  </si>
  <si>
    <t>鑽石*500+高級英雄卡*10</t>
    <phoneticPr fontId="2" type="noConversion"/>
  </si>
  <si>
    <t>鑽石*200+經驗藥水*250K+星石*300</t>
    <phoneticPr fontId="2" type="noConversion"/>
  </si>
  <si>
    <t>daydayRPG0501</t>
  </si>
  <si>
    <t>0530RPG</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</si>
  <si>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</si>
  <si>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A9EJTD2222V</t>
    <phoneticPr fontId="2" type="noConversion"/>
  </si>
  <si>
    <t>FAEH7649</t>
    <phoneticPr fontId="2" type="noConversion"/>
  </si>
  <si>
    <t>滔湧少女</t>
  </si>
  <si>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</si>
  <si>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WG777</t>
    <phoneticPr fontId="2" type="noConversion"/>
  </si>
  <si>
    <t>WG888</t>
    <phoneticPr fontId="2" type="noConversion"/>
  </si>
  <si>
    <t>MMMGLMMMGL</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</si>
  <si>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</si>
  <si>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進入主畫面，點選個人頭像</t>
    <phoneticPr fontId="2" type="noConversion"/>
  </si>
  <si>
    <t>welcome666</t>
  </si>
  <si>
    <t>綁定金條*88、試煉石*15、魂力丹*30</t>
  </si>
  <si>
    <t>DC888</t>
  </si>
  <si>
    <t>綁定金條*188、靈體洗鍊石*10、精鐵*20</t>
  </si>
  <si>
    <t>SZ6666</t>
  </si>
  <si>
    <t>綁定金條*188、突破丹·騎*20、靈畫符·騎*50</t>
  </si>
  <si>
    <t>SZ8888</t>
  </si>
  <si>
    <t>綁定金條*300、精鐵*20、銅錢*18.89萬</t>
  </si>
  <si>
    <t>Nikki666</t>
  </si>
  <si>
    <t>2倍經驗藥水*1、銅錢*10萬、精鐵*5</t>
  </si>
  <si>
    <t>Nikki888</t>
  </si>
  <si>
    <t>突破丹·騎*5、靈畫符·騎*30、尋寶票*3</t>
  </si>
  <si>
    <t>靈玉袋*5、魂力丹*10、精鐵*3</t>
  </si>
  <si>
    <t>圖騰袋*5、靈畫符·騎*10、綺羅珠*20</t>
  </si>
  <si>
    <t>神龕*2、騎寵進階料箱*10、尋寶票*3</t>
  </si>
  <si>
    <t>鬼化丹·寵*10、精鐵*3、道門升級材料箱*5</t>
  </si>
  <si>
    <t>尋寶票*3、綺羅珠*20、魂力丹*5</t>
  </si>
  <si>
    <t>華裳幣*2、秘鑰·紅塵煉心*1、尋寶票*3</t>
  </si>
  <si>
    <t>MA3333</t>
    <phoneticPr fontId="2" type="noConversion"/>
  </si>
  <si>
    <t>MA7777</t>
    <phoneticPr fontId="2" type="noConversion"/>
  </si>
  <si>
    <t>強化石* 10</t>
    <phoneticPr fontId="2" type="noConversion"/>
  </si>
  <si>
    <t>更新中</t>
    <phoneticPr fontId="2" type="noConversion"/>
  </si>
  <si>
    <t>J0RO666</t>
    <phoneticPr fontId="2" type="noConversion"/>
  </si>
  <si>
    <t>6tanRO666</t>
  </si>
  <si>
    <t>RPG666</t>
  </si>
  <si>
    <t>ROG888</t>
  </si>
  <si>
    <t>FBHAPPY</t>
  </si>
  <si>
    <t>ROSG</t>
  </si>
  <si>
    <t>RO666</t>
  </si>
  <si>
    <t>RO888</t>
  </si>
  <si>
    <t>RO2025</t>
  </si>
  <si>
    <t>RO999</t>
  </si>
  <si>
    <t>VIPFree</t>
  </si>
  <si>
    <t>更新中</t>
    <phoneticPr fontId="2" type="noConversion"/>
  </si>
  <si>
    <t>更新中</t>
    <phoneticPr fontId="2" type="noConversion"/>
  </si>
  <si>
    <t>svip555 </t>
  </si>
  <si>
    <t>svip666 </t>
  </si>
  <si>
    <t>svip777 </t>
  </si>
  <si>
    <t>svip999 </t>
  </si>
  <si>
    <t>ssvip444 </t>
  </si>
  <si>
    <t>ssvip555 </t>
  </si>
  <si>
    <t>sssvip333 </t>
  </si>
  <si>
    <t>sssvip444 </t>
  </si>
  <si>
    <t>sssvip555 </t>
  </si>
  <si>
    <t>sssvip666 </t>
  </si>
  <si>
    <t>sssvip777 </t>
  </si>
  <si>
    <t>sssvip888 </t>
  </si>
  <si>
    <t>sssvip999</t>
  </si>
  <si>
    <t>YYDS666</t>
  </si>
  <si>
    <t>百萬神界</t>
  </si>
  <si>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</si>
  <si>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LUCK888</t>
  </si>
  <si>
    <t>突破石×100、普通召喚契約×3、金幣×66萬</t>
  </si>
  <si>
    <t>GOD888</t>
  </si>
  <si>
    <t>普通召喚契約×5、突破石×150、靈力×88萬</t>
  </si>
  <si>
    <t>普通尋寶鑰匙×2、鑽石×100、金幣×88萬</t>
  </si>
  <si>
    <t>普通尋寶鑰匙×3、刷新券×3、桃花釀×1</t>
  </si>
  <si>
    <t>GODS188</t>
  </si>
  <si>
    <t>普通尋寶鑰匙×10、突破石×88、鑽石×88</t>
  </si>
  <si>
    <t>GODS288</t>
  </si>
  <si>
    <t>高級尋寶鑰匙×1、突破石×188、鑽石×100</t>
  </si>
  <si>
    <t>GODS388</t>
  </si>
  <si>
    <t>高級召喚契約×2、突破石×288、鑽石×200</t>
  </si>
  <si>
    <t>GODS588</t>
  </si>
  <si>
    <t>高級召喚契約×3、千萬金幣禮×1、鑽石×300</t>
  </si>
  <si>
    <t>GODS688</t>
  </si>
  <si>
    <t>1000抽好禮×1、鑽石×400</t>
  </si>
  <si>
    <t>輸入禮包碼 → 確認兌換</t>
    <phoneticPr fontId="2" type="noConversion"/>
  </si>
  <si>
    <t>美男惡徒</t>
    <phoneticPr fontId="2" type="noConversion"/>
  </si>
  <si>
    <t>進入主畫面，點選個人頭像</t>
    <phoneticPr fontId="2" type="noConversion"/>
  </si>
  <si>
    <t>突破5,000人</t>
    <phoneticPr fontId="2" type="noConversion"/>
  </si>
  <si>
    <t>突破10,000人</t>
    <phoneticPr fontId="2" type="noConversion"/>
  </si>
  <si>
    <t>突破30,000人</t>
    <phoneticPr fontId="2" type="noConversion"/>
  </si>
  <si>
    <t>轉蛋券 ×4、鑽石 ×300、雞尾酒套餐（體力+100）×2</t>
    <phoneticPr fontId="2" type="noConversion"/>
  </si>
  <si>
    <t>ice888</t>
    <phoneticPr fontId="2" type="noConversion"/>
  </si>
  <si>
    <t>icewar666</t>
  </si>
  <si>
    <t>icewar777</t>
  </si>
  <si>
    <t>icewar888</t>
  </si>
  <si>
    <t>icewar999</t>
  </si>
  <si>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</si>
  <si>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輸入禮包碼 → 確認兌換</t>
    <phoneticPr fontId="2" type="noConversion"/>
  </si>
  <si>
    <t>斗羅大陸獵魂世界</t>
    <phoneticPr fontId="2" type="noConversion"/>
  </si>
  <si>
    <t>MMO666</t>
    <phoneticPr fontId="2" type="noConversion"/>
  </si>
  <si>
    <t>VIP555</t>
    <phoneticPr fontId="2" type="noConversion"/>
  </si>
  <si>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</si>
  <si>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即將更新</t>
    <phoneticPr fontId="2" type="noConversion"/>
  </si>
  <si>
    <t>即將更新</t>
    <phoneticPr fontId="2" type="noConversion"/>
  </si>
  <si>
    <t>先點擊CS code右邊的複製</t>
    <phoneticPr fontId="2" type="noConversion"/>
  </si>
  <si>
    <t>點添加優惠券貼上Cscode跟禮包碼</t>
    <phoneticPr fontId="2" type="noConversion"/>
  </si>
  <si>
    <t>杖劍傳說：坎斯汀之約</t>
  </si>
  <si>
    <t>進入主畫面後點右下角小方塊圖案</t>
    <phoneticPr fontId="2" type="noConversion"/>
  </si>
  <si>
    <t>點擊帳號</t>
    <phoneticPr fontId="2" type="noConversion"/>
  </si>
  <si>
    <t>ZJ777</t>
    <phoneticPr fontId="2" type="noConversion"/>
  </si>
  <si>
    <t>ZJ999</t>
    <phoneticPr fontId="2" type="noConversion"/>
  </si>
  <si>
    <t>糖果小人*2+蜜汁烤肉*3+青草糰子*50</t>
    <phoneticPr fontId="2" type="noConversion"/>
  </si>
  <si>
    <t>稀有女神牌*10+星之願*1</t>
    <phoneticPr fontId="2" type="noConversion"/>
  </si>
  <si>
    <t>進入主畫面後點左上角人頭</t>
    <phoneticPr fontId="2" type="noConversion"/>
  </si>
  <si>
    <t>畫面中間偏左"兌換"</t>
    <phoneticPr fontId="2" type="noConversion"/>
  </si>
  <si>
    <t>5分鐘加速*6+中型鋼材捆*3+大型發電機*3</t>
    <phoneticPr fontId="2" type="noConversion"/>
  </si>
  <si>
    <t>進擊的惡魔團</t>
  </si>
  <si>
    <t>金角瘦骨</t>
  </si>
  <si>
    <t>store1st</t>
  </si>
  <si>
    <t>200紅寶+10K金幣+5成長藥水</t>
    <phoneticPr fontId="2" type="noConversion"/>
  </si>
  <si>
    <t>在設定裡面找到激活碼</t>
    <phoneticPr fontId="2" type="noConversion"/>
  </si>
  <si>
    <t>OP888888</t>
  </si>
  <si>
    <t>上市典禮專屬獎勵，包含 SSR 卡、抽卡券</t>
  </si>
  <si>
    <t>預約特典，包含內部福利（如經驗加成、道具）</t>
  </si>
  <si>
    <t>同SVIP666多平台序號，領取獎勵相同</t>
  </si>
  <si>
    <t>預約更高階特典，可獲得額外福利</t>
  </si>
  <si>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</si>
  <si>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進入下方連結兌換</t>
    <phoneticPr fontId="2" type="noConversion"/>
  </si>
  <si>
    <t>https://rxr.happyelements.co.jp/campaign</t>
    <phoneticPr fontId="2" type="noConversion"/>
  </si>
  <si>
    <t>貼上剛剛複製的兌換碼</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</si>
  <si>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</si>
  <si>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像素全明星陣容，熱門經典人物大亂鬥
遊戲採用經典的點數風格，帶給玩家濃厚的懷舊感。 每個角色、場景和技能效果都呈現出極具創意和魅力的點數藝術，讓你在回憶經典的同時，享受全新的遊戲體驗。</t>
    <phoneticPr fontId="2" type="noConversion"/>
  </si>
  <si>
    <t>即時高智商對戰！獨創五行制衡戰術！
過百種浣熊英雄！每張都是藝術品！
全球PVP競技場！用策略證明誰是浣熊之王！
無門檻終極狂歡！首發限定SSR免費領！</t>
    <phoneticPr fontId="2" type="noConversion"/>
  </si>
  <si>
    <t>vip999</t>
  </si>
  <si>
    <t>金幣*100000+一元大鈔*3+鑽石*400</t>
    <phoneticPr fontId="2" type="noConversion"/>
  </si>
  <si>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</si>
  <si>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</si>
  <si>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遊戲內點擊左上方隊徽</t>
    <phoneticPr fontId="2" type="noConversion"/>
  </si>
  <si>
    <t>彈窗中輸入禮包碼即可</t>
    <phoneticPr fontId="2" type="noConversion"/>
  </si>
  <si>
    <t>資金*2M+金幣*200+士氣包*50</t>
    <phoneticPr fontId="2" type="noConversion"/>
  </si>
  <si>
    <t>選擇右側的「序號碼」</t>
    <phoneticPr fontId="2" type="noConversion"/>
  </si>
  <si>
    <t>★4 想起卡「褪去自我風格」</t>
    <phoneticPr fontId="2" type="noConversion"/>
  </si>
  <si>
    <t>a3aayerPNUHk</t>
    <phoneticPr fontId="2"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</si>
  <si>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</si>
  <si>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貼上剛剛複製好的禮包碼</t>
    <phoneticPr fontId="2" type="noConversion"/>
  </si>
  <si>
    <t>帝國幣*500+5分鐘建築加速*15+5分鐘研發加速*15+5分鐘訓練加速*15+1萬安全資源箱*25</t>
    <phoneticPr fontId="2" type="noConversion"/>
  </si>
  <si>
    <t>AGEMOBILETWAWAN</t>
    <phoneticPr fontId="2" type="noConversion"/>
  </si>
  <si>
    <t>帝國幣*200、5分鐘建造/研發*5、1萬安全資源寶箱*3</t>
    <phoneticPr fontId="2" type="noConversion"/>
  </si>
  <si>
    <t>AGEMOBILETWNL</t>
    <phoneticPr fontId="2" type="noConversion"/>
  </si>
  <si>
    <t>AGEMOBILETWHUALUN</t>
    <phoneticPr fontId="2" type="noConversion"/>
  </si>
  <si>
    <t xml:space="preserve"> 帝國幣*200、5分鐘建造/研發*5、1萬安全資源寶箱</t>
    <phoneticPr fontId="2" type="noConversion"/>
  </si>
  <si>
    <t>帝國幣*N+隨機資源加速</t>
    <phoneticPr fontId="2" type="noConversion"/>
  </si>
  <si>
    <t>AGEMOBILETWWAYNE</t>
    <phoneticPr fontId="2" type="noConversion"/>
  </si>
  <si>
    <t>設置進去點禮包碼</t>
    <phoneticPr fontId="2" type="noConversion"/>
  </si>
  <si>
    <t>貼上剛剛複製的禮包碼按確認</t>
    <phoneticPr fontId="2" type="noConversion"/>
  </si>
  <si>
    <t>OLSDZ888</t>
    <phoneticPr fontId="2" type="noConversion"/>
  </si>
  <si>
    <t>OLSDZ999</t>
    <phoneticPr fontId="2" type="noConversion"/>
  </si>
  <si>
    <t>鑽石*100+初級鎧甲圖紙+初級王冠圖紙+初級聖杯圖紙*4+初級面具圖紙*3+初級聖劍圖紙*1+金幣*88.8K</t>
    <phoneticPr fontId="2" type="noConversion"/>
  </si>
  <si>
    <t>鑽石*100</t>
    <phoneticPr fontId="2" type="noConversion"/>
  </si>
  <si>
    <t>體力*50</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</si>
  <si>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</si>
  <si>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遊戲主畫面左上角頭像</t>
    <phoneticPr fontId="2" type="noConversion"/>
  </si>
  <si>
    <t>大武道</t>
    <phoneticPr fontId="2" type="noConversion"/>
  </si>
  <si>
    <t>giKuBa</t>
  </si>
  <si>
    <t>穿書先鋒補給</t>
  </si>
  <si>
    <t>FTFiRo</t>
  </si>
  <si>
    <t>先行修練補給包</t>
  </si>
  <si>
    <t>QCKhLg</t>
  </si>
  <si>
    <t>yABTEh</t>
  </si>
  <si>
    <t>nHTgib</t>
  </si>
  <si>
    <t>GmzUMo</t>
  </si>
  <si>
    <t>waWrHF</t>
  </si>
  <si>
    <t>6Z3QVNZNC9</t>
    <phoneticPr fontId="2" type="noConversion"/>
  </si>
  <si>
    <t>精力*30+潛能點掛機券*5+探寶令*5</t>
    <phoneticPr fontId="2" type="noConversion"/>
  </si>
  <si>
    <t>精力*30+探寶令*5+淬體精華掛機券*5</t>
    <phoneticPr fontId="2" type="noConversion"/>
  </si>
  <si>
    <t>QWDZBKJZ8E</t>
    <phoneticPr fontId="2" type="noConversion"/>
  </si>
  <si>
    <t>功法殘頁*10+探寶令*5</t>
    <phoneticPr fontId="2" type="noConversion"/>
  </si>
  <si>
    <t>進遊戲按切換到設置選單</t>
    <phoneticPr fontId="2" type="noConversion"/>
  </si>
  <si>
    <t>貼上剛剛複製好的禮包碼</t>
    <phoneticPr fontId="2" type="noConversion"/>
  </si>
  <si>
    <t>到郵件收禮包</t>
    <phoneticPr fontId="2" type="noConversion"/>
  </si>
  <si>
    <t>CG666</t>
    <phoneticPr fontId="2" type="noConversion"/>
  </si>
  <si>
    <t>水之螢石碎片*35+火之螢石碎片+35+冰之螢石碎片+35+靈魂寶石*10</t>
    <phoneticPr fontId="2" type="noConversion"/>
  </si>
  <si>
    <t>MLO666</t>
    <phoneticPr fontId="2" type="noConversion"/>
  </si>
  <si>
    <t>劍太傳說：新的開始</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</si>
  <si>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</si>
  <si>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銀幣*5萬、元寶*50、召喚券*1</t>
    <phoneticPr fontId="2" type="noConversion"/>
  </si>
  <si>
    <t>kenta888</t>
    <phoneticPr fontId="2" type="noConversion"/>
  </si>
  <si>
    <t>輸入禮包碼並點擊「立即兌換」即可領取獎勵。</t>
    <phoneticPr fontId="2" type="noConversion"/>
  </si>
  <si>
    <t>WYM666</t>
    <phoneticPr fontId="2" type="noConversion"/>
  </si>
  <si>
    <t>CSC888</t>
    <phoneticPr fontId="2" type="noConversion"/>
  </si>
  <si>
    <t>《Final War：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phoneticPr fontId="2" type="noConversion"/>
  </si>
  <si>
    <t>黑夜獵人</t>
    <phoneticPr fontId="2" type="noConversion"/>
  </si>
  <si>
    <t>進遊戲主畫面後按左上角頭像</t>
    <phoneticPr fontId="2" type="noConversion"/>
  </si>
  <si>
    <t>輸入禮包碼並點擊「獎勵兌換」即可領取獎勵。</t>
    <phoneticPr fontId="2" type="noConversion"/>
  </si>
  <si>
    <t>主畫面上方搖桿按鈕</t>
    <phoneticPr fontId="2" type="noConversion"/>
  </si>
  <si>
    <t>MFADSQFL</t>
    <phoneticPr fontId="2" type="noConversion"/>
  </si>
  <si>
    <t>有效期限到8月31日</t>
    <phoneticPr fontId="2" type="noConversion"/>
  </si>
  <si>
    <t>貼上剛剛複製的禮包碼</t>
  </si>
  <si>
    <t>官方釋出中</t>
    <phoneticPr fontId="2" type="noConversion"/>
  </si>
  <si>
    <t>貼上禮包碼並點擊「立即兌換」即可領取獎勵。</t>
    <phoneticPr fontId="2" type="noConversion"/>
  </si>
  <si>
    <t>傳奇金卡檸檬妹</t>
    <phoneticPr fontId="2" type="noConversion"/>
  </si>
  <si>
    <t xml:space="preserve">DW5R6LSJG
</t>
    <phoneticPr fontId="2" type="noConversion"/>
  </si>
  <si>
    <t>初來蝦到禮包</t>
    <phoneticPr fontId="2" type="noConversion"/>
  </si>
  <si>
    <t>在遊戲主畫面點左上角頭像</t>
    <phoneticPr fontId="2" type="noConversion"/>
  </si>
  <si>
    <t>貼上在SSbuy複製好的禮包兌換碼</t>
    <phoneticPr fontId="2" type="noConversion"/>
  </si>
  <si>
    <t>異獸蛋*100+法寶精華*5+靈石*5000</t>
    <phoneticPr fontId="2" type="noConversion"/>
  </si>
  <si>
    <t>三國志Thrones</t>
    <phoneticPr fontId="2" type="noConversion"/>
  </si>
  <si>
    <t>點券定即可領取兌換碼禮包內容物</t>
    <phoneticPr fontId="2" type="noConversion"/>
  </si>
  <si>
    <t>4gpa91</t>
    <phoneticPr fontId="2" type="noConversion"/>
  </si>
  <si>
    <t>HLMobile777</t>
    <phoneticPr fontId="2" type="noConversion"/>
  </si>
  <si>
    <t>附靈召喚券*5+金幣*16888</t>
    <phoneticPr fontId="2" type="noConversion"/>
  </si>
  <si>
    <t>附靈召喚券*3+金幣*8888+隨機強化沙禮包*20</t>
    <phoneticPr fontId="2" type="noConversion"/>
  </si>
  <si>
    <t>未鑑定勇者團</t>
  </si>
  <si>
    <t>貼上在SSbuy複製好的禮包兌換碼之後按是</t>
    <phoneticPr fontId="2" type="noConversion"/>
  </si>
  <si>
    <t>25VACAYHOT</t>
    <phoneticPr fontId="2" type="noConversion"/>
  </si>
  <si>
    <t>戰靈異聞社</t>
  </si>
  <si>
    <t>CHIAO777</t>
    <phoneticPr fontId="2" type="noConversion"/>
  </si>
  <si>
    <t>COUNT3</t>
    <phoneticPr fontId="2" type="noConversion"/>
  </si>
  <si>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</si>
  <si>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等待更新中</t>
    <phoneticPr fontId="2" type="noConversion"/>
  </si>
  <si>
    <t>全明星無雙</t>
    <phoneticPr fontId="2" type="noConversion"/>
  </si>
  <si>
    <t>按兌換即可領取免費兌換禮包碼</t>
    <phoneticPr fontId="2" type="noConversion"/>
  </si>
  <si>
    <t>橫幅圖片檔名</t>
    <phoneticPr fontId="2" type="noConversion"/>
  </si>
  <si>
    <t>canonical_url</t>
    <phoneticPr fontId="2" type="noConversion"/>
  </si>
  <si>
    <t>禮包碼7</t>
    <phoneticPr fontId="2" type="noConversion"/>
  </si>
  <si>
    <t>內容物7</t>
    <phoneticPr fontId="2" type="noConversion"/>
  </si>
  <si>
    <t>禮包碼8</t>
    <phoneticPr fontId="2" type="noConversion"/>
  </si>
  <si>
    <t>內容物8</t>
    <phoneticPr fontId="2" type="noConversion"/>
  </si>
  <si>
    <t>禮包碼9</t>
    <phoneticPr fontId="2" type="noConversion"/>
  </si>
  <si>
    <t>內容物9</t>
    <phoneticPr fontId="2" type="noConversion"/>
  </si>
  <si>
    <t>禮包碼10</t>
    <phoneticPr fontId="2" type="noConversion"/>
  </si>
  <si>
    <t>禮包碼11</t>
    <phoneticPr fontId="2" type="noConversion"/>
  </si>
  <si>
    <t>內容物11</t>
    <phoneticPr fontId="2" type="noConversion"/>
  </si>
  <si>
    <t>禮包碼12</t>
    <phoneticPr fontId="2" type="noConversion"/>
  </si>
  <si>
    <t>禮包碼13</t>
    <phoneticPr fontId="2" type="noConversion"/>
  </si>
  <si>
    <t>內容物13</t>
    <phoneticPr fontId="2" type="noConversion"/>
  </si>
  <si>
    <t>禮包碼14</t>
    <phoneticPr fontId="2" type="noConversion"/>
  </si>
  <si>
    <t>內容物14</t>
    <phoneticPr fontId="2" type="noConversion"/>
  </si>
  <si>
    <t>禮包碼15</t>
    <phoneticPr fontId="2" type="noConversion"/>
  </si>
  <si>
    <t>禮包碼16</t>
    <phoneticPr fontId="2" type="noConversion"/>
  </si>
  <si>
    <t>內容物16</t>
    <phoneticPr fontId="2" type="noConversion"/>
  </si>
  <si>
    <t>禮包碼17</t>
    <phoneticPr fontId="2" type="noConversion"/>
  </si>
  <si>
    <t>內容物17</t>
    <phoneticPr fontId="2" type="noConversion"/>
  </si>
  <si>
    <t>禮包碼18</t>
    <phoneticPr fontId="2" type="noConversion"/>
  </si>
  <si>
    <t>內容物18</t>
    <phoneticPr fontId="2" type="noConversion"/>
  </si>
  <si>
    <t>禮包碼19</t>
    <phoneticPr fontId="2" type="noConversion"/>
  </si>
  <si>
    <t>內容物19</t>
    <phoneticPr fontId="2" type="noConversion"/>
  </si>
  <si>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</si>
  <si>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進入主畫面，點選個人頭像</t>
    <phoneticPr fontId="2" type="noConversion"/>
  </si>
  <si>
    <t>輸入禮包碼 → 確認兌換</t>
    <phoneticPr fontId="2" type="noConversion"/>
  </si>
  <si>
    <t>原神，啟動!</t>
    <phoneticPr fontId="2" type="noConversion"/>
  </si>
  <si>
    <t>輸入禮包碼 → 確認兌換</t>
    <phoneticPr fontId="2" type="noConversion"/>
  </si>
  <si>
    <t>極速快感</t>
    <phoneticPr fontId="2" type="noConversion"/>
  </si>
  <si>
    <t>進入主畫面，點選個人頭像</t>
    <phoneticPr fontId="2" type="noConversion"/>
  </si>
  <si>
    <t>輸入禮包碼 → 確認兌換</t>
    <phoneticPr fontId="2" type="noConversion"/>
  </si>
  <si>
    <t>逆水寒</t>
    <phoneticPr fontId="2" type="noConversion"/>
  </si>
  <si>
    <t>可不可愛？我們說了算！</t>
    <phoneticPr fontId="2" type="noConversion"/>
  </si>
  <si>
    <t>蜂蜜*5</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</si>
  <si>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</si>
  <si>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</si>
  <si>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未定事件簿</t>
    <phoneticPr fontId="2" type="noConversion"/>
  </si>
  <si>
    <t>當正義與邪惡的界定越來越模糊，妳手中的天平將會傾向何方？一場戀愛與推理的冒險，此刻，邀妳共赴。</t>
    <phoneticPr fontId="2" type="noConversion"/>
  </si>
  <si>
    <t>末日的今天，精靈們等候您的指示…救援者，帶領著她們的靈魂活下去吧。</t>
    <phoneticPr fontId="2" type="noConversion"/>
  </si>
  <si>
    <t>喜歡策略塔防、鍾愛三國名將的你，絕對不容錯過這款高畫質3D塔防力作！豐富的塔防玩法、酷炫的技能特效，讓你盡享爽快的遊戲體驗。</t>
    <phoneticPr fontId="2" type="noConversion"/>
  </si>
  <si>
    <t>進入主畫面，點選個人頭像</t>
    <phoneticPr fontId="2" type="noConversion"/>
  </si>
  <si>
    <t>我獨自升級：ARISE</t>
    <phoneticPr fontId="2" type="noConversion"/>
  </si>
  <si>
    <t>SLALIVESTREAM</t>
    <phoneticPr fontId="2" type="noConversion"/>
  </si>
  <si>
    <t>JULYUPDATELIVE</t>
    <phoneticPr fontId="2" type="noConversion"/>
  </si>
  <si>
    <t>SEEYOUSOON</t>
    <phoneticPr fontId="2" type="noConversion"/>
  </si>
  <si>
    <t>SURPRISEGIFT</t>
    <phoneticPr fontId="2" type="noConversion"/>
  </si>
  <si>
    <t>THXSLVARISETHX</t>
    <phoneticPr fontId="2" type="noConversion"/>
  </si>
  <si>
    <t>WORLD1STLEVELUP</t>
    <phoneticPr fontId="2" type="noConversion"/>
  </si>
  <si>
    <t>STAYSHARP</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</si>
  <si>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</si>
  <si>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</si>
  <si>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FEEL666</t>
    <phoneticPr fontId="2" type="noConversion"/>
  </si>
  <si>
    <t>PEACH520</t>
    <phoneticPr fontId="2" type="noConversion"/>
  </si>
  <si>
    <t>SEX000</t>
    <phoneticPr fontId="2" type="noConversion"/>
  </si>
  <si>
    <t>SEX666</t>
    <phoneticPr fontId="2" type="noConversion"/>
  </si>
  <si>
    <t>SEX777</t>
    <phoneticPr fontId="2" type="noConversion"/>
  </si>
  <si>
    <t>SEX888</t>
    <phoneticPr fontId="2" type="noConversion"/>
  </si>
  <si>
    <t>SEX999</t>
    <phoneticPr fontId="2" type="noConversion"/>
  </si>
  <si>
    <t>FEEL003</t>
    <phoneticPr fontId="2" type="noConversion"/>
  </si>
  <si>
    <t>FEEL888</t>
    <phoneticPr fontId="2" type="noConversion"/>
  </si>
  <si>
    <t>FEEL999</t>
    <phoneticPr fontId="2" type="noConversion"/>
  </si>
  <si>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</si>
  <si>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放置军团666</t>
    <phoneticPr fontId="2" type="noConversion"/>
  </si>
  <si>
    <t>氪晶*200</t>
    <phoneticPr fontId="2" type="noConversion"/>
  </si>
  <si>
    <t xml:space="preserve">FZJT666 </t>
    <phoneticPr fontId="2" type="noConversion"/>
  </si>
  <si>
    <t>魔晶*10000</t>
    <phoneticPr fontId="2" type="noConversion"/>
  </si>
  <si>
    <t>可靠的布道者</t>
    <phoneticPr fontId="2" type="noConversion"/>
  </si>
  <si>
    <t>氪晶*500</t>
    <phoneticPr fontId="2" type="noConversion"/>
  </si>
  <si>
    <t>头秃古卜林们</t>
    <phoneticPr fontId="2" type="noConversion"/>
  </si>
  <si>
    <t>魔晶*20000</t>
    <phoneticPr fontId="2" type="noConversion"/>
  </si>
  <si>
    <t>我会回来的啊</t>
    <phoneticPr fontId="2" type="noConversion"/>
  </si>
  <si>
    <t>契约筹码*2</t>
    <phoneticPr fontId="2" type="noConversion"/>
  </si>
  <si>
    <t>明日方舟</t>
    <phoneticPr fontId="2" type="noConversion"/>
  </si>
  <si>
    <t>迷宮裡……竟然存在這樣的地方？準備好刀劍和法杖，也別忘了鍋、鏟和調味料！準備好了嗎，我們要開動了喔！</t>
    <phoneticPr fontId="2" type="noConversion"/>
  </si>
  <si>
    <t>5VVK6LN5BM3GLFA6</t>
    <phoneticPr fontId="2" type="noConversion"/>
  </si>
  <si>
    <t>理智*60、中級作戰紀錄*20、龍門幣*20000</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</si>
  <si>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</si>
  <si>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</si>
  <si>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VIP777</t>
    <phoneticPr fontId="2" type="noConversion"/>
  </si>
  <si>
    <t>SG444</t>
    <phoneticPr fontId="2" type="noConversion"/>
  </si>
  <si>
    <t>SG666</t>
    <phoneticPr fontId="2" type="noConversion"/>
  </si>
  <si>
    <t>SG888</t>
    <phoneticPr fontId="2" type="noConversion"/>
  </si>
  <si>
    <t>SSSVIP</t>
    <phoneticPr fontId="2" type="noConversion"/>
  </si>
  <si>
    <t>開服大吉</t>
    <phoneticPr fontId="2" type="noConversion"/>
  </si>
  <si>
    <t>屍鬼關羽</t>
    <phoneticPr fontId="2" type="noConversion"/>
  </si>
  <si>
    <t>EGAMEPAY</t>
    <phoneticPr fontId="2" type="noConversion"/>
  </si>
  <si>
    <t>星鏈計畫：未來少女</t>
    <phoneticPr fontId="2" type="noConversion"/>
  </si>
  <si>
    <t xml:space="preserve">在無盡的絕望中，為少女們構築希望藍圖！ </t>
    <phoneticPr fontId="2" type="noConversion"/>
  </si>
  <si>
    <t>TGS24STARSEED</t>
    <phoneticPr fontId="2" type="noConversion"/>
  </si>
  <si>
    <t xml:space="preserve"> 10張綠券</t>
    <phoneticPr fontId="2" type="noConversion"/>
  </si>
  <si>
    <t>CHASINGLEINSTARS</t>
    <phoneticPr fontId="2" type="noConversion"/>
  </si>
  <si>
    <t>5張綠券</t>
    <phoneticPr fontId="2" type="noConversion"/>
  </si>
  <si>
    <t>STARSEEDFREEGIFT</t>
    <phoneticPr fontId="2" type="noConversion"/>
  </si>
  <si>
    <t>200星際比特</t>
    <phoneticPr fontId="2" type="noConversion"/>
  </si>
  <si>
    <t>GET5STARSEEDGIRLS</t>
    <phoneticPr fontId="2" type="noConversion"/>
  </si>
  <si>
    <t>5張綠券</t>
    <phoneticPr fontId="2" type="noConversion"/>
  </si>
  <si>
    <t>SIAXFREYJA</t>
    <phoneticPr fontId="2" type="noConversion"/>
  </si>
  <si>
    <t>5張金券</t>
    <phoneticPr fontId="2" type="noConversion"/>
  </si>
  <si>
    <t>除了我們分享的遊戲畫面、影片和其他細節之外，我還想讓大家了解我們對遊戲的期望與願景。
我們希望能藉由《英雄之王》捕捉遊戲的本質。</t>
    <phoneticPr fontId="2" type="noConversion"/>
  </si>
  <si>
    <t>FORUM4U</t>
    <phoneticPr fontId="2" type="noConversion"/>
  </si>
  <si>
    <t>THXKAKAO</t>
    <phoneticPr fontId="2" type="noConversion"/>
  </si>
  <si>
    <t>WELCOMELOH</t>
    <phoneticPr fontId="2" type="noConversion"/>
  </si>
  <si>
    <t>GOOGLEBEST</t>
    <phoneticPr fontId="2" type="noConversion"/>
  </si>
  <si>
    <t>LOHFORTUNE</t>
    <phoneticPr fontId="2" type="noConversion"/>
  </si>
  <si>
    <t>JPGOOGLE1</t>
    <phoneticPr fontId="2" type="noConversion"/>
  </si>
  <si>
    <t>LEVELUPUP</t>
    <phoneticPr fontId="2" type="noConversion"/>
  </si>
  <si>
    <t>GOOGLEFAME</t>
    <phoneticPr fontId="2" type="noConversion"/>
  </si>
  <si>
    <t>THANKSLORD</t>
    <phoneticPr fontId="2" type="noConversion"/>
  </si>
  <si>
    <t>G9TGAS2024</t>
    <phoneticPr fontId="2" type="noConversion"/>
  </si>
  <si>
    <t>英雄六選一 + 流星頭像</t>
    <phoneticPr fontId="2" type="noConversion"/>
  </si>
  <si>
    <t>G9FB888</t>
    <phoneticPr fontId="2" type="noConversion"/>
  </si>
  <si>
    <t>3000金幣</t>
    <phoneticPr fontId="2" type="noConversion"/>
  </si>
  <si>
    <t>» 配對以產生受精卵: 進行戰略性交配以創造更強大的恐龍。» 點擊孵化無限的蛋: 不斷擴展你的恐龍收藏。</t>
    <phoneticPr fontId="2" type="noConversion"/>
  </si>
  <si>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</si>
  <si>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MH8888</t>
    <phoneticPr fontId="2" type="noConversion"/>
  </si>
  <si>
    <t>永久兌換碼</t>
    <phoneticPr fontId="2" type="noConversion"/>
  </si>
  <si>
    <t>MH7777</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</si>
  <si>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</si>
  <si>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</si>
  <si>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 xml:space="preserve">WAJ7CVBC4SG3 </t>
    <phoneticPr fontId="2" type="noConversion"/>
  </si>
  <si>
    <t>星瓊x50、信用點x10k</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</si>
  <si>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</si>
  <si>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TOSNASIAN</t>
    <phoneticPr fontId="2" type="noConversion"/>
  </si>
  <si>
    <t xml:space="preserve"> 貓靈扭蛋券 × 1、銀花 × 50000、強化卷軸 × 20</t>
    <phoneticPr fontId="2" type="noConversion"/>
  </si>
  <si>
    <t>TOSN30DAYS</t>
    <phoneticPr fontId="2" type="noConversion"/>
  </si>
  <si>
    <t>LVVHKXYMBWPZ</t>
    <phoneticPr fontId="2" type="noConversion"/>
  </si>
  <si>
    <t>貓票 × 2、光珀 × 100</t>
    <phoneticPr fontId="2" type="noConversion"/>
  </si>
  <si>
    <t>TOSNGIFT</t>
    <phoneticPr fontId="2" type="noConversion"/>
  </si>
  <si>
    <t>TOSN666</t>
    <phoneticPr fontId="2" type="noConversion"/>
  </si>
  <si>
    <t>2025GIFT</t>
    <phoneticPr fontId="2" type="noConversion"/>
  </si>
  <si>
    <t>hello2025</t>
    <phoneticPr fontId="2" type="noConversion"/>
  </si>
  <si>
    <t>怪物們在這一天毫無預兆地突然降臨，城市與家園都籠罩在猙獰與陰霾中。
我們需要你，勇士！為我們抵禦黑暗勢力！
來吧！和我們一起，召喚出賦有神奇力量的球球，與黑暗勢力戰鬥！</t>
    <phoneticPr fontId="2" type="noConversion"/>
  </si>
  <si>
    <t>E94LNYAM</t>
    <phoneticPr fontId="2" type="noConversion"/>
  </si>
  <si>
    <t>RM6G7HF4</t>
    <phoneticPr fontId="2" type="noConversion"/>
  </si>
  <si>
    <t>VBGEW5JZ</t>
    <phoneticPr fontId="2" type="noConversion"/>
  </si>
  <si>
    <t>第七個世界的故事...生命的女神迪彩將自己的權勢瓜分，創造出聖約的繼承者及神獸</t>
    <phoneticPr fontId="2" type="noConversion"/>
  </si>
  <si>
    <t>THANKSHEIRALL</t>
    <phoneticPr fontId="2" type="noConversion"/>
  </si>
  <si>
    <t xml:space="preserve">10片生命之葉 &amp; 1,000,000金幣  </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</si>
  <si>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</si>
  <si>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</si>
  <si>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SHASHA77</t>
    <phoneticPr fontId="2" type="noConversion"/>
  </si>
  <si>
    <t>HOWHOW</t>
    <phoneticPr fontId="2" type="noConversion"/>
  </si>
  <si>
    <t>GENESIS</t>
    <phoneticPr fontId="2" type="noConversion"/>
  </si>
  <si>
    <t>Kr1stw</t>
    <phoneticPr fontId="2" type="noConversion"/>
  </si>
  <si>
    <t>GenesisGoogleHOT</t>
    <phoneticPr fontId="2" type="noConversion"/>
  </si>
  <si>
    <t>jazlatte</t>
    <phoneticPr fontId="2" type="noConversion"/>
  </si>
  <si>
    <t>roger9527</t>
    <phoneticPr fontId="2" type="noConversion"/>
  </si>
  <si>
    <t>greentea</t>
    <phoneticPr fontId="2" type="noConversion"/>
  </si>
  <si>
    <t>pudding1223xd</t>
    <phoneticPr fontId="2" type="noConversion"/>
  </si>
  <si>
    <t>COMMUTE</t>
    <phoneticPr fontId="2" type="noConversion"/>
  </si>
  <si>
    <t>ennaouii</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</si>
  <si>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</si>
  <si>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</si>
  <si>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master111</t>
    <phoneticPr fontId="2" type="noConversion"/>
  </si>
  <si>
    <t>top111</t>
    <phoneticPr fontId="2" type="noConversion"/>
  </si>
  <si>
    <t>top666</t>
    <phoneticPr fontId="2" type="noConversion"/>
  </si>
  <si>
    <t>top777</t>
    <phoneticPr fontId="2" type="noConversion"/>
  </si>
  <si>
    <t>top888</t>
    <phoneticPr fontId="2" type="noConversion"/>
  </si>
  <si>
    <t>Ldtop666</t>
    <phoneticPr fontId="2" type="noConversion"/>
  </si>
  <si>
    <t>Noxtop666</t>
    <phoneticPr fontId="2" type="noConversion"/>
  </si>
  <si>
    <t>Bluetop666</t>
    <phoneticPr fontId="2" type="noConversion"/>
  </si>
  <si>
    <t>master666</t>
    <phoneticPr fontId="2" type="noConversion"/>
  </si>
  <si>
    <t>master777</t>
    <phoneticPr fontId="2" type="noConversion"/>
  </si>
  <si>
    <t>master888</t>
    <phoneticPr fontId="2" type="noConversion"/>
  </si>
  <si>
    <t>master999</t>
    <phoneticPr fontId="2" type="noConversion"/>
  </si>
  <si>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</si>
  <si>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二週年快樂</t>
    <phoneticPr fontId="2" type="noConversion"/>
  </si>
  <si>
    <t>幽零風暴</t>
    <phoneticPr fontId="2" type="noConversion"/>
  </si>
  <si>
    <t>感謝一路相伴</t>
    <phoneticPr fontId="2" type="noConversion"/>
  </si>
  <si>
    <t>白記實業發大財</t>
    <phoneticPr fontId="2" type="noConversion"/>
  </si>
  <si>
    <t xml:space="preserve">遊戲故事發生在被神秘災害「空洞」所侵襲的後世界末日世界中，主角是一位名為「繩匠」的角色，負責引導人們進入「空洞」並與怪物「以骸」戰鬥。 </t>
    <phoneticPr fontId="2" type="noConversion"/>
  </si>
  <si>
    <t>HARUMASAGIFTALL</t>
    <phoneticPr fontId="2" type="noConversion"/>
  </si>
  <si>
    <t>2025年可用兌換碼</t>
    <phoneticPr fontId="2" type="noConversion"/>
  </si>
  <si>
    <t>ZZZ4PC</t>
    <phoneticPr fontId="2" type="noConversion"/>
  </si>
  <si>
    <t>2024 PC 限定兌換碼</t>
    <phoneticPr fontId="2" type="noConversion"/>
  </si>
  <si>
    <t>ZZZFM</t>
    <phoneticPr fontId="2" type="noConversion"/>
  </si>
  <si>
    <t>2024 日本全家合作兌換碼</t>
    <phoneticPr fontId="2" type="noConversion"/>
  </si>
  <si>
    <t>ZZZGFN24</t>
    <phoneticPr fontId="2" type="noConversion"/>
  </si>
  <si>
    <t>2024 GeForce NOW x 絕區零 兌換碼</t>
    <phoneticPr fontId="2" type="noConversion"/>
  </si>
  <si>
    <t>HSAHLWFEFE</t>
    <phoneticPr fontId="2" type="noConversion"/>
  </si>
  <si>
    <t>2024年推出，仍可使用</t>
    <phoneticPr fontId="2" type="noConversion"/>
  </si>
  <si>
    <t>ZENLESSGIFT</t>
    <phoneticPr fontId="2" type="noConversion"/>
  </si>
  <si>
    <t>ZZZ15MINA</t>
    <phoneticPr fontId="2" type="noConversion"/>
  </si>
  <si>
    <t>2025 1.5 版兌換碼</t>
    <phoneticPr fontId="2" type="noConversion"/>
  </si>
  <si>
    <t xml:space="preserve">Garena 傳說對決是一款節奏快速、輕鬆又不失競技成分的MOBA 手遊，經典玩法加上獨特的輪盤指向施法的直覺操作模式，輕鬆競技於指掌之間！ </t>
    <phoneticPr fontId="2" type="noConversion"/>
  </si>
  <si>
    <t>2025AOV777</t>
    <phoneticPr fontId="2" type="noConversion"/>
  </si>
  <si>
    <t>光暗擊殺特效永久</t>
    <phoneticPr fontId="2" type="noConversion"/>
  </si>
  <si>
    <t>楓之谷M</t>
    <phoneticPr fontId="2" type="noConversion"/>
  </si>
  <si>
    <t xml:space="preserve">《楓之谷M》是一款由Nexon開發的免費大型多人線上角色扮演遊戲，是基於《楓之谷》的移動版。 遊戲中玩家可以扮演來自各地的角色，進行冒險、戰鬥、任務、以及和其他玩家互動。 </t>
    <phoneticPr fontId="2" type="noConversion"/>
  </si>
  <si>
    <t>202501EREL</t>
    <phoneticPr fontId="2" type="noConversion"/>
  </si>
  <si>
    <t>橘色經驗值增加券X5、自動戰鬥補充券X3、地城入場券組合</t>
    <phoneticPr fontId="2" type="noConversion"/>
  </si>
  <si>
    <t>蛇湯X2、自動戰鬥補充券X4、弄蛇人椅子X1</t>
    <phoneticPr fontId="2" type="noConversion"/>
  </si>
  <si>
    <t>202502ARCHON</t>
    <phoneticPr fontId="2" type="noConversion"/>
  </si>
  <si>
    <t>AGAINHASTE</t>
    <phoneticPr fontId="2" type="noConversion"/>
  </si>
  <si>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</si>
  <si>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VCN9R5JONA6F</t>
    <phoneticPr fontId="2" type="noConversion"/>
  </si>
  <si>
    <t xml:space="preserve">咪咪蛋 </t>
    <phoneticPr fontId="2" type="noConversion"/>
  </si>
  <si>
    <t>大丸</t>
    <phoneticPr fontId="2" type="noConversion"/>
  </si>
  <si>
    <t>QZ05OKNOB8FW</t>
    <phoneticPr fontId="2" type="noConversion"/>
  </si>
  <si>
    <t>璐洛洛</t>
    <phoneticPr fontId="2" type="noConversion"/>
  </si>
  <si>
    <t>K82WZ34HXSJK</t>
    <phoneticPr fontId="2" type="noConversion"/>
  </si>
  <si>
    <t>懶貓</t>
    <phoneticPr fontId="2" type="noConversion"/>
  </si>
  <si>
    <t>劍與遠征：啟程</t>
    <phoneticPr fontId="2" type="noConversion"/>
  </si>
  <si>
    <t xml:space="preserve">afkjoshikatsu </t>
    <phoneticPr fontId="2" type="noConversion"/>
  </si>
  <si>
    <t>200鑽石和金幣</t>
    <phoneticPr fontId="2" type="noConversion"/>
  </si>
  <si>
    <t xml:space="preserve">MAGICAFKJOURNEY </t>
    <phoneticPr fontId="2" type="noConversion"/>
  </si>
  <si>
    <t xml:space="preserve">200鑽石+金幣
</t>
    <phoneticPr fontId="2" type="noConversion"/>
  </si>
  <si>
    <t xml:space="preserve">AFKJomedetou </t>
    <phoneticPr fontId="2" type="noConversion"/>
  </si>
  <si>
    <t>1000鑽和20000金幣</t>
    <phoneticPr fontId="2" type="noConversion"/>
  </si>
  <si>
    <t xml:space="preserve">AFKJCREATOR </t>
    <phoneticPr fontId="2" type="noConversion"/>
  </si>
  <si>
    <t>100鑽和18888金幣</t>
    <phoneticPr fontId="2" type="noConversion"/>
  </si>
  <si>
    <t xml:space="preserve">AFKJCOMMUNITY </t>
    <phoneticPr fontId="2" type="noConversion"/>
  </si>
  <si>
    <t>100鑽和10000金幣</t>
    <phoneticPr fontId="2" type="noConversion"/>
  </si>
  <si>
    <t>rabbit2024</t>
    <phoneticPr fontId="2" type="noConversion"/>
  </si>
  <si>
    <t>三色寶箱</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</si>
  <si>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</si>
  <si>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</si>
  <si>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</si>
  <si>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</si>
  <si>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 xml:space="preserve">有聲有色不俗套的英雄設定，超過90名來源於世界各地的神話人物與歷史大家齊聚一堂，不同信仰的夥伴助力你的異世界之旅！ </t>
    <phoneticPr fontId="2" type="noConversion"/>
  </si>
  <si>
    <t xml:space="preserve">一款日系輕鬆番RPG遊戲，玩家將作為失去力量的傳說之龍法夫納，與尋求幫助的傲嬌公主兼屠龍勇士齊格菲，一同穿梭在奇幻世界的相愛相殺之旅。 </t>
    <phoneticPr fontId="2" type="noConversion"/>
  </si>
  <si>
    <t>ZONGZI2025</t>
    <phoneticPr fontId="2" type="noConversion"/>
  </si>
  <si>
    <t>DEEPSPACE4</t>
    <phoneticPr fontId="2" type="noConversion"/>
  </si>
  <si>
    <t>極空許願券 ×10</t>
    <phoneticPr fontId="2" type="noConversion"/>
  </si>
  <si>
    <t>鑽石×200＋體力×200＋心願之瓶·稀有×520＋訂製頭飾·「全宇宙最幸福的人」</t>
    <phoneticPr fontId="2" type="noConversion"/>
  </si>
  <si>
    <t>100000FOLLOW</t>
    <phoneticPr fontId="2" type="noConversion"/>
  </si>
  <si>
    <t>WELCOME31</t>
    <phoneticPr fontId="2" type="noConversion"/>
  </si>
  <si>
    <t>HAPPY2CU9</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</si>
  <si>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</si>
  <si>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</si>
  <si>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sleep3</t>
    <phoneticPr fontId="2" type="noConversion"/>
  </si>
  <si>
    <t>Spring</t>
    <phoneticPr fontId="2" type="noConversion"/>
  </si>
  <si>
    <t>Holiday</t>
    <phoneticPr fontId="2" type="noConversion"/>
  </si>
  <si>
    <t>1month</t>
    <phoneticPr fontId="2" type="noConversion"/>
  </si>
  <si>
    <t>sweekend</t>
    <phoneticPr fontId="2" type="noConversion"/>
  </si>
  <si>
    <t>weekend</t>
    <phoneticPr fontId="2" type="noConversion"/>
  </si>
  <si>
    <t>千機券*2+銅幣*10000</t>
    <phoneticPr fontId="2" type="noConversion"/>
  </si>
  <si>
    <t>千機券:2+絕學武學殘卷:5</t>
    <phoneticPr fontId="2" type="noConversion"/>
  </si>
  <si>
    <t>DTSDQ4RCQG</t>
    <phoneticPr fontId="2" type="noConversion"/>
  </si>
  <si>
    <t>千機券:2+銅幣:10000</t>
    <phoneticPr fontId="2" type="noConversion"/>
  </si>
  <si>
    <t>FWWRM8E6I6</t>
    <phoneticPr fontId="2" type="noConversion"/>
  </si>
  <si>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</si>
  <si>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hsu888</t>
    <phoneticPr fontId="2" type="noConversion"/>
  </si>
  <si>
    <t>3sg87</t>
    <phoneticPr fontId="2" type="noConversion"/>
  </si>
  <si>
    <t>cyuu</t>
    <phoneticPr fontId="2" type="noConversion"/>
  </si>
  <si>
    <t>HRXY4LH1K</t>
    <phoneticPr fontId="2" type="noConversion"/>
  </si>
  <si>
    <t>❤ 殿下，你回來了!❤</t>
    <phoneticPr fontId="2" type="noConversion"/>
  </si>
  <si>
    <t>OPJS741</t>
    <phoneticPr fontId="2" type="noConversion"/>
  </si>
  <si>
    <t xml:space="preserve">龍玉*50  |   火焰果*5 </t>
    <phoneticPr fontId="2" type="noConversion"/>
  </si>
  <si>
    <t>MOKL789</t>
    <phoneticPr fontId="2" type="noConversion"/>
  </si>
  <si>
    <t>錨點降臨Re：Code</t>
    <phoneticPr fontId="2" type="noConversion"/>
  </si>
  <si>
    <t>神契氣靈師</t>
    <phoneticPr fontId="2" type="noConversion"/>
  </si>
  <si>
    <t>不休旅途：繪卷世界</t>
    <phoneticPr fontId="2" type="noConversion"/>
  </si>
  <si>
    <t>CONYSU888</t>
    <phoneticPr fontId="2" type="noConversion"/>
  </si>
  <si>
    <t>穿梭燦爛文明 開啟奇幻之旅，一起體驗從石器時代、到蒸汽時代的多文明經營之路吧~</t>
    <phoneticPr fontId="2" type="noConversion"/>
  </si>
  <si>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</si>
  <si>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</si>
  <si>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SAN888</t>
    <phoneticPr fontId="2" type="noConversion"/>
  </si>
  <si>
    <t>SAN999</t>
    <phoneticPr fontId="2" type="noConversion"/>
  </si>
  <si>
    <t>HERO777</t>
    <phoneticPr fontId="2" type="noConversion"/>
  </si>
  <si>
    <t>HERO888</t>
    <phoneticPr fontId="2" type="noConversion"/>
  </si>
  <si>
    <t>HERO2025</t>
    <phoneticPr fontId="2" type="noConversion"/>
  </si>
  <si>
    <t>LINDA666</t>
    <phoneticPr fontId="2" type="noConversion"/>
  </si>
  <si>
    <t>LINDA888</t>
    <phoneticPr fontId="2" type="noConversion"/>
  </si>
  <si>
    <t>LINDA999</t>
    <phoneticPr fontId="2" type="noConversion"/>
  </si>
  <si>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</si>
  <si>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Honey666</t>
    <phoneticPr fontId="2" type="noConversion"/>
  </si>
  <si>
    <t>ET666</t>
    <phoneticPr fontId="2" type="noConversion"/>
  </si>
  <si>
    <t>ET888</t>
    <phoneticPr fontId="2" type="noConversion"/>
  </si>
  <si>
    <t>Vinson666</t>
    <phoneticPr fontId="2" type="noConversion"/>
  </si>
  <si>
    <t>STM1212</t>
    <phoneticPr fontId="2" type="noConversion"/>
  </si>
  <si>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</si>
  <si>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 xml:space="preserve">SOTDGIFT </t>
    <phoneticPr fontId="2" type="noConversion"/>
  </si>
  <si>
    <t>1k 鑽石</t>
    <phoneticPr fontId="2" type="noConversion"/>
  </si>
  <si>
    <t>shadow2024</t>
    <phoneticPr fontId="2" type="noConversion"/>
  </si>
  <si>
    <t>LINE0294</t>
    <phoneticPr fontId="2" type="noConversion"/>
  </si>
  <si>
    <t>500LINEFANS</t>
    <phoneticPr fontId="2" type="noConversion"/>
  </si>
  <si>
    <t>EYEBROW3</t>
    <phoneticPr fontId="2" type="noConversion"/>
  </si>
  <si>
    <t>TAKECARE61</t>
    <phoneticPr fontId="2" type="noConversion"/>
  </si>
  <si>
    <t>寶箱x200</t>
    <phoneticPr fontId="2" type="noConversion"/>
  </si>
  <si>
    <t>水晶 x450</t>
    <phoneticPr fontId="2" type="noConversion"/>
  </si>
  <si>
    <t>showmethemoney</t>
    <phoneticPr fontId="2" type="noConversion"/>
  </si>
  <si>
    <t>snipergogo</t>
    <phoneticPr fontId="2" type="noConversion"/>
  </si>
  <si>
    <t>w5jwurfznd</t>
    <phoneticPr fontId="2" type="noConversion"/>
  </si>
  <si>
    <t xml:space="preserve">融合經典武俠與復古像素風格的手機RPG，讓玩家體驗快意恩仇的江湖世界。 </t>
    <phoneticPr fontId="2" type="noConversion"/>
  </si>
  <si>
    <t>CROWN888</t>
    <phoneticPr fontId="2" type="noConversion"/>
  </si>
  <si>
    <t>WOLFGIRL777</t>
    <phoneticPr fontId="2" type="noConversion"/>
  </si>
  <si>
    <t>強化道具和高級裝備材料</t>
    <phoneticPr fontId="2" type="noConversion"/>
  </si>
  <si>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</si>
  <si>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SUNFLOWERTD</t>
    <phoneticPr fontId="2" type="noConversion"/>
  </si>
  <si>
    <t>生命之種x1, 物理植物精華</t>
    <phoneticPr fontId="2" type="noConversion"/>
  </si>
  <si>
    <t>APPLE777</t>
    <phoneticPr fontId="2" type="noConversion"/>
  </si>
  <si>
    <t>PEACH888</t>
    <phoneticPr fontId="2" type="noConversion"/>
  </si>
  <si>
    <t>SFGROUP</t>
    <phoneticPr fontId="2" type="noConversion"/>
  </si>
  <si>
    <t>植物材料鑰匙x1, 體力x20</t>
    <phoneticPr fontId="2" type="noConversion"/>
  </si>
  <si>
    <t>B5D9SF</t>
    <phoneticPr fontId="2" type="noConversion"/>
  </si>
  <si>
    <t>VALENTINESF</t>
    <phoneticPr fontId="2" type="noConversion"/>
  </si>
  <si>
    <t>SFT25E</t>
    <phoneticPr fontId="2" type="noConversion"/>
  </si>
  <si>
    <t>SFWP2S</t>
    <phoneticPr fontId="2" type="noConversion"/>
  </si>
  <si>
    <t>WSF128</t>
    <phoneticPr fontId="2" type="noConversion"/>
  </si>
  <si>
    <t>WKSF31</t>
    <phoneticPr fontId="2" type="noConversion"/>
  </si>
  <si>
    <t>SFNewYear25</t>
    <phoneticPr fontId="2" type="noConversion"/>
  </si>
  <si>
    <t>高級裝備鑰匙x1, 生命之種x1, 體力x10</t>
    <phoneticPr fontId="2" type="noConversion"/>
  </si>
  <si>
    <t>WEEKEND1</t>
    <phoneticPr fontId="2" type="noConversion"/>
  </si>
  <si>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</si>
  <si>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ESG1234</t>
    <phoneticPr fontId="2" type="noConversion"/>
  </si>
  <si>
    <t>名將招募令*3</t>
    <phoneticPr fontId="2" type="noConversion"/>
  </si>
  <si>
    <t>ESG5678</t>
    <phoneticPr fontId="2" type="noConversion"/>
  </si>
  <si>
    <t>ESG9999</t>
    <phoneticPr fontId="2" type="noConversion"/>
  </si>
  <si>
    <t>體力20、金幣200</t>
    <phoneticPr fontId="2" type="noConversion"/>
  </si>
  <si>
    <t>SLQJ2025</t>
    <phoneticPr fontId="2" type="noConversion"/>
  </si>
  <si>
    <t>元寶100、坐騎進階石20、金幣*50萬</t>
    <phoneticPr fontId="2" type="noConversion"/>
  </si>
  <si>
    <t>稀有裝備寶箱1、經驗藥水5</t>
    <phoneticPr fontId="2" type="noConversion"/>
  </si>
  <si>
    <t>幻獸召喚券2、技能點數10</t>
    <phoneticPr fontId="2" type="noConversion"/>
  </si>
  <si>
    <t>SSSVIP666</t>
    <phoneticPr fontId="2" type="noConversion"/>
  </si>
  <si>
    <t>NewYear666</t>
    <phoneticPr fontId="2" type="noConversion"/>
  </si>
  <si>
    <t>鬥破蒼穹：蕭門篇</t>
    <phoneticPr fontId="2" type="noConversion"/>
  </si>
  <si>
    <t>Fight1226</t>
    <phoneticPr fontId="2" type="noConversion"/>
  </si>
  <si>
    <t>靈石*800；夥伴抽獎券*20；挑戰狀*3</t>
    <phoneticPr fontId="2" type="noConversion"/>
  </si>
  <si>
    <t>wpefs1230</t>
    <phoneticPr fontId="2" type="noConversion"/>
  </si>
  <si>
    <t>DAY01</t>
    <phoneticPr fontId="2" type="noConversion"/>
  </si>
  <si>
    <t>DAY02</t>
    <phoneticPr fontId="2" type="noConversion"/>
  </si>
  <si>
    <t>DP666</t>
    <phoneticPr fontId="2" type="noConversion"/>
  </si>
  <si>
    <t>靈石*300；轉蛋券*5</t>
    <phoneticPr fontId="2" type="noConversion"/>
  </si>
  <si>
    <t>WELCOMEFS</t>
    <phoneticPr fontId="2" type="noConversion"/>
  </si>
  <si>
    <t>代號：無頭</t>
    <phoneticPr fontId="2" type="noConversion"/>
  </si>
  <si>
    <t>HIMARCH</t>
    <phoneticPr fontId="2" type="noConversion"/>
  </si>
  <si>
    <t>200普通箱子與20k藍鑽</t>
    <phoneticPr fontId="2" type="noConversion"/>
  </si>
  <si>
    <t>LAST3</t>
    <phoneticPr fontId="2" type="noConversion"/>
  </si>
  <si>
    <t>33333藍鑽與3333紅鑽</t>
    <phoneticPr fontId="2" type="noConversion"/>
  </si>
  <si>
    <t>IOSNEW</t>
    <phoneticPr fontId="2" type="noConversion"/>
  </si>
  <si>
    <t>VIP111</t>
    <phoneticPr fontId="2" type="noConversion"/>
  </si>
  <si>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</si>
  <si>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Taurentgo</t>
    <phoneticPr fontId="2" type="noConversion"/>
  </si>
  <si>
    <t>ntrgo777</t>
    <phoneticPr fontId="2" type="noConversion"/>
  </si>
  <si>
    <t>ntrgo888</t>
    <phoneticPr fontId="2" type="noConversion"/>
  </si>
  <si>
    <t>RYAN666</t>
    <phoneticPr fontId="2" type="noConversion"/>
  </si>
  <si>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</si>
  <si>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WK118</t>
    <phoneticPr fontId="2" type="noConversion"/>
  </si>
  <si>
    <t>MONDAY1</t>
    <phoneticPr fontId="2" type="noConversion"/>
  </si>
  <si>
    <t>VIP7777</t>
    <phoneticPr fontId="2" type="noConversion"/>
  </si>
  <si>
    <t>Study111</t>
    <phoneticPr fontId="2" type="noConversion"/>
  </si>
  <si>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</si>
  <si>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FTRQG</t>
    <phoneticPr fontId="2" type="noConversion"/>
  </si>
  <si>
    <t>ONLINE</t>
    <phoneticPr fontId="2" type="noConversion"/>
  </si>
  <si>
    <t>TSBGF</t>
    <phoneticPr fontId="2" type="noConversion"/>
  </si>
  <si>
    <t>YY0108</t>
    <phoneticPr fontId="2" type="noConversion"/>
  </si>
  <si>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</si>
  <si>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SHUWEIDW2025</t>
    <phoneticPr fontId="2" type="noConversion"/>
  </si>
  <si>
    <t>WEOQKAMN</t>
    <phoneticPr fontId="2" type="noConversion"/>
  </si>
  <si>
    <t>OIWPSLQA</t>
    <phoneticPr fontId="2" type="noConversion"/>
  </si>
  <si>
    <t>YUSQLAPI</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</si>
  <si>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</si>
  <si>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</si>
  <si>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chitui</t>
    <phoneticPr fontId="2" type="noConversion"/>
  </si>
  <si>
    <t>happyjanuary2025</t>
    <phoneticPr fontId="2" type="noConversion"/>
  </si>
  <si>
    <t>happyplay</t>
    <phoneticPr fontId="2" type="noConversion"/>
  </si>
  <si>
    <t>discordclub</t>
    <phoneticPr fontId="2" type="noConversion"/>
  </si>
  <si>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</si>
  <si>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WELCOMEHCLW</t>
    <phoneticPr fontId="2" type="noConversion"/>
  </si>
  <si>
    <t>鑽石10,000個、奇加工坊使用券100張</t>
    <phoneticPr fontId="2" type="noConversion"/>
  </si>
  <si>
    <t>PLUSHCLW</t>
    <phoneticPr fontId="2" type="noConversion"/>
  </si>
  <si>
    <t>靈魂珠400個、鑽石1,500個、骰子200個</t>
    <phoneticPr fontId="2" type="noConversion"/>
  </si>
  <si>
    <t>PREREGISTER</t>
    <phoneticPr fontId="2" type="noConversion"/>
  </si>
  <si>
    <t>鑽石10,000個、好運Buff藥丸</t>
    <phoneticPr fontId="2" type="noConversion"/>
  </si>
  <si>
    <t>鑽石6,500個、裝備召喚券30張</t>
    <phoneticPr fontId="2" type="noConversion"/>
  </si>
  <si>
    <t>鑽石50,000個</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</si>
  <si>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</si>
  <si>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SWORDMASTER</t>
    <phoneticPr fontId="2" type="noConversion"/>
  </si>
  <si>
    <t>1200行動力</t>
    <phoneticPr fontId="2" type="noConversion"/>
  </si>
  <si>
    <t>COOLTIPS</t>
    <phoneticPr fontId="2" type="noConversion"/>
  </si>
  <si>
    <t>600紅寶石</t>
    <phoneticPr fontId="2" type="noConversion"/>
  </si>
  <si>
    <t>GIFT1111DAY</t>
    <phoneticPr fontId="2" type="noConversion"/>
  </si>
  <si>
    <t>1111行動力</t>
    <phoneticPr fontId="2" type="noConversion"/>
  </si>
  <si>
    <t>EHTUPDATE</t>
    <phoneticPr fontId="2" type="noConversion"/>
  </si>
  <si>
    <t>700紅寶石</t>
    <phoneticPr fontId="2" type="noConversion"/>
  </si>
  <si>
    <t>BFGIFT</t>
    <phoneticPr fontId="2" type="noConversion"/>
  </si>
  <si>
    <t>SCROLL3</t>
    <phoneticPr fontId="2" type="noConversion"/>
  </si>
  <si>
    <t>1000行動力</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</si>
  <si>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</si>
  <si>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 xml:space="preserve">AS3DDISCORD </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</si>
  <si>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</si>
  <si>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J4K6R3</t>
    <phoneticPr fontId="2" type="noConversion"/>
  </si>
  <si>
    <t>G8H2E9</t>
    <phoneticPr fontId="2" type="noConversion"/>
  </si>
  <si>
    <t>PNCGO</t>
    <phoneticPr fontId="2" type="noConversion"/>
  </si>
  <si>
    <t>PNC333</t>
    <phoneticPr fontId="2" type="noConversion"/>
  </si>
  <si>
    <t>PNC168</t>
    <phoneticPr fontId="2" type="noConversion"/>
  </si>
  <si>
    <t>R2M6N9</t>
    <phoneticPr fontId="2" type="noConversion"/>
  </si>
  <si>
    <t>PNC123</t>
    <phoneticPr fontId="2" type="noConversion"/>
  </si>
  <si>
    <t>EASTERD8</t>
    <phoneticPr fontId="2" type="noConversion"/>
  </si>
  <si>
    <t xml:space="preserve">THXSSO </t>
    <phoneticPr fontId="2" type="noConversion"/>
  </si>
  <si>
    <t>技師20抽、大砲20抽</t>
    <phoneticPr fontId="2" type="noConversion"/>
  </si>
  <si>
    <t>3000寶石、蛋糕3個</t>
    <phoneticPr fontId="2" type="noConversion"/>
  </si>
  <si>
    <t xml:space="preserve">THANKYOUFO </t>
    <phoneticPr fontId="2" type="noConversion"/>
  </si>
  <si>
    <t>技師30抽、大砲30抽、英雄10抽</t>
    <phoneticPr fontId="2" type="noConversion"/>
  </si>
  <si>
    <t xml:space="preserve">英雄10抽 </t>
    <phoneticPr fontId="2" type="noConversion"/>
  </si>
  <si>
    <t xml:space="preserve">FSTW2024 </t>
    <phoneticPr fontId="2" type="noConversion"/>
  </si>
  <si>
    <t xml:space="preserve">技師50抽、大砲50抽、1000寶石 </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</si>
  <si>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</si>
  <si>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</si>
  <si>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 xml:space="preserve">VYYPMPRM </t>
    <phoneticPr fontId="2" type="noConversion"/>
  </si>
  <si>
    <t>神祕粒子結晶 x 120</t>
    <phoneticPr fontId="2" type="noConversion"/>
  </si>
  <si>
    <t>tTa2IlRgGN</t>
    <phoneticPr fontId="2" type="noConversion"/>
  </si>
  <si>
    <t>金幣100000，鑽石500</t>
    <phoneticPr fontId="2" type="noConversion"/>
  </si>
  <si>
    <t>AOS8888</t>
    <phoneticPr fontId="2" type="noConversion"/>
  </si>
  <si>
    <t>貓貓拉桿*50、鑽石*50</t>
    <phoneticPr fontId="2" type="noConversion"/>
  </si>
  <si>
    <t>FOLLOWFB</t>
    <phoneticPr fontId="2" type="noConversion"/>
  </si>
  <si>
    <t>技能票券*20、鑽石*100、音魂票券*20、寵物票券*20</t>
    <phoneticPr fontId="2" type="noConversion"/>
  </si>
  <si>
    <t>Queen</t>
    <phoneticPr fontId="2" type="noConversion"/>
  </si>
  <si>
    <t>Prajna</t>
    <phoneticPr fontId="2" type="noConversion"/>
  </si>
  <si>
    <t>BLACKSTAR</t>
    <phoneticPr fontId="2" type="noConversion"/>
  </si>
  <si>
    <t>dnm999A</t>
    <phoneticPr fontId="2" type="noConversion"/>
  </si>
  <si>
    <t>dnm20258</t>
    <phoneticPr fontId="2" type="noConversion"/>
  </si>
  <si>
    <t>DNMZZXIAM</t>
    <phoneticPr fontId="2" type="noConversion"/>
  </si>
  <si>
    <t>DNMHAPPY61MM</t>
    <phoneticPr fontId="2" type="noConversion"/>
  </si>
  <si>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</si>
  <si>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</si>
  <si>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4LEFTROMC</t>
    <phoneticPr fontId="2" type="noConversion"/>
  </si>
  <si>
    <t>3GOROMC</t>
    <phoneticPr fontId="2" type="noConversion"/>
  </si>
  <si>
    <t>ROMC2HYPE</t>
    <phoneticPr fontId="2" type="noConversion"/>
  </si>
  <si>
    <t>ZENYGO</t>
    <phoneticPr fontId="2" type="noConversion"/>
  </si>
  <si>
    <t>15XH6EKE</t>
    <phoneticPr fontId="2" type="noConversion"/>
  </si>
  <si>
    <t>BP04ROMC</t>
    <phoneticPr fontId="2" type="noConversion"/>
  </si>
  <si>
    <t>5TSQC2XK</t>
    <phoneticPr fontId="2" type="noConversion"/>
  </si>
  <si>
    <t>6X5S82UY</t>
    <phoneticPr fontId="2" type="noConversion"/>
  </si>
  <si>
    <t>RO6666</t>
    <phoneticPr fontId="2" type="noConversion"/>
  </si>
  <si>
    <t>ROMCWEISSG</t>
    <phoneticPr fontId="2" type="noConversion"/>
  </si>
  <si>
    <t>LILY4UGIFT</t>
    <phoneticPr fontId="2" type="noConversion"/>
  </si>
  <si>
    <t>ROMCPFY</t>
    <phoneticPr fontId="2" type="noConversion"/>
  </si>
  <si>
    <t>ROMCBALL</t>
    <phoneticPr fontId="2" type="noConversion"/>
  </si>
  <si>
    <t>ROMCWEI</t>
    <phoneticPr fontId="2" type="noConversion"/>
  </si>
  <si>
    <t>ROMCHSU</t>
    <phoneticPr fontId="2" type="noConversion"/>
  </si>
  <si>
    <t>ROMCBAIXING</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</si>
  <si>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</si>
  <si>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Cyndi520</t>
    <phoneticPr fontId="2" type="noConversion"/>
  </si>
  <si>
    <t>大地鼠彩券*5</t>
    <phoneticPr fontId="2" type="noConversion"/>
  </si>
  <si>
    <t>普通圖鑑卡*5</t>
    <phoneticPr fontId="2" type="noConversion"/>
  </si>
  <si>
    <t>Cyndi2025</t>
    <phoneticPr fontId="2" type="noConversion"/>
  </si>
  <si>
    <t>大地鼠彩券*1，金色圖鑑卡，寵物洗煉藥水*20，綁鑽*100</t>
    <phoneticPr fontId="2" type="noConversion"/>
  </si>
  <si>
    <t>銀幣*20W，寵物洗煉藥水（綁）*35</t>
    <phoneticPr fontId="2" type="noConversion"/>
  </si>
  <si>
    <t>火焰鼠彩券（绑）*1，馴獸寶典（绑）*5，銀色圖鑑卡*1（绑）</t>
    <phoneticPr fontId="2" type="noConversion"/>
  </si>
  <si>
    <t>RYSXL</t>
    <phoneticPr fontId="2" type="noConversion"/>
  </si>
  <si>
    <t>強化石×20、界限晶幣×10、黃金兔寶寶×1</t>
    <phoneticPr fontId="2" type="noConversion"/>
  </si>
  <si>
    <t>QSDLS</t>
    <phoneticPr fontId="2" type="noConversion"/>
  </si>
  <si>
    <t>鑽石×100、進階結晶Ⅲ×5、進階結晶Ⅱ×10</t>
    <phoneticPr fontId="2" type="noConversion"/>
  </si>
  <si>
    <t>協同銘牌·黃×40、協同銘牌·藍×40、協同銘牌·紅×40</t>
    <phoneticPr fontId="2" type="noConversion"/>
  </si>
  <si>
    <t>SQYY30</t>
    <phoneticPr fontId="2" type="noConversion"/>
  </si>
  <si>
    <t>鑽石×288、赤紅結晶×10、水晶兔寶寶×1</t>
    <phoneticPr fontId="2" type="noConversion"/>
  </si>
  <si>
    <t>SQYY50</t>
    <phoneticPr fontId="2" type="noConversion"/>
  </si>
  <si>
    <t>鑽石×666、界限晶幣×5、改良電池×1</t>
    <phoneticPr fontId="2" type="noConversion"/>
  </si>
  <si>
    <t xml:space="preserve"> 強化石×20、經驗書·大×10、掃蕩券×10</t>
    <phoneticPr fontId="2" type="noConversion"/>
  </si>
  <si>
    <t>招募券×3、進階結晶Ⅱ×8、協同銘牌·紅×30</t>
    <phoneticPr fontId="2" type="noConversion"/>
  </si>
  <si>
    <t>SQDS3</t>
    <phoneticPr fontId="2" type="noConversion"/>
  </si>
  <si>
    <t>COAJP527</t>
    <phoneticPr fontId="2" type="noConversion"/>
  </si>
  <si>
    <t>COA100v</t>
    <phoneticPr fontId="2" type="noConversion"/>
  </si>
  <si>
    <t>COAwin1</t>
    <phoneticPr fontId="2" type="noConversion"/>
  </si>
  <si>
    <t>COA200v</t>
    <phoneticPr fontId="2" type="noConversion"/>
  </si>
  <si>
    <t>COA300v</t>
    <phoneticPr fontId="2" type="noConversion"/>
  </si>
  <si>
    <t>COAvtuber100</t>
    <phoneticPr fontId="2" type="noConversion"/>
  </si>
  <si>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</si>
  <si>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晚安幣 ×8888、靈感微光 ×8888、新紡枕芯 ×8</t>
    <phoneticPr fontId="2" type="noConversion"/>
  </si>
  <si>
    <t>ZZZ666</t>
    <phoneticPr fontId="2" type="noConversion"/>
  </si>
  <si>
    <t>牽絆之星 ×5</t>
    <phoneticPr fontId="2" type="noConversion"/>
  </si>
  <si>
    <t>ZZZ5188</t>
    <phoneticPr fontId="2" type="noConversion"/>
  </si>
  <si>
    <t>晚安幣 ×6666、傳頌之聲 ×666、失夢之瓶 ×6</t>
    <phoneticPr fontId="2" type="noConversion"/>
  </si>
  <si>
    <t xml:space="preserve"> Mini卡冊*1&amp;天使之淚*4&amp;1小時掛機Base經驗*1</t>
    <phoneticPr fontId="2" type="noConversion"/>
  </si>
  <si>
    <t>虎王碎片*2&amp;金幣*100&amp;1小時掛機夥伴經驗*1</t>
    <phoneticPr fontId="2" type="noConversion"/>
  </si>
  <si>
    <t>kolRworD</t>
    <phoneticPr fontId="2" type="noConversion"/>
  </si>
  <si>
    <t>kolO3nxt</t>
    <phoneticPr fontId="2" type="noConversion"/>
  </si>
  <si>
    <t>Mini卡冊*1&amp;天使之淚*5&amp;1小時掛機銀幣獎勵*2</t>
    <phoneticPr fontId="2" type="noConversion"/>
  </si>
  <si>
    <t>fbhVF88G</t>
    <phoneticPr fontId="2" type="noConversion"/>
  </si>
  <si>
    <t>child61</t>
    <phoneticPr fontId="2" type="noConversion"/>
  </si>
  <si>
    <t>foodomo</t>
    <phoneticPr fontId="2" type="noConversion"/>
  </si>
  <si>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</si>
  <si>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</si>
  <si>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 xml:space="preserve">DLE03VU4S </t>
    <phoneticPr fontId="2" type="noConversion"/>
  </si>
  <si>
    <t xml:space="preserve">WuBoy0111 </t>
    <phoneticPr fontId="2" type="noConversion"/>
  </si>
  <si>
    <t xml:space="preserve">DL2222DLDL </t>
    <phoneticPr fontId="2" type="noConversion"/>
  </si>
  <si>
    <t xml:space="preserve">DL33333 </t>
    <phoneticPr fontId="2" type="noConversion"/>
  </si>
  <si>
    <t xml:space="preserve">CatWoman1117 </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</si>
  <si>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</si>
  <si>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</si>
  <si>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</si>
  <si>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4uClhHDcB12t</t>
    <phoneticPr fontId="2" type="noConversion"/>
  </si>
  <si>
    <t>STAR999</t>
    <phoneticPr fontId="2" type="noConversion"/>
  </si>
  <si>
    <t>STARS520</t>
    <phoneticPr fontId="2" type="noConversion"/>
  </si>
  <si>
    <t>寵物資質丹 ×1、神兵之魂 ×1、神兵之靈 ×1</t>
    <phoneticPr fontId="2" type="noConversion"/>
  </si>
  <si>
    <t>MOON666</t>
    <phoneticPr fontId="2" type="noConversion"/>
  </si>
  <si>
    <t>SOPHIE520</t>
    <phoneticPr fontId="2" type="noConversion"/>
  </si>
  <si>
    <t>Goddess001</t>
    <phoneticPr fontId="2" type="noConversion"/>
  </si>
  <si>
    <t>神翼之魂 ×2、坐騎之魂 ×1、坐騎進階結晶 ×10</t>
    <phoneticPr fontId="2" type="noConversion"/>
  </si>
  <si>
    <t>神裝鑰匙 ×10、小精衛碎片 ×5、綁元 ×50</t>
    <phoneticPr fontId="2" type="noConversion"/>
  </si>
  <si>
    <t xml:space="preserve"> 神裝鑰匙 ×10、小精衛碎片 ×5、綁元 ×50</t>
    <phoneticPr fontId="2" type="noConversion"/>
  </si>
  <si>
    <t>KINGDOM200</t>
    <phoneticPr fontId="2" type="noConversion"/>
  </si>
  <si>
    <t xml:space="preserve">ACODEBURGER </t>
    <phoneticPr fontId="2" type="noConversion"/>
  </si>
  <si>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</si>
  <si>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wd666</t>
    <phoneticPr fontId="2" type="noConversion"/>
  </si>
  <si>
    <t>twtop1</t>
    <phoneticPr fontId="2" type="noConversion"/>
  </si>
  <si>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</si>
  <si>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 xml:space="preserve">YYDXXJT </t>
    <phoneticPr fontId="2" type="noConversion"/>
  </si>
  <si>
    <t>隨機英雄</t>
    <phoneticPr fontId="2" type="noConversion"/>
  </si>
  <si>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</si>
  <si>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kai-sangokushi-taisen-x-sakigake01</t>
    <phoneticPr fontId="2" type="noConversion"/>
  </si>
  <si>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</si>
  <si>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HEROBEGIN</t>
    <phoneticPr fontId="2" type="noConversion"/>
  </si>
  <si>
    <t>各副本鑰匙*3</t>
    <phoneticPr fontId="2" type="noConversion"/>
  </si>
  <si>
    <t>《小死神傳奇》放置遊戲的始祖，培養死神的全新故事！比培養死神時代更早的序章，小死神傳奇！請安全地培養剛轉生後脆弱的小小死神！</t>
    <phoneticPr fontId="2" type="noConversion"/>
  </si>
  <si>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</si>
  <si>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</si>
  <si>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尚無</t>
    <phoneticPr fontId="2" type="noConversion"/>
  </si>
  <si>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</si>
  <si>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</si>
  <si>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200鑽石+2000金幣</t>
    <phoneticPr fontId="2" type="noConversion"/>
  </si>
  <si>
    <t>SVIP666</t>
    <phoneticPr fontId="2" type="noConversion"/>
  </si>
  <si>
    <t>500鑽石+5000金幣</t>
    <phoneticPr fontId="2" type="noConversion"/>
  </si>
  <si>
    <t>1000鑽石+10000金幣</t>
    <phoneticPr fontId="2" type="noConversion"/>
  </si>
  <si>
    <t>2000鑽石+20000金幣</t>
    <phoneticPr fontId="2" type="noConversion"/>
  </si>
  <si>
    <t>SVIP999</t>
    <phoneticPr fontId="2" type="noConversion"/>
  </si>
  <si>
    <t>5000鑽石+50000金幣</t>
    <phoneticPr fontId="2" type="noConversion"/>
  </si>
  <si>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</si>
  <si>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無</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</si>
  <si>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</si>
  <si>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vip666</t>
    <phoneticPr fontId="2" type="noConversion"/>
  </si>
  <si>
    <t>vip999</t>
    <phoneticPr fontId="2" type="noConversion"/>
  </si>
  <si>
    <t>VIP2025</t>
    <phoneticPr fontId="2" type="noConversion"/>
  </si>
  <si>
    <t>LOHDAY1</t>
    <phoneticPr fontId="2" type="noConversion"/>
  </si>
  <si>
    <t>LOH0625OB</t>
    <phoneticPr fontId="2" type="noConversion"/>
  </si>
  <si>
    <t>LOHREADYGO5</t>
    <phoneticPr fontId="2" type="noConversion"/>
  </si>
  <si>
    <t>LOHREADYGO3</t>
    <phoneticPr fontId="2" type="noConversion"/>
  </si>
  <si>
    <t>DRAGONBOAT</t>
    <phoneticPr fontId="2" type="noConversion"/>
  </si>
  <si>
    <t>LOH777</t>
    <phoneticPr fontId="2" type="noConversion"/>
  </si>
  <si>
    <t>LOH888</t>
    <phoneticPr fontId="2" type="noConversion"/>
  </si>
  <si>
    <t>親愛的勇者，歡迎進入「胡來國度」！
       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</si>
  <si>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YY6666</t>
    <phoneticPr fontId="2" type="noConversion"/>
  </si>
  <si>
    <t>鑽石*500+一星橙裝套箱*1</t>
    <phoneticPr fontId="2" type="noConversion"/>
  </si>
  <si>
    <t>YXZ888</t>
    <phoneticPr fontId="2" type="noConversion"/>
  </si>
  <si>
    <t>LOVE666</t>
    <phoneticPr fontId="2" type="noConversion"/>
  </si>
  <si>
    <t>鑽石*200+金幣*250000</t>
    <phoneticPr fontId="2" type="noConversion"/>
  </si>
  <si>
    <t>holy2025</t>
    <phoneticPr fontId="2" type="noConversion"/>
  </si>
  <si>
    <t>LUCK2025</t>
    <phoneticPr fontId="2" type="noConversion"/>
  </si>
  <si>
    <t>鑽石*200+金幣*500K+星石*300</t>
    <phoneticPr fontId="2" type="noConversion"/>
  </si>
  <si>
    <t>CODE000</t>
    <phoneticPr fontId="2" type="noConversion"/>
  </si>
  <si>
    <t>鑽石*300+高級英雄卡*2+普通英雄卡*10</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</si>
  <si>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</si>
  <si>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daydayRPG0430</t>
    <phoneticPr fontId="2" type="noConversion"/>
  </si>
  <si>
    <t>daydayRPG0502</t>
    <phoneticPr fontId="2" type="noConversion"/>
  </si>
  <si>
    <t>advance0526</t>
    <phoneticPr fontId="2" type="noConversion"/>
  </si>
  <si>
    <t>advance0602</t>
    <phoneticPr fontId="2" type="noConversion"/>
  </si>
  <si>
    <t xml:space="preserve">S9XXCM2222X  </t>
    <phoneticPr fontId="2" type="noConversion"/>
  </si>
  <si>
    <t xml:space="preserve">Q43EPB2222U  </t>
    <phoneticPr fontId="2" type="noConversion"/>
  </si>
  <si>
    <t xml:space="preserve">CX6DNN2222T  </t>
    <phoneticPr fontId="2" type="noConversion"/>
  </si>
  <si>
    <t xml:space="preserve">SAB0626  </t>
    <phoneticPr fontId="2" type="noConversion"/>
  </si>
  <si>
    <t>SABLAUNCH</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</si>
  <si>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</si>
  <si>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WG666</t>
    <phoneticPr fontId="2" type="noConversion"/>
  </si>
  <si>
    <t>WG999</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</si>
  <si>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</si>
  <si>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</si>
  <si>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</si>
  <si>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</si>
  <si>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進入主畫面，點選個人頭像</t>
    <phoneticPr fontId="2" type="noConversion"/>
  </si>
  <si>
    <t>鑽石* 100，部件抽獎鑰匙* 1 ，飾品碎片*</t>
    <phoneticPr fontId="2" type="noConversion"/>
  </si>
  <si>
    <t>鑽石* 50</t>
    <phoneticPr fontId="2" type="noConversion"/>
  </si>
  <si>
    <t>MA2025</t>
    <phoneticPr fontId="2" type="noConversion"/>
  </si>
  <si>
    <t>金幣* 10000</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</si>
  <si>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</si>
  <si>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</si>
  <si>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RO仙境傳說：曙光</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</si>
  <si>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</si>
  <si>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</si>
  <si>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</si>
  <si>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VIP555</t>
    <phoneticPr fontId="2" type="noConversion"/>
  </si>
  <si>
    <t>鑽石500、魔靈經驗5000</t>
    <phoneticPr fontId="2" type="noConversion"/>
  </si>
  <si>
    <t>VIP666</t>
    <phoneticPr fontId="2" type="noConversion"/>
  </si>
  <si>
    <t>綁定龍晶*50</t>
    <phoneticPr fontId="2" type="noConversion"/>
  </si>
  <si>
    <t>VIP777</t>
    <phoneticPr fontId="2" type="noConversion"/>
  </si>
  <si>
    <t>鑽石500、低級強化石10、低級強化石‧飾品*10</t>
    <phoneticPr fontId="2" type="noConversion"/>
  </si>
  <si>
    <t>VIP888</t>
    <phoneticPr fontId="2" type="noConversion"/>
  </si>
  <si>
    <t>綁定龍晶50、初級天神水晶10、潮汐神力1、風暴神力1</t>
    <phoneticPr fontId="2" type="noConversion"/>
  </si>
  <si>
    <t xml:space="preserve">vip999 </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</si>
  <si>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</si>
  <si>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</si>
  <si>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轉蛋券 ×3、雞尾酒套餐（體力+100）×1、經典編織低髻髮型</t>
    <phoneticPr fontId="2" type="noConversion"/>
  </si>
  <si>
    <t>轉蛋券 ×3、鑽石 ×200、玫瑰模樣的維多利亞風黑色洋裝</t>
    <phoneticPr fontId="2" type="noConversion"/>
  </si>
  <si>
    <t>突破50,000人</t>
    <phoneticPr fontId="2" type="noConversion"/>
  </si>
  <si>
    <t>保證★4角色的【標準角色卡轉蛋券】×1！、鑽石x1000</t>
    <phoneticPr fontId="2" type="noConversion"/>
  </si>
  <si>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</si>
  <si>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ice666</t>
    <phoneticPr fontId="2" type="noConversion"/>
  </si>
  <si>
    <t>ice777</t>
    <phoneticPr fontId="2" type="noConversion"/>
  </si>
  <si>
    <t>ice999</t>
    <phoneticPr fontId="2" type="noConversion"/>
  </si>
  <si>
    <t>FBVALUE</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</si>
  <si>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</si>
  <si>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更新中</t>
    <phoneticPr fontId="2" type="noConversion"/>
  </si>
  <si>
    <t>極速漂移：3V3</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</si>
  <si>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</si>
  <si>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</si>
  <si>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終極斗羅</t>
    <phoneticPr fontId="2" type="noConversion"/>
  </si>
  <si>
    <t>首款斗羅大世界</t>
    <phoneticPr fontId="2" type="noConversion"/>
  </si>
  <si>
    <t>獵魂777</t>
    <phoneticPr fontId="2" type="noConversion"/>
  </si>
  <si>
    <t>黃金昊天錘</t>
    <phoneticPr fontId="2" type="noConversion"/>
  </si>
  <si>
    <t>全民獵魂瓜分百萬現金</t>
    <phoneticPr fontId="2" type="noConversion"/>
  </si>
  <si>
    <t>真斗羅真開放</t>
    <phoneticPr fontId="2" type="noConversion"/>
  </si>
  <si>
    <t>魂師回歸禮</t>
    <phoneticPr fontId="2" type="noConversion"/>
  </si>
  <si>
    <t>MMO777</t>
    <phoneticPr fontId="2" type="noConversion"/>
  </si>
  <si>
    <t>MMO888</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</si>
  <si>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</si>
  <si>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VIP888</t>
    <phoneticPr fontId="2" type="noConversion"/>
  </si>
  <si>
    <t>即將更新</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</si>
  <si>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</si>
  <si>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進入主畫面，點選右上角四個點</t>
    <phoneticPr fontId="2" type="noConversion"/>
  </si>
  <si>
    <t>進入右下設定（齒輪）</t>
    <phoneticPr fontId="2" type="noConversion"/>
  </si>
  <si>
    <t>點擊添加優惠券</t>
    <phoneticPr fontId="2" type="noConversion"/>
  </si>
  <si>
    <t>BEGLOBALOPEN</t>
    <phoneticPr fontId="2" type="noConversion"/>
  </si>
  <si>
    <t>Dead Spirit Box (Non-Enhanceable) x1
Common Element x50
Common Soul Fragment x200
Summon Stone Fragment x10</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</si>
  <si>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</si>
  <si>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點擊兌換碼</t>
    <phoneticPr fontId="2" type="noConversion"/>
  </si>
  <si>
    <t>輸入兌換碼</t>
    <phoneticPr fontId="2" type="noConversion"/>
  </si>
  <si>
    <t>SS666</t>
    <phoneticPr fontId="2" type="noConversion"/>
  </si>
  <si>
    <t>時之沙*300+石塊*100+粗煉石300+歷戰精華1000</t>
    <phoneticPr fontId="2" type="noConversion"/>
  </si>
  <si>
    <t>SS777</t>
    <phoneticPr fontId="2" type="noConversion"/>
  </si>
  <si>
    <t>金葉子*3+鳶尾*5+暖陽*5</t>
    <phoneticPr fontId="2" type="noConversion"/>
  </si>
  <si>
    <t>SS999</t>
    <phoneticPr fontId="2" type="noConversion"/>
  </si>
  <si>
    <t>土雞蛋*3+普通凍乾*5+結緣繩*2</t>
    <phoneticPr fontId="2" type="noConversion"/>
  </si>
  <si>
    <t>ZJ666</t>
    <phoneticPr fontId="2" type="noConversion"/>
  </si>
  <si>
    <t>豐饒之葉*100+命運果實*1+體力*25</t>
    <phoneticPr fontId="2" type="noConversion"/>
  </si>
  <si>
    <t>晨星*200+星之願*2</t>
    <phoneticPr fontId="2" type="noConversion"/>
  </si>
  <si>
    <t>ZJ888</t>
    <phoneticPr fontId="2" type="noConversion"/>
  </si>
  <si>
    <t>傳說女神牌*2+史詩女神牌*10+稀有女神牌*20</t>
    <phoneticPr fontId="2" type="noConversion"/>
  </si>
  <si>
    <t>SSFB888</t>
    <phoneticPr fontId="2" type="noConversion"/>
  </si>
  <si>
    <t>SSDC888</t>
    <phoneticPr fontId="2" type="noConversion"/>
  </si>
  <si>
    <t>稀有女神牌*10+星之願*1</t>
    <phoneticPr fontId="2" type="noConversion"/>
  </si>
  <si>
    <t>SSLINE</t>
    <phoneticPr fontId="2" type="noConversion"/>
  </si>
  <si>
    <t>超級海戰：紀元崛起</t>
    <phoneticPr fontId="2" type="noConversion"/>
  </si>
  <si>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</si>
  <si>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輸入兌換碼/禮包碼</t>
    <phoneticPr fontId="2" type="noConversion"/>
  </si>
  <si>
    <t>戰艦建造令*10+鑽石*50</t>
    <phoneticPr fontId="2" type="noConversion"/>
  </si>
  <si>
    <t>VENOM99</t>
    <phoneticPr fontId="2" type="noConversion"/>
  </si>
  <si>
    <t>SPECTRE20</t>
    <phoneticPr fontId="2" type="noConversion"/>
  </si>
  <si>
    <t>鋼鐵*100K+電力*100K+5分鐘加速*6</t>
    <phoneticPr fontId="2" type="noConversion"/>
  </si>
  <si>
    <t>CJHZKF666</t>
    <phoneticPr fontId="2" type="noConversion"/>
  </si>
  <si>
    <t>戰艦建造令*10+鋼材購買券*10+中級艦長訓練手冊*10+鑽石*100</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</si>
  <si>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</si>
  <si>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開遊戲進入主畫面後</t>
    <phoneticPr fontId="2" type="noConversion"/>
  </si>
  <si>
    <t>右上角的齒輪設定</t>
    <phoneticPr fontId="2" type="noConversion"/>
  </si>
  <si>
    <t>按下登陸優惠券</t>
    <phoneticPr fontId="2" type="noConversion"/>
  </si>
  <si>
    <t>貼上剛複製好的兌換碼/禮包碼</t>
    <phoneticPr fontId="2" type="noConversion"/>
  </si>
  <si>
    <t>hrdbboney</t>
    <phoneticPr fontId="2" type="noConversion"/>
  </si>
  <si>
    <t>hellsquadopen</t>
    <phoneticPr fontId="2" type="noConversion"/>
  </si>
  <si>
    <t>250紅寶+5000金幣+5成長藥水</t>
    <phoneticPr fontId="2" type="noConversion"/>
  </si>
  <si>
    <t>thanks0715</t>
    <phoneticPr fontId="2" type="noConversion"/>
  </si>
  <si>
    <t>20K金幣+20能量</t>
    <phoneticPr fontId="2" type="noConversion"/>
  </si>
  <si>
    <t>appleon1</t>
    <phoneticPr fontId="2" type="noConversion"/>
  </si>
  <si>
    <t>10K金幣+5隨機惡魔徽章</t>
    <phoneticPr fontId="2" type="noConversion"/>
  </si>
  <si>
    <t>蝕影：緋之契</t>
    <phoneticPr fontId="2" type="noConversion"/>
  </si>
  <si>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</si>
  <si>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遊戲畫面左上角頭像點進去</t>
    <phoneticPr fontId="2" type="noConversion"/>
  </si>
  <si>
    <t>貼上兌換碼按領取就可以囉</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</si>
  <si>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</si>
  <si>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遊戲畫面左上角頭像點進去</t>
    <phoneticPr fontId="2" type="noConversion"/>
  </si>
  <si>
    <t>畫面中間下方的兌換碼</t>
    <phoneticPr fontId="2" type="noConversion"/>
  </si>
  <si>
    <t>貼上剛剛複製的兌換碼</t>
    <phoneticPr fontId="2" type="noConversion"/>
  </si>
  <si>
    <t>CRUSH777</t>
    <phoneticPr fontId="2" type="noConversion"/>
  </si>
  <si>
    <t>20鑽石+200奧丁</t>
    <phoneticPr fontId="2" type="noConversion"/>
  </si>
  <si>
    <t>RXRMIZUGI2024</t>
    <phoneticPr fontId="2" type="noConversion"/>
  </si>
  <si>
    <t>100石 稱號秘密</t>
    <phoneticPr fontId="2" type="noConversion"/>
  </si>
  <si>
    <t>SEIKAIHAGAMEDECHECK</t>
    <phoneticPr fontId="2" type="noConversion"/>
  </si>
  <si>
    <t>100石 稱號blade</t>
    <phoneticPr fontId="2" type="noConversion"/>
  </si>
  <si>
    <t>じゅうさんにちきねんび</t>
    <phoneticPr fontId="2" type="noConversion"/>
  </si>
  <si>
    <t>130石</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</si>
  <si>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</si>
  <si>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</si>
  <si>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進入遊戲後點左上角頭像</t>
    <phoneticPr fontId="2" type="noConversion"/>
  </si>
  <si>
    <t>主角畫面中按"兌換碼"</t>
    <phoneticPr fontId="2" type="noConversion"/>
  </si>
  <si>
    <t>兌換完成後到信箱領取禮包</t>
    <phoneticPr fontId="2" type="noConversion"/>
  </si>
  <si>
    <t xml:space="preserve">AK79513 </t>
    <phoneticPr fontId="2" type="noConversion"/>
  </si>
  <si>
    <t>預約禮包 + 2025抽卡機會</t>
    <phoneticPr fontId="2" type="noConversion"/>
  </si>
  <si>
    <t>AS34567</t>
    <phoneticPr fontId="2" type="noConversion"/>
  </si>
  <si>
    <t>夏日補給虛寶空投</t>
    <phoneticPr fontId="2" type="noConversion"/>
  </si>
  <si>
    <t>MO.CO</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</si>
  <si>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</si>
  <si>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《小兵立大功》率領召喚師、英雄和小兵擊潰敵軍 打造專屬軍團 充滿打擊感 展開史詩級戰爭。
從召喚師、英雄、小兵升級中做出選擇，在如同殭屍般移動的敵人圍毆中存活下來！體驗充滿緊張刺激的類Rogue RPG！
體驗直觀操作及充滿打擊感的休閒系動作手遊！</t>
    <phoneticPr fontId="2" type="noConversion"/>
  </si>
  <si>
    <t>點擊主界面坐上頭像</t>
    <phoneticPr fontId="2" type="noConversion"/>
  </si>
  <si>
    <t>點擊禮包碼</t>
    <phoneticPr fontId="2" type="noConversion"/>
  </si>
  <si>
    <t>貼上即可兌換成功</t>
    <phoneticPr fontId="2" type="noConversion"/>
  </si>
  <si>
    <t>英雄經驗*50000+金幣*50000+鑽石*200</t>
    <phoneticPr fontId="2" type="noConversion"/>
  </si>
  <si>
    <t xml:space="preserve">vip888 </t>
    <phoneticPr fontId="2" type="noConversion"/>
  </si>
  <si>
    <t>vip777</t>
    <phoneticPr fontId="2" type="noConversion"/>
  </si>
  <si>
    <t>金幣*70000+一元大鈔*2+鑽石*300</t>
    <phoneticPr fontId="2" type="noConversion"/>
  </si>
  <si>
    <t>金幣*50000+一元大鈔*1+鑽石*100</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</si>
  <si>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</si>
  <si>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phoneticPr fontId="2" type="noConversion"/>
  </si>
  <si>
    <t>在禮品碼後點擊「輸入」</t>
    <phoneticPr fontId="2" type="noConversion"/>
  </si>
  <si>
    <t>cutieggg</t>
    <phoneticPr fontId="2" type="noConversion"/>
  </si>
  <si>
    <t>金幣*300+體力包*10+士氣包*10+醫療包*10</t>
    <phoneticPr fontId="2" type="noConversion"/>
  </si>
  <si>
    <t>bnsc2025</t>
    <phoneticPr fontId="2" type="noConversion"/>
  </si>
  <si>
    <t>soccerclub</t>
    <phoneticPr fontId="2" type="noConversion"/>
  </si>
  <si>
    <t>資金*1M+初級球探*200</t>
    <phoneticPr fontId="2" type="noConversion"/>
  </si>
  <si>
    <t>gameplayhk</t>
    <phoneticPr fontId="2" type="noConversion"/>
  </si>
  <si>
    <t>初級球探*200+士氣包*30+醫療包*30</t>
    <phoneticPr fontId="2" type="noConversion"/>
  </si>
  <si>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</si>
  <si>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進入遊戲首頁，點選右上角「選單」</t>
    <phoneticPr fontId="2" type="noConversion"/>
  </si>
  <si>
    <t>輸入序號後，即可領取到對應獎勵。</t>
    <phoneticPr fontId="2" type="noConversion"/>
  </si>
  <si>
    <t>weLvkwt4JkEf</t>
    <phoneticPr fontId="2" type="noConversion"/>
  </si>
  <si>
    <t>祈願券*10+藥膳茶*3+復活仙果*3</t>
    <phoneticPr fontId="2" type="noConversion"/>
  </si>
  <si>
    <t>點選左上角頭像</t>
    <phoneticPr fontId="2" type="noConversion"/>
  </si>
  <si>
    <t>進入設定後按禮包碼兌換</t>
    <phoneticPr fontId="2" type="noConversion"/>
  </si>
  <si>
    <t>AGEMOBILETW723</t>
    <phoneticPr fontId="2" type="noConversion"/>
  </si>
  <si>
    <t>AOEM888</t>
    <phoneticPr fontId="2" type="noConversion"/>
  </si>
  <si>
    <t>傳說現世招募券*10</t>
    <phoneticPr fontId="2" type="noConversion"/>
  </si>
  <si>
    <t>AGEMOBILETWHAGENG</t>
    <phoneticPr fontId="2" type="noConversion"/>
  </si>
  <si>
    <t>帝國幣*200、5分鐘建造/研發*5、1萬安全資源寶箱*3</t>
    <phoneticPr fontId="2" type="noConversion"/>
  </si>
  <si>
    <t>AGEMOBILETWKUANGBAOXIAOJIAN</t>
    <phoneticPr fontId="2" type="noConversion"/>
  </si>
  <si>
    <t>AGEMOBILETWCHIGUIBOBO</t>
    <phoneticPr fontId="2" type="noConversion"/>
  </si>
  <si>
    <t>帝國幣*N+隨機資源加速</t>
    <phoneticPr fontId="2" type="noConversion"/>
  </si>
  <si>
    <t>AGEMOBILETWGUIGOU</t>
    <phoneticPr fontId="2" type="noConversion"/>
  </si>
  <si>
    <t>帝國幣*N+隨機資源加速</t>
    <phoneticPr fontId="2" type="noConversion"/>
  </si>
  <si>
    <t>LOVEAOEM</t>
    <phoneticPr fontId="2" type="noConversion"/>
  </si>
  <si>
    <t>AOEMGL</t>
    <phoneticPr fontId="2" type="noConversion"/>
  </si>
  <si>
    <t>HAPPYJULY</t>
    <phoneticPr fontId="2" type="noConversion"/>
  </si>
  <si>
    <t>AOEMTWEMULATOR</t>
    <phoneticPr fontId="2" type="noConversion"/>
  </si>
  <si>
    <t>帝國幣*N+隨機資源加速</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</si>
  <si>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</si>
  <si>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畫面右邊三條線選單</t>
    <phoneticPr fontId="2" type="noConversion"/>
  </si>
  <si>
    <t>OLSDZ724</t>
    <phoneticPr fontId="2" type="noConversion"/>
  </si>
  <si>
    <t>體力*10+金扭蛋幣*10+金幣*88.8K</t>
    <phoneticPr fontId="2" type="noConversion"/>
  </si>
  <si>
    <t>鑽石*100+體力*20+金幣*88.8K</t>
    <phoneticPr fontId="2" type="noConversion"/>
  </si>
  <si>
    <t>金幣*88.8K</t>
    <phoneticPr fontId="2" type="noConversion"/>
  </si>
  <si>
    <t>18櫻花幕府</t>
    <phoneticPr fontId="2" type="noConversion"/>
  </si>
  <si>
    <t>進去之後畫面中間偏右下禮包碼</t>
    <phoneticPr fontId="2" type="noConversion"/>
  </si>
  <si>
    <t>BOOK924</t>
    <phoneticPr fontId="2" type="noConversion"/>
  </si>
  <si>
    <t>織田信秀姬魂*100+3級經驗書*10+判金*500</t>
    <phoneticPr fontId="2" type="noConversion"/>
  </si>
  <si>
    <t>DUALOS7</t>
    <phoneticPr fontId="2" type="noConversion"/>
  </si>
  <si>
    <t>判金*888+神樂鈴*10+銅錢*88888</t>
    <phoneticPr fontId="2" type="noConversion"/>
  </si>
  <si>
    <t>畫面中央貼上兌換碼</t>
    <phoneticPr fontId="2" type="noConversion"/>
  </si>
  <si>
    <t>按兌換就可以囉</t>
    <phoneticPr fontId="2" type="noConversion"/>
  </si>
  <si>
    <t>V768FCD2MD</t>
    <phoneticPr fontId="2" type="noConversion"/>
  </si>
  <si>
    <t>精力*30+功法殘頁*10+技能點掛機券*5</t>
    <phoneticPr fontId="2" type="noConversion"/>
  </si>
  <si>
    <t>YZEFPZUYP3</t>
    <phoneticPr fontId="2" type="noConversion"/>
  </si>
  <si>
    <t>進入設置後右邊書籤按兌換碼</t>
    <phoneticPr fontId="2" type="noConversion"/>
  </si>
  <si>
    <t>祝福寶石*30+黃金寶箱+1*5+瑪雅之石*30+綁定金幣*8000+靈魂寶石*30</t>
    <phoneticPr fontId="2" type="noConversion"/>
  </si>
  <si>
    <t>VIP888</t>
    <phoneticPr fontId="2" type="noConversion"/>
  </si>
  <si>
    <t>套裝強化石*30+祝福寶石*30+黃金寶箱+1*5+綁定金幣*8000+靈魂寶石*30</t>
    <phoneticPr fontId="2" type="noConversion"/>
  </si>
  <si>
    <t>套裝強化石*30+祝福寶石*30+黃金寶箱+1*5+火之螢石碎片*20+綁定金幣*8000</t>
    <phoneticPr fontId="2" type="noConversion"/>
  </si>
  <si>
    <t>KG666</t>
    <phoneticPr fontId="2" type="noConversion"/>
  </si>
  <si>
    <t>KIMI666</t>
    <phoneticPr fontId="2" type="noConversion"/>
  </si>
  <si>
    <t>套裝強化石*10+祝福寶石*10+水之螢石碎片*50+靈魂寶石*50</t>
    <phoneticPr fontId="2" type="noConversion"/>
  </si>
  <si>
    <t>HDLS666</t>
    <phoneticPr fontId="2" type="noConversion"/>
  </si>
  <si>
    <t>水之螢石碎片*35+火之螢石碎片+35+冰之螢石碎片+35+祝福寶石*10</t>
    <phoneticPr fontId="2" type="noConversion"/>
  </si>
  <si>
    <t>水之螢石碎片*35+套裝強化石*15+火之螢石碎片+35+冰之螢石碎片+35</t>
    <phoneticPr fontId="2" type="noConversion"/>
  </si>
  <si>
    <t>ZY666</t>
    <phoneticPr fontId="2" type="noConversion"/>
  </si>
  <si>
    <t>套裝強化石*10+祝福寶石*50+火之螢石碎片*50+靈魂寶石*10</t>
    <phoneticPr fontId="2" type="noConversion"/>
  </si>
  <si>
    <t>進入遊戲主畫面。</t>
    <phoneticPr fontId="2" type="noConversion"/>
  </si>
  <si>
    <t>點選左上角頭像。</t>
    <phoneticPr fontId="2" type="noConversion"/>
  </si>
  <si>
    <t>選擇「兌換碼兌換」。</t>
    <phoneticPr fontId="2" type="noConversion"/>
  </si>
  <si>
    <t>輸入禮包碼並確認領取獎勵。</t>
    <phoneticPr fontId="2" type="noConversion"/>
  </si>
  <si>
    <t>kenta666</t>
    <phoneticPr fontId="2" type="noConversion"/>
  </si>
  <si>
    <t>kenta777</t>
    <phoneticPr fontId="2" type="noConversion"/>
  </si>
  <si>
    <t>fbkenta0801</t>
    <phoneticPr fontId="2" type="noConversion"/>
  </si>
  <si>
    <t>元寶×50、英雄召喚券×1、銀幣×5W</t>
    <phoneticPr fontId="2" type="noConversion"/>
  </si>
  <si>
    <t>三國。群英燎原</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</si>
  <si>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</si>
  <si>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點擊右下角的十字進入「選單」</t>
    <phoneticPr fontId="2" type="noConversion"/>
  </si>
  <si>
    <t>選擇「系統設定」。</t>
    <phoneticPr fontId="2" type="noConversion"/>
  </si>
  <si>
    <t>找到「禮包碼」或「禮包碼兌換」選項。</t>
    <phoneticPr fontId="2" type="noConversion"/>
  </si>
  <si>
    <t>元寶*50+輜重箱*1</t>
    <phoneticPr fontId="2" type="noConversion"/>
  </si>
  <si>
    <t>WYM888</t>
    <phoneticPr fontId="2" type="noConversion"/>
  </si>
  <si>
    <t>元寶*50+高級募兵令*2</t>
    <phoneticPr fontId="2" type="noConversion"/>
  </si>
  <si>
    <t>CSC666</t>
    <phoneticPr fontId="2" type="noConversion"/>
  </si>
  <si>
    <t>英雄技能包*10+生鐵*20000</t>
    <phoneticPr fontId="2" type="noConversion"/>
  </si>
  <si>
    <t>英雄技能包*10+木材*20000</t>
    <phoneticPr fontId="2"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</si>
  <si>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</si>
  <si>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畫面右方按「設定」</t>
    <phoneticPr fontId="2" type="noConversion"/>
  </si>
  <si>
    <t>往左滑找到獎勵兌換</t>
    <phoneticPr fontId="2" type="noConversion"/>
  </si>
  <si>
    <t>魔法黯道</t>
    <phoneticPr fontId="2" type="noConversion"/>
  </si>
  <si>
    <t>拉到最下面按兌換碼</t>
    <phoneticPr fontId="2" type="noConversion"/>
  </si>
  <si>
    <t>輸入兌換碼即可</t>
    <phoneticPr fontId="2" type="noConversion"/>
  </si>
  <si>
    <t>有效期限到8月12日</t>
    <phoneticPr fontId="2" type="noConversion"/>
  </si>
  <si>
    <t>MFADSQDKKJG</t>
    <phoneticPr fontId="2" type="noConversion"/>
  </si>
  <si>
    <t>MFADGZLB</t>
    <phoneticPr fontId="2" type="noConversion"/>
  </si>
  <si>
    <t>Facebook追蹤有禮</t>
    <phoneticPr fontId="2" type="noConversion"/>
  </si>
  <si>
    <t>MFADSQDKSDG</t>
    <phoneticPr fontId="2" type="noConversion"/>
  </si>
  <si>
    <t xml:space="preserve"> 有效期限到8月31日</t>
    <phoneticPr fontId="2" type="noConversion"/>
  </si>
  <si>
    <t>MFADSQDL</t>
    <phoneticPr fontId="2" type="noConversion"/>
  </si>
  <si>
    <t>神代紀事</t>
    <phoneticPr fontId="2" type="noConversion"/>
  </si>
  <si>
    <t>《神代紀事》是一款像素風Roguelite冒險RPG，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phoneticPr fontId="2" type="noConversion"/>
  </si>
  <si>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</si>
  <si>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</si>
  <si>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進入遊戲主畫面點左上角頭像</t>
    <phoneticPr fontId="2" type="noConversion"/>
  </si>
  <si>
    <t>畫面右邊齒輪設定</t>
    <phoneticPr fontId="2" type="noConversion"/>
  </si>
  <si>
    <t>點選禮包碼</t>
    <phoneticPr fontId="2" type="noConversion"/>
  </si>
  <si>
    <t>JOINNOW</t>
    <phoneticPr fontId="2" type="noConversion"/>
  </si>
  <si>
    <t>普通星耀石*10+1000寶石*5</t>
    <phoneticPr fontId="2" type="noConversion"/>
  </si>
  <si>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</si>
  <si>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官方釋出中</t>
    <phoneticPr fontId="2" type="noConversion"/>
  </si>
  <si>
    <t>遊戲主畫面點頭像</t>
    <phoneticPr fontId="2" type="noConversion"/>
  </si>
  <si>
    <t>進入設定後點兌換碼</t>
    <phoneticPr fontId="2" type="noConversion"/>
  </si>
  <si>
    <t>lemon666</t>
    <phoneticPr fontId="2" type="noConversion"/>
  </si>
  <si>
    <t>瀨戶環奈&amp;檸檬福利蝦</t>
    <phoneticPr fontId="2" type="noConversion"/>
  </si>
  <si>
    <t>KW5RER2ES</t>
    <phoneticPr fontId="2" type="noConversion"/>
  </si>
  <si>
    <t>RW5RH58HU</t>
    <phoneticPr fontId="2" type="noConversion"/>
  </si>
  <si>
    <t>限定頭像框</t>
    <phoneticPr fontId="2" type="noConversion"/>
  </si>
  <si>
    <t xml:space="preserve">UW5RJ9B83
</t>
    <phoneticPr fontId="2" type="noConversion"/>
  </si>
  <si>
    <t>限定稱號</t>
    <phoneticPr fontId="2" type="noConversion"/>
  </si>
  <si>
    <t>準備好踏上顛覆傳統的修仙之旅嗎？《真妖獸!廢柴要修仙》是一款讓你從廢柴逆襲成仙的放置RPG。遊戲以「渡劫飛升」與「降妖伏魔」為核心玩法，帶來最刺激的修仙體驗。你將在仙俠世界收服奇珍異獸，不斷修煉突破。為了助你快速提升實力，官方時常提供豐富的禮包碼，輕鬆獲取大量資源。遊戲的煉丹、煉器與洞府等養成系統極具深度。若想在仙途上領先，安全的代儲值服務能讓你迅速累積優勢，解鎖強力法寶與稀有妖獸，打造你的修仙傳奇，成為三界主宰！立即下載，開啟你的逆天修行路。</t>
    <phoneticPr fontId="2" type="noConversion"/>
  </si>
  <si>
    <t>畫面中間下方找到「虛寶碼」</t>
    <phoneticPr fontId="2" type="noConversion"/>
  </si>
  <si>
    <t>回到主畫面點左下角「洞府」</t>
    <phoneticPr fontId="2" type="noConversion"/>
  </si>
  <si>
    <t>進到信件裡即可領取優惠禮包內容</t>
    <phoneticPr fontId="2" type="noConversion"/>
  </si>
  <si>
    <t>仙玉*50+異獸蛋*50+加速券*10</t>
    <phoneticPr fontId="2" type="noConversion"/>
  </si>
  <si>
    <t>仙玉*50+異獸蛋*50+精金*5</t>
    <phoneticPr fontId="2" type="noConversion"/>
  </si>
  <si>
    <t>仙玉*50+異獸蛋*50+法寶精華*5</t>
    <phoneticPr fontId="2" type="noConversion"/>
  </si>
  <si>
    <t>SVIP666</t>
    <phoneticPr fontId="2" type="noConversion"/>
  </si>
  <si>
    <t>異獸蛋*100+乾坤石·橙*1+靈石*5000</t>
    <phoneticPr fontId="2" type="noConversion"/>
  </si>
  <si>
    <t>異獸蛋*100+槌子*50+靈石*5000</t>
    <phoneticPr fontId="2" type="noConversion"/>
  </si>
  <si>
    <t>SVIP999</t>
    <phoneticPr fontId="2" type="noConversion"/>
  </si>
  <si>
    <t>異獸蛋*100+加速券*5+靈石*5000</t>
    <phoneticPr fontId="2" type="noConversion"/>
  </si>
  <si>
    <t>畫面下方「禮包兌換」</t>
    <phoneticPr fontId="2" type="noConversion"/>
  </si>
  <si>
    <t>貼上在SSbuy複製好的禮包兌換碼</t>
    <phoneticPr fontId="2" type="noConversion"/>
  </si>
  <si>
    <t>元寶*168+資源補給箱*10+豪華大餐*2</t>
    <phoneticPr fontId="2" type="noConversion"/>
  </si>
  <si>
    <t>英勇之地</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</si>
  <si>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</si>
  <si>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遊戲主畫面右上角四葉草點開</t>
    <phoneticPr fontId="2" type="noConversion"/>
  </si>
  <si>
    <t>點右下角齒輪設定</t>
    <phoneticPr fontId="2" type="noConversion"/>
  </si>
  <si>
    <t>左邊書籤滑到底「兌換碼」</t>
    <phoneticPr fontId="2" type="noConversion"/>
  </si>
  <si>
    <t>到信箱領取免費兌換碼禮包</t>
    <phoneticPr fontId="2" type="noConversion"/>
  </si>
  <si>
    <t>ruroro666</t>
    <phoneticPr fontId="2" type="noConversion"/>
  </si>
  <si>
    <t>遊戲主畫面右上角「設置」</t>
    <phoneticPr fontId="2" type="noConversion"/>
  </si>
  <si>
    <t>點開後按右下角「兌換碼」</t>
    <phoneticPr fontId="2" type="noConversion"/>
  </si>
  <si>
    <t>領取免費兌換碼禮包</t>
    <phoneticPr fontId="2" type="noConversion"/>
  </si>
  <si>
    <t>礦山.D 通行證 x3 / 訓練.D 通行證 x3 / 礦石.D 通行證 x3 / 工藝.D 通行證 x3</t>
    <phoneticPr fontId="2" type="noConversion"/>
  </si>
  <si>
    <t>08WAVEAUG</t>
    <phoneticPr fontId="2" type="noConversion"/>
  </si>
  <si>
    <t>寶石 x30000 / 盟友召喚券 x10</t>
    <phoneticPr fontId="2" type="noConversion"/>
  </si>
  <si>
    <t>遊戲內點擊主介面左上方「福利」</t>
    <phoneticPr fontId="2" type="noConversion"/>
  </si>
  <si>
    <t>點擊進入「虛寶碼」介面</t>
    <phoneticPr fontId="2" type="noConversion"/>
  </si>
  <si>
    <t>輸入虛寶碼點擊「提交」後便可前往信件領取</t>
    <phoneticPr fontId="2" type="noConversion"/>
  </si>
  <si>
    <t>鑽石*888+喚靈神符*2+裝備尋寶券*2+7級固防寶石*1</t>
    <phoneticPr fontId="2" type="noConversion"/>
  </si>
  <si>
    <t>CHIAO666</t>
    <phoneticPr fontId="2" type="noConversion"/>
  </si>
  <si>
    <t>鑽石*888+喚靈神符*2+裝備尋寶券*2+7級強攻寶石*1</t>
    <phoneticPr fontId="2" type="noConversion"/>
  </si>
  <si>
    <t>COUNT1</t>
    <phoneticPr fontId="2" type="noConversion"/>
  </si>
  <si>
    <t>鑽石*888+喚靈神符*2+橙品附魂之靈*1+靈器魂玉*2</t>
    <phoneticPr fontId="2" type="noConversion"/>
  </si>
  <si>
    <t>COUNT2</t>
    <phoneticPr fontId="2" type="noConversion"/>
  </si>
  <si>
    <t>鑽石*888+喚靈神符*2+中品雷靈圖騰*2+靈器魂玉*2</t>
    <phoneticPr fontId="2" type="noConversion"/>
  </si>
  <si>
    <t>鑽石*888+喚靈神符*2+中品冰靈圖騰*2+靈器魂玉*2</t>
    <phoneticPr fontId="2" type="noConversion"/>
  </si>
  <si>
    <t>見習骷髏王</t>
    <phoneticPr fontId="2" type="noConversion"/>
  </si>
  <si>
    <t>等待更新中</t>
    <phoneticPr fontId="2" type="noConversion"/>
  </si>
  <si>
    <t>等待更新中</t>
    <phoneticPr fontId="2" type="noConversion"/>
  </si>
  <si>
    <t>《全明星無雙》是一款集結超人氣動漫角色的3D動作(盜版)手遊，打造夢幻的跨次元戰場。遊戲採用次世代技術，呈現華麗戰鬥畫面與流暢連招，帶來前所未有的打擊快感。您可以收集悟空、魯夫、炭治郎等英雄，組建最強隊伍。玩法豐富，有沉浸式主線劇情、PVP競技場與團隊Raid副本。為了幫助玩家快速成長，官方經常發放最新的禮包碼，讓您輕鬆獲得稀有道具。SSbuy也提供便利安全的代儲值服務，確保您消費物超所值，在稱霸全明星的道路上暢行無阻！</t>
    <phoneticPr fontId="2" type="noConversion"/>
  </si>
  <si>
    <t>點遊戲主畫面點左上角頭像</t>
    <phoneticPr fontId="2" type="noConversion"/>
  </si>
  <si>
    <t>ANIMEWARD1zON7</t>
    <phoneticPr fontId="2" type="noConversion"/>
  </si>
  <si>
    <t>金幣*80萬+英雄經驗*20萬+印章碎片*100+武鬥秘典*2+高級招募券*5+鑽石*500+香吉士碎片*50+進階石*70+密文卷軸*20+競技場挑戰券*5</t>
    <phoneticPr fontId="2" type="noConversion"/>
  </si>
  <si>
    <t>GooglePlay</t>
    <phoneticPr fontId="2" type="noConversion"/>
  </si>
  <si>
    <t>伊瑟</t>
    <phoneticPr fontId="2" type="noConversion"/>
  </si>
  <si>
    <t>https://etheria.xd.com/</t>
    <phoneticPr fontId="2" type="noConversion"/>
  </si>
  <si>
    <t>https://www.facebook.com/etheriatw.official</t>
    <phoneticPr fontId="2" type="noConversion"/>
  </si>
  <si>
    <t>https://play.google.com/store/apps/details?id=com.xd.etheria.gp.glb&amp;hl=zh_TW</t>
    <phoneticPr fontId="2" type="noConversion"/>
  </si>
  <si>
    <t>https://apps.apple.com/us/app/etheria-restart/id6737684676</t>
    <phoneticPr fontId="2" type="noConversion"/>
  </si>
  <si>
    <t>等待更新中</t>
    <phoneticPr fontId="2" type="noConversion"/>
  </si>
  <si>
    <t>設定中找到兌換碼</t>
    <phoneticPr fontId="2" type="noConversion"/>
  </si>
  <si>
    <t>貼上兌換碼領取免費禮包</t>
    <phoneticPr fontId="2" type="noConversion"/>
  </si>
  <si>
    <t>App Store</t>
    <phoneticPr fontId="2" type="noConversion"/>
  </si>
  <si>
    <t>手刀搶英雄</t>
    <phoneticPr fontId="2" type="noConversion"/>
  </si>
  <si>
    <t>主畫面右上角點齒輪</t>
    <phoneticPr fontId="2" type="noConversion"/>
  </si>
  <si>
    <t>按右下角「禮包兌換」</t>
    <phoneticPr fontId="2" type="noConversion"/>
  </si>
  <si>
    <t>畫面中央偏右找到「輸入序號」</t>
    <phoneticPr fontId="2" type="noConversion"/>
  </si>
  <si>
    <t>https://play.google.com/store/apps/details?id=com.highbrow.games.mnf&amp;hl=zh_TW</t>
  </si>
  <si>
    <t>https://apps.apple.com/tw/app/%E6%89%8B%E5%88%80%E6%90%B6%E8%8B%B1%E9%9B%84/id6745557169</t>
  </si>
  <si>
    <t>https://www.highbrow.com/</t>
    <phoneticPr fontId="2" type="noConversion"/>
  </si>
  <si>
    <t>https://www.facebook.com/</t>
    <phoneticPr fontId="2" type="noConversion"/>
  </si>
  <si>
    <t>8250寶石</t>
  </si>
  <si>
    <t>5390寶石</t>
  </si>
  <si>
    <t>3575寶石</t>
  </si>
  <si>
    <t>1980寶石</t>
  </si>
  <si>
    <t>605寶石</t>
  </si>
  <si>
    <t>275寶石</t>
  </si>
  <si>
    <t>165寶石</t>
  </si>
  <si>
    <t>賽季通行證</t>
  </si>
  <si>
    <t>0813GOOGLE</t>
    <phoneticPr fontId="2" type="noConversion"/>
  </si>
  <si>
    <t>0813ONESTORE</t>
    <phoneticPr fontId="2" type="noConversion"/>
  </si>
  <si>
    <t>0813APPLE</t>
    <phoneticPr fontId="2" type="noConversion"/>
  </si>
  <si>
    <t>古書*10</t>
    <phoneticPr fontId="2" type="noConversion"/>
  </si>
  <si>
    <t>星圖*10</t>
    <phoneticPr fontId="2" type="noConversion"/>
  </si>
  <si>
    <t>高級英雄召喚券*10</t>
    <phoneticPr fontId="2" type="noConversion"/>
  </si>
  <si>
    <t>破壞突擊隊</t>
  </si>
  <si>
    <t>https://supercell.com/en/games/brawlstars/</t>
    <phoneticPr fontId="2" type="noConversion"/>
  </si>
  <si>
    <t>https://www.facebook.com/brawlstars</t>
    <phoneticPr fontId="2" type="noConversion"/>
  </si>
  <si>
    <t>https://apps.apple.com/tw/app/%E8%8D%92%E9%87%8E%E4%BA%82%E9%AC%A5/id1229016807</t>
    <phoneticPr fontId="2" type="noConversion"/>
  </si>
  <si>
    <t>https://play.google.com/store/apps/details?id=com.supercell.brawlstars&amp;hl=zh_TW</t>
    <phoneticPr fontId="2" type="noConversion"/>
  </si>
  <si>
    <t>https://play.google.com/store/apps/details?id=com.supercell.squad&amp;hl=zh_TW</t>
    <phoneticPr fontId="2" type="noConversion"/>
  </si>
  <si>
    <t>https://apps.apple.com/tw/app/%E9%81%BA%E5%BF%98%E4%B9%8B%E5%8A%8D/id6744879430</t>
    <phoneticPr fontId="2" type="noConversion"/>
  </si>
  <si>
    <t>https://tw.ncsoft.com/lostsword</t>
    <phoneticPr fontId="2" type="noConversion"/>
  </si>
  <si>
    <t>https://www.facebook.com/LostSwordOfficial.TW/</t>
    <phoneticPr fontId="2" type="noConversion"/>
  </si>
  <si>
    <t>https://play.google.com/store/apps/details?id=com.nctaiwan.lsnct&amp;hl=zh_TW</t>
    <phoneticPr fontId="2" type="noConversion"/>
  </si>
  <si>
    <t>https://www.facebook.com/SquadBustersGame/</t>
    <phoneticPr fontId="2" type="noConversion"/>
  </si>
  <si>
    <t>https://squadbusters.supercell.com/cn/</t>
    <phoneticPr fontId="2" type="noConversion"/>
  </si>
  <si>
    <t>https://apps.apple.com/tw/app/%E7%A0%B4%E5%A3%9E%E7%AA%81%E6%93%8A%E9%9A%8A/id1668983788</t>
    <phoneticPr fontId="2" type="noConversion"/>
  </si>
  <si>
    <t>遺忘之劍</t>
    <phoneticPr fontId="2" type="noConversion"/>
  </si>
  <si>
    <t>荒野亂鬥</t>
    <phoneticPr fontId="2" type="noConversion"/>
  </si>
  <si>
    <t>右下角齒輪設定</t>
    <phoneticPr fontId="2" type="noConversion"/>
  </si>
  <si>
    <t>左邊書籤的帳號</t>
    <phoneticPr fontId="2" type="noConversion"/>
  </si>
  <si>
    <t>右下方點酷碰登陸</t>
    <phoneticPr fontId="2" type="noConversion"/>
  </si>
  <si>
    <t>GOBLIN0820STRONG</t>
    <phoneticPr fontId="2" type="noConversion"/>
  </si>
  <si>
    <t>MERLIN</t>
    <phoneticPr fontId="2" type="noConversion"/>
  </si>
  <si>
    <t>AUGLOSTSWORD</t>
    <phoneticPr fontId="2" type="noConversion"/>
  </si>
  <si>
    <t>LSTHX200</t>
    <phoneticPr fontId="2" type="noConversion"/>
  </si>
  <si>
    <t>SUMMERGIFT</t>
    <phoneticPr fontId="2" type="noConversion"/>
  </si>
  <si>
    <t>鑽石*1000+高級角色10 次召喚券*1(國際服)</t>
    <phoneticPr fontId="2" type="noConversion"/>
  </si>
  <si>
    <t>鑽石*2000+
高級角色 10次召喚券*2+高級寵物10 次召喚券*2+金幣*200萬(國際服)</t>
    <phoneticPr fontId="2" type="noConversion"/>
  </si>
  <si>
    <t>鑽石*1000+高級寵物10 次召喚券*1(國際服)</t>
    <phoneticPr fontId="2" type="noConversion"/>
  </si>
  <si>
    <t>鑽石*1000+五星角色召喚券*1(台服)</t>
    <phoneticPr fontId="2" type="noConversion"/>
  </si>
  <si>
    <t>英雄禮物箱*1+盔甲強化咒文書*10(台服)</t>
    <phoneticPr fontId="2" type="noConversion"/>
  </si>
  <si>
    <t>2000寶石</t>
  </si>
  <si>
    <t>950寶石</t>
  </si>
  <si>
    <t>360寶石</t>
  </si>
  <si>
    <t>170寶石</t>
  </si>
  <si>
    <t>80寶石</t>
  </si>
  <si>
    <t>8000里昂</t>
  </si>
  <si>
    <t>4000里昂</t>
  </si>
  <si>
    <t>2400里昂</t>
  </si>
  <si>
    <t>800里昂</t>
  </si>
  <si>
    <t>400里昂</t>
  </si>
  <si>
    <t>240里昂</t>
  </si>
  <si>
    <t>雙月票</t>
  </si>
  <si>
    <t>月兔茶屋：悠閒之旅</t>
    <phoneticPr fontId="2" type="noConversion"/>
  </si>
  <si>
    <t>https://apps.apple.com/tw/app/%E6%9C%88%E5%85%94%E8%8C%B6%E5%B1%8B-%E6%82%A0%E9%96%92%E4%B9%8B%E6%97%85-tsuki-tea-house/id6505020147</t>
    <phoneticPr fontId="2" type="noConversion"/>
  </si>
  <si>
    <t>https://play.google.com/store/apps/details?id=com.hyperbeard.tsukiteahouse&amp;hl=zh_HK</t>
    <phoneticPr fontId="2" type="noConversion"/>
  </si>
  <si>
    <t>https://hyperbeard.com/</t>
  </si>
  <si>
    <t>https://www.facebook.com/HyperBeardGames/</t>
  </si>
  <si>
    <t>50000金蘿蔔</t>
  </si>
  <si>
    <t>25000金蘿蔔</t>
  </si>
  <si>
    <t>5000金蘿蔔</t>
  </si>
  <si>
    <t>2500金蘿蔔</t>
  </si>
  <si>
    <t>1250金蘿蔔</t>
  </si>
  <si>
    <t>500金蘿蔔</t>
  </si>
  <si>
    <t>新手包</t>
  </si>
  <si>
    <t>月亮俱樂部</t>
  </si>
  <si>
    <t>終極廣告卡</t>
  </si>
  <si>
    <t>吞食天地 虛擬世界</t>
  </si>
  <si>
    <t>https://ts5n.chinesegamer.hk/</t>
    <phoneticPr fontId="2" type="noConversion"/>
  </si>
  <si>
    <t>https://www.facebook.com/ts5nmobile/?locale=zh_TW</t>
  </si>
  <si>
    <t>https://play.google.com/store/apps/details?id=com.chinesegamer.hk.ts5n</t>
  </si>
  <si>
    <t>https://apps.apple.com/tw/app/%E5%90%9E%E9%A3%9F%E5%A4%A9%E5%9C%B0-%E8%99%9B%E6%93%AC%E4%B8%96%E7%95%8C/id6738983582</t>
  </si>
  <si>
    <t xml:space="preserve">2B05416LQ </t>
    <phoneticPr fontId="2" type="noConversion"/>
  </si>
  <si>
    <t>隨機金將組合包*1+英雄帖*10+銅幣*100K</t>
    <phoneticPr fontId="2" type="noConversion"/>
  </si>
  <si>
    <t>主畫面右方箭頭裡面點齒輪設定</t>
    <phoneticPr fontId="2" type="noConversion"/>
  </si>
  <si>
    <t>右下角點虛寶兌換</t>
    <phoneticPr fontId="2" type="noConversion"/>
  </si>
  <si>
    <t>點確定之後在背包中領取免費禮包</t>
    <phoneticPr fontId="2" type="noConversion"/>
  </si>
  <si>
    <t>2990元寶</t>
  </si>
  <si>
    <t>1490元寶</t>
  </si>
  <si>
    <t>450元寶</t>
  </si>
  <si>
    <t>180元寶</t>
  </si>
  <si>
    <t>90元寶</t>
  </si>
  <si>
    <t>30元寶</t>
  </si>
  <si>
    <t>尊貴月卡</t>
  </si>
  <si>
    <t>元寶月卡</t>
  </si>
  <si>
    <t>資源月卡</t>
  </si>
  <si>
    <t>資源周卡</t>
  </si>
  <si>
    <t>元寶周卡</t>
  </si>
  <si>
    <t>https://www.facebook.com/profile.php?id=61578957816469</t>
  </si>
  <si>
    <t>https://apps.apple.com/tw/app/%E5%B0%81%E7%A5%9E-%E8%92%BC%E5%B5%90%E5%A5%91%E7%B4%84/id6748110726</t>
  </si>
  <si>
    <t>VIP888</t>
    <phoneticPr fontId="2" type="noConversion"/>
  </si>
  <si>
    <t>極品經驗丹*1+銅幣*20,000</t>
    <phoneticPr fontId="2" type="noConversion"/>
  </si>
  <si>
    <t>VIP777</t>
    <phoneticPr fontId="2" type="noConversion"/>
  </si>
  <si>
    <t>元寶*300+上品經驗丹*1</t>
    <phoneticPr fontId="2" type="noConversion"/>
  </si>
  <si>
    <t>引魂燈*3+元寶*100</t>
    <phoneticPr fontId="2" type="noConversion"/>
  </si>
  <si>
    <t>SVIP666</t>
    <phoneticPr fontId="2" type="noConversion"/>
  </si>
  <si>
    <t>能量石*50+銅幣*10,000</t>
    <phoneticPr fontId="2" type="noConversion"/>
  </si>
  <si>
    <t>SVIP888</t>
    <phoneticPr fontId="2" type="noConversion"/>
  </si>
  <si>
    <t>SVIP777</t>
    <phoneticPr fontId="2" type="noConversion"/>
  </si>
  <si>
    <t>上品經驗丹*3+銅幣*30,000</t>
    <phoneticPr fontId="2" type="noConversion"/>
  </si>
  <si>
    <t>極品經驗丹*1+元寶*300</t>
    <phoneticPr fontId="2" type="noConversion"/>
  </si>
  <si>
    <t>引魂燈*3+上品經驗丹*3</t>
    <phoneticPr fontId="2" type="noConversion"/>
  </si>
  <si>
    <t>按主畫面左上角頭像</t>
    <phoneticPr fontId="2" type="noConversion"/>
  </si>
  <si>
    <t>畫面中央點虛寶碼</t>
    <phoneticPr fontId="2" type="noConversion"/>
  </si>
  <si>
    <t>按確定領取免費禮包</t>
    <phoneticPr fontId="2" type="noConversion"/>
  </si>
  <si>
    <t>體力卡/月慧卡</t>
  </si>
  <si>
    <t>尊享卡</t>
  </si>
  <si>
    <t>https://drive.google.com/file/d/1WEmdcrN1r89fbt9cynQyNvxLuHn9J60H/view?fbclid=IwY2xjawMZI35leHRuA2FlbQIxMABicmlkETFiM29nWVdGSDIxQlFEc2UwAR7YUxJ-rQWS-i8tf0iw_ZdXfMrHt0NPIdf3_Uy6PP2BYOpVR9qSxrTptsOMjQ_aem_bWB-Pjdyt5IM3iosacdupA</t>
    <phoneticPr fontId="2" type="noConversion"/>
  </si>
  <si>
    <t>封神：蒼嵐契約</t>
    <phoneticPr fontId="2" type="noConversion"/>
  </si>
  <si>
    <t>Gear Fight!</t>
    <phoneticPr fontId="2" type="noConversion"/>
  </si>
  <si>
    <t>https://apps.apple.com/tw/app/gear-fight/id6738430824</t>
    <phoneticPr fontId="2" type="noConversion"/>
  </si>
  <si>
    <t>https://play.google.com/store/apps/details?id=com.EternalStudio.GearFight&amp;hl=zh_TW</t>
    <phoneticPr fontId="2" type="noConversion"/>
  </si>
  <si>
    <t>https://voodoo.io/</t>
    <phoneticPr fontId="2" type="noConversion"/>
  </si>
  <si>
    <t>https://www.facebook.com/</t>
  </si>
  <si>
    <t>700寶石</t>
  </si>
  <si>
    <t>200寶石</t>
  </si>
  <si>
    <t>25寶石</t>
  </si>
  <si>
    <t>2X加速</t>
  </si>
  <si>
    <t>植物部隊包</t>
  </si>
  <si>
    <t>祝福禮包</t>
  </si>
  <si>
    <t>https://play.google.com/store/apps/details?id=com.gamania.tosm&amp;is_retargeting=true&amp;source_caller=ui&amp;shortlink=tr8m0yil&amp;c=0715preregister&amp;pid=pre-eventpage_registernowbtn&amp;af_xp=custom&amp;fbclid=IwY2xjawMat9dleHRuA2FlbQIxMABicmlkETFQdUxnS1dmdVZuODkyZWp0AR6xAzlsZNQNCXjTWaD3u5fhy0zWK0zT2-hw23w4-G2KqEx0eosDi8BsaQWa8w_aem_pSu3Tr4ufEnibbPRTHgBGw&amp;af_reengagement_window=61d</t>
    <phoneticPr fontId="2" type="noConversion"/>
  </si>
  <si>
    <t>救世者之樹 M</t>
    <phoneticPr fontId="2" type="noConversion"/>
  </si>
  <si>
    <t>https://apps.apple.com/tw/app/%E6%95%91%E4%B8%96%E8%80%85%E4%B9%8B%E6%A8%B9%EF%BD%8D/id6458050011</t>
    <phoneticPr fontId="2" type="noConversion"/>
  </si>
  <si>
    <t>https://tosm-treeofsavior.beanfun.com/main</t>
    <phoneticPr fontId="2" type="noConversion"/>
  </si>
  <si>
    <t>https://www.facebook.com/TreeofSaviorM/</t>
    <phoneticPr fontId="2" type="noConversion"/>
  </si>
  <si>
    <t>R1F437D9FA</t>
    <phoneticPr fontId="2" type="noConversion"/>
  </si>
  <si>
    <t>TP禮包</t>
    <phoneticPr fontId="2" type="noConversion"/>
  </si>
  <si>
    <t>主畫面中按設定/個人頭像</t>
    <phoneticPr fontId="2" type="noConversion"/>
  </si>
  <si>
    <t>找到兌換碼禮包碼字樣點進去</t>
    <phoneticPr fontId="2" type="noConversion"/>
  </si>
  <si>
    <t>按確定後到信箱領取免費禮包</t>
    <phoneticPr fontId="2" type="noConversion"/>
  </si>
  <si>
    <t>1500TP</t>
  </si>
  <si>
    <t>1150TP</t>
  </si>
  <si>
    <t>580TP</t>
  </si>
  <si>
    <t>350TP</t>
  </si>
  <si>
    <t>165TP</t>
  </si>
  <si>
    <t>80TP</t>
  </si>
  <si>
    <t>40TP</t>
  </si>
  <si>
    <t>13TP</t>
  </si>
  <si>
    <t>TOSM上市新手禮包</t>
  </si>
  <si>
    <t>GOBLIN0820STRONG</t>
    <phoneticPr fontId="2" type="noConversion"/>
  </si>
  <si>
    <t>fanghuo</t>
    <phoneticPr fontId="2" type="noConversion"/>
  </si>
  <si>
    <t>金幣與強化禮包</t>
    <phoneticPr fontId="2" type="noConversion"/>
  </si>
  <si>
    <t>94AKAONI</t>
    <phoneticPr fontId="2" type="noConversion"/>
  </si>
  <si>
    <t>94DADA</t>
    <phoneticPr fontId="2" type="noConversion"/>
  </si>
  <si>
    <t>RCB768501E</t>
    <phoneticPr fontId="2" type="noConversion"/>
  </si>
  <si>
    <t>94MMD</t>
    <phoneticPr fontId="2" type="noConversion"/>
  </si>
  <si>
    <t>B156BCDGBF</t>
    <phoneticPr fontId="2" type="noConversion"/>
  </si>
  <si>
    <t>OB1CE9EJ5F</t>
    <phoneticPr fontId="2" type="noConversion"/>
  </si>
  <si>
    <t>勝利女神：妮姬</t>
  </si>
  <si>
    <t>野龍小隊</t>
  </si>
  <si>
    <t>BangBang殭屍：避難所戰爭</t>
  </si>
  <si>
    <t>主公超會閃</t>
  </si>
  <si>
    <t>小兵來支援</t>
  </si>
  <si>
    <t>姆姆鬥惡龍</t>
  </si>
  <si>
    <t>發條特攻隊</t>
  </si>
  <si>
    <t>天命：群星</t>
  </si>
  <si>
    <t>https://apps.apple.com/tw/app/%E5%8B%9D%E5%88%A9%E5%A5%B3%E7%A5%9E-%E5%A6%AE%E5%A7%AC/id1630883882</t>
  </si>
  <si>
    <t>https://apps.apple.com/tw/app/%E7%99%BC%E6%A2%9D%E7%89%B9%E6%94%BB%E9%9A%8A/id6499112583</t>
  </si>
  <si>
    <t>https://apps.apple.com/tw/app/%E5%B0%8F%E5%85%B5%E4%BE%86%E6%94%AF%E6%8F%B4/id6739828673?mt=8</t>
  </si>
  <si>
    <t>https://apps.apple.com/hk/app/%E9%87%8E%E9%BE%8D%E5%B0%8F%E9%9A%8A/id6746182414</t>
  </si>
  <si>
    <t>https://apps.apple.com/tw/app/%E5%A7%86%E5%A7%86%E9%AC%A5%E6%83%A1%E9%BE%8D-i-slime/id6738974922</t>
  </si>
  <si>
    <t>https://play.google.com/store/apps/details?id=com.netease.g108hmt&amp;hl=zh_TW</t>
  </si>
  <si>
    <t>https://apps.apple.com/us/app/bangbang%E5%83%B5%E5%B0%B8-%E9%81%BF%E9%9A%BE%E6%89%80%E6%88%98%E4%BA%89/id6747997392?l=zh-Hans-CN</t>
  </si>
  <si>
    <t>https://play.google.com/store/apps/details?id=com.proximabeta.nikke&amp;hl=zh_TW</t>
  </si>
  <si>
    <t>https://play.google.com/store/apps/details?id=com.lastshelter.gp&amp;hl=zh_TW</t>
  </si>
  <si>
    <t>https://play.google.com/store/apps/details?id=com.islime.android</t>
  </si>
  <si>
    <t>https://www.playdestinyrising.com/tw/?is_retargeting=true&amp;source_caller=ui&amp;af_inactivity_window=14d&amp;shortlink=q2pit60k&amp;c=iOS%20Pre-Order%20from%20social%20media&amp;pid=marketing&amp;af_xp=custom&amp;af_reengagement_window=30d</t>
  </si>
  <si>
    <t>https://apps.apple.com/tw/app/%E5%A4%A9%E5%91%BD-%E7%BE%A4%E6%98%9F/id6744052056</t>
  </si>
  <si>
    <t>https://play.google.com/store/apps/details?id=com.vizta.wefly&amp;referrer=adjust_reftag%3DcvU68a2dF84ur%26utm_source%3DWefly_Marketing%26utm_campaign%3DWefly_SNS%26utm_content%3DSNS%26utm_term%3DEU</t>
  </si>
  <si>
    <t>https://www.facebook.com/ACECRAFTOFFICIAL/?brand_redir=512601458601885#</t>
  </si>
  <si>
    <t>https://cn.moonton.com/</t>
  </si>
  <si>
    <t>https://apps.apple.com/sg/app/%E4%B8%BB%E5%85%AC%E8%B6%85%E6%9C%83%E9%96%83/id6743072374</t>
    <phoneticPr fontId="2" type="noConversion"/>
  </si>
  <si>
    <t>https://www.facebook.com/TW.NIKKE</t>
  </si>
  <si>
    <t>https://nikke.hotcool.tw/index.html</t>
  </si>
  <si>
    <t>https://play.google.com/store/apps/details?id=com.daerigame.dragon&amp;hl=zh_TW</t>
  </si>
  <si>
    <t>https://daerisoft.imweb.me/</t>
  </si>
  <si>
    <t>https://apps.apple.com/hk/developer/muye-games-co-ltd/id1601609293</t>
  </si>
  <si>
    <t>https://www.facebook.com/flashmaster.tw</t>
  </si>
  <si>
    <t>https://apps.apple.com/tw/app/%E4%B8%BB%E5%85%AC%E8%B6%85%E6%9C%83%E9%96%83/id6743072374?mt=8</t>
  </si>
  <si>
    <t>https://xbdzz-happytime.onelink.me/Qmv0/u7g0i82n</t>
  </si>
  <si>
    <t>https://www.facebook.com/MergeKingdomsTW</t>
    <phoneticPr fontId="2" type="noConversion"/>
  </si>
  <si>
    <t>https://portaly.cc/MergeKingdomsTW?fbclid=IwY2xjawMb74dleHRuA2FlbQIxMABicmlkETFLeEF1eXdtQklRS1VnbGxLAR5i6W9gNz787knAKzTMiwdoi1sCnF6v4BvEazgA4Xj9mDASNF1SEDBh_F22cQ_aem_nGkpSYm8-3MmwK4qa3N2dA</t>
    <phoneticPr fontId="2" type="noConversion"/>
  </si>
  <si>
    <t>https://www.facebook.com/DestinyRisingHMT</t>
    <phoneticPr fontId="2" type="noConversion"/>
  </si>
  <si>
    <t>https://www.gameshub-online.com/</t>
    <phoneticPr fontId="2" type="noConversion"/>
  </si>
  <si>
    <t>1790台幣禮包</t>
  </si>
  <si>
    <t>830台幣禮包</t>
  </si>
  <si>
    <t>270台幣禮包</t>
  </si>
  <si>
    <t>130台幣禮包</t>
  </si>
  <si>
    <t>70台幣禮包</t>
  </si>
  <si>
    <t>2490台幣禮包</t>
  </si>
  <si>
    <t>6480元寶禮包</t>
  </si>
  <si>
    <t>3280元寶禮包</t>
  </si>
  <si>
    <t>1980元寶禮包</t>
  </si>
  <si>
    <t>1280元寶禮包</t>
  </si>
  <si>
    <t>980元寶禮包</t>
  </si>
  <si>
    <t>680元寶禮包</t>
  </si>
  <si>
    <t>600元寶禮包</t>
  </si>
  <si>
    <t>500元寶禮包</t>
  </si>
  <si>
    <t>250元寶禮包</t>
  </si>
  <si>
    <t>180元寶禮包</t>
  </si>
  <si>
    <t>14000元寶</t>
  </si>
  <si>
    <t>6500元寶</t>
  </si>
  <si>
    <t>2500元寶</t>
  </si>
  <si>
    <t>500元寶</t>
  </si>
  <si>
    <t>特惠商店月禮包</t>
  </si>
  <si>
    <t>特惠商店周禮包</t>
  </si>
  <si>
    <t>段位基金</t>
  </si>
  <si>
    <t>3000台幣禮包</t>
  </si>
  <si>
    <t>1500台幣禮包</t>
  </si>
  <si>
    <t>750台幣禮包</t>
  </si>
  <si>
    <t>600台幣禮包</t>
  </si>
  <si>
    <t>450台幣禮包</t>
  </si>
  <si>
    <t>6000銀幣</t>
  </si>
  <si>
    <t>1500銀幣</t>
  </si>
  <si>
    <t>600銀幣</t>
  </si>
  <si>
    <t>300銀幣</t>
  </si>
  <si>
    <t>60銀幣</t>
  </si>
  <si>
    <t>高級通行證</t>
  </si>
  <si>
    <t>高級通行證豪華版</t>
  </si>
  <si>
    <t>NIKKEGIFT</t>
    <phoneticPr fontId="2" type="noConversion"/>
  </si>
  <si>
    <t>NIKKE1104</t>
    <phoneticPr fontId="2" type="noConversion"/>
  </si>
  <si>
    <t>戰鬥數據輯盒</t>
    <phoneticPr fontId="2" type="noConversion"/>
  </si>
  <si>
    <t>信用點盒</t>
    <phoneticPr fontId="2" type="noConversion"/>
  </si>
  <si>
    <t>點擊主畫面右上角的四個正方形按鈕</t>
    <phoneticPr fontId="2" type="noConversion"/>
  </si>
  <si>
    <t>點選「公告」</t>
    <phoneticPr fontId="2" type="noConversion"/>
  </si>
  <si>
    <t>進入「活動一覽」，找到「CDKey兌換入口」</t>
    <phoneticPr fontId="2" type="noConversion"/>
  </si>
  <si>
    <t>到信箱領取免費禮包</t>
    <phoneticPr fontId="2" type="noConversion"/>
  </si>
  <si>
    <t>qjzbbbyb</t>
    <phoneticPr fontId="2" type="noConversion"/>
  </si>
  <si>
    <t>Q醬行前裝備包</t>
    <phoneticPr fontId="2" type="noConversion"/>
  </si>
  <si>
    <t>qjbjbyb</t>
    <phoneticPr fontId="2" type="noConversion"/>
  </si>
  <si>
    <t>Q醬補給包</t>
    <phoneticPr fontId="2" type="noConversion"/>
  </si>
  <si>
    <t>qjzbb0728</t>
    <phoneticPr fontId="2" type="noConversion"/>
  </si>
  <si>
    <t>Q醬行前裝備包</t>
    <phoneticPr fontId="2" type="noConversion"/>
  </si>
  <si>
    <t>qjbj0725</t>
    <phoneticPr fontId="2" type="noConversion"/>
  </si>
  <si>
    <t>Q醬補給包</t>
    <phoneticPr fontId="2" type="noConversion"/>
  </si>
  <si>
    <t>qjzbb0721</t>
    <phoneticPr fontId="2" type="noConversion"/>
  </si>
  <si>
    <t>Q醬行前裝備包</t>
    <phoneticPr fontId="2" type="noConversion"/>
  </si>
  <si>
    <t>qjbj0718</t>
    <phoneticPr fontId="2" type="noConversion"/>
  </si>
  <si>
    <t>qjzbb0714</t>
    <phoneticPr fontId="2" type="noConversion"/>
  </si>
  <si>
    <t>Q醬行前裝備包</t>
    <phoneticPr fontId="2" type="noConversion"/>
  </si>
  <si>
    <t>qjbj0711</t>
    <phoneticPr fontId="2" type="noConversion"/>
  </si>
  <si>
    <t>遊戲主畫面中點頭像或設定</t>
    <phoneticPr fontId="2" type="noConversion"/>
  </si>
  <si>
    <t>點禮包碼或兌換碼選項</t>
    <phoneticPr fontId="2" type="noConversion"/>
  </si>
  <si>
    <t>按確定後領取免費禮包</t>
    <phoneticPr fontId="2" type="noConversion"/>
  </si>
  <si>
    <t>NN666</t>
    <phoneticPr fontId="2" type="noConversion"/>
  </si>
  <si>
    <t>NN888</t>
    <phoneticPr fontId="2" type="noConversion"/>
  </si>
  <si>
    <t>牛牛妹專屬禮包1</t>
    <phoneticPr fontId="2" type="noConversion"/>
  </si>
  <si>
    <t>DD666</t>
    <phoneticPr fontId="2" type="noConversion"/>
  </si>
  <si>
    <t>DD888</t>
    <phoneticPr fontId="2" type="noConversion"/>
  </si>
  <si>
    <t>豆寶專屬禮包1</t>
    <phoneticPr fontId="2" type="noConversion"/>
  </si>
  <si>
    <t>豆寶專屬禮包2</t>
    <phoneticPr fontId="2" type="noConversion"/>
  </si>
  <si>
    <t>牛牛妹專屬禮包2</t>
    <phoneticPr fontId="2" type="noConversion"/>
  </si>
  <si>
    <t>YUANBB666</t>
    <phoneticPr fontId="2" type="noConversion"/>
  </si>
  <si>
    <t>YUANBB888</t>
    <phoneticPr fontId="2" type="noConversion"/>
  </si>
  <si>
    <t>Yunabb專屬禮包1</t>
    <phoneticPr fontId="2" type="noConversion"/>
  </si>
  <si>
    <t>Yunabb專屬禮包2</t>
    <phoneticPr fontId="2" type="noConversion"/>
  </si>
  <si>
    <t>MMCC666</t>
    <phoneticPr fontId="2" type="noConversion"/>
  </si>
  <si>
    <t>MMCC888</t>
    <phoneticPr fontId="2" type="noConversion"/>
  </si>
  <si>
    <t>萌萌吃吃專屬禮包1</t>
    <phoneticPr fontId="2" type="noConversion"/>
  </si>
  <si>
    <t>HZY666</t>
    <phoneticPr fontId="2" type="noConversion"/>
  </si>
  <si>
    <t>HZY888</t>
    <phoneticPr fontId="2" type="noConversion"/>
  </si>
  <si>
    <t>萌萌吃吃專屬禮包2</t>
    <phoneticPr fontId="2" type="noConversion"/>
  </si>
  <si>
    <t>河智媛專屬禮包2</t>
    <phoneticPr fontId="2" type="noConversion"/>
  </si>
  <si>
    <t>河智媛專屬禮包1</t>
    <phoneticPr fontId="2" type="noConversion"/>
  </si>
  <si>
    <t>PP666</t>
    <phoneticPr fontId="2" type="noConversion"/>
  </si>
  <si>
    <t>PP888</t>
    <phoneticPr fontId="2" type="noConversion"/>
  </si>
  <si>
    <t>蘋蘋澎澎專屬禮包1</t>
    <phoneticPr fontId="2" type="noConversion"/>
  </si>
  <si>
    <t>NL888</t>
    <phoneticPr fontId="2" type="noConversion"/>
  </si>
  <si>
    <t>蘋蘋澎澎專屬禮包2</t>
    <phoneticPr fontId="2" type="noConversion"/>
  </si>
  <si>
    <t>NL666專屬禮包1</t>
    <phoneticPr fontId="2" type="noConversion"/>
  </si>
  <si>
    <t>LJ888</t>
    <phoneticPr fontId="2" type="noConversion"/>
  </si>
  <si>
    <t>熊寶專屬禮包2</t>
    <phoneticPr fontId="2" type="noConversion"/>
  </si>
  <si>
    <t>熊寶專屬禮包1</t>
    <phoneticPr fontId="2" type="noConversion"/>
  </si>
  <si>
    <t>LJ666</t>
    <phoneticPr fontId="2" type="noConversion"/>
  </si>
  <si>
    <t>羅杰專屬禮包1</t>
    <phoneticPr fontId="2" type="noConversion"/>
  </si>
  <si>
    <t>羅杰專屬禮包2</t>
    <phoneticPr fontId="2" type="noConversion"/>
  </si>
  <si>
    <t>ZT666</t>
    <phoneticPr fontId="2" type="noConversion"/>
  </si>
  <si>
    <t>ZT888</t>
    <phoneticPr fontId="2" type="noConversion"/>
  </si>
  <si>
    <t>曾甜專屬禮包2</t>
    <phoneticPr fontId="2" type="noConversion"/>
  </si>
  <si>
    <t>XX666</t>
    <phoneticPr fontId="2" type="noConversion"/>
  </si>
  <si>
    <t>XX888</t>
    <phoneticPr fontId="2" type="noConversion"/>
  </si>
  <si>
    <t>曾甜專屬禮包1</t>
    <phoneticPr fontId="2" type="noConversion"/>
  </si>
  <si>
    <t>湘湘專屬禮包1</t>
    <phoneticPr fontId="2" type="noConversion"/>
  </si>
  <si>
    <t>湘湘專屬禮包2</t>
    <phoneticPr fontId="2" type="noConversion"/>
  </si>
  <si>
    <t>遊戲中選單點設定</t>
    <phoneticPr fontId="2" type="noConversion"/>
  </si>
  <si>
    <t>設定中找到兌換碼</t>
    <phoneticPr fontId="2" type="noConversion"/>
  </si>
  <si>
    <t>血影雙生</t>
  </si>
  <si>
    <t>我的勇者外傳</t>
  </si>
  <si>
    <t>https://apps.apple.com/tw/app/%E6%88%91%E7%9A%84%E5%8B%87%E8%80%85%E5%A4%96%E5%82%B3/id6743834900</t>
  </si>
  <si>
    <t>https://play.google.com/store/apps/details?id=com.rsg.mystw&amp;fbclid=IwY2xjawMdUrlleHRuA2FlbQIxMABicmlkETFsdjc5bjFlVXI0Q2JGc201AR4MjK_64cfYC1z3AKt2sHu5YlVCHD4kYvZlgD4SWNMm5-6ZiS6uVTiriGoiFA_aem_ci-3pwxxWolXcoC97O3JAg</t>
  </si>
  <si>
    <t>https://myheroes.v-brick.com.tw/act/</t>
  </si>
  <si>
    <t>https://www.facebook.com/myheroessidestory</t>
  </si>
  <si>
    <t>https://play.google.com/store/apps/details?id=com.mover.twds&amp;hl=zh_TW</t>
  </si>
  <si>
    <t>https://www.facebook.com/PandaG0</t>
  </si>
  <si>
    <t>https://apps.apple.com/us/app/%E5%A5%B3%E7%A5%9E%E5%A5%91%E7%B4%84-%E7%95%B0%E4%B8%96%E7%95%8C%E9%81%A0%E5%BE%81%E9%98%9F/id6747697091</t>
  </si>
  <si>
    <t>https://play.google.com/store/apps/details?id=com.spt.goddness</t>
  </si>
  <si>
    <t>https://www.phecdagames.com/</t>
  </si>
  <si>
    <t>https://www.facebook.com/BloodTwins.mover</t>
  </si>
  <si>
    <t>https://bloodtwins.movergames.com/?utm_source=fbfans&amp;utm_medium=fbfans&amp;utm_campaign=fbtosite0827&amp;fbclid=IwY2xjawMdVApleHRuA2FlbQIxMABicmlkETFtTWVLZFVVYmk1MVN0T2JsAR6wCHM8tphZpKMilOVChsFZGeNWi0KWHvr7AiBad-q-1K8cOdzKAzBCPEFGew_aem_LPrQ_KqTLOUfU5m_do5VDg</t>
  </si>
  <si>
    <t>https://apps.apple.com/tw/app/%E8%A1%80%E5%BD%B1%E9%9B%99%E7%94%9F/id6746142055</t>
  </si>
  <si>
    <t>勇者集結</t>
    <phoneticPr fontId="2" type="noConversion"/>
  </si>
  <si>
    <t>勇者無敵</t>
    <phoneticPr fontId="2" type="noConversion"/>
  </si>
  <si>
    <t>鑽石*500+血源礦*200</t>
    <phoneticPr fontId="2" type="noConversion"/>
  </si>
  <si>
    <t>神秘技能幣*10</t>
    <phoneticPr fontId="2" type="noConversion"/>
  </si>
  <si>
    <t>主畫面的左下角按頭像</t>
    <phoneticPr fontId="2" type="noConversion"/>
  </si>
  <si>
    <t>畫面左邊按信息</t>
    <phoneticPr fontId="2" type="noConversion"/>
  </si>
  <si>
    <t>畫面中間按齒輪進入設定</t>
    <phoneticPr fontId="2" type="noConversion"/>
  </si>
  <si>
    <t>點選兌換碼</t>
    <phoneticPr fontId="2" type="noConversion"/>
  </si>
  <si>
    <t>貼上在SSbuy複製好的禮包兌換碼按兌換</t>
    <phoneticPr fontId="2" type="noConversion"/>
  </si>
  <si>
    <t>畫面右方四個方塊點開</t>
    <phoneticPr fontId="2" type="noConversion"/>
  </si>
  <si>
    <t>畫面右上方按設置</t>
    <phoneticPr fontId="2" type="noConversion"/>
  </si>
  <si>
    <t>最底下點啟動碼</t>
    <phoneticPr fontId="2" type="noConversion"/>
  </si>
  <si>
    <t>按確定即可領取免費禮包</t>
    <phoneticPr fontId="2" type="noConversion"/>
  </si>
  <si>
    <t>648粉鑽禮包</t>
  </si>
  <si>
    <t>328粉鑽禮包</t>
  </si>
  <si>
    <t>128粉鑽禮包</t>
  </si>
  <si>
    <t>68粉鑽禮包</t>
  </si>
  <si>
    <t>30粉鑽禮包</t>
  </si>
  <si>
    <t>12粉鑽禮包</t>
  </si>
  <si>
    <t>6粉鑽禮包</t>
  </si>
  <si>
    <t>開拓之路第一章</t>
  </si>
  <si>
    <t>月卡禮袋</t>
  </si>
  <si>
    <t>64800鑽石</t>
  </si>
  <si>
    <t>32800鑽石</t>
  </si>
  <si>
    <t>12800鑽石</t>
  </si>
  <si>
    <t>6800鑽石</t>
  </si>
  <si>
    <t>釣魚/農場/挖礦月卡</t>
  </si>
  <si>
    <t>英雄/關卡/要塞基金</t>
  </si>
  <si>
    <t>100彩鑽</t>
  </si>
  <si>
    <t>50彩鑽</t>
  </si>
  <si>
    <t>30彩鑽</t>
  </si>
  <si>
    <t>20彩鑽</t>
  </si>
  <si>
    <t>10彩鑽</t>
  </si>
  <si>
    <t>5彩鑽</t>
  </si>
  <si>
    <t>月卡特權</t>
  </si>
  <si>
    <t>Blood111</t>
    <phoneticPr fontId="2" type="noConversion"/>
  </si>
  <si>
    <t>Blood444</t>
    <phoneticPr fontId="2" type="noConversion"/>
  </si>
  <si>
    <t>Blood777</t>
    <phoneticPr fontId="2" type="noConversion"/>
  </si>
  <si>
    <t>twins777</t>
    <phoneticPr fontId="2" type="noConversion"/>
  </si>
  <si>
    <t>twins666</t>
    <phoneticPr fontId="2" type="noConversion"/>
  </si>
  <si>
    <t>twins888</t>
    <phoneticPr fontId="2" type="noConversion"/>
  </si>
  <si>
    <t>SVIP111</t>
    <phoneticPr fontId="2" type="noConversion"/>
  </si>
  <si>
    <t>SVIP444</t>
    <phoneticPr fontId="2" type="noConversion"/>
  </si>
  <si>
    <t>金幣*30000+掃蕩卷軸*3+初級魂精*10</t>
    <phoneticPr fontId="2" type="noConversion"/>
  </si>
  <si>
    <t>金幣*30000+玫瑰花+月光精華*5</t>
    <phoneticPr fontId="2" type="noConversion"/>
  </si>
  <si>
    <t>金幣*30000+裝備強化石*5+初級經驗書*5</t>
    <phoneticPr fontId="2" type="noConversion"/>
  </si>
  <si>
    <t>榮耀證書*2+初級魂精*5+初級經驗書*8</t>
    <phoneticPr fontId="2" type="noConversion"/>
  </si>
  <si>
    <t>神秘卷軸*3+初級靈植*8+月光精華*5</t>
    <phoneticPr fontId="2" type="noConversion"/>
  </si>
  <si>
    <t>金幣*30000+靈獸異果*1+榮耀證書*1</t>
    <phoneticPr fontId="2" type="noConversion"/>
  </si>
  <si>
    <t>金幣*30000+經驗藥水*1+初級靈植*10</t>
    <phoneticPr fontId="2" type="noConversion"/>
  </si>
  <si>
    <t>經驗藥水*1+勇者試煉通行卷*1+初級靈羽*8</t>
    <phoneticPr fontId="2" type="noConversion"/>
  </si>
  <si>
    <t>七夕快樂</t>
    <phoneticPr fontId="2" type="noConversion"/>
  </si>
  <si>
    <t>黃金武器幣*10+卡羅拉*7+藍色妖姬*7+雨中佳人*7</t>
    <phoneticPr fontId="2" type="noConversion"/>
  </si>
  <si>
    <t>myhero</t>
    <phoneticPr fontId="2" type="noConversion"/>
  </si>
  <si>
    <t>鑽石禮包</t>
    <phoneticPr fontId="2" type="noConversion"/>
  </si>
  <si>
    <t>DrumStick</t>
    <phoneticPr fontId="2" type="noConversion"/>
  </si>
  <si>
    <t>女神禮包</t>
    <phoneticPr fontId="2" type="noConversion"/>
  </si>
  <si>
    <t>升級村莊大作戰</t>
  </si>
  <si>
    <t>新月同行</t>
  </si>
  <si>
    <t>貓旅館物語</t>
  </si>
  <si>
    <t>龍石戰爭</t>
  </si>
  <si>
    <t>The King Of Fighters AFK</t>
  </si>
  <si>
    <t>邪門鬼道</t>
  </si>
  <si>
    <t>Wind Breaker不良英雄譚</t>
  </si>
  <si>
    <t>https://www.pixelstarships.com/</t>
    <phoneticPr fontId="2" type="noConversion"/>
  </si>
  <si>
    <t>https://www.facebook.com/pixelstarships/</t>
    <phoneticPr fontId="2" type="noConversion"/>
  </si>
  <si>
    <t>https://play.google.com/store/apps/details?id=com.savysoda.pss2.android</t>
    <phoneticPr fontId="2" type="noConversion"/>
  </si>
  <si>
    <t>https://apps.apple.com/au/app/pixel-starships-2/id1621274842</t>
    <phoneticPr fontId="2" type="noConversion"/>
  </si>
  <si>
    <t>https://apps.apple.com/tw/app/%E5%8D%87%E7%B4%9A%E6%9D%91%E8%8E%8A%E5%A4%A7%E4%BD%9C%E6%88%B0/id6749028974</t>
    <phoneticPr fontId="2" type="noConversion"/>
  </si>
  <si>
    <t>https://play.google.com/store/apps/details?id=net.ekgames.projectr&amp;hl=zh_TW</t>
    <phoneticPr fontId="2" type="noConversion"/>
  </si>
  <si>
    <t>https://play.google.com/store/apps/details?id=com.garena.game.p42&amp;hl=zh_TW</t>
  </si>
  <si>
    <t>https://fellowmoon.garena.com/zh_tw/</t>
    <phoneticPr fontId="2" type="noConversion"/>
  </si>
  <si>
    <t>https://apps.apple.com/tw/app/%E6%96%B0%E6%9C%88%E5%90%8C%E8%A1%8C/id6737657871</t>
    <phoneticPr fontId="2" type="noConversion"/>
  </si>
  <si>
    <t>https://www.facebook.com/fellowmoonTW</t>
    <phoneticPr fontId="2" type="noConversion"/>
  </si>
  <si>
    <t>https://play.google.com/store/apps/details?id=jp.aktsk.games.kaiju_no8_the_game&amp;hl=zh_TW</t>
  </si>
  <si>
    <t>https://play.google.com/store/apps/details?id=com.mlgwy.ymxbgat</t>
  </si>
  <si>
    <t>https://play.google.com/store/apps/details?id=com.userjoy.dsw&amp;hl=da</t>
  </si>
  <si>
    <t>https://apps.apple.com/tw/app/the-king-of-fighters-afk/id6499177365</t>
  </si>
  <si>
    <t>https://apps.apple.com/tw/app/%E9%82%AA%E9%96%80%E9%AC%BC%E9%81%93/id6743704037</t>
  </si>
  <si>
    <t>https://apps.apple.com/tw/app/wind-breaker-%E4%B8%8D%E8%89%AF%E8%8B%B1%E9%9B%84%E8%AD%9A/id6747578364</t>
  </si>
  <si>
    <t>https://apps.apple.com/us/app/kaiju-no-8-the-game/id6742088839</t>
  </si>
  <si>
    <t>https://kj8-thegame.com/</t>
  </si>
  <si>
    <t>https://www.facebook.com/cathotelstory/</t>
    <phoneticPr fontId="2" type="noConversion"/>
  </si>
  <si>
    <t>https://linktr.ee/cathotel?fbclid=IwY2xjawMiqkJleHRuA2FlbQIxMABicmlkETFGbzB2OThYMEVrT1pjSFN6AR4gWQ29lgBx3LoNSLeTOdKbTzVxL3j9WGhbKk7fKwj1QcuIE4vEMknzDIXMtA_aem_M7p2pA8Q7xOdCg1Ut_MgZw</t>
    <phoneticPr fontId="2" type="noConversion"/>
  </si>
  <si>
    <t>https://apps.apple.com/tw/app/%E8%B2%93%E6%97%85%E9%A4%A8%E7%89%A9%E8%AA%9E/id6745919462</t>
    <phoneticPr fontId="2" type="noConversion"/>
  </si>
  <si>
    <t>https://www.facebook.com/dsw.ujgame</t>
    <phoneticPr fontId="2" type="noConversion"/>
  </si>
  <si>
    <t>https://dsw.userjoy.com/event/preregister/index.php#cover</t>
  </si>
  <si>
    <t>https://apps.apple.com/tw/app/%E9%BE%8D%E7%9F%B3%E6%88%B0%E7%88%AD-%E9%A6%B4%E9%BE%8D%E5%87%BA%E5%BE%81/id6743779102</t>
    <phoneticPr fontId="2" type="noConversion"/>
  </si>
  <si>
    <t>https://play.google.com/store/apps/details?id=com.netmarble.kofafk&amp;hl=zh_TW</t>
    <phoneticPr fontId="2" type="noConversion"/>
  </si>
  <si>
    <t>https://play.google.com/store/apps/details?id=com.v20.gptw&amp;hl=zh_TW</t>
    <phoneticPr fontId="2" type="noConversion"/>
  </si>
  <si>
    <t>https://play.google.com/store/apps/details?id=com.softstargames.wbrebelheroes&amp;hl=zh_TW</t>
    <phoneticPr fontId="2" type="noConversion"/>
  </si>
  <si>
    <t>https://www.facebook.com/KOFAFKTC</t>
    <phoneticPr fontId="2" type="noConversion"/>
  </si>
  <si>
    <t>https://kofafk.netmarble.com/tc/?fbclid=IwY2xjawMiq7dleHRuA2FlbQIxMABicmlkETE4MG1ESk81V1hCTVVtWll4AR48rLbqUrQE2o9gl0cUTqaMn5txinPJqPyCvaQK9e_m7vqFbcqoRwo5Bg5Fxw_aem_YdIWK-jhdy2R12XwNyHVDA</t>
    <phoneticPr fontId="2" type="noConversion"/>
  </si>
  <si>
    <t>https://www.facebook.com/taleoftaoist</t>
    <phoneticPr fontId="2" type="noConversion"/>
  </si>
  <si>
    <t>https://spg.taleoftaoist.com/site</t>
    <phoneticPr fontId="2" type="noConversion"/>
  </si>
  <si>
    <t>https://www.facebook.com/windbreakerSSG</t>
    <phoneticPr fontId="2" type="noConversion"/>
  </si>
  <si>
    <t>https://wbrebelheroes.softstargames.com.tw/</t>
    <phoneticPr fontId="2" type="noConversion"/>
  </si>
  <si>
    <t>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t>
    <phoneticPr fontId="2" type="noConversion"/>
  </si>
  <si>
    <t>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t>
    <phoneticPr fontId="2" type="noConversion"/>
  </si>
  <si>
    <t>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t>
    <phoneticPr fontId="2" type="noConversion"/>
  </si>
  <si>
    <t>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t>
    <phoneticPr fontId="2" type="noConversion"/>
  </si>
  <si>
    <t>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t>
    <phoneticPr fontId="2" type="noConversion"/>
  </si>
  <si>
    <t>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t>
    <phoneticPr fontId="2" type="noConversion"/>
  </si>
  <si>
    <t>超商勇者</t>
    <phoneticPr fontId="2" type="noConversion"/>
  </si>
  <si>
    <t>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t>
    <phoneticPr fontId="2" type="noConversion"/>
  </si>
  <si>
    <t>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t>
    <phoneticPr fontId="2" type="noConversion"/>
  </si>
  <si>
    <t>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t>
    <phoneticPr fontId="2" type="noConversion"/>
  </si>
  <si>
    <t>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t>
    <phoneticPr fontId="2" type="noConversion"/>
  </si>
  <si>
    <t>https://play.google.com/store/apps/details?id=com.KCG.ConveniHero</t>
  </si>
  <si>
    <t>https://www.facebook.com/kaijuno8.TheGame.EN</t>
    <phoneticPr fontId="2" type="noConversion"/>
  </si>
  <si>
    <t>MLGWYFB0902</t>
    <phoneticPr fontId="2" type="noConversion"/>
  </si>
  <si>
    <t>紅鯛魚*200+平價便當*5+廣告遙控器*1</t>
    <phoneticPr fontId="2" type="noConversion"/>
  </si>
  <si>
    <t xml:space="preserve"> 點左上角角色頭像</t>
    <phoneticPr fontId="2" type="noConversion"/>
  </si>
  <si>
    <t>咻！禮物就飛進你的背包啦</t>
    <phoneticPr fontId="2" type="noConversion"/>
  </si>
  <si>
    <t>DAY2222</t>
    <phoneticPr fontId="2" type="noConversion"/>
  </si>
  <si>
    <t>天劫：10位</t>
    <phoneticPr fontId="2" type="noConversion"/>
  </si>
  <si>
    <t>DAY3333</t>
    <phoneticPr fontId="2" type="noConversion"/>
  </si>
  <si>
    <t>遊戲介面左上角頭像</t>
    <phoneticPr fontId="2" type="noConversion"/>
  </si>
  <si>
    <t>VIP666</t>
    <phoneticPr fontId="2" type="noConversion"/>
  </si>
  <si>
    <t>VIP777</t>
    <phoneticPr fontId="2" type="noConversion"/>
  </si>
  <si>
    <t>VIP888</t>
    <phoneticPr fontId="2" type="noConversion"/>
  </si>
  <si>
    <t>LSZZ666</t>
    <phoneticPr fontId="2" type="noConversion"/>
  </si>
  <si>
    <t>LSZZ888</t>
    <phoneticPr fontId="2" type="noConversion"/>
  </si>
  <si>
    <t>LSZZ999</t>
    <phoneticPr fontId="2" type="noConversion"/>
  </si>
  <si>
    <t>戰爭補給禮包</t>
    <phoneticPr fontId="2" type="noConversion"/>
  </si>
  <si>
    <t>RITA626</t>
    <phoneticPr fontId="2" type="noConversion"/>
  </si>
  <si>
    <t>LSZB626</t>
    <phoneticPr fontId="2" type="noConversion"/>
  </si>
  <si>
    <t>LSZBZGLB</t>
    <phoneticPr fontId="2" type="noConversion"/>
  </si>
  <si>
    <t>LSZZHYZB</t>
    <phoneticPr fontId="2" type="noConversion"/>
  </si>
  <si>
    <t>TTUN626</t>
    <phoneticPr fontId="2" type="noConversion"/>
  </si>
  <si>
    <t>14000星際幣</t>
  </si>
  <si>
    <t>6500星際幣</t>
  </si>
  <si>
    <t>2500星際幣</t>
  </si>
  <si>
    <t>1200星際幣</t>
  </si>
  <si>
    <t>500星際幣</t>
  </si>
  <si>
    <t>160星際幣</t>
  </si>
  <si>
    <t>移除所有廣告</t>
  </si>
  <si>
    <t>1190台幣禮包</t>
  </si>
  <si>
    <t>1050台幣禮包</t>
  </si>
  <si>
    <t>970台幣禮包</t>
  </si>
  <si>
    <t>730台幣禮包</t>
  </si>
  <si>
    <t>470台幣禮包</t>
  </si>
  <si>
    <t>190台幣禮包</t>
  </si>
  <si>
    <t>2320鑽石</t>
  </si>
  <si>
    <t>每日鑽石通行證</t>
  </si>
  <si>
    <t>6480金條</t>
  </si>
  <si>
    <t>3280金條</t>
  </si>
  <si>
    <t>1980金條</t>
  </si>
  <si>
    <t>1880金條</t>
  </si>
  <si>
    <t>1680金條</t>
  </si>
  <si>
    <t>1480金條</t>
  </si>
  <si>
    <t>1280金條</t>
  </si>
  <si>
    <t>1180金條</t>
  </si>
  <si>
    <t>1080金條</t>
  </si>
  <si>
    <t>980金條</t>
  </si>
  <si>
    <t>680金條</t>
  </si>
  <si>
    <t>20800鑽石</t>
  </si>
  <si>
    <t>10200鑽石</t>
  </si>
  <si>
    <t>5600鑽石</t>
  </si>
  <si>
    <t>2460鑽石</t>
  </si>
  <si>
    <t>自動狩獵獎勵x2</t>
  </si>
  <si>
    <t>移除廣告</t>
  </si>
  <si>
    <t>店員輔助</t>
  </si>
  <si>
    <t>顧客協助</t>
  </si>
  <si>
    <t>三倍禮包</t>
  </si>
  <si>
    <t>1100鑽石</t>
  </si>
  <si>
    <t>4400帝國幣</t>
    <phoneticPr fontId="2" type="noConversion"/>
  </si>
  <si>
    <t>1320鑽石</t>
    <phoneticPr fontId="2" type="noConversion"/>
  </si>
  <si>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</si>
  <si>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</si>
  <si>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</si>
  <si>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https://apps.apple.com/app/id6748193496　</t>
    <phoneticPr fontId="2" type="noConversion"/>
  </si>
  <si>
    <t>《伊瑟·重啟日》是一款引人入勝的都市奇幻風格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t>
    <phoneticPr fontId="2" type="noConversion"/>
  </si>
  <si>
    <t>《手刀搶英雄》是一款主打快節奏放置戰鬥的像素風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t>
    <phoneticPr fontId="2" type="noConversion"/>
  </si>
  <si>
    <t>《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t>
    <phoneticPr fontId="2" type="noConversion"/>
  </si>
  <si>
    <t>《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t>
    <phoneticPr fontId="2" type="noConversion"/>
  </si>
  <si>
    <t>《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t>
    <phoneticPr fontId="2" type="noConversion"/>
  </si>
  <si>
    <t>《吞食天地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t>
    <phoneticPr fontId="2" type="noConversion"/>
  </si>
  <si>
    <t>《封神：蒼嵐契約》是一款東方神話主題的放置卡牌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t>
    <phoneticPr fontId="2" type="noConversion"/>
  </si>
  <si>
    <t>《Gear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t>
    <phoneticPr fontId="2" type="noConversion"/>
  </si>
  <si>
    <t>《救世者之樹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t>
    <phoneticPr fontId="2" type="noConversion"/>
  </si>
  <si>
    <t>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t>
    <phoneticPr fontId="2" type="noConversion"/>
  </si>
  <si>
    <t>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t>
    <phoneticPr fontId="2" type="noConversion"/>
  </si>
  <si>
    <t>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t>
    <phoneticPr fontId="2" type="noConversion"/>
  </si>
  <si>
    <t>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t>
    <phoneticPr fontId="2" type="noConversion"/>
  </si>
  <si>
    <t>《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t>
    <phoneticPr fontId="2" type="noConversion"/>
  </si>
  <si>
    <t>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t>
    <phoneticPr fontId="2" type="noConversion"/>
  </si>
  <si>
    <t>怪獸8號 THE GAME</t>
    <phoneticPr fontId="2" type="noConversion"/>
  </si>
  <si>
    <t>《魔法膽道》是一款闇黑像素風格的放置RPG手遊，帶你深入無盡地城展開刷寶冒險。新手上路務必尋找最新的禮包碼，兌換豐富資源即可快人一步，輕鬆開荒。遊戲核心玩法是高度自由的配點與技能組合，讓你打造專屬流派。除了透過掛機農資源，許多玩家為了加速角色成長，會尋找專業的代儲值服務來獲取稀有道具與特權，讓戰力突飛猛進。無論是無課休閒玩家或課長，都能在這款遊戲中享受放置養成的樂趣，體驗復古又刺激的暗黑世界。</t>
  </si>
  <si>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</si>
  <si>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</si>
  <si>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t>《未鑑定勇者團》是一款像素風放置型 RPG，帶您進入懷舊與冒險的奇幻世界。其核心特色在於獨特的「未鑑定」系統，玩家將招募職業、潛力皆未知的勇者，透過細心培養和鑑定，發掘最強大的隱藏英雄。遊戲玩法輕鬆，離線也能持續獲得收益，讓您無痛養成勇者隊伍。為了讓冒險之路更順暢，別忘了查找最新的禮包碼，兌換豐富獎勵以快速提升戰力。若想取得更多優勢，也可考慮安全的代儲值服務，輕鬆獲取稀有道具，打造無堅不摧的勇者團。立即加入，揭開所有勇者的神秘面紗，展開獨一無二的冒險！</t>
  </si>
  <si>
    <t>《戰靈異聞社》是款都市怪談風卡牌放置手遊，帶您進入現代與靈異交織的世界。您將扮演「異聞社」社長，解決各種超自然事件。遊戲美術風格獨特，融合潮流與傳統，打造出百位各具特色的「戰靈」。玩家需策略性組合隊伍，利用戰靈羈絆與技能，挑戰詭譎的都市傳說。遊戲主打輕鬆護肝的放置玩法，讓您在忙碌中也能享受卡牌養成樂趣。官方常發放福利，記得關注社群領取最新禮包碼，強化您的隊伍。為追求極致體驗，尋找可靠的代儲值管道能助您更快收集角色、解鎖強大力量，帶領異聞社揭開所有事件的真相。</t>
  </si>
  <si>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</si>
  <si>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t>
  </si>
  <si>
    <t>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t>
  </si>
  <si>
    <t>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t>
  </si>
  <si>
    <t>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t>
  </si>
  <si>
    <t>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t>
  </si>
  <si>
    <t>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t>
  </si>
  <si>
    <t>5500次原晶</t>
  </si>
  <si>
    <t>2700次原晶</t>
  </si>
  <si>
    <t>1590次原晶</t>
  </si>
  <si>
    <t>790次原晶</t>
  </si>
  <si>
    <t>520次原晶</t>
  </si>
  <si>
    <t>250次原晶</t>
  </si>
  <si>
    <t>80次原晶</t>
  </si>
  <si>
    <t>持續補給物資</t>
  </si>
  <si>
    <t>每月轉蛋票券禮包</t>
  </si>
  <si>
    <t>豪華轉蛋票券禮包</t>
  </si>
  <si>
    <t>特別轉蛋票券禮包</t>
  </si>
  <si>
    <t>Pixel Starships 2</t>
    <phoneticPr fontId="2" type="noConversion"/>
  </si>
  <si>
    <t>女神契約：異世界遠征隊</t>
    <phoneticPr fontId="2" type="noConversion"/>
  </si>
  <si>
    <t>6480鮪魚</t>
  </si>
  <si>
    <t>3280鮪魚</t>
  </si>
  <si>
    <t>1980鮪魚</t>
  </si>
  <si>
    <t>980鮪魚</t>
  </si>
  <si>
    <t>300鮪魚</t>
  </si>
  <si>
    <t>60鮪魚</t>
  </si>
  <si>
    <t>特權卡</t>
  </si>
  <si>
    <t>6580鑽石</t>
  </si>
  <si>
    <t>白銀月卡</t>
  </si>
  <si>
    <t>黃金月卡</t>
  </si>
  <si>
    <t>點進去右下角設定裡面</t>
    <phoneticPr fontId="2" type="noConversion"/>
  </si>
  <si>
    <t>按右上角禮包兌換</t>
    <phoneticPr fontId="2" type="noConversion"/>
  </si>
  <si>
    <t>BeastClashGO</t>
    <phoneticPr fontId="2" type="noConversion"/>
  </si>
  <si>
    <t>monthgift</t>
    <phoneticPr fontId="2" type="noConversion"/>
  </si>
  <si>
    <t>鑽石*388+英雄突破石*500+高級照換卡*2</t>
    <phoneticPr fontId="2" type="noConversion"/>
  </si>
  <si>
    <t>普通骰子*4+鑽石*500</t>
    <phoneticPr fontId="2" type="noConversion"/>
  </si>
  <si>
    <t>week486</t>
    <phoneticPr fontId="2" type="noConversion"/>
  </si>
  <si>
    <t>陣營召喚卡*1+喚龍珠*2</t>
    <phoneticPr fontId="2" type="noConversion"/>
  </si>
  <si>
    <t>week943</t>
    <phoneticPr fontId="2" type="noConversion"/>
  </si>
  <si>
    <t>鑽石*388+英雄突破石*2000</t>
    <phoneticPr fontId="2" type="noConversion"/>
  </si>
  <si>
    <t xml:space="preserve">week111 </t>
    <phoneticPr fontId="2" type="noConversion"/>
  </si>
  <si>
    <t>鑽石*188+高級召喚卡*2</t>
    <phoneticPr fontId="2" type="noConversion"/>
  </si>
  <si>
    <t>按左上角動物頭像</t>
    <phoneticPr fontId="2" type="noConversion"/>
  </si>
  <si>
    <t>選其他之後點兌換碼</t>
    <phoneticPr fontId="2" type="noConversion"/>
  </si>
  <si>
    <t>https://www.facebook.com/savagesurvivaltw</t>
    <phoneticPr fontId="2" type="noConversion"/>
  </si>
  <si>
    <t>https://play.google.com/store/apps/details?id=com.slg.savagesurvival&amp;referrer=adjust_reftag%3DcghjuHaF15j2F%26utm_source%3DFB_PAGE</t>
    <phoneticPr fontId="2" type="noConversion"/>
  </si>
  <si>
    <t>https://discord.com/invite/Pcax2kxpuj?fbclid=IwY2xjawMlG6JleHRuA2FlbQIxMABicmlkETFTMTFvVWNrVmlrVk91TGJNAR7l8ykAbIRq8km_4dW6YiP9Uk8PdmPXGstKXq23ucj4CbACpZK9VnT5g41xoA_aem_BVgZb_Of1vnDF9Pkx7T3yA</t>
    <phoneticPr fontId="2" type="noConversion"/>
  </si>
  <si>
    <t>https://apps.apple.com/tw/app/%E9%87%8E%E8%A0%BB%E7%94%9F%E5%AD%98%E9%8C%84-%E4%BE%8F%E7%BE%85%E7%B4%80/id6737189862</t>
    <phoneticPr fontId="2" type="noConversion"/>
  </si>
  <si>
    <t>https://apps.apple.com/sg/app/beast-clash/id6747020919?mt=8</t>
    <phoneticPr fontId="2" type="noConversion"/>
  </si>
  <si>
    <t>https://www.facebook.com/BeastClashTW/</t>
    <phoneticPr fontId="2" type="noConversion"/>
  </si>
  <si>
    <t>https://www.facebook.com/BeastClashTW/</t>
    <phoneticPr fontId="2" type="noConversion"/>
  </si>
  <si>
    <t>https://play.google.com/store/apps/details?id=com.animal3.an.tw</t>
    <phoneticPr fontId="2" type="noConversion"/>
  </si>
  <si>
    <t>9999焰晶</t>
  </si>
  <si>
    <t>4999焰晶</t>
  </si>
  <si>
    <t>1999焰晶</t>
  </si>
  <si>
    <t>999焰晶</t>
  </si>
  <si>
    <t>499焰晶</t>
  </si>
  <si>
    <t>https://www.facebook.com/tw.divine</t>
    <phoneticPr fontId="2" type="noConversion"/>
  </si>
  <si>
    <t>https://divine.joystarfun.com/</t>
    <phoneticPr fontId="2" type="noConversion"/>
  </si>
  <si>
    <t>https://apps.apple.com/tw/app/%E5%8A%8D%E9%9D%88%E7%A5%9E%E5%9F%9F/id6747476946</t>
    <phoneticPr fontId="2" type="noConversion"/>
  </si>
  <si>
    <t>野蠻生存錄</t>
    <phoneticPr fontId="2" type="noConversion"/>
  </si>
  <si>
    <t>萬獸崛起</t>
    <phoneticPr fontId="2" type="noConversion"/>
  </si>
  <si>
    <t>劍靈神域</t>
    <phoneticPr fontId="2" type="noConversion"/>
  </si>
  <si>
    <t>https://play.google.com/store/apps/details?id=com.divine.twgp&amp;referrer=adjust_reftag%3DcGBT9qaSpfyvF%26utm_source%3DFBZYJJ</t>
    <phoneticPr fontId="2" type="noConversion"/>
  </si>
  <si>
    <t>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t>
    <phoneticPr fontId="2" type="noConversion"/>
  </si>
  <si>
    <t>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t>
    <phoneticPr fontId="2" type="noConversion"/>
  </si>
  <si>
    <t>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t>
    <phoneticPr fontId="2" type="noConversion"/>
  </si>
  <si>
    <t>HAPPY0902</t>
    <phoneticPr fontId="2" type="noConversion"/>
  </si>
  <si>
    <t>sssvip333</t>
    <phoneticPr fontId="2" type="noConversion"/>
  </si>
  <si>
    <t>sssvip444</t>
    <phoneticPr fontId="2" type="noConversion"/>
  </si>
  <si>
    <t>sssvip555</t>
    <phoneticPr fontId="2" type="noConversion"/>
  </si>
  <si>
    <t>神兵精華*10+寶藏鑰匙*5+玄武獸魂*1</t>
    <phoneticPr fontId="2" type="noConversion"/>
  </si>
  <si>
    <t>仙玉*3億</t>
    <phoneticPr fontId="2" type="noConversion"/>
  </si>
  <si>
    <t>主畫面左上角點"福利"</t>
    <phoneticPr fontId="2" type="noConversion"/>
  </si>
  <si>
    <t>99.99通票</t>
  </si>
  <si>
    <t>49.99通票</t>
  </si>
  <si>
    <t>29.99通票</t>
  </si>
  <si>
    <t>國王駕到！堡堡大作戰</t>
    <phoneticPr fontId="2" type="noConversion"/>
  </si>
  <si>
    <t>ONLINEY</t>
    <phoneticPr fontId="2" type="noConversion"/>
  </si>
  <si>
    <t>COMINGSOON</t>
    <phoneticPr fontId="2" type="noConversion"/>
  </si>
  <si>
    <t>https://www.facebook.com/profile.php?id=61579427546689</t>
    <phoneticPr fontId="2" type="noConversion"/>
  </si>
  <si>
    <t>https://play.google.com/store/apps/details?id=com.xh.qjshw.Android&amp;fbclid=IwY2xjawMlIohleHRuA2FlbQIxMABicmlkETFTMTFvVWNrVmlrVk91TGJNAR6Km6YlTYyf46qm_PbcbfRinUDNOM4j6ixFesuHmaqPLvq9F3vRhYtSFhTqHQ_aem_8Pr251sEgKtAExF_qLrKIw</t>
  </si>
  <si>
    <t>https://www.facebook.com/profile.php?id=61579427546689</t>
    <phoneticPr fontId="2" type="noConversion"/>
  </si>
  <si>
    <t>https://apps.apple.com/my/app/%E5%9C%8B%E7%8E%8B%E9%A7%95%E5%88%B0-%E5%A0%A1%E5%A0%A1%E5%A4%A7%E4%BD%9C%E6%88%B0/id6748291957</t>
    <phoneticPr fontId="2" type="noConversion"/>
  </si>
  <si>
    <t>點主畫面左上角的人頭</t>
    <phoneticPr fontId="2" type="noConversion"/>
  </si>
  <si>
    <t>點中間「設置」</t>
    <phoneticPr fontId="2" type="noConversion"/>
  </si>
  <si>
    <t>點畫面中下方「兌換碼」</t>
    <phoneticPr fontId="2" type="noConversion"/>
  </si>
  <si>
    <t>鑽石*100+體力*20+金幣*200</t>
    <phoneticPr fontId="2" type="noConversion"/>
  </si>
  <si>
    <t>冠冕圖紙*1+權戒圖紙*1+戰鎧圖紙*2+褲甲圖紙*1+優秀將領升星石*1</t>
    <phoneticPr fontId="2" type="noConversion"/>
  </si>
  <si>
    <t>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t>
    <phoneticPr fontId="2" type="noConversion"/>
  </si>
  <si>
    <t>KOFAFKPHOTO</t>
    <phoneticPr fontId="2" type="noConversion"/>
  </si>
  <si>
    <t>KOFDOTGL</t>
    <phoneticPr fontId="2" type="noConversion"/>
  </si>
  <si>
    <t>KOFAFKYT</t>
    <phoneticPr fontId="2" type="noConversion"/>
  </si>
  <si>
    <t>99KYOLOVE</t>
    <phoneticPr fontId="2" type="noConversion"/>
  </si>
  <si>
    <t>KOFAFKLIGMA</t>
    <phoneticPr fontId="2" type="noConversion"/>
  </si>
  <si>
    <t>LOFAFKLAUNCH</t>
    <phoneticPr fontId="2" type="noConversion"/>
  </si>
  <si>
    <t>KOFISBACK</t>
    <phoneticPr fontId="2" type="noConversion"/>
  </si>
  <si>
    <t>2025最新禮包</t>
    <phoneticPr fontId="2" type="noConversion"/>
  </si>
  <si>
    <t>https://www.facebook.com/AresTWofficial</t>
    <phoneticPr fontId="2" type="noConversion"/>
  </si>
  <si>
    <t>https://www.theares.com.tw/</t>
    <phoneticPr fontId="2" type="noConversion"/>
  </si>
  <si>
    <t>https://play.google.com/store/apps/details?id=com.com2usholdings.arestw.android.google.tw.normal&amp;referrer=adjust_reftag%3DcQPtsgLXttBFs%26utm_source%3DMarket_badge%26utm_campaign%3DGoogle_play</t>
    <phoneticPr fontId="2" type="noConversion"/>
  </si>
  <si>
    <t>https://play.google.com/store/apps/details?id=com.QuestLab.DraftWar</t>
    <phoneticPr fontId="2" type="noConversion"/>
  </si>
  <si>
    <t>https://apps.apple.com/tw/app/%E9%98%BF%E7%91%9E%E6%96%AF-%E5%91%BD%E9%81%8B%E7%9A%84%E9%81%B8%E6%93%87%E8%80%85/id6745206397</t>
    <phoneticPr fontId="2" type="noConversion"/>
  </si>
  <si>
    <t>https://apps.apple.com/us/app/draft-showdown/id6743368869</t>
    <phoneticPr fontId="2" type="noConversion"/>
  </si>
  <si>
    <t>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t>
    <phoneticPr fontId="2" type="noConversion"/>
  </si>
  <si>
    <t>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t>
    <phoneticPr fontId="2" type="noConversion"/>
  </si>
  <si>
    <t>https://play.google.com/store/apps/details?id=com.snake.twgp&amp;referrer=adjust_reftag%3Dc5wqR98e7f8LF%26utm_source%3DFBZYJJ</t>
    <phoneticPr fontId="2" type="noConversion"/>
  </si>
  <si>
    <t>魔鏡2：瘋狂的蛇姬</t>
    <phoneticPr fontId="2" type="noConversion"/>
  </si>
  <si>
    <t>https://snake.joystarfun.com/</t>
    <phoneticPr fontId="2" type="noConversion"/>
  </si>
  <si>
    <t>https://www.facebook.com/DarkFairyTales</t>
    <phoneticPr fontId="2" type="noConversion"/>
  </si>
  <si>
    <t>https://apps.apple.com/tw/app/%E9%AD%94%E9%8F%A12-%E7%98%8B%E7%8B%82%E7%9A%84%E8%9B%87%E5%A7%AC/id6747476537</t>
    <phoneticPr fontId="2" type="noConversion"/>
  </si>
  <si>
    <t>https://play.google.com/store/apps/details?id=com.paradoxduel.myjd</t>
    <phoneticPr fontId="2" type="noConversion"/>
  </si>
  <si>
    <t>https://apps.apple.com/tw/app/%E9%87%8F%E5%AD%90%E6%A9%9F%E5%8B%95%E9%9A%8A/id6746777110</t>
    <phoneticPr fontId="2" type="noConversion"/>
  </si>
  <si>
    <t>https://pre.paradoxduel.com/</t>
    <phoneticPr fontId="2" type="noConversion"/>
  </si>
  <si>
    <t>https://www.facebook.com/profile.php?id=61578881450274</t>
    <phoneticPr fontId="2" type="noConversion"/>
  </si>
  <si>
    <t>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t>
    <phoneticPr fontId="2" type="noConversion"/>
  </si>
  <si>
    <t>量子機動隊</t>
    <phoneticPr fontId="2" type="noConversion"/>
  </si>
  <si>
    <t>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t>
    <phoneticPr fontId="2" type="noConversion"/>
  </si>
  <si>
    <t>阿瑞斯：命運的選擇者</t>
    <phoneticPr fontId="2" type="noConversion"/>
  </si>
  <si>
    <t>去廣告七天</t>
  </si>
  <si>
    <t>去廣告月費</t>
  </si>
  <si>
    <t>60000金幣</t>
  </si>
  <si>
    <t>27500金幣</t>
  </si>
  <si>
    <t>10500金幣</t>
  </si>
  <si>
    <t>2500金幣</t>
  </si>
  <si>
    <t>幸運特權</t>
  </si>
  <si>
    <t>晉升之梯</t>
  </si>
  <si>
    <t>蛇王戰令</t>
  </si>
  <si>
    <t>蛇年基金</t>
  </si>
  <si>
    <t>39.99禮包</t>
  </si>
  <si>
    <t>34.99禮包</t>
  </si>
  <si>
    <t>24.99禮包</t>
  </si>
  <si>
    <t>1.99禮包</t>
  </si>
  <si>
    <t>Draft showdown</t>
    <phoneticPr fontId="2" type="noConversion"/>
  </si>
  <si>
    <t>KING777</t>
    <phoneticPr fontId="2" type="noConversion"/>
  </si>
  <si>
    <t>KING666</t>
    <phoneticPr fontId="2" type="noConversion"/>
  </si>
  <si>
    <t>KING888</t>
    <phoneticPr fontId="2" type="noConversion"/>
  </si>
  <si>
    <t>KING999</t>
    <phoneticPr fontId="2" type="noConversion"/>
  </si>
  <si>
    <t>GUOWANG</t>
    <phoneticPr fontId="2" type="noConversion"/>
  </si>
  <si>
    <t>限時禮包</t>
    <phoneticPr fontId="2" type="noConversion"/>
  </si>
  <si>
    <t>CAT0921XY7</t>
    <phoneticPr fontId="2" type="noConversion"/>
  </si>
  <si>
    <t>C4T7770K</t>
    <phoneticPr fontId="2" type="noConversion"/>
  </si>
  <si>
    <t>BHMTNUMONE</t>
    <phoneticPr fontId="2" type="noConversion"/>
  </si>
  <si>
    <t>BHMTTKTGIFT</t>
    <phoneticPr fontId="2" type="noConversion"/>
  </si>
  <si>
    <t>BHMTREDGIFT</t>
    <phoneticPr fontId="2" type="noConversion"/>
  </si>
  <si>
    <t>HODGIFTONE</t>
  </si>
  <si>
    <t>MLGWYFB0902</t>
  </si>
  <si>
    <t>MLGWYDC0902</t>
  </si>
  <si>
    <t>MLGWYLINE0902</t>
  </si>
  <si>
    <t>MLGOL0902</t>
  </si>
  <si>
    <t>MLGSEC0903</t>
  </si>
  <si>
    <t>MIAOCAT88Q</t>
  </si>
  <si>
    <t>X9CAT55A</t>
  </si>
  <si>
    <t>2400金幣</t>
  </si>
  <si>
    <t>1375金幣</t>
  </si>
  <si>
    <t>750金幣</t>
  </si>
  <si>
    <t>375金幣</t>
  </si>
  <si>
    <t>50金幣</t>
  </si>
  <si>
    <t>火焰術士禮包</t>
  </si>
  <si>
    <t>經驗雙倍</t>
  </si>
  <si>
    <t>陷阱大師</t>
  </si>
  <si>
    <t>18000寶石</t>
  </si>
  <si>
    <t>11500寶石</t>
  </si>
  <si>
    <t>2500寶石</t>
  </si>
  <si>
    <t>850寶石</t>
  </si>
  <si>
    <t>地球包1+2</t>
  </si>
  <si>
    <t>月票</t>
  </si>
  <si>
    <t>高級月票</t>
  </si>
  <si>
    <t>三種季票</t>
  </si>
  <si>
    <t>去廣告</t>
  </si>
  <si>
    <t>https://play.google.com/store/apps/details?id=com.hungryzombies.gptw&amp;listing=tw_midea_ga_v1&amp;hl=zh_TW</t>
    <phoneticPr fontId="2" type="noConversion"/>
  </si>
  <si>
    <t>https://www.facebook.com/jiakbazombies</t>
    <phoneticPr fontId="2" type="noConversion"/>
  </si>
  <si>
    <t>https://www.jiakbazombies.com/</t>
    <phoneticPr fontId="2" type="noConversion"/>
  </si>
  <si>
    <t>https://apps.apple.com/hk/app/%E5%91%B7%E9%A3%BD%E6%9C%AA-%E6%AE%AD%E6%AE%AD%E9%86%AC/id6747887571?mt=8</t>
  </si>
  <si>
    <t>https://www.facebook.com/XXLWOOFIA</t>
  </si>
  <si>
    <t>https://apps.apple.com/us/app/xxl-woofia/id6748681831?mt=8</t>
  </si>
  <si>
    <t>https://www.mega-games.co/2</t>
    <phoneticPr fontId="2" type="noConversion"/>
  </si>
  <si>
    <t>https://play.google.com/store/apps/details?id=games.synthez.zombie.survival.multiplayer</t>
    <phoneticPr fontId="2" type="noConversion"/>
  </si>
  <si>
    <t>https://deadimpact.com/</t>
    <phoneticPr fontId="2" type="noConversion"/>
  </si>
  <si>
    <t>https://apps.apple.com/tw/app/dead-impact-survival-online/id6444281832</t>
    <phoneticPr fontId="2" type="noConversion"/>
  </si>
  <si>
    <t>https://play.google.com/store/apps/details?id=jp.hexadrive.infinitybullets</t>
    <phoneticPr fontId="2" type="noConversion"/>
  </si>
  <si>
    <t>https://infinitybullets.com/en/</t>
    <phoneticPr fontId="2" type="noConversion"/>
  </si>
  <si>
    <t>https://apps.apple.com/tw/app/infinity-bullets/id6497716526</t>
    <phoneticPr fontId="2" type="noConversion"/>
  </si>
  <si>
    <t>https://x.com/mugendan_en</t>
    <phoneticPr fontId="2" type="noConversion"/>
  </si>
  <si>
    <t>https://www.facebook.com/deadimpactofficial/</t>
    <phoneticPr fontId="2" type="noConversion"/>
  </si>
  <si>
    <t>https://apps.apple.com/hk/app/dunkadillo/id6748931212</t>
    <phoneticPr fontId="2" type="noConversion"/>
  </si>
  <si>
    <t>https://www.thomaskyoung.com/</t>
  </si>
  <si>
    <t>https://x.com/tommy_ill</t>
    <phoneticPr fontId="2" type="noConversion"/>
  </si>
  <si>
    <t>500台幣禮包</t>
  </si>
  <si>
    <t>480台幣禮包</t>
  </si>
  <si>
    <t>350台幣禮包</t>
  </si>
  <si>
    <t>260台幣禮包</t>
  </si>
  <si>
    <t>160台幣禮包</t>
  </si>
  <si>
    <t>2000台幣禮包</t>
  </si>
  <si>
    <t>1000台幣禮包</t>
  </si>
  <si>
    <t>Dunkadillo</t>
    <phoneticPr fontId="2" type="noConversion"/>
  </si>
  <si>
    <t>2金酒鈴  3能量飲料（30體力）</t>
    <phoneticPr fontId="2" type="noConversion"/>
  </si>
  <si>
    <t>1徵才廣告 10速通券</t>
    <phoneticPr fontId="2" type="noConversion"/>
  </si>
  <si>
    <t>WOOFIA_PLAY</t>
    <phoneticPr fontId="2" type="noConversion"/>
  </si>
  <si>
    <t>GAF7HHAVUXWQWE5</t>
    <phoneticPr fontId="2" type="noConversion"/>
  </si>
  <si>
    <t>GULUBEARXXL</t>
    <phoneticPr fontId="2" type="noConversion"/>
  </si>
  <si>
    <t>EAUEHNRZ3R73UWE</t>
    <phoneticPr fontId="2" type="noConversion"/>
  </si>
  <si>
    <t>10銀酒鈴 3培育卡 3特賣型錄 20速通</t>
    <phoneticPr fontId="2" type="noConversion"/>
  </si>
  <si>
    <t>商店版限定 5銀酒鈴</t>
    <phoneticPr fontId="2" type="noConversion"/>
  </si>
  <si>
    <t>左邊展開選設定</t>
    <phoneticPr fontId="2" type="noConversion"/>
  </si>
  <si>
    <t>下方書籤選其他之後按兌換碼</t>
    <phoneticPr fontId="2" type="noConversion"/>
  </si>
  <si>
    <t>到信箱領取獎勵</t>
    <phoneticPr fontId="2" type="noConversion"/>
  </si>
  <si>
    <t>AAMMHEERBTPCTSN</t>
    <phoneticPr fontId="2" type="noConversion"/>
  </si>
  <si>
    <t>開服序號</t>
    <phoneticPr fontId="2" type="noConversion"/>
  </si>
  <si>
    <t>PlayHornyONLY</t>
    <phoneticPr fontId="2" type="noConversion"/>
  </si>
  <si>
    <t>銀鈴X10</t>
    <phoneticPr fontId="2" type="noConversion"/>
  </si>
  <si>
    <t>SGARTSCEO</t>
    <phoneticPr fontId="2" type="noConversion"/>
  </si>
  <si>
    <t>金鈴X10 &amp; 房間卡</t>
    <phoneticPr fontId="2" type="noConversion"/>
  </si>
  <si>
    <t>AAXAH97R9T7GS93</t>
    <phoneticPr fontId="2" type="noConversion"/>
  </si>
  <si>
    <t>4AR6HSCPBRUDUNU</t>
    <phoneticPr fontId="2" type="noConversion"/>
  </si>
  <si>
    <t>MAJKHNBPNR6GRAT</t>
    <phoneticPr fontId="2" type="noConversion"/>
  </si>
  <si>
    <t>BAH5HPJPSR2SQWJ</t>
    <phoneticPr fontId="2" type="noConversion"/>
  </si>
  <si>
    <t>NANKHE2P8R92SE9</t>
    <phoneticPr fontId="2" type="noConversion"/>
  </si>
  <si>
    <t>CA5LH4FT7UE2Y9Y</t>
    <phoneticPr fontId="2" type="noConversion"/>
  </si>
  <si>
    <t>能力+房卡</t>
    <phoneticPr fontId="2" type="noConversion"/>
  </si>
  <si>
    <t>培慾房卡x3</t>
    <phoneticPr fontId="2" type="noConversion"/>
  </si>
  <si>
    <t>千則留言獎勵</t>
    <phoneticPr fontId="2" type="noConversion"/>
  </si>
  <si>
    <t>能量大滿罐</t>
    <phoneticPr fontId="2" type="noConversion"/>
  </si>
  <si>
    <t>能量大滿罐X3 &amp; 速通票</t>
    <phoneticPr fontId="2" type="noConversion"/>
  </si>
  <si>
    <t>金鈴X5 &amp; 能量飲X5</t>
    <phoneticPr fontId="2" type="noConversion"/>
  </si>
  <si>
    <t>1800虹石</t>
  </si>
  <si>
    <t>1200虹石</t>
  </si>
  <si>
    <t>750虹石</t>
  </si>
  <si>
    <t>480虹石</t>
  </si>
  <si>
    <t>300虹石</t>
  </si>
  <si>
    <t>180虹石</t>
  </si>
  <si>
    <t>100虹石</t>
  </si>
  <si>
    <t>50虹石</t>
  </si>
  <si>
    <t>20虹石</t>
  </si>
  <si>
    <t>嗚拓邦商務護照</t>
  </si>
  <si>
    <t>嗚拓邦經濟護照</t>
  </si>
  <si>
    <t>猛漢馬拉松</t>
  </si>
  <si>
    <t>無限子彈</t>
    <phoneticPr fontId="2" type="noConversion"/>
  </si>
  <si>
    <t>https://play.google.com/store/apps/details?id=com.megagames.xxlwoofia&amp;referrer=adjust_reftag%3DckszLl8ZK4OBq%26utm_source%3DKM_R15%25E9%25A0%2590%25E7%25B4%2584_AN</t>
    <phoneticPr fontId="2" type="noConversion"/>
  </si>
  <si>
    <t>https://play.google.com/store/apps/details?id=com.ThomasK.Young.Dunkadillo&amp;hl=zh_TW</t>
    <phoneticPr fontId="2" type="noConversion"/>
  </si>
  <si>
    <t>呷飽未？殭殭醬</t>
    <phoneticPr fontId="2" type="noConversion"/>
  </si>
  <si>
    <t>遺跡的地平線</t>
  </si>
  <si>
    <t>三國將將好</t>
  </si>
  <si>
    <t>七騎士 Re：BIRTH</t>
  </si>
  <si>
    <t>異界三國：死神契約</t>
  </si>
  <si>
    <t>魔法師之徒</t>
  </si>
  <si>
    <t>三國魂將傳</t>
  </si>
  <si>
    <t>SL666</t>
    <phoneticPr fontId="2" type="noConversion"/>
  </si>
  <si>
    <t>SL777</t>
    <phoneticPr fontId="2" type="noConversion"/>
  </si>
  <si>
    <t>SL888</t>
    <phoneticPr fontId="2" type="noConversion"/>
  </si>
  <si>
    <t>https://www.facebook.com/horizonofruinstw</t>
    <phoneticPr fontId="2" type="noConversion"/>
  </si>
  <si>
    <t>https://apps.apple.com/tw/app/%E9%81%BA%E8%B7%A1%E7%9A%84%E5%9C%B0%E5%B9%B3%E7%B7%9A/id6747746222?fbclid=IwY2xjawMwta1leHRuA2FlbQIxMABicmlkETFIRVo4dUU2SWN0ckQ5NTFRAR7QCiAzwbqJ8VT7zPytXTU7Kb4zGM9vznMlZyDFZhvbMk811z-xyvU_-3DVvQ_aem_xyiUr4u70bCrUY0BXNIDcg</t>
  </si>
  <si>
    <t>https://play.google.com/store/apps/details?id=com.slsmsecond.tw.and&amp;hl=zh_TW&amp;fbclid=IwY2xjawMwta5leHRuA2FlbQIxMABicmlkETFIRVo4dUU2SWN0ckQ5NTFRAR4LCrnr8r0HDi9XXxbyRmP8Kgg_yOYjZ6j9za7Hj7a4jhbTM4-nVjiEf89wRQ_aem_kucaGaTsJ9U4Q7oJPq3xIg</t>
  </si>
  <si>
    <t>https://www.rhinosgamestwhk.com/</t>
  </si>
  <si>
    <t>https://www.facebook.com/profile.php?id=61557443657424</t>
  </si>
  <si>
    <t>https://www.facebook.com/officialsevenknightsrebirth/?brand_redir=466107870223667</t>
  </si>
  <si>
    <t>https://www.facebook.com/death3kingdoms.mover</t>
  </si>
  <si>
    <t>https://www.facebook.com/mageduelling</t>
  </si>
  <si>
    <t>https://www.facebook.com/sghjz</t>
  </si>
  <si>
    <t>https://www.sunjethk.com/sg/</t>
  </si>
  <si>
    <t>https://play.google.com/store/apps/details?id=com.gallop.tw&amp;fbclid=IwY2xjawMwtgFleHRuA2FlbQIxMABicmlkETFsZW1Yb0FGMmY1WWlsZTJzAR7p73Av7dnuHo8Xnq0Q-ID48JHJV43Y0-GFZQmOvUn_KR2JlWptUk3KHJUFzQ_aem_ZUR-hBgHuaVs9NAkcRzBcQ</t>
  </si>
  <si>
    <t>https://apps.apple.com/tw/app/%E4%B8%89%E5%9C%8B%E5%B0%87%E5%B0%87%E5%A5%BD/id6748985711?ppid=62af15db-5745-4fe6-af32-91578f791f01&amp;fbclid=IwY2xjawMwtgJleHRuA2FlbQIxMABicmlkETFsZW1Yb0FGMmY1WWlsZTJzAR5v_zNO4vHWmRZqL2za7JU_47zG8F88IBwbH9Ky-guCbPVbbmVMRlRodwlOpg_aem_bVpvCBKYt2ugKrk90Q2-7g</t>
  </si>
  <si>
    <t>https://sena.netmarble.com/en/preorder?fbclid=IwY2xjawMwtg1leHRuA2FlbQIxMABicmlkETFsZW1Yb0FGMmY1WWlsZTJzAR7Ws9yOK0tFPfvCP1vEMlIca3YSiCmthnnKfb25REyfXxyiepdxupMVAfWhhg_aem_8hVLmq1IwgKUGr5Llmlh1A</t>
  </si>
  <si>
    <t>https://apps.apple.com/us/app/seven-knights-re-birth/id6479595079</t>
  </si>
  <si>
    <t>https://play.google.com/store/apps/details?id=com.netmarble.tskgb</t>
  </si>
  <si>
    <t>https://death3kings.movergames.com/event/pre/</t>
  </si>
  <si>
    <t>https://apps.apple.com/tw/app/%E7%95%B0%E7%95%8C%E4%B8%89%E5%9C%8B-%E6%AD%BB%E7%A5%9E%E5%A5%91%E7%B4%84/id6745937584</t>
  </si>
  <si>
    <t>https://play.google.com/store/apps/details?id=com.mover.twqyfhl</t>
  </si>
  <si>
    <t>https://play.google.com/store/apps/details?id=com.whsgz.gp&amp;fbclid=IwY2xjawMwtiNleHRuA2FlbQIxMABicmlkETFsZW1Yb0FGMmY1WWlsZTJzAR7C9y9DceXoL6YQK0naJqagvxLC8pW0kjGDCIC7D_9ME0W1HNZnMwfP8Rjsgw_aem_11PDGdQYUH8ZpLgZ1--2-w</t>
  </si>
  <si>
    <t>https://www.liongame.net/whsgz/?fbclid=IwY2xjawMwtiNleHRuA2FlbQIxMABicmlkETFsZW1Yb0FGMmY1WWlsZTJzAR5JhEYj1xyAbg9GIL3E85BOWaG31F-FEBE891QMVyV31lWFIquiiNyrojvs7A_aem_x78YuW2oWbYkaDZSU44uYw</t>
  </si>
  <si>
    <t>https://apps.apple.com/hk/app/%E4%B8%89%E5%9C%8B%E9%AD%82%E5%B0%87%E5%82%B3/id6751398562</t>
  </si>
  <si>
    <t>https://apps.apple.com/hk/app/%E9%AD%94%E6%B3%95%E5%B8%AB%E4%B9%8B%E5%BE%92/id6747369877</t>
  </si>
  <si>
    <t>https://play.google.com/store/apps/details?id=com.teco.magicduel</t>
  </si>
  <si>
    <t>https://www.facebook.com/mageduelling/</t>
  </si>
  <si>
    <t>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t>
    <phoneticPr fontId="2" type="noConversion"/>
  </si>
  <si>
    <t>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t>
    <phoneticPr fontId="2" type="noConversion"/>
  </si>
  <si>
    <t>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t>
    <phoneticPr fontId="2" type="noConversion"/>
  </si>
  <si>
    <t>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t>
    <phoneticPr fontId="2" type="noConversion"/>
  </si>
  <si>
    <t>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t>
    <phoneticPr fontId="2" type="noConversion"/>
  </si>
  <si>
    <t>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t>
    <phoneticPr fontId="2" type="noConversion"/>
  </si>
  <si>
    <t>adkt999</t>
    <phoneticPr fontId="2" type="noConversion"/>
  </si>
  <si>
    <t>強健核心×500、礦石×100、金幣×1000、萬象萌種×5</t>
  </si>
  <si>
    <t>主畫面左上角頭像</t>
    <phoneticPr fontId="2" type="noConversion"/>
  </si>
  <si>
    <t>點兌換碼</t>
    <phoneticPr fontId="2" type="noConversion"/>
  </si>
  <si>
    <t>手機玩家：前往官網序號兌換頁 → 輸入玩家ID與序號</t>
    <phoneticPr fontId="2" type="noConversion"/>
  </si>
  <si>
    <t>PC玩家：遊戲內直接於序號輸入區兌換</t>
    <phoneticPr fontId="2" type="noConversion"/>
  </si>
  <si>
    <t>901MMNAG9NKIQE7O</t>
    <phoneticPr fontId="2" type="noConversion"/>
  </si>
  <si>
    <t>901RC4SQK83CB</t>
    <phoneticPr fontId="2" type="noConversion"/>
  </si>
  <si>
    <t>901WXX5X8FTHM</t>
    <phoneticPr fontId="2" type="noConversion"/>
  </si>
  <si>
    <t>901KMMLVPVT5J</t>
    <phoneticPr fontId="2" type="noConversion"/>
  </si>
  <si>
    <t>901Z7Q9LDMBBG</t>
    <phoneticPr fontId="2" type="noConversion"/>
  </si>
  <si>
    <t>9013H4VDHXPZU</t>
    <phoneticPr fontId="2" type="noConversion"/>
  </si>
  <si>
    <t>9012PJ5CW24DD</t>
    <phoneticPr fontId="2" type="noConversion"/>
  </si>
  <si>
    <t>901YGEGQGAB8H</t>
    <phoneticPr fontId="2" type="noConversion"/>
  </si>
  <si>
    <t>901VFTHQ6SSNP</t>
    <phoneticPr fontId="2" type="noConversion"/>
  </si>
  <si>
    <t>9012ZLF3HQ24Z</t>
    <phoneticPr fontId="2" type="noConversion"/>
  </si>
  <si>
    <t>90144V7QSWABV</t>
    <phoneticPr fontId="2" type="noConversion"/>
  </si>
  <si>
    <t>901V3YY6FTUQ4</t>
    <phoneticPr fontId="2" type="noConversion"/>
  </si>
  <si>
    <t>901TCGE6DRSJK</t>
    <phoneticPr fontId="2" type="noConversion"/>
  </si>
  <si>
    <t>901SO2VA5XO5XG8R</t>
    <phoneticPr fontId="2" type="noConversion"/>
  </si>
  <si>
    <t>90178H1QSMNJ0MQ5</t>
    <phoneticPr fontId="2" type="noConversion"/>
  </si>
  <si>
    <t>901D2VM4HRVU8MD6</t>
    <phoneticPr fontId="2" type="noConversion"/>
  </si>
  <si>
    <t>901VVP49Y2SFYSJ7</t>
    <phoneticPr fontId="2" type="noConversion"/>
  </si>
  <si>
    <t>9017GS5A9VXJYG7P</t>
    <phoneticPr fontId="2" type="noConversion"/>
  </si>
  <si>
    <t>寶石×300</t>
    <phoneticPr fontId="2" type="noConversion"/>
  </si>
  <si>
    <t>銀色相簿×3</t>
  </si>
  <si>
    <t>菠蘿麵包×50</t>
  </si>
  <si>
    <t>金色底片相機×10</t>
  </si>
  <si>
    <t>金色的照片×10</t>
  </si>
  <si>
    <t>高蛋白飲料×5</t>
  </si>
  <si>
    <t>普通相簿×10</t>
  </si>
  <si>
    <t>金色相簿×3</t>
  </si>
  <si>
    <t>虹色相簿×1</t>
  </si>
  <si>
    <t>虹色的照片×2</t>
  </si>
  <si>
    <t>3290台幣道具商品</t>
  </si>
  <si>
    <t>1690台幣道具商品</t>
  </si>
  <si>
    <t>990台幣道具商品</t>
  </si>
  <si>
    <t>870台幣道具商品</t>
  </si>
  <si>
    <t>670台幣道具商品</t>
  </si>
  <si>
    <t>490台幣道具商品</t>
  </si>
  <si>
    <t>330台幣道具商品</t>
  </si>
  <si>
    <t>270台幣道具商品</t>
  </si>
  <si>
    <t>170台幣道具商品</t>
  </si>
  <si>
    <t>100台幣道具商品</t>
  </si>
  <si>
    <t>230台幣禮包</t>
  </si>
  <si>
    <t>99.99美金商品</t>
  </si>
  <si>
    <t>69.99美金商品</t>
  </si>
  <si>
    <t>49.99美金商品</t>
  </si>
  <si>
    <t>29.99美金商品</t>
  </si>
  <si>
    <t>14.99美金商品</t>
  </si>
  <si>
    <t>9.99美金商品</t>
  </si>
  <si>
    <t>4.99美金商品</t>
  </si>
  <si>
    <t>2.99美金商品</t>
  </si>
  <si>
    <t>1.99美金商品</t>
  </si>
  <si>
    <t>0.99美金商品</t>
  </si>
  <si>
    <t>788HKD遊戲禮包</t>
  </si>
  <si>
    <t>398HKD遊戲禮包</t>
  </si>
  <si>
    <t>238HKD遊戲禮包</t>
  </si>
  <si>
    <t>158HKD遊戲禮包</t>
  </si>
  <si>
    <t>78HKD遊戲禮包</t>
  </si>
  <si>
    <t>38HKD遊戲禮包</t>
  </si>
  <si>
    <t>8HKD遊戲禮包</t>
  </si>
  <si>
    <t>ALBIS777</t>
    <phoneticPr fontId="2" type="noConversion"/>
  </si>
  <si>
    <t>PMBX777</t>
  </si>
  <si>
    <t>XX777</t>
  </si>
  <si>
    <t>CDK773</t>
  </si>
  <si>
    <t>RABBIT</t>
  </si>
  <si>
    <t>VIP111</t>
  </si>
  <si>
    <t>VIP333</t>
  </si>
  <si>
    <t>SG6666</t>
  </si>
  <si>
    <t>SG7777</t>
  </si>
  <si>
    <t>SG8888</t>
  </si>
  <si>
    <t>SG9999</t>
  </si>
  <si>
    <t>畫面中間找兌換碼</t>
    <phoneticPr fontId="2" type="noConversion"/>
  </si>
  <si>
    <t>按兌換後領取免費禮包</t>
    <phoneticPr fontId="2" type="noConversion"/>
  </si>
  <si>
    <t>YJSTART2025</t>
  </si>
  <si>
    <t>YJOOPS2025</t>
  </si>
  <si>
    <t>藍鑽x288、萌寵召喚券x3、酸酸果x5、銀幣x3萬</t>
  </si>
  <si>
    <t>藍鑽x88、銀幣x5萬、初級羽翼精粹x3、藏寶圖x3</t>
  </si>
  <si>
    <t>畫面中間找虛寶碼</t>
    <phoneticPr fontId="2" type="noConversion"/>
  </si>
  <si>
    <t>按領取禮包即可獲得獎勵</t>
    <phoneticPr fontId="2" type="noConversion"/>
  </si>
  <si>
    <t>TOP01ARES </t>
  </si>
  <si>
    <t>ARESTWOPEN </t>
  </si>
  <si>
    <t>SHOWCELE</t>
  </si>
  <si>
    <t>JOINARES</t>
  </si>
  <si>
    <t>GRANDGOGO</t>
  </si>
  <si>
    <t>DINGARES</t>
  </si>
  <si>
    <t>LINGGOLD</t>
  </si>
  <si>
    <t>VIPDT888</t>
  </si>
  <si>
    <t>GUANARES</t>
  </si>
  <si>
    <t>BLACKVIP</t>
  </si>
  <si>
    <t>DAD8ARES</t>
  </si>
  <si>
    <t>SCARESGO</t>
  </si>
  <si>
    <t>HSU7ARES</t>
  </si>
  <si>
    <t>EPICARES</t>
  </si>
  <si>
    <t>https://coupon.withhive.com/3003</t>
  </si>
  <si>
    <t>選擇自己所屬的「伺服器」</t>
  </si>
  <si>
    <t>輸入自己的「CS Code」</t>
  </si>
  <si>
    <t>輸入「優惠券序號」</t>
  </si>
  <si>
    <t>最後點擊「使用優惠券」</t>
  </si>
  <si>
    <t>Maze666</t>
  </si>
  <si>
    <t>Maze777</t>
  </si>
  <si>
    <t>Maze888</t>
  </si>
  <si>
    <t>一億鑽石+SSR角色自選寶箱+養成資源寶箱</t>
    <phoneticPr fontId="2" type="noConversion"/>
  </si>
  <si>
    <t>https://apps.apple.com/tw/app/%E9%BE%8D%E6%81%AF-%E7%A5%9E%E5%AF%82/id6746432809</t>
  </si>
  <si>
    <t>https://www.facebook.com/DragonheirAsia/?locale=zh_TW</t>
  </si>
  <si>
    <t>l.facebook.com/l.php?u=https%3A%2F%2Fdragonheir.sgrastudio.com%2Ftw%2F%3Ffbclid%3DIwZXh0bgNhZW0CMTAAYnJpZBExMGlscTREcGtiazA0VTViTAEePRkTxRmrKwBnI5tWxvqJwaufuCd4jXTd5eudK-IZhqQKIYmURFWD44XHtB0_aem_vibZcdBkkhAu4en-CFCiKQ&amp;h=AT2OPKiGKl1LDxZay1fK746aJJSiR4fe-mgpvt9YTNn_daF-IfoBrOuNDUNeYlbcpmju2WUKuafwkz87faLGyONg4ZM632eIRVWBW6tSsnlXVcVPxaT1dPBVJM9pYHhhk2cshVUaa4Pdng&amp;__tn__=-UK-R&amp;c[0]=AT14EFIXFxuOlashKNUc5J03r-P2tdLZ_iebj3woPaMQRs_6XDYgFV17Heqly2Z_JMbADSf5ZmrV6wHkQLZ9LNF3INpW1x9X7y9J0FGwL_6ogytHCXgnsEa1QhwN1Nr0Lxv5w0IYJvKrjFUNZ-PQf72nOm6yiNuuN67ZVNWbh9CYI-FV152pOLMLEknDlsOxEzQgZxUk1YEJ3g57SpHbvIi83FP7nzKo9CH5</t>
  </si>
  <si>
    <t>https://play.google.com/store/apps/details?id=com.sgra.dragon&amp;hl=zh_TW</t>
  </si>
  <si>
    <t>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t>
    <phoneticPr fontId="2" type="noConversion"/>
  </si>
  <si>
    <t>REBORN1MTH</t>
    <phoneticPr fontId="2" type="noConversion"/>
  </si>
  <si>
    <t>APKPURE999</t>
    <phoneticPr fontId="2" type="noConversion"/>
  </si>
  <si>
    <t>骰子與金幣</t>
    <phoneticPr fontId="2" type="noConversion"/>
  </si>
  <si>
    <t>MONKEYKING</t>
    <phoneticPr fontId="2" type="noConversion"/>
  </si>
  <si>
    <t>200龍晶石</t>
    <phoneticPr fontId="2" type="noConversion"/>
  </si>
  <si>
    <t>在遊戲介面中尋找「設定」選項</t>
    <phoneticPr fontId="2" type="noConversion"/>
  </si>
  <si>
    <t>點選「兌換碼」</t>
    <phoneticPr fontId="2" type="noConversion"/>
  </si>
  <si>
    <t>7000龍晶石</t>
  </si>
  <si>
    <t>3500龍晶石</t>
  </si>
  <si>
    <t>2100龍晶石</t>
  </si>
  <si>
    <t>1050龍晶石</t>
  </si>
  <si>
    <t>350龍晶石</t>
  </si>
  <si>
    <t>70龍晶石</t>
  </si>
  <si>
    <t>LYH2025</t>
    <phoneticPr fontId="2" type="noConversion"/>
  </si>
  <si>
    <t>C9R9U9S9H</t>
    <phoneticPr fontId="2" type="noConversion"/>
  </si>
  <si>
    <t xml:space="preserve">RSOACT9 </t>
    <phoneticPr fontId="2" type="noConversion"/>
  </si>
  <si>
    <t>SUN8ROC8</t>
    <phoneticPr fontId="2" type="noConversion"/>
  </si>
  <si>
    <t xml:space="preserve">R8O8C8 </t>
    <phoneticPr fontId="2" type="noConversion"/>
  </si>
  <si>
    <t>ROCSUN7</t>
    <phoneticPr fontId="2" type="noConversion"/>
  </si>
  <si>
    <t xml:space="preserve">ROC777 </t>
    <phoneticPr fontId="2" type="noConversion"/>
  </si>
  <si>
    <t>龍息：神寂</t>
  </si>
  <si>
    <t>玩具對決</t>
  </si>
  <si>
    <t>幸福都市：市長模擬器</t>
    <phoneticPr fontId="2" type="noConversion"/>
  </si>
  <si>
    <t>黑道傳奇</t>
    <phoneticPr fontId="2" type="noConversion"/>
  </si>
  <si>
    <t>https://play.google.com/store/apps/details?id=com.jsl.entco.tdi&amp;hl=zh_TW</t>
  </si>
  <si>
    <t>https://tdi.jslgame.com/tw</t>
  </si>
  <si>
    <t>https://apps.apple.com/tw/app/%E7%8E%A9%E5%85%B7%E5%B0%8D%E6%B1%BA-toy-duel/id6467618612</t>
  </si>
  <si>
    <t>https://www.facebook.com/JSLGAME</t>
  </si>
  <si>
    <t>https://play.google.com/store/apps/details?id=com.kiwigames.happycitizen.gp&amp;hl=zh_TW</t>
  </si>
  <si>
    <t>https://apps.apple.com/mo/app/%E5%B9%B8%E7%A6%8F%E9%83%BD%E5%B8%82-%E5%B8%82%E9%95%B7%E6%A8%A1%E6%93%AC%E5%99%A8/id6745251520</t>
  </si>
  <si>
    <t>https://play.google.com/store/apps/details?id=com.igg.android.mafiamobile&amp;hl=zh_TW</t>
  </si>
  <si>
    <t>https://apps.apple.com/tw/app/%E9%BB%91%E9%81%93%E5%82%B3%E5%A5%87-mafia-mobile/id6739123904</t>
  </si>
  <si>
    <t>https://apps.apple.com/tw/app/the-kingdom-medieval-tales/id6744967226</t>
  </si>
  <si>
    <t>https://play.google.com/store/apps/details?id=com.stratospheregames.The.Kingdom.Medieval.Tales.Strategy.Building.Games&amp;hl=zh_TW</t>
  </si>
  <si>
    <t>https://www.igg.com/games/</t>
  </si>
  <si>
    <t>https://apps.apple.com/mt/developer/boombit-inc/id1045926022</t>
  </si>
  <si>
    <t>https://www.facebook.com/playmafia.tw/</t>
  </si>
  <si>
    <t>14000寶石</t>
  </si>
  <si>
    <t>6500寶石</t>
  </si>
  <si>
    <t>1200寶石</t>
  </si>
  <si>
    <t>TOY PASS</t>
  </si>
  <si>
    <t>寶石月卡</t>
  </si>
  <si>
    <t>30000金條</t>
  </si>
  <si>
    <t>15000金條</t>
  </si>
  <si>
    <t>9000金條</t>
  </si>
  <si>
    <t>7500金條</t>
  </si>
  <si>
    <t>1500金條</t>
  </si>
  <si>
    <t>行軍隊列禮包</t>
  </si>
  <si>
    <t>建造隊列禮包</t>
  </si>
  <si>
    <t>麵包店通行證T2</t>
  </si>
  <si>
    <t>麵包店通行證T3</t>
  </si>
  <si>
    <t>傳說中的糖果劍</t>
  </si>
  <si>
    <t>1200元寶</t>
  </si>
  <si>
    <t>一鍵每日禮包</t>
  </si>
  <si>
    <t>快速作戰月卡</t>
  </si>
  <si>
    <t>https://coupon.netmarble.com/tskgb</t>
  </si>
  <si>
    <t>進網址兌換即可</t>
    <phoneticPr fontId="2" type="noConversion"/>
  </si>
  <si>
    <t>Grave Strikers</t>
  </si>
  <si>
    <t>Stellar Sanctuary</t>
  </si>
  <si>
    <t>古惑仔：風雲再起</t>
  </si>
  <si>
    <t>https://play.google.com/store/apps/details?id=com.bandainamcoent.dbgekishinsquadra</t>
  </si>
  <si>
    <t>https://apps.apple.com/tw/app/dragon-ball-gekishin-squadra/id6744439943</t>
  </si>
  <si>
    <t>https://apps.apple.com/tw/app/grave-strikers/id6748154304</t>
    <phoneticPr fontId="2" type="noConversion"/>
  </si>
  <si>
    <t>https://play.google.com/store/apps/details?id=com.boltersquad.gravestrikers</t>
  </si>
  <si>
    <t>https://apps.apple.com/tw/app/stellar-sanctuary/id6745683002</t>
  </si>
  <si>
    <t>https://play.google.com/store/apps/details?id=com.pergame.starliteden</t>
  </si>
  <si>
    <t>https://apps.apple.com/tw/app/%E5%8F%A4%E6%83%91%E4%BB%94-%E9%A2%A8%E9%9B%B2%E5%86%8D%E8%B5%B7/id6749257155</t>
  </si>
  <si>
    <t>https://play.google.com/store/apps/details?id=com.gamexdd.ghzaz</t>
  </si>
  <si>
    <t>https://dbg-squadra.bn-ent.net/tw</t>
    <phoneticPr fontId="2" type="noConversion"/>
  </si>
  <si>
    <t>https://www.facebook.com/gamexdd.ghz</t>
  </si>
  <si>
    <t>https://ghz.gamexdd.com/</t>
    <phoneticPr fontId="2" type="noConversion"/>
  </si>
  <si>
    <t>https://stellarsanctuarygame.com/</t>
  </si>
  <si>
    <t>https://www.facebook.com/people/Stellar-Sanctuary/61569506387405/</t>
  </si>
  <si>
    <t>https://www.boltersquad.com/</t>
  </si>
  <si>
    <t>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t>
    <phoneticPr fontId="2" type="noConversion"/>
  </si>
  <si>
    <t>《Grave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t>
    <phoneticPr fontId="2" type="noConversion"/>
  </si>
  <si>
    <t>《Stellar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t>
    <phoneticPr fontId="2" type="noConversion"/>
  </si>
  <si>
    <t>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t>
    <phoneticPr fontId="2" type="noConversion"/>
  </si>
  <si>
    <t>https://www.facebook.com/db.gekishin.squadra</t>
  </si>
  <si>
    <t>https://x.com/BolterSquad</t>
  </si>
  <si>
    <t>龍玉E</t>
  </si>
  <si>
    <t>龍玉D</t>
  </si>
  <si>
    <t>龍玉C</t>
  </si>
  <si>
    <t>龍玉B</t>
  </si>
  <si>
    <t>龍玉A</t>
  </si>
  <si>
    <t>初始禮包</t>
  </si>
  <si>
    <t>迷你初始禮包</t>
  </si>
  <si>
    <t>6500鑽</t>
  </si>
  <si>
    <t>5000鑽</t>
  </si>
  <si>
    <t>4000鑽</t>
  </si>
  <si>
    <t>3280鑽</t>
  </si>
  <si>
    <t>1980鑽</t>
  </si>
  <si>
    <t>980鑽</t>
  </si>
  <si>
    <t>680鑽</t>
  </si>
  <si>
    <t>300鑽</t>
  </si>
  <si>
    <t>60鑽</t>
  </si>
  <si>
    <t>VIP888</t>
    <phoneticPr fontId="2" type="noConversion"/>
  </si>
  <si>
    <t>7F3K9A2RZ8</t>
    <phoneticPr fontId="2" type="noConversion"/>
  </si>
  <si>
    <t>鑽石 x 20、金錢 x 30000、高級令簽 x 2、升品藥劑 x 10</t>
    <phoneticPr fontId="2" type="noConversion"/>
  </si>
  <si>
    <t>鑽石 x 20、金錢 x 55555、高級令簽 x 3、體力飲料(小) x 3</t>
    <phoneticPr fontId="2" type="noConversion"/>
  </si>
  <si>
    <t>鑽石 x 20、金錢 x 68888、高級令簽 x 3、體力飲料(小) x 5</t>
    <phoneticPr fontId="2" type="noConversion"/>
  </si>
  <si>
    <t>9999寰宇幣</t>
  </si>
  <si>
    <t>1150寶石</t>
  </si>
  <si>
    <t>550寶石</t>
  </si>
  <si>
    <t>100寶石</t>
  </si>
  <si>
    <t>20000信用幣</t>
  </si>
  <si>
    <t>10000信用幣</t>
  </si>
  <si>
    <t>4000信用幣</t>
  </si>
  <si>
    <t>2000信用幣</t>
  </si>
  <si>
    <t>1000信用幣</t>
  </si>
  <si>
    <t>200信用幣</t>
  </si>
  <si>
    <t>等待官方更新</t>
  </si>
  <si>
    <t>點主畫面左上角指揮官頭像</t>
    <phoneticPr fontId="2" type="noConversion"/>
  </si>
  <si>
    <t>畫面右下「兌換碼」</t>
    <phoneticPr fontId="2" type="noConversion"/>
  </si>
  <si>
    <t>點畫面左上角「設定」齒輪</t>
    <phoneticPr fontId="2" type="noConversion"/>
  </si>
  <si>
    <t>UR666</t>
  </si>
  <si>
    <t>UR888</t>
  </si>
  <si>
    <t>TLZ66666</t>
  </si>
  <si>
    <t>點主畫面左上角頭像</t>
    <phoneticPr fontId="2" type="noConversion"/>
  </si>
  <si>
    <t>玩家資訊下方「禮包碼」</t>
    <phoneticPr fontId="2" type="noConversion"/>
  </si>
  <si>
    <t>到上方網址輸入序號</t>
    <phoneticPr fontId="2" type="noConversion"/>
  </si>
  <si>
    <t>等待官方更新</t>
    <phoneticPr fontId="2" type="noConversion"/>
  </si>
  <si>
    <t>https://dbg-squadra.bn-ent.net/tw/serialcode</t>
    <phoneticPr fontId="2" type="noConversion"/>
  </si>
  <si>
    <t>GuanYu777</t>
    <phoneticPr fontId="2" type="noConversion"/>
  </si>
  <si>
    <t>GuanYu3333</t>
    <phoneticPr fontId="2" type="noConversion"/>
  </si>
  <si>
    <t>yjsg777</t>
    <phoneticPr fontId="2" type="noConversion"/>
  </si>
  <si>
    <t>TK3333</t>
    <phoneticPr fontId="2" type="noConversion"/>
  </si>
  <si>
    <t>無雙戰神</t>
    <phoneticPr fontId="2" type="noConversion"/>
  </si>
  <si>
    <t>忠義武聖</t>
    <phoneticPr fontId="2" type="noConversion"/>
  </si>
  <si>
    <t>常勝孤膽</t>
    <phoneticPr fontId="2" type="noConversion"/>
  </si>
  <si>
    <t>七進七出</t>
    <phoneticPr fontId="2" type="noConversion"/>
  </si>
  <si>
    <t>ssr888</t>
    <phoneticPr fontId="2" type="noConversion"/>
  </si>
  <si>
    <t>sp999</t>
    <phoneticPr fontId="2" type="noConversion"/>
  </si>
  <si>
    <t>death444</t>
    <phoneticPr fontId="2" type="noConversion"/>
  </si>
  <si>
    <t>LBu999</t>
    <phoneticPr fontId="2" type="noConversion"/>
  </si>
  <si>
    <t>yjsgssqy</t>
    <phoneticPr fontId="2" type="noConversion"/>
  </si>
  <si>
    <t>aomage</t>
  </si>
  <si>
    <t>CTYJG7</t>
  </si>
  <si>
    <t>遊戲內選左上角頭像</t>
    <phoneticPr fontId="2" type="noConversion"/>
  </si>
  <si>
    <t>點系統設定之後典禮包兌換</t>
    <phoneticPr fontId="2" type="noConversion"/>
  </si>
  <si>
    <t>女神秘令</t>
  </si>
  <si>
    <t>Torerowa</t>
  </si>
  <si>
    <t>Ricochet Squad</t>
  </si>
  <si>
    <t>https://goddessorder.kakaogames.com/zh-TW/</t>
  </si>
  <si>
    <t>https://www.facebook.com/GoddessOrder/</t>
  </si>
  <si>
    <t>https://apps.apple.com/tw/app/%E5%A5%B3%E7%A5%9E%E7%A7%98%E4%BB%A4-%E7%86%B1%E8%A1%80%E6%A9%AB%E5%90%91%E5%8B%95%E4%BD%9C%E5%83%8F%E7%B4%A0rpg/id6749934240?fbclid=IwY2xjawM_MNRleHRuA2FlbQIxMABicmlkETE0MVh3bk5EMjRTY05mMkpLAR4JWZ0pkLBUCyPDaqN1qsB6NRDS1iBuYF6DIQaA8szbfRf3HLasRp5gonU8_Q_aem_J5Nnn4HsKqHU-WYYlNT6Ew</t>
  </si>
  <si>
    <t>https://play.google.com/store/apps/details?id=com.kakaogames.gdod&amp;hl=zh_TW</t>
    <phoneticPr fontId="2" type="noConversion"/>
  </si>
  <si>
    <t>https://play.google.com/store/apps/details?id=com.asobimo.torerowa&amp;hl=zh_TW</t>
  </si>
  <si>
    <t>https://apps.apple.com/us/app/torerowa/id6474421736</t>
    <phoneticPr fontId="2" type="noConversion"/>
  </si>
  <si>
    <t>https://x.com/torerowa_en</t>
    <phoneticPr fontId="2" type="noConversion"/>
  </si>
  <si>
    <t>https://en.torerowa.com/</t>
    <phoneticPr fontId="2" type="noConversion"/>
  </si>
  <si>
    <t>https://play.google.com/store/apps/details?id=nice.ricochet&amp;hl=zh_TW</t>
    <phoneticPr fontId="2" type="noConversion"/>
  </si>
  <si>
    <t>https://www.facebook.com/PlayRicochet/</t>
    <phoneticPr fontId="2" type="noConversion"/>
  </si>
  <si>
    <t>https://apps.apple.com/pl/app/ricochet-squad-pvp-shooter/id6743486517</t>
    <phoneticPr fontId="2" type="noConversion"/>
  </si>
  <si>
    <t>https://niceplans.studio/</t>
    <phoneticPr fontId="2" type="noConversion"/>
  </si>
  <si>
    <t>魔法村物語</t>
    <phoneticPr fontId="2" type="noConversion"/>
  </si>
  <si>
    <t>https://apps.apple.com/tw/app/%E9%AD%94%E6%B3%95%E6%9D%91%E7%89%A9%E8%AA%9E/id6748180418</t>
  </si>
  <si>
    <t>https://play.google.com/store/apps/details?id=com.magic.village.gp&amp;hl=zh_TW</t>
  </si>
  <si>
    <t>https://www.facebook.com/magicvillage</t>
    <phoneticPr fontId="2" type="noConversion"/>
  </si>
  <si>
    <t>《女神秘令》是一款以西方魔幻為題材的卡牌策略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t>
    <phoneticPr fontId="2" type="noConversion"/>
  </si>
  <si>
    <t>《Torerowa》是一款奇幻風格的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t>
    <phoneticPr fontId="2" type="noConversion"/>
  </si>
  <si>
    <t>《Ricochet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t>
    <phoneticPr fontId="2" type="noConversion"/>
  </si>
  <si>
    <t>《魔法村物語》是一款日系像素風格的經營模擬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t>
    <phoneticPr fontId="2" type="noConversion"/>
  </si>
  <si>
    <t>VIP666</t>
    <phoneticPr fontId="2" type="noConversion"/>
  </si>
  <si>
    <t>VIP777</t>
    <phoneticPr fontId="2" type="noConversion"/>
  </si>
  <si>
    <t>VIP888</t>
    <phoneticPr fontId="2" type="noConversion"/>
  </si>
  <si>
    <t>𝐓𝐘𝐒𝐐𝐔𝐀𝐃𝟐𝟓</t>
    <phoneticPr fontId="2" type="noConversion"/>
  </si>
  <si>
    <t>50000金幣+1000裝飾塵</t>
    <phoneticPr fontId="2" type="noConversion"/>
  </si>
  <si>
    <t>進入遊戲內的「社交選單」</t>
    <phoneticPr fontId="2" type="noConversion"/>
  </si>
  <si>
    <t>在選單底部找到兌換碼輸入欄位</t>
    <phoneticPr fontId="2" type="noConversion"/>
  </si>
  <si>
    <t>寶石禮包G</t>
  </si>
  <si>
    <t>寶石禮包F</t>
  </si>
  <si>
    <t>寶石禮包E</t>
  </si>
  <si>
    <t>寶石禮包D</t>
  </si>
  <si>
    <t>寶石禮包C</t>
  </si>
  <si>
    <t>寶石禮包B</t>
  </si>
  <si>
    <t>寶石禮包A</t>
  </si>
  <si>
    <t>Mega鑽石禮包</t>
  </si>
  <si>
    <t>Large鑽石禮包</t>
  </si>
  <si>
    <t>Big鑽石禮包</t>
  </si>
  <si>
    <t>Standrad鑽石禮包</t>
  </si>
  <si>
    <t>Small鑽石禮包</t>
  </si>
  <si>
    <t>Tiny鑽石禮包</t>
  </si>
  <si>
    <t>遊戲內點左上「頭像」</t>
    <phoneticPr fontId="2" type="noConversion"/>
  </si>
  <si>
    <t>彈出選單右下方點「虛寶碼」</t>
    <phoneticPr fontId="2" type="noConversion"/>
  </si>
  <si>
    <t>少量金幣2小時*5+少量經驗2小時*5+突破合濟*100</t>
    <phoneticPr fontId="2" type="noConversion"/>
  </si>
  <si>
    <t>黃金招募令*2+鑽石*200</t>
    <phoneticPr fontId="2" type="noConversion"/>
  </si>
  <si>
    <t>蒼芎套裝</t>
    <phoneticPr fontId="2" type="noConversion"/>
  </si>
  <si>
    <t>鑽石*300+黃金招募令*5+星之晶球*2</t>
    <phoneticPr fontId="2" type="noConversion"/>
  </si>
  <si>
    <t>花園特權</t>
  </si>
  <si>
    <t>作戰/星章特權</t>
  </si>
  <si>
    <t>訂閱特權</t>
  </si>
  <si>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</si>
  <si>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</si>
  <si>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</si>
  <si>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</si>
  <si>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</si>
  <si>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r>
      <rPr>
        <sz val="14"/>
        <rFont val="新細明體"/>
        <family val="2"/>
        <charset val="136"/>
        <scheme val="major"/>
      </rPr>
      <t>썩쏘</t>
    </r>
  </si>
  <si>
    <r>
      <t>1</t>
    </r>
    <r>
      <rPr>
        <sz val="14"/>
        <rFont val="新細明體"/>
        <family val="2"/>
        <charset val="136"/>
        <scheme val="major"/>
      </rPr>
      <t>위달성</t>
    </r>
  </si>
  <si>
    <r>
      <t>4</t>
    </r>
    <r>
      <rPr>
        <sz val="14"/>
        <rFont val="新細明體"/>
        <family val="2"/>
        <charset val="136"/>
        <scheme val="major"/>
      </rPr>
      <t>월공략왕</t>
    </r>
  </si>
  <si>
    <r>
      <t xml:space="preserve">MICHAN </t>
    </r>
    <r>
      <rPr>
        <sz val="14"/>
        <color rgb="FF222222"/>
        <rFont val="細明體"/>
        <family val="3"/>
        <charset val="136"/>
      </rPr>
      <t/>
    </r>
    <phoneticPr fontId="2" type="noConversion"/>
  </si>
  <si>
    <t>ANIMUS0925</t>
    <phoneticPr fontId="2" type="noConversion"/>
  </si>
  <si>
    <t>ETHERIA0828</t>
    <phoneticPr fontId="2" type="noConversion"/>
  </si>
  <si>
    <t>ETHERIA0925</t>
    <phoneticPr fontId="2" type="noConversion"/>
  </si>
  <si>
    <t>ETHERIARCS</t>
    <phoneticPr fontId="2" type="noConversion"/>
  </si>
  <si>
    <t>ETHERIAUNION</t>
    <phoneticPr fontId="2" type="noConversion"/>
  </si>
  <si>
    <t>ETHERIA666</t>
    <phoneticPr fontId="2" type="noConversion"/>
  </si>
  <si>
    <t>ETHERIATOP</t>
    <phoneticPr fontId="2" type="noConversion"/>
  </si>
  <si>
    <t>GOETHERIA</t>
    <phoneticPr fontId="2" type="noConversion"/>
  </si>
  <si>
    <t>YS666</t>
    <phoneticPr fontId="2" type="noConversion"/>
  </si>
  <si>
    <t>YS888</t>
    <phoneticPr fontId="2" type="noConversion"/>
  </si>
  <si>
    <t>YS999</t>
    <phoneticPr fontId="2" type="noConversion"/>
  </si>
  <si>
    <t>KG09PX24</t>
    <phoneticPr fontId="2" type="noConversion"/>
  </si>
  <si>
    <t>藍色水晶 x 400</t>
    <phoneticPr fontId="2" type="noConversion"/>
  </si>
  <si>
    <t>主畫面右上方三條線「選單」</t>
    <phoneticPr fontId="2" type="noConversion"/>
  </si>
  <si>
    <t>畫面右方齒輪圖闇「設定」</t>
    <phoneticPr fontId="2" type="noConversion"/>
  </si>
  <si>
    <t>左方書籤「帳號」</t>
    <phoneticPr fontId="2" type="noConversion"/>
  </si>
  <si>
    <t>客服中心內選擇「登錄優惠券」</t>
    <phoneticPr fontId="2" type="noConversion"/>
  </si>
  <si>
    <t>貼上在SSbuy複製好的禮包兌換碼按確認</t>
    <phoneticPr fontId="2" type="noConversion"/>
  </si>
  <si>
    <t>s9g2wx</t>
    <phoneticPr fontId="2" type="noConversion"/>
  </si>
  <si>
    <t>magic923</t>
    <phoneticPr fontId="2" type="noConversion"/>
  </si>
  <si>
    <t>鑽石x200、突破合劑x300、賞金卷軸x1500</t>
    <phoneticPr fontId="2" type="noConversion"/>
  </si>
  <si>
    <t>鑽石x188、黃金招募令x5、少量經驗(2小時)x3</t>
    <phoneticPr fontId="2" type="noConversion"/>
  </si>
  <si>
    <t>奇蹟MU：騎士袋你飛</t>
  </si>
  <si>
    <t>AUR3：影月幻域</t>
  </si>
  <si>
    <t>https://play.google.com/store/apps/details?id=com.webzen.muidle.google</t>
    <phoneticPr fontId="2" type="noConversion"/>
  </si>
  <si>
    <t>https://apps.apple.com/tw/app/%E5%A5%87%E8%B9%9Fmu-%E9%A8%8E%E5%A3%AB%E8%A2%8B%E4%BD%A0%E9%A3%9B/id6742208743</t>
    <phoneticPr fontId="2" type="noConversion"/>
  </si>
  <si>
    <t>https://www.facebook.com/MUPocketKnightsTW</t>
    <phoneticPr fontId="2" type="noConversion"/>
  </si>
  <si>
    <t>https://play.google.com/store/apps/details?id=com.ylhd.hsjg&amp;hl=zh_TW</t>
    <phoneticPr fontId="2" type="noConversion"/>
  </si>
  <si>
    <t>https://apps.apple.com/tw/app/aur-3-%E5%BD%B1%E6%9C%88%E5%B9%BB%E5%9F%9F/id6747416926?ppid=0bec509b-3803-468b-a350-cf23aa3d06e3</t>
    <phoneticPr fontId="2" type="noConversion"/>
  </si>
  <si>
    <t>https://www.facebook.com/aur3.lunar</t>
    <phoneticPr fontId="2" type="noConversion"/>
  </si>
  <si>
    <t>MUPOCKETOPEN0918</t>
    <phoneticPr fontId="2" type="noConversion"/>
  </si>
  <si>
    <t>鑽石x500、神秘寶石x5、次元迷宮掃蕩券x3、惡魔廣場掃蕩券x3、探險掃蕩券（第5章）x2</t>
    <phoneticPr fontId="2" type="noConversion"/>
  </si>
  <si>
    <t>THANKYOUCAPTAIN</t>
    <phoneticPr fontId="2" type="noConversion"/>
  </si>
  <si>
    <t>鑽石*10000+靈魂寶石*5+神秘寶石*20+放置寶箱掃蕩券*1</t>
    <phoneticPr fontId="2" type="noConversion"/>
  </si>
  <si>
    <t>HAPPYMUDAY</t>
    <phoneticPr fontId="2" type="noConversion"/>
  </si>
  <si>
    <t>鑽石 500個， 血色城堡掃蕩券 1個</t>
    <phoneticPr fontId="2" type="noConversion"/>
  </si>
  <si>
    <t>sssvip333</t>
    <phoneticPr fontId="2" type="noConversion"/>
  </si>
  <si>
    <t>sssvip444</t>
    <phoneticPr fontId="2" type="noConversion"/>
  </si>
  <si>
    <t>sssvip555</t>
    <phoneticPr fontId="2" type="noConversion"/>
  </si>
  <si>
    <t>sssvip666</t>
    <phoneticPr fontId="2" type="noConversion"/>
  </si>
  <si>
    <t>VIP666</t>
    <phoneticPr fontId="2" type="noConversion"/>
  </si>
  <si>
    <t>VIP777</t>
    <phoneticPr fontId="2" type="noConversion"/>
  </si>
  <si>
    <t>SP紅蓮聖子</t>
    <phoneticPr fontId="2" type="noConversion"/>
  </si>
  <si>
    <t>戰力直升寶箱、琉璃彩豆、月華石</t>
    <phoneticPr fontId="2" type="noConversion"/>
  </si>
  <si>
    <t>戰力直升寶箱、洗靈露×30、天工核心×3</t>
    <phoneticPr fontId="2" type="noConversion"/>
  </si>
  <si>
    <t>獸魂抽獎券×10、進化寶石×5、青金碎×5</t>
    <phoneticPr fontId="2" type="noConversion"/>
  </si>
  <si>
    <t>遊戲主畫面左下角齒輪「設定」</t>
    <phoneticPr fontId="2" type="noConversion"/>
  </si>
  <si>
    <t>彈出書籤選擇「禮包兌換」</t>
    <phoneticPr fontId="2" type="noConversion"/>
  </si>
  <si>
    <t>右上方三條線選單點開</t>
    <phoneticPr fontId="2" type="noConversion"/>
  </si>
  <si>
    <t>公告事項進去後選擇「序號兌換」</t>
    <phoneticPr fontId="2" type="noConversion"/>
  </si>
  <si>
    <t>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t>
    <phoneticPr fontId="2" type="noConversion"/>
  </si>
  <si>
    <t>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t>
    <phoneticPr fontId="2" type="noConversion"/>
  </si>
  <si>
    <t>11900鑽石</t>
  </si>
  <si>
    <t>移除廣告禮包</t>
  </si>
  <si>
    <t>三倍鑽石爆發禮包</t>
  </si>
  <si>
    <t>每月豪華探險加速禮包</t>
  </si>
  <si>
    <t>每月黃金奔跑禮包</t>
  </si>
  <si>
    <t>每月鑽石定期存款禮包</t>
  </si>
  <si>
    <t>6480靈玉</t>
  </si>
  <si>
    <t>3280靈玉</t>
  </si>
  <si>
    <t>1980靈玉</t>
  </si>
  <si>
    <t>300靈玉</t>
  </si>
  <si>
    <t>60靈玉</t>
  </si>
  <si>
    <t>直升首儲14.99</t>
  </si>
  <si>
    <t>甄品4.99</t>
  </si>
  <si>
    <t>aomage666</t>
    <phoneticPr fontId="2" type="noConversion"/>
  </si>
  <si>
    <t>aomage888</t>
    <phoneticPr fontId="2" type="noConversion"/>
  </si>
  <si>
    <t>mageduel</t>
    <phoneticPr fontId="2" type="noConversion"/>
  </si>
  <si>
    <t>VUSWEI3QHN</t>
    <phoneticPr fontId="2" type="noConversion"/>
  </si>
  <si>
    <t>Next Agers</t>
  </si>
  <si>
    <t>屍不可擋</t>
  </si>
  <si>
    <t>RF ONLINE NEXT</t>
  </si>
  <si>
    <t>卡厄斯夢境</t>
  </si>
  <si>
    <t>https://apps.apple.com/tw/app/id6747162052</t>
    <phoneticPr fontId="2" type="noConversion"/>
  </si>
  <si>
    <t>https://play.google.com/store/apps/details?id=com.cayenne.ms</t>
    <phoneticPr fontId="2" type="noConversion"/>
  </si>
  <si>
    <t>https://www.facebook.com/UntitledMagicalGirl.TW</t>
    <phoneticPr fontId="2" type="noConversion"/>
  </si>
  <si>
    <t>https://jm.wasabii.com.tw/</t>
    <phoneticPr fontId="2" type="noConversion"/>
  </si>
  <si>
    <t>https://www.facebook.com/Leapsofcivilization</t>
    <phoneticPr fontId="2" type="noConversion"/>
  </si>
  <si>
    <t>https://www.facebook.com/profile.php?id=61580336611412</t>
    <phoneticPr fontId="2" type="noConversion"/>
  </si>
  <si>
    <t>https://www.facebook.com/RFONLINENEXTtc</t>
    <phoneticPr fontId="2" type="noConversion"/>
  </si>
  <si>
    <t>https://play.google.com/store/apps/details?id=com.camelgames.loa&amp;hl=zh_TW</t>
    <phoneticPr fontId="2" type="noConversion"/>
  </si>
  <si>
    <t>https://apps.apple.com/vn/app/next-agers/id6749529571</t>
    <phoneticPr fontId="2" type="noConversion"/>
  </si>
  <si>
    <t>https://www.camelgames.com/</t>
    <phoneticPr fontId="2" type="noConversion"/>
  </si>
  <si>
    <t>https://discord.com/invite/RFJMXzqWaK</t>
    <phoneticPr fontId="2" type="noConversion"/>
  </si>
  <si>
    <t>https://apps.apple.com/tw/app/%E5%B1%8D%E4%B8%8D%E5%8F%AF%E6%93%8B-hell-zombie/id6752315777?at=1010l3Vj&amp;ct=GNN</t>
    <phoneticPr fontId="2" type="noConversion"/>
  </si>
  <si>
    <t>https://play.google.com/store/apps/details?id=com.myplayasia.hellzombie.tw&amp;referrer=utm_source%3Dgamer.com.tw%26utm_campaign%3Dgnn</t>
    <phoneticPr fontId="2" type="noConversion"/>
  </si>
  <si>
    <t>純潔的魔法少女</t>
    <phoneticPr fontId="2" type="noConversion"/>
  </si>
  <si>
    <t>https://rfonlinenextgb.netmarble.com/tc</t>
  </si>
  <si>
    <t>https://apps.apple.com/tw/app/rf-online-next/id6740848451</t>
  </si>
  <si>
    <t>https://play.google.com/store/apps/details?id=com.netmarble.rfnext</t>
    <phoneticPr fontId="2" type="noConversion"/>
  </si>
  <si>
    <t>《純潔的魔法少女》是一款充滿日系動漫風格的冒險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t>
    <phoneticPr fontId="2" type="noConversion"/>
  </si>
  <si>
    <t>《Next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t>
    <phoneticPr fontId="2" type="noConversion"/>
  </si>
  <si>
    <t>《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t>
    <phoneticPr fontId="2" type="noConversion"/>
  </si>
  <si>
    <t>《RF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t>
    <phoneticPr fontId="2" type="noConversion"/>
  </si>
  <si>
    <t>遊戲內關卡挑戰賽</t>
    <phoneticPr fontId="2" type="noConversion"/>
  </si>
  <si>
    <t>活動期間內，參加「體育館競技」對戰並累積積分，根據積分進行排名。</t>
    <phoneticPr fontId="2" type="noConversion"/>
  </si>
  <si>
    <t>第1名</t>
    <phoneticPr fontId="2" type="noConversion"/>
  </si>
  <si>
    <t>超商禮券 NT$1,500元</t>
    <phoneticPr fontId="2" type="noConversion"/>
  </si>
  <si>
    <t>第2名</t>
    <phoneticPr fontId="2" type="noConversion"/>
  </si>
  <si>
    <t>第3～5名</t>
    <phoneticPr fontId="2" type="noConversion"/>
  </si>
  <si>
    <t>超商禮券 NT$1,000元</t>
    <phoneticPr fontId="2" type="noConversion"/>
  </si>
  <si>
    <t>各得超商禮券 NT$500元</t>
    <phoneticPr fontId="2" type="noConversion"/>
  </si>
  <si>
    <t>STAYALIVE</t>
    <phoneticPr fontId="2" type="noConversion"/>
  </si>
  <si>
    <t>金幣x1000+膠囊x10+救援物資(篝火)x10</t>
    <phoneticPr fontId="2" type="noConversion"/>
  </si>
  <si>
    <t>遊戲內右上角選單「設定」</t>
    <phoneticPr fontId="2" type="noConversion"/>
  </si>
  <si>
    <t>98700水晶</t>
  </si>
  <si>
    <t>50700水晶</t>
  </si>
  <si>
    <t>29700水晶</t>
  </si>
  <si>
    <t>9900水晶</t>
  </si>
  <si>
    <t>5100水晶</t>
  </si>
  <si>
    <t>990水晶</t>
  </si>
  <si>
    <t>閃耀通行證</t>
  </si>
  <si>
    <t>禮包一條龍</t>
  </si>
  <si>
    <t>7000寶石</t>
  </si>
  <si>
    <t>3500寶石</t>
  </si>
  <si>
    <t>1400寶石</t>
  </si>
  <si>
    <t>610寶石</t>
  </si>
  <si>
    <t>60寶石</t>
  </si>
  <si>
    <t>1790禮包</t>
  </si>
  <si>
    <t>48000寶石</t>
  </si>
  <si>
    <t>25200寶石</t>
  </si>
  <si>
    <t>15360寶石</t>
  </si>
  <si>
    <t>6720寶石</t>
  </si>
  <si>
    <t>2880寶石</t>
  </si>
  <si>
    <t>600寶石</t>
  </si>
  <si>
    <t>轉蛋加速包</t>
  </si>
  <si>
    <t>轉蛋等級提升包</t>
  </si>
  <si>
    <t>https://apps.apple.com/tw/app/%E5%B0%91%E5%A5%B3%E6%8E%8C%E9%96%80%E4%BA%BA/id6748065669</t>
  </si>
  <si>
    <t>https://www.ign-m.com/works/snackygirls_tw/</t>
  </si>
  <si>
    <t>https://x.com/ignm_snackygirl</t>
    <phoneticPr fontId="2" type="noConversion"/>
  </si>
  <si>
    <t>少女掌門人</t>
    <phoneticPr fontId="2" type="noConversion"/>
  </si>
  <si>
    <t>https://play.google.com/store/apps/details?id=com.ignm.girlowners&amp;hl=zh</t>
    <phoneticPr fontId="2" type="noConversion"/>
  </si>
  <si>
    <t>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t>
    <phoneticPr fontId="2" type="noConversion"/>
  </si>
  <si>
    <t>week8888</t>
    <phoneticPr fontId="2" type="noConversion"/>
  </si>
  <si>
    <t>Thanks928</t>
    <phoneticPr fontId="2" type="noConversion"/>
  </si>
  <si>
    <t>f85gar</t>
    <phoneticPr fontId="2" type="noConversion"/>
  </si>
  <si>
    <t>100fo25</t>
    <phoneticPr fontId="2" type="noConversion"/>
  </si>
  <si>
    <t>Oniro ARPG</t>
  </si>
  <si>
    <t>Legend of YMIR</t>
  </si>
  <si>
    <t>7200鑽石</t>
  </si>
  <si>
    <t>1600鑽石</t>
  </si>
  <si>
    <t>720鑽石</t>
  </si>
  <si>
    <t>109鑽石</t>
  </si>
  <si>
    <t>RF通行賽季1</t>
  </si>
  <si>
    <t>亞克的特權</t>
  </si>
  <si>
    <t>每周召喚選擇包</t>
  </si>
  <si>
    <t>每月召喚精選包</t>
  </si>
  <si>
    <t>每月神器包</t>
  </si>
  <si>
    <t>10000機器人美元</t>
  </si>
  <si>
    <t>5000機器人美元</t>
  </si>
  <si>
    <t>3000機器人美元</t>
  </si>
  <si>
    <t>1500機器人美元</t>
  </si>
  <si>
    <t>500機器人美元</t>
  </si>
  <si>
    <t>100機器人美元</t>
  </si>
  <si>
    <t>廣告通行證</t>
  </si>
  <si>
    <t>綜合通行證</t>
  </si>
  <si>
    <t>歡迎禮包</t>
  </si>
  <si>
    <t>6300+4200水晶</t>
  </si>
  <si>
    <t>3090+1260水晶</t>
  </si>
  <si>
    <t>1545+330水晶</t>
  </si>
  <si>
    <t>600+90水晶</t>
  </si>
  <si>
    <t>300+15水晶</t>
  </si>
  <si>
    <t>鍛造超值包</t>
  </si>
  <si>
    <t>大量寶石禮包</t>
  </si>
  <si>
    <t>200鑽石</t>
  </si>
  <si>
    <t>https://wsafkduelists.wingedsakura.com/zh-tw/</t>
  </si>
  <si>
    <t>https://www.facebook.com/LegendofYMIRGL.tw</t>
  </si>
  <si>
    <t>https://play.google.com/store/apps/details?id=com.WINGEDSAKURAGAMES.WingedSakuraAFKDuelists&amp;hl=zh_TW</t>
    <phoneticPr fontId="2" type="noConversion"/>
  </si>
  <si>
    <t>https://play.google.com/store/apps/details?id=com.wemade.ymirglobal</t>
    <phoneticPr fontId="2" type="noConversion"/>
  </si>
  <si>
    <t>https://apps.apple.com/tw/app/winged-sakura-afk-duelists/id6742160449</t>
    <phoneticPr fontId="2" type="noConversion"/>
  </si>
  <si>
    <t>https://wsafkduelists.wingedsakura.com/zh-tw/</t>
    <phoneticPr fontId="2" type="noConversion"/>
  </si>
  <si>
    <t>翼之櫻：放置決鬥者</t>
    <phoneticPr fontId="2" type="noConversion"/>
  </si>
  <si>
    <t>https://play.google.com/store/apps/details?id=com.Redeev.Oniro</t>
    <phoneticPr fontId="2" type="noConversion"/>
  </si>
  <si>
    <t>https://www.facebook.com/oniroarpg?locale=zh_TW</t>
    <phoneticPr fontId="2" type="noConversion"/>
  </si>
  <si>
    <t>https://www.redeev.com/oniro/</t>
    <phoneticPr fontId="2" type="noConversion"/>
  </si>
  <si>
    <t>https://apps.apple.com/us/app/oniro-arpg/id6746137443</t>
    <phoneticPr fontId="2" type="noConversion"/>
  </si>
  <si>
    <t>https://apps.apple.com/tw/app/legend-of-ymir/id6748295875?at=1010l3Vj&amp;ct=GNN</t>
    <phoneticPr fontId="2" type="noConversion"/>
  </si>
  <si>
    <t>https://www.legendofymir.com/</t>
    <phoneticPr fontId="2" type="noConversion"/>
  </si>
  <si>
    <t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t>
    <phoneticPr fontId="2" type="noConversion"/>
  </si>
  <si>
    <t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t>
    <phoneticPr fontId="2" type="noConversion"/>
  </si>
  <si>
    <t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t>
    <phoneticPr fontId="2" type="noConversion"/>
  </si>
  <si>
    <t>https://www.facebook.com/elysiathegame/</t>
    <phoneticPr fontId="2" type="noConversion"/>
  </si>
  <si>
    <t>https://apps.apple.com/mo/app/elysia-%E6%98%9F%E7%A9%BA%E5%A2%9C%E8%90%BD/id6737166302?at=1010l3Vj&amp;ct=ACG</t>
    <phoneticPr fontId="2" type="noConversion"/>
  </si>
  <si>
    <t>https://play.google.com/store/apps/details?id=com.pantheraplay.projecth&amp;hl=zh_TW</t>
    <phoneticPr fontId="2" type="noConversion"/>
  </si>
  <si>
    <t>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t>
    <phoneticPr fontId="2" type="noConversion"/>
  </si>
  <si>
    <t>Maze520</t>
    <phoneticPr fontId="2" type="noConversion"/>
  </si>
  <si>
    <t>DCGIFT</t>
    <phoneticPr fontId="2" type="noConversion"/>
  </si>
  <si>
    <t>FLYCOPILOT</t>
    <phoneticPr fontId="2" type="noConversion"/>
  </si>
  <si>
    <t>金幣 x 200、飛行員招募卡 x 2、經驗汽水 ×100</t>
    <phoneticPr fontId="2" type="noConversion"/>
  </si>
  <si>
    <t>WETOGETHER</t>
    <phoneticPr fontId="2" type="noConversion"/>
  </si>
  <si>
    <t>招募券 x1、金幣 x 500</t>
    <phoneticPr fontId="2" type="noConversion"/>
  </si>
  <si>
    <t>BOTTOGO</t>
    <phoneticPr fontId="2" type="noConversion"/>
  </si>
  <si>
    <t>能量核心 x 1、金幣 x 500、經驗汽水 x 200</t>
    <phoneticPr fontId="2" type="noConversion"/>
  </si>
  <si>
    <t>S2BOTTOGO</t>
    <phoneticPr fontId="2" type="noConversion"/>
  </si>
  <si>
    <t>王牌招募卡 x 2、飛行學員招募卡 x 2、
能量核心 x 2</t>
    <phoneticPr fontId="2" type="noConversion"/>
  </si>
  <si>
    <t>U394B3299F</t>
    <phoneticPr fontId="2" type="noConversion"/>
  </si>
  <si>
    <t>能量核心 ×4</t>
    <phoneticPr fontId="2" type="noConversion"/>
  </si>
  <si>
    <t>ACEINFOHUB</t>
    <phoneticPr fontId="2" type="noConversion"/>
  </si>
  <si>
    <t>能量核心 ×3</t>
    <phoneticPr fontId="2" type="noConversion"/>
  </si>
  <si>
    <t>ACEANDTJ</t>
    <phoneticPr fontId="2" type="noConversion"/>
  </si>
  <si>
    <t xml:space="preserve"> 經驗藥水+掃蕩卷軸*2+初級寶羽*5</t>
    <phoneticPr fontId="2" type="noConversion"/>
  </si>
  <si>
    <t>能量核心 x 2、鑽石 x 100、金幣 x 500</t>
  </si>
  <si>
    <t>ACE888</t>
    <phoneticPr fontId="2" type="noConversion"/>
  </si>
  <si>
    <t>鑽石 x 100、金幣 x 10k</t>
    <phoneticPr fontId="2" type="noConversion"/>
  </si>
  <si>
    <t>ROCRUSH12</t>
    <phoneticPr fontId="2" type="noConversion"/>
  </si>
  <si>
    <t>WEEKLY251003</t>
    <phoneticPr fontId="2" type="noConversion"/>
  </si>
  <si>
    <t>F63Y3KQCCV</t>
    <phoneticPr fontId="2" type="noConversion"/>
  </si>
  <si>
    <t>sy1001</t>
    <phoneticPr fontId="2" type="noConversion"/>
  </si>
  <si>
    <t>25FULLMOON</t>
    <phoneticPr fontId="2" type="noConversion"/>
  </si>
  <si>
    <t>鑽石x500、惡魔廣場掃蕩券x1</t>
    <phoneticPr fontId="2" type="noConversion"/>
  </si>
  <si>
    <t>合併貓鎮</t>
  </si>
  <si>
    <t>幻牌交鋒</t>
  </si>
  <si>
    <t>嘟嘟臉惡作劇</t>
  </si>
  <si>
    <t>等待上市更新</t>
    <phoneticPr fontId="2" type="noConversion"/>
  </si>
  <si>
    <t>等待上市更新</t>
    <phoneticPr fontId="2" type="noConversion"/>
  </si>
  <si>
    <t>等待上市更新</t>
    <phoneticPr fontId="2" type="noConversion"/>
  </si>
  <si>
    <t>https://play.google.com/store/apps/details?id=com.mobirix.mgci&amp;hl=zh_TW</t>
    <phoneticPr fontId="2" type="noConversion"/>
  </si>
  <si>
    <t>https://apps.apple.com/us/app/merge-cat-town/id6743785079</t>
    <phoneticPr fontId="2" type="noConversion"/>
  </si>
  <si>
    <t>https://www.facebook.com/EidolonsCross</t>
    <phoneticPr fontId="2" type="noConversion"/>
  </si>
  <si>
    <t>https://www.facebook.com/TrickcalRevive</t>
    <phoneticPr fontId="2" type="noConversion"/>
  </si>
  <si>
    <t>https://pre-registration.eidolons-cross.com/Index?fbclid=IwY2xjawNQdt1leHRuA2FlbQIxMABicmlkETFXVWp5cHFhSmxFZG90ekszAR73MUPffYTl-0n3AGnFc63slqKtvWdLDjY5602jFW6N0KzUdsEHaOWIcrZ36Q_aem_UU_XF0pbKKpsChOMt3NZjA</t>
    <phoneticPr fontId="2" type="noConversion"/>
  </si>
  <si>
    <t>https://apps.apple.com/tw/app/%E5%B9%BB%E7%89%8C%E4%BA%A4%E9%8B%92/id6749214742</t>
    <phoneticPr fontId="2" type="noConversion"/>
  </si>
  <si>
    <t>https://play.google.com/store/apps/details?id=com.DigiJello.EidolonsCross</t>
    <phoneticPr fontId="2" type="noConversion"/>
  </si>
  <si>
    <t>激鬥！王國保衛戰</t>
    <phoneticPr fontId="2" type="noConversion"/>
  </si>
  <si>
    <t>https://www.facebook.com/profile.php?id=61573708981461</t>
    <phoneticPr fontId="2" type="noConversion"/>
  </si>
  <si>
    <t>https://play.google.com/store/apps/details?id=com.ironhidegames.kingdomrush.mp&amp;referrer=utm_source%3Dyoutube_trailer%26utm_medium%3Dvideo_description%26utm_campaign%3Dpreregister&amp;fbclid=IwY2xjawNQd0VleHRuA2FlbQIxMABicmlkETFXVWp5cHFhSmxFZG90ekszAR4uAZJuIjBKAM7jUM7SvSSSBAiHAXKkidPcTmYEttgN_uwB5jIqluB_oEiJ0Q_aem_OvS8fmtuEbz3WFk9JjZmjA</t>
    <phoneticPr fontId="2" type="noConversion"/>
  </si>
  <si>
    <t>https://apps.apple.com/us/app/kingdom-rush-battles-td-game/id6746510979?utm_source=youtube_announcement&amp;utm_medium=video_description&amp;utm_campaign=preregister&amp;fbclid=IwY2xjawNQd0VleHRuA2FlbQIxMABicmlkETFXVWp5cHFhSmxFZG90ekszAR7_UANYOjn8d8HOJwOwxa2wTJ0TEl4P_G5gOiH4A_oZJkL5p9H-5UhHYeDhUw_aem_E7QC93L76ExjDJdgiD69tg</t>
    <phoneticPr fontId="2" type="noConversion"/>
  </si>
  <si>
    <t>https://www.kingdomrushbattles.com/</t>
    <phoneticPr fontId="2" type="noConversion"/>
  </si>
  <si>
    <t>https://apps.apple.com/us/app/trickcal-chibi-go/id6479391944</t>
    <phoneticPr fontId="2" type="noConversion"/>
  </si>
  <si>
    <t>https://play.google.com/store/apps/details?id=com.bilibili.trickcal</t>
  </si>
  <si>
    <t>https://trickcal.biligames.com/jp/?source_caller=ui&amp;shortlink=igimjso8&amp;c=x_0815&amp;pid=JP_SNS&amp;af_click_lookback=7d&amp;af_xp=custom&amp;fbclid=IwY2xjawNQd3xleHRuA2FlbQIxMABicmlkETFXVWp5cHFhSmxFZG90ekszAR7S-d1B5Z0Mxez17XsUwP6EkjyPVzW8tc0THhQHvdtKXO4uha5G_NWUo-mcWQ_aem_3FBhjqrQQtVp5eORk6AVPA#p-1</t>
  </si>
  <si>
    <t>《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t>
    <phoneticPr fontId="2" type="noConversion"/>
  </si>
  <si>
    <t>《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t>
    <phoneticPr fontId="2" type="noConversion"/>
  </si>
  <si>
    <t>《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t>
    <phoneticPr fontId="2" type="noConversion"/>
  </si>
  <si>
    <t>5980星鑽</t>
  </si>
  <si>
    <t>2980星鑽</t>
  </si>
  <si>
    <t>去廣告月卡</t>
  </si>
  <si>
    <t>金幣月卡</t>
  </si>
  <si>
    <t>99.99美金禮包</t>
  </si>
  <si>
    <t>49.99美金禮包</t>
  </si>
  <si>
    <t>29.99美金禮包</t>
  </si>
  <si>
    <t>19.99美金禮包</t>
  </si>
  <si>
    <t>14.99美金禮包</t>
  </si>
  <si>
    <t>9.99美金禮包</t>
  </si>
  <si>
    <t>4.99美金禮包</t>
  </si>
  <si>
    <t>0.99美金禮包</t>
  </si>
  <si>
    <t>HLM810</t>
    <phoneticPr fontId="2" type="noConversion"/>
  </si>
  <si>
    <t>HLM888</t>
    <phoneticPr fontId="2" type="noConversion"/>
  </si>
  <si>
    <t>HLMAX9</t>
    <phoneticPr fontId="2" type="noConversion"/>
  </si>
  <si>
    <t>HLM9AC</t>
    <phoneticPr fontId="2" type="noConversion"/>
  </si>
  <si>
    <t>HLM7CX</t>
    <phoneticPr fontId="2" type="noConversion"/>
  </si>
  <si>
    <t>HLM2ZY</t>
    <phoneticPr fontId="2" type="noConversion"/>
  </si>
  <si>
    <t>HLMobile12</t>
    <phoneticPr fontId="2" type="noConversion"/>
  </si>
  <si>
    <t>HLM5KL</t>
    <phoneticPr fontId="2" type="noConversion"/>
  </si>
  <si>
    <t>HLM9KZ</t>
    <phoneticPr fontId="2" type="noConversion"/>
  </si>
  <si>
    <t>moongift</t>
  </si>
  <si>
    <t>ETHERIADOKI</t>
    <phoneticPr fontId="2" type="noConversion"/>
  </si>
  <si>
    <t>HYPERLINKER</t>
    <phoneticPr fontId="2" type="noConversion"/>
  </si>
  <si>
    <t>ETHERIALIFE</t>
    <phoneticPr fontId="2" type="noConversion"/>
  </si>
  <si>
    <t>ETHERIA13TH</t>
    <phoneticPr fontId="2" type="noConversion"/>
  </si>
  <si>
    <t>7500星晶</t>
  </si>
  <si>
    <t>3700星晶</t>
  </si>
  <si>
    <t>1400星晶</t>
  </si>
  <si>
    <t>700星晶</t>
  </si>
  <si>
    <t>300星晶</t>
  </si>
  <si>
    <t>50星晶</t>
  </si>
  <si>
    <t>天界祝福</t>
  </si>
  <si>
    <t>星辰祝福</t>
  </si>
  <si>
    <t>艾莉西亞的祝福</t>
  </si>
  <si>
    <t>新手幸運包</t>
    <phoneticPr fontId="2" type="noConversion"/>
  </si>
  <si>
    <t>索拉里亞的祝福</t>
  </si>
  <si>
    <t>英雄起點包</t>
  </si>
  <si>
    <t>豪華通行券</t>
  </si>
  <si>
    <t>FLOWER</t>
    <phoneticPr fontId="2" type="noConversion"/>
  </si>
  <si>
    <t>元寶*30+水滴*65+金幣*8888</t>
    <phoneticPr fontId="2" type="noConversion"/>
  </si>
  <si>
    <t>butterfu.u</t>
    <phoneticPr fontId="2" type="noConversion"/>
  </si>
  <si>
    <t>閃電寶箱*1+金幣*2000</t>
    <phoneticPr fontId="2" type="noConversion"/>
  </si>
  <si>
    <t>https://redeem-code.eidolons-cross.com/html/TW/redeem_code/redeem-code.html</t>
    <phoneticPr fontId="2" type="noConversion"/>
  </si>
  <si>
    <t>遊戲內右上角「選單」</t>
    <phoneticPr fontId="2" type="noConversion"/>
  </si>
  <si>
    <t>進到「設定」之後記住玩家ID</t>
    <phoneticPr fontId="2" type="noConversion"/>
  </si>
  <si>
    <t>到網址內輸入ID跟禮包碼按確認即可領取</t>
    <phoneticPr fontId="2" type="noConversion"/>
  </si>
  <si>
    <t>006892699</t>
    <phoneticPr fontId="2" type="noConversion"/>
  </si>
  <si>
    <t>600寶石邀請碼</t>
    <phoneticPr fontId="2" type="noConversion"/>
  </si>
  <si>
    <t>https://hjxp.floralgames.net/reserve/index.html#s1</t>
    <phoneticPr fontId="2" type="noConversion"/>
  </si>
  <si>
    <t>https://apps.apple.com/tw/app/%E6%88%91%E7%9A%84%E8%8A%B1%E5%9C%92%E4%B8%96%E7%95%8C/id6751560944</t>
    <phoneticPr fontId="2" type="noConversion"/>
  </si>
  <si>
    <t>GD666</t>
    <phoneticPr fontId="2" type="noConversion"/>
  </si>
  <si>
    <t>GD888</t>
    <phoneticPr fontId="2" type="noConversion"/>
  </si>
  <si>
    <t>GD999</t>
    <phoneticPr fontId="2" type="noConversion"/>
  </si>
  <si>
    <t>GD520</t>
    <phoneticPr fontId="2" type="noConversion"/>
  </si>
  <si>
    <t>水滴*20+金幣*1000+雇傭書*5</t>
    <phoneticPr fontId="2" type="noConversion"/>
  </si>
  <si>
    <t>水雞*20+金幣*1000+加速卡*20</t>
    <phoneticPr fontId="2" type="noConversion"/>
  </si>
  <si>
    <t>元寶*20+金幣*1000+花坊幣*10</t>
    <phoneticPr fontId="2" type="noConversion"/>
  </si>
  <si>
    <t>金幣*1000+加速卡*10+花坊幣*30</t>
    <phoneticPr fontId="2" type="noConversion"/>
  </si>
  <si>
    <t>6000元寶</t>
  </si>
  <si>
    <t>1800元寶</t>
  </si>
  <si>
    <t>900元寶</t>
  </si>
  <si>
    <t>免廣告</t>
  </si>
  <si>
    <t>VIP特權</t>
  </si>
  <si>
    <t>我的花園世界</t>
    <phoneticPr fontId="2" type="noConversion"/>
  </si>
  <si>
    <t>https://play.google.com/store/apps/details?id=com.floralgames.hjxp&amp;referrer=utm_source%3Dgamer.com.tw%26utm_campaign%3Dgnn</t>
    <phoneticPr fontId="2" type="noConversion"/>
  </si>
  <si>
    <t>https://www.facebook.com/mygardenworld.ofcl</t>
    <phoneticPr fontId="2" type="noConversion"/>
  </si>
  <si>
    <t>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t>
    <phoneticPr fontId="2" type="noConversion"/>
  </si>
  <si>
    <t>TKRANKIN</t>
    <phoneticPr fontId="2" type="noConversion"/>
  </si>
  <si>
    <t>TRICKCAL109</t>
    <phoneticPr fontId="2" type="noConversion"/>
  </si>
  <si>
    <t>TRICKCALOB</t>
    <phoneticPr fontId="2" type="noConversion"/>
  </si>
  <si>
    <t>TKRELEASE</t>
    <phoneticPr fontId="2" type="noConversion"/>
  </si>
  <si>
    <t>YOMILOVEU</t>
    <phoneticPr fontId="2" type="noConversion"/>
  </si>
  <si>
    <t>TK777</t>
    <phoneticPr fontId="2" type="noConversion"/>
  </si>
  <si>
    <t>TK888</t>
    <phoneticPr fontId="2" type="noConversion"/>
  </si>
  <si>
    <t>TK2025</t>
    <phoneticPr fontId="2" type="noConversion"/>
  </si>
  <si>
    <t>主畫面右上角三條線「選單」</t>
    <phoneticPr fontId="2" type="noConversion"/>
  </si>
  <si>
    <t>點齒輪圖按「設定」</t>
    <phoneticPr fontId="2" type="noConversion"/>
  </si>
  <si>
    <t>按右上角其他之後找到登陸兌換券</t>
    <phoneticPr fontId="2" type="noConversion"/>
  </si>
  <si>
    <t>貼上在SSbuy複製好的禮包兌換碼點套用</t>
    <phoneticPr fontId="2" type="noConversion"/>
  </si>
  <si>
    <t>到信箱領取兌換碼的免費禮包</t>
    <phoneticPr fontId="2" type="noConversion"/>
  </si>
  <si>
    <t>使者招募券*10</t>
    <phoneticPr fontId="2" type="noConversion"/>
  </si>
  <si>
    <t>糖果*100+魔卡龍*1000</t>
    <phoneticPr fontId="2" type="noConversion"/>
  </si>
  <si>
    <t>抽卡券*3+一般進化卡片*50</t>
    <phoneticPr fontId="2" type="noConversion"/>
  </si>
  <si>
    <t>使者招募券*3+一般進化卡片*50</t>
    <phoneticPr fontId="2" type="noConversion"/>
  </si>
  <si>
    <t>使者招募券*10+抽卡券*10</t>
    <phoneticPr fontId="2" type="noConversion"/>
  </si>
  <si>
    <t>水晶葉*30+魔卡龍*10K+金幣*10K</t>
    <phoneticPr fontId="2" type="noConversion"/>
  </si>
  <si>
    <t>6480水晶葉</t>
  </si>
  <si>
    <t>3280水晶葉</t>
  </si>
  <si>
    <t>1980水晶葉</t>
  </si>
  <si>
    <t>1280水晶葉</t>
  </si>
  <si>
    <t>680水晶葉</t>
  </si>
  <si>
    <t>300水晶葉</t>
  </si>
  <si>
    <t>60水晶葉</t>
  </si>
  <si>
    <t>每日星星糖貢品</t>
  </si>
  <si>
    <t>每日糖果貢品</t>
  </si>
  <si>
    <t>每日水晶葉貢品</t>
  </si>
  <si>
    <t>Awakenloop</t>
  </si>
  <si>
    <t>Astellia</t>
  </si>
  <si>
    <t>華夏千秋</t>
  </si>
  <si>
    <t>萌塔娘</t>
  </si>
  <si>
    <t>盜夢英雄2：幻野</t>
  </si>
  <si>
    <t>https://www.facebook.com/Awakenloop/</t>
    <phoneticPr fontId="2" type="noConversion"/>
  </si>
  <si>
    <t>https://apps.apple.com/us/app/awakenloop/id6748336976</t>
  </si>
  <si>
    <t>https://www.r2games.com/</t>
  </si>
  <si>
    <t>https://play.google.com/store/apps/details?id=com.f5game.lr</t>
  </si>
  <si>
    <t>https://astellia.game.onstove.com/tw</t>
  </si>
  <si>
    <t>https://apps.apple.com/tw/app/astellia-m/id6749603786</t>
  </si>
  <si>
    <t>https://play.google.com/store/apps/details?id=com.sesisoft.astellia.google</t>
  </si>
  <si>
    <t>https://www.facebook.com/AstelliaOfficial/</t>
  </si>
  <si>
    <t>https://play.google.com/store/apps/details?id=com.hygame.hxqq.tw.gp</t>
  </si>
  <si>
    <t>https://www.facebook.com/DiGeamGirlAttack</t>
  </si>
  <si>
    <t>https://play.google.com/store/apps/details?id=com.digeam.a.srtw&amp;referrer=utm_source%3Dgamer.com.tw%26utm_campaign%3Dgnn</t>
  </si>
  <si>
    <t>https://apps.apple.com/tw/app/%E8%90%8C%E5%A1%94%E5%A8%98/id6747243774</t>
  </si>
  <si>
    <t>https://srtw.digeam.com/</t>
  </si>
  <si>
    <t>https://www.facebook.com/dreamraiders2TW/</t>
  </si>
  <si>
    <t>https://dm2-reservation.dreamplusgames.com/</t>
  </si>
  <si>
    <t>https://apps.apple.com/tw/app/%E7%9B%9C%E5%A4%A2%E8%8B%B1%E9%9B%842-%E5%B9%BB%E9%87%8E/id6743147434</t>
  </si>
  <si>
    <t>https://play.google.com/store/apps/details?id=com.mechanist.dream2.aos&amp;hl=zh_TW</t>
  </si>
  <si>
    <t>https://www.facebook.com/profile.php?id=61580230375788</t>
  </si>
  <si>
    <t>https://apps.apple.com/cn/app/%E5%8D%8E%E5%A4%8F%E5%8D%83%E7%A7%8B-npc%E8%87%AA%E7%94%B1%E6%94%BB%E7%95%A5/id6450168609</t>
  </si>
  <si>
    <t>《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t>
    <phoneticPr fontId="2" type="noConversion"/>
  </si>
  <si>
    <t>《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t>
    <phoneticPr fontId="2" type="noConversion"/>
  </si>
  <si>
    <t>《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t>
    <phoneticPr fontId="2" type="noConversion"/>
  </si>
  <si>
    <t>《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t>
    <phoneticPr fontId="2" type="noConversion"/>
  </si>
  <si>
    <t>《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t>
    <phoneticPr fontId="2" type="noConversion"/>
  </si>
  <si>
    <t>Gameboys978</t>
    <phoneticPr fontId="2" type="noConversion"/>
  </si>
  <si>
    <t>HAPPYEC1008</t>
    <phoneticPr fontId="2" type="noConversion"/>
  </si>
  <si>
    <t>Mewo1000</t>
    <phoneticPr fontId="2" type="noConversion"/>
  </si>
  <si>
    <t>MewoMewo1008</t>
    <phoneticPr fontId="2" type="noConversion"/>
  </si>
  <si>
    <t>Onityan</t>
    <phoneticPr fontId="2" type="noConversion"/>
  </si>
  <si>
    <t>donotnow</t>
    <phoneticPr fontId="2" type="noConversion"/>
  </si>
  <si>
    <t>TKRELEASE</t>
    <phoneticPr fontId="2" type="noConversion"/>
  </si>
  <si>
    <t>TRICKCALOB</t>
    <phoneticPr fontId="2" type="noConversion"/>
  </si>
  <si>
    <t>TRICKCAL109</t>
    <phoneticPr fontId="2" type="noConversion"/>
  </si>
  <si>
    <t>EC1010</t>
    <phoneticPr fontId="2" type="noConversion"/>
  </si>
  <si>
    <t>GIFT1010</t>
    <phoneticPr fontId="2" type="noConversion"/>
  </si>
  <si>
    <t>DCMoon</t>
    <phoneticPr fontId="2" type="noConversion"/>
  </si>
  <si>
    <t>DC1010</t>
    <phoneticPr fontId="2" type="noConversion"/>
  </si>
  <si>
    <t>1.99美金禮包</t>
  </si>
  <si>
    <t>2600台幣禮包</t>
  </si>
  <si>
    <t>6480銀錠禮包</t>
  </si>
  <si>
    <t>4880銀錠禮包</t>
  </si>
  <si>
    <t>3280銀錠禮包</t>
  </si>
  <si>
    <t>2380銀錠禮包</t>
  </si>
  <si>
    <t>1980銀錠禮包</t>
  </si>
  <si>
    <t>1880銀錠禮包</t>
  </si>
  <si>
    <t>1280銀錠禮包</t>
  </si>
  <si>
    <t>980銀錠禮包</t>
  </si>
  <si>
    <t>880銀錠禮包</t>
  </si>
  <si>
    <t>780銀錠禮包</t>
  </si>
  <si>
    <t>3290VIP專屬水晶</t>
  </si>
  <si>
    <t>1690VIP專屬水晶</t>
  </si>
  <si>
    <t>990VIP專屬水晶</t>
  </si>
  <si>
    <t>490VIP專屬水晶</t>
  </si>
  <si>
    <t>330VIP專屬水晶</t>
  </si>
  <si>
    <t>170VIP專屬水晶</t>
  </si>
  <si>
    <t>33VIP專屬水晶</t>
  </si>
  <si>
    <t>3290禮包</t>
  </si>
  <si>
    <t>830禮包</t>
  </si>
  <si>
    <t>390禮包</t>
  </si>
  <si>
    <t>SNOWGIFT1</t>
    <phoneticPr fontId="2" type="noConversion"/>
  </si>
  <si>
    <t>kylevsteo1016</t>
    <phoneticPr fontId="2" type="noConversion"/>
  </si>
  <si>
    <t>英雄召喚使用券x2</t>
    <phoneticPr fontId="2" type="noConversion"/>
  </si>
  <si>
    <t>點左上角頭像</t>
    <phoneticPr fontId="2" type="noConversion"/>
  </si>
  <si>
    <t>點中間兌換碼</t>
    <phoneticPr fontId="2" type="noConversion"/>
  </si>
  <si>
    <t>Guidepostquest</t>
    <phoneticPr fontId="2" type="noConversion"/>
  </si>
  <si>
    <t>水晶*50+契約石*1</t>
    <phoneticPr fontId="2" type="noConversion"/>
  </si>
  <si>
    <t>CPQDYRDT6N2</t>
    <phoneticPr fontId="2" type="noConversion"/>
  </si>
  <si>
    <t>水晶*80+金幣*10000+水晶錘*5</t>
    <phoneticPr fontId="2" type="noConversion"/>
  </si>
  <si>
    <t>Blakeisnotsmith</t>
    <phoneticPr fontId="2" type="noConversion"/>
  </si>
  <si>
    <t>水晶*50+精鐵*300+水晶錘*5</t>
    <phoneticPr fontId="2" type="noConversion"/>
  </si>
  <si>
    <t>https://www.facebook.com/profile.php?id=61565447815087</t>
  </si>
  <si>
    <t>https://avalongames.com/?fbclid=IwY2xjawNa-u1leHRuA2FlbQIxMABicmlkETEwZW1wMHVPTlpGbExaVXJlAR48tAF1RQnz1ODNmJgXZraCxo-XNBU-gVVI9cLux22qUaXE2j_mVOfeuVAzuA_aem_yEJXKs-SdClfM-PIMAR8LQ</t>
  </si>
  <si>
    <t>https://apps.apple.com/tw/app/%E8%B2%AA%E5%A9%AA%E6%B4%9E%E7%AA%9F-%E9%87%8D%E7%94%9F/id6680191526</t>
  </si>
  <si>
    <t>貪婪洞窟：重生</t>
    <phoneticPr fontId="2" type="noConversion"/>
  </si>
  <si>
    <t>https://play.google.com/store/apps/details?id=com.avalon.c1p.googleplay&amp;hl=zh_TW</t>
    <phoneticPr fontId="2" type="noConversion"/>
  </si>
  <si>
    <t>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t>
    <phoneticPr fontId="2" type="noConversion"/>
  </si>
  <si>
    <t>6480水晶</t>
  </si>
  <si>
    <t>3280水晶</t>
  </si>
  <si>
    <t>1280水晶</t>
  </si>
  <si>
    <t>680水晶</t>
  </si>
  <si>
    <t>300水晶</t>
  </si>
  <si>
    <t>傳奇真知之眼禮包</t>
  </si>
  <si>
    <t>傳奇蠟燭禮包</t>
  </si>
  <si>
    <t>絕世寶石契約禮包</t>
  </si>
  <si>
    <t>至尊寶石契約禮包</t>
  </si>
  <si>
    <t xml:space="preserve"> 2025/10/16 開啟</t>
    <phoneticPr fontId="2" type="noConversion"/>
  </si>
  <si>
    <t>kyleteostory</t>
    <phoneticPr fontId="2" type="noConversion"/>
  </si>
  <si>
    <t>英雄召喚使用券x10</t>
    <phoneticPr fontId="2" type="noConversion"/>
  </si>
  <si>
    <t>teorival</t>
    <phoneticPr fontId="2" type="noConversion"/>
  </si>
  <si>
    <t>金幣 × 20W</t>
    <phoneticPr fontId="2" type="noConversion"/>
  </si>
  <si>
    <t>tastemywrath</t>
    <phoneticPr fontId="2" type="noConversion"/>
  </si>
  <si>
    <t>sevenknightsforever</t>
    <phoneticPr fontId="2" type="noConversion"/>
  </si>
  <si>
    <t>稀有四星英雄x1</t>
    <phoneticPr fontId="2" type="noConversion"/>
  </si>
  <si>
    <t>HAPPYFULLMOON</t>
    <phoneticPr fontId="2" type="noConversion"/>
  </si>
  <si>
    <t>英雄召喚使用券x20</t>
    <phoneticPr fontId="2" type="noConversion"/>
  </si>
  <si>
    <t>HPMADAYS</t>
    <phoneticPr fontId="2" type="noConversion"/>
  </si>
  <si>
    <t>LOH100DAYS</t>
    <phoneticPr fontId="2" type="noConversion"/>
  </si>
  <si>
    <t>LOHHPNO</t>
    <phoneticPr fontId="2" type="noConversion"/>
  </si>
  <si>
    <t>LOHHP99</t>
    <phoneticPr fontId="2" type="noConversion"/>
  </si>
  <si>
    <t>紅色石榴石 x 300</t>
    <phoneticPr fontId="2" type="noConversion"/>
  </si>
  <si>
    <t>冒險掃蕩劵 x 30、核桃麵包籃 x 10</t>
    <phoneticPr fontId="2" type="noConversion"/>
  </si>
  <si>
    <t>英雄召喚券 x 5</t>
    <phoneticPr fontId="2" type="noConversion"/>
  </si>
  <si>
    <t>ResQRushOBIsLive</t>
    <phoneticPr fontId="2" type="noConversion"/>
  </si>
  <si>
    <t>行動力*12+鑽石*200+金幣*2000+普通招募令*5</t>
    <phoneticPr fontId="2" type="noConversion"/>
  </si>
  <si>
    <t>遊戲畫面左上角頭項</t>
    <phoneticPr fontId="2" type="noConversion"/>
  </si>
  <si>
    <t>跳出方塊右上方選擇設置</t>
    <phoneticPr fontId="2" type="noConversion"/>
  </si>
  <si>
    <t>點「兌換碼」</t>
    <phoneticPr fontId="2" type="noConversion"/>
  </si>
  <si>
    <t>按兌換後到信箱領取免費禮包</t>
    <phoneticPr fontId="2" type="noConversion"/>
  </si>
  <si>
    <t>遊戲內點選單</t>
    <phoneticPr fontId="2" type="noConversion"/>
  </si>
  <si>
    <t>點進去設定之後選擇兌換碼</t>
    <phoneticPr fontId="2" type="noConversion"/>
  </si>
  <si>
    <t>VIP6666</t>
    <phoneticPr fontId="2" type="noConversion"/>
  </si>
  <si>
    <t>VIP7777</t>
    <phoneticPr fontId="2" type="noConversion"/>
  </si>
  <si>
    <t>VIP8888</t>
    <phoneticPr fontId="2" type="noConversion"/>
  </si>
  <si>
    <t>dream666</t>
    <phoneticPr fontId="2" type="noConversion"/>
  </si>
  <si>
    <t>dream777</t>
    <phoneticPr fontId="2" type="noConversion"/>
  </si>
  <si>
    <t>dream8888</t>
    <phoneticPr fontId="2" type="noConversion"/>
  </si>
  <si>
    <t>open</t>
    <phoneticPr fontId="2" type="noConversion"/>
  </si>
  <si>
    <t>鑽石*3000+金幣戰利品(4hr)*1+經驗值戰利品(4hr)*1</t>
    <phoneticPr fontId="2" type="noConversion"/>
  </si>
  <si>
    <t xml:space="preserve"> 點擊「設定」</t>
    <phoneticPr fontId="2" type="noConversion"/>
  </si>
  <si>
    <t>https://www.facebook.com/resqrush.tw</t>
  </si>
  <si>
    <t>WDALFA30T</t>
    <phoneticPr fontId="2" type="noConversion"/>
  </si>
  <si>
    <t>補給箱</t>
    <phoneticPr fontId="2" type="noConversion"/>
  </si>
  <si>
    <t>https://resqrush.wgame-hk.com/zh</t>
  </si>
  <si>
    <t>https://apps.apple.com/tw/app/%E5%B0%8F%E5%85%B5%E7%89%B9%E6%94%BB%E9%9A%8A/id6746140478</t>
  </si>
  <si>
    <t>https://play.google.com/store/apps/details?id=com.wgame.resqrush</t>
  </si>
  <si>
    <t>小兵特攻隊</t>
    <phoneticPr fontId="2" type="noConversion"/>
  </si>
  <si>
    <t>每日特價</t>
  </si>
  <si>
    <t>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t>
    <phoneticPr fontId="2" type="noConversion"/>
  </si>
  <si>
    <t>鑽石*300+金幣*20256+定軌的石之輪*1</t>
    <phoneticPr fontId="2" type="noConversion"/>
  </si>
  <si>
    <t>鑽石*300+金幣*18888+定軌的石之輪*1</t>
    <phoneticPr fontId="2" type="noConversion"/>
  </si>
  <si>
    <t>點左上角頭像再點中間兌換碼</t>
    <phoneticPr fontId="2" type="noConversion"/>
  </si>
  <si>
    <t>鑽石*200+金幣*18888+定軌的石之輪*1</t>
    <phoneticPr fontId="2" type="noConversion"/>
  </si>
  <si>
    <t>鑽石*588+金幣*20256+定軌的石之輪*1+許願的石之輪*1</t>
    <phoneticPr fontId="2" type="noConversion"/>
  </si>
  <si>
    <t>鑽石*588+金幣*18888+定軌的石之輪*1+許願的石之輪*1+經驗卷軸*2000</t>
    <phoneticPr fontId="2" type="noConversion"/>
  </si>
  <si>
    <t>鑽石*688+金幣*1888+許願的石之輪*4+經驗卷軸*1000</t>
    <phoneticPr fontId="2" type="noConversion"/>
  </si>
  <si>
    <t>「帳號資訊」頁往下滑</t>
    <phoneticPr fontId="2" type="noConversion"/>
  </si>
  <si>
    <t>星塔旅人</t>
  </si>
  <si>
    <t>星痕共鳴</t>
  </si>
  <si>
    <t>二重螺旋</t>
  </si>
  <si>
    <t>https://www.facebook.com/StellaSoraCHT</t>
  </si>
  <si>
    <t>https://www.facebook.com/DNAbyss.TC</t>
  </si>
  <si>
    <t>https://www.facebook.com/starresonancetw</t>
  </si>
  <si>
    <t>https://www.facebook.com/ChaosZeroNightmareZHH</t>
  </si>
  <si>
    <t>https://chaoszeronightmare.onstove.com/zh-tw?fbclid=IwY2xjawNhe6FleHRuA2FlbQIxMABicmlkETFXN0NoVk9TY0pVVEQxUk5BAR53HJhmNuib5YSSGm5y3R203Ph0dx4iqthHEQRSpmRJROqsUl3dFrJj1-Yltw_aem_545CZ6bYOLN7EgQTvyBq1w</t>
  </si>
  <si>
    <t>https://play.google.com/store/apps/details?id=com.smilegate.chaoszero.stove.google</t>
  </si>
  <si>
    <t>https://apps.apple.com/tw/app/%E5%8D%A1%E5%8E%84%E6%80%9D%E5%A4%A2%E5%A2%83/id6502326151</t>
  </si>
  <si>
    <t>https://bpsr.haoplay.com/?fbclid=IwY2xjawNhe6hleHRuA2FlbQIxMABicmlkETFXN0NoVk9TY0pVVEQxUk5BAR7csOTUZyiX7uskjP2xNuJlPF32OqfJxod2cZbqajffS79iDmZeFJNItkpZMw_aem_CXuldrv2jz4asLGL9N3J7w</t>
  </si>
  <si>
    <t>https://play.google.com/store/apps/details?id=tw.haoplay.game.gp.xhgm</t>
  </si>
  <si>
    <t>https://apps.apple.com/tw/app/%E6%98%9F%E7%97%95%E5%85%B1%E9%B3%B4/id6737753806</t>
  </si>
  <si>
    <t>https://duetnightabyss.dna-panstudio.com/zh-tw/?fbclid=IwY2xjawNhe61leHRuA2FlbQIxMABicmlkETFXN0NoVk9TY0pVVEQxUk5BAR44Fk6CPqivHJe-4JFdOii-Ya8SpQWT-setp6hu_u5OYvlq1xWPht6lt0lB3Q_aem_JjCaZGQgYe6Mnr9oTfOr1Q#/home</t>
  </si>
  <si>
    <t>https://play.google.com/store/apps/details?id=com.panstudio.gplay.duetnightabyss.arpg.global</t>
  </si>
  <si>
    <t>https://apps.apple.com/tw/app/%E4%BA%8C%E9%87%8D%E8%9E%BA%E6%97%8B/id6744096826</t>
  </si>
  <si>
    <t>https://stellasora.stargazer-games.com/?fbclid=IwY2xjawNhe7JleHRuA2FlbQIxMABicmlkETFXN0NoVk9TY0pVVEQxUk5BAR4u1JuJdUdGOnOOFpfNjXkTLcAa1lNcztFIdw8KBcoRitLohvB7baHo4U3ycw_aem_R83k2ssF-5xsskQTVhSVvQ</t>
  </si>
  <si>
    <t>https://apps.apple.com/tw/app/%E6%98%9F%E5%A1%94%E6%97%85%E4%BA%BA/id6738902933</t>
  </si>
  <si>
    <t>https://play.google.com/store/apps/details?id=com.Stargazer.StellaSora</t>
    <phoneticPr fontId="2" type="noConversion"/>
  </si>
  <si>
    <t>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t>
    <phoneticPr fontId="2" type="noConversion"/>
  </si>
  <si>
    <t>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t>
    <phoneticPr fontId="2" type="noConversion"/>
  </si>
  <si>
    <t>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t>
    <phoneticPr fontId="2" type="noConversion"/>
  </si>
  <si>
    <t>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t>
    <phoneticPr fontId="2" type="noConversion"/>
  </si>
  <si>
    <t>遊戲內右上角齒輪「設定」</t>
    <phoneticPr fontId="2" type="noConversion"/>
  </si>
  <si>
    <t>左邊第五個選項登陸優惠碼</t>
    <phoneticPr fontId="2" type="noConversion"/>
  </si>
  <si>
    <t>6480寶石</t>
  </si>
  <si>
    <t>3280寶石</t>
  </si>
  <si>
    <t>980寶石</t>
  </si>
  <si>
    <t>680寶石</t>
  </si>
  <si>
    <t>賽季豪華通行證</t>
  </si>
  <si>
    <t>賽季普通通行證</t>
  </si>
  <si>
    <t>6480月石晶胚</t>
  </si>
  <si>
    <t>3280月石晶胚</t>
  </si>
  <si>
    <t>1980月石晶胚</t>
  </si>
  <si>
    <t>980月石晶胚</t>
  </si>
  <si>
    <t>680月石晶胚</t>
  </si>
  <si>
    <t>300月石晶胚</t>
  </si>
  <si>
    <t>60月石晶胚</t>
  </si>
  <si>
    <t>精裝詩集</t>
  </si>
  <si>
    <t>待到日暖雪融限定禮包</t>
  </si>
  <si>
    <t>補貼升級</t>
  </si>
  <si>
    <t>每月青空禮券套裝</t>
  </si>
  <si>
    <t>每月燦金閃碟套裝</t>
  </si>
  <si>
    <t>啟程限定燦金閃碟套裝</t>
  </si>
  <si>
    <t>開業大吉燦金閃碟套裝</t>
  </si>
  <si>
    <t>RR1475</t>
    <phoneticPr fontId="2" type="noConversion"/>
  </si>
  <si>
    <t>OPEN2025</t>
    <phoneticPr fontId="2" type="noConversion"/>
  </si>
  <si>
    <t>VIP666</t>
    <phoneticPr fontId="2" type="noConversion"/>
  </si>
  <si>
    <t>VIP999</t>
    <phoneticPr fontId="2" type="noConversion"/>
  </si>
  <si>
    <t>BOSSGIFT</t>
    <phoneticPr fontId="2" type="noConversion"/>
  </si>
  <si>
    <t>IAMBOSS</t>
    <phoneticPr fontId="2" type="noConversion"/>
  </si>
  <si>
    <t>星之沙*100</t>
    <phoneticPr fontId="2" type="noConversion"/>
  </si>
  <si>
    <t>華美的鑲邊*5+朵拉*5000+前倍的旅行傳記*5</t>
    <phoneticPr fontId="2" type="noConversion"/>
  </si>
  <si>
    <t>https://stellasora.stargazer-games.com/redemption</t>
    <phoneticPr fontId="2" type="noConversion"/>
  </si>
  <si>
    <t>到上方遊戲兌換網站</t>
    <phoneticPr fontId="2" type="noConversion"/>
  </si>
  <si>
    <t>輸入UID之後輸入序號</t>
    <phoneticPr fontId="2" type="noConversion"/>
  </si>
  <si>
    <t>點確認兌換後到遊戲內信箱領取</t>
    <phoneticPr fontId="2" type="noConversion"/>
  </si>
  <si>
    <t>https://apps.apple.com/tw/app/fire-emblem-shadows/id6746113513</t>
  </si>
  <si>
    <t>https://shadows.nintendo.com/zh-Hant/index.html</t>
  </si>
  <si>
    <t>https://apps.apple.com/tw/app/cyber-parkour-%E9%9B%BB%E9%A6%AD%E8%B7%91%E9%85%B7/id6478899398</t>
  </si>
  <si>
    <t>https://www.facebook.com/CyberParkour/</t>
  </si>
  <si>
    <t>https://www.fanimax.com/%E4%B8%AD%E6%96%87</t>
  </si>
  <si>
    <t>https://x.com/FE_Shadows_JP</t>
  </si>
  <si>
    <t>電馭跑酷</t>
    <phoneticPr fontId="2" type="noConversion"/>
  </si>
  <si>
    <t>https://play.google.com/store/apps/details?id=com.fanimax.cyberparkour</t>
    <phoneticPr fontId="2" type="noConversion"/>
  </si>
  <si>
    <t>https://play.google.com/store/apps/details?id=com.nintendo.zaha</t>
    <phoneticPr fontId="2" type="noConversion"/>
  </si>
  <si>
    <t>XXL猛漢町</t>
    <phoneticPr fontId="2" type="noConversion"/>
  </si>
  <si>
    <t>Dead Impact：Survival Online</t>
    <phoneticPr fontId="2" type="noConversion"/>
  </si>
  <si>
    <t>The kingdom：medieval tales</t>
    <phoneticPr fontId="2" type="noConversion"/>
  </si>
  <si>
    <t>七龍珠激震小隊</t>
    <phoneticPr fontId="2" type="noConversion"/>
  </si>
  <si>
    <t>6500寶石</t>
    <phoneticPr fontId="2" type="noConversion"/>
  </si>
  <si>
    <t>980靈玉</t>
    <phoneticPr fontId="2" type="noConversion"/>
  </si>
  <si>
    <t>Elysia：星空墜落</t>
    <phoneticPr fontId="2" type="noConversion"/>
  </si>
  <si>
    <t>火焰紋章Shadows</t>
    <phoneticPr fontId="2" type="noConversion"/>
  </si>
  <si>
    <r>
      <t xml:space="preserve">電鋸果汁大亂鬥是一款獨特的大亨遊戲，玩家使用鏈鋸捕捉逃跑的水果，並銷售美味的果汁！ </t>
    </r>
    <r>
      <rPr>
        <sz val="12"/>
        <rFont val="新細明體"/>
        <family val="2"/>
        <charset val="136"/>
        <scheme val="major"/>
      </rPr>
      <t>▶</t>
    </r>
    <r>
      <rPr>
        <sz val="12"/>
        <rFont val="新細明體"/>
        <family val="1"/>
        <charset val="136"/>
        <scheme val="major"/>
      </rPr>
      <t xml:space="preserve"> 果汁店成功的秘密在於電鋸升級你的電鋸，開始果實狩獵！ 但要小心，有時會出現強大的水果！</t>
    </r>
    <phoneticPr fontId="2" type="noConversion"/>
  </si>
  <si>
    <r>
      <t>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t>
    </r>
    <r>
      <rPr>
        <b/>
        <sz val="12"/>
        <rFont val="新細明體"/>
        <family val="1"/>
        <charset val="136"/>
        <scheme val="major"/>
      </rPr>
      <t>兌換碼</t>
    </r>
    <r>
      <rPr>
        <sz val="12"/>
        <rFont val="新細明體"/>
        <family val="1"/>
        <charset val="136"/>
        <scheme val="major"/>
      </rPr>
      <t>、</t>
    </r>
    <r>
      <rPr>
        <b/>
        <sz val="12"/>
        <rFont val="新細明體"/>
        <family val="1"/>
        <charset val="136"/>
        <scheme val="major"/>
      </rPr>
      <t>禮包碼</t>
    </r>
    <r>
      <rPr>
        <sz val="12"/>
        <rFont val="新細明體"/>
        <family val="1"/>
        <charset val="136"/>
        <scheme val="major"/>
      </rPr>
      <t>，還有保證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服務，讓你一秒成為末日最強！還不趕快跟上，讓你的殭屍醬成為最風騷的那一隻！</t>
    </r>
  </si>
  <si>
    <r>
      <t>這遊戲名字聽起來就很有「份量」！如果你厭倦了那些纖細弱小的角色，想體驗肌肉爆棚、拳拳到肉的快感，那《XXL猛漢町》絕對是你的菜。我們深知你對力量的渴望，但又懶得花時間從頭開始練起。沒關係，我們早已為你準備好</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，讓你輕輕鬆鬆就擁有一身傲人肌肉。此外，我們還有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服務，讓你瞬間成為鎮上最強的猛漢，免去農怪的痛苦。別再猶豫了，一起加入這場猛男的盛宴，用你的拳頭證明誰才是最頂的！</t>
    </r>
  </si>
  <si>
    <r>
      <t>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，讓你在物資匱乏的末日世界中領先一步。至於那些想直接封頂的玩家，我們也準備了</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服務，讓你輕鬆成為殭屍堆中的王者。別再掙扎了，快來加入我們，用你的實力（或鈔能力）碾壓所有敵人！</t>
    </r>
  </si>
  <si>
    <r>
      <t>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，讓你輕鬆獲得強力武器和道具。而對於那些想更快變強的人，我們也有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服務，讓你一秒成為戰場上的「移動軍火庫」。別再猶豫了，讓你的槍口冒煙吧！</t>
    </r>
  </si>
  <si>
    <r>
      <t>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，幫助你解鎖更多酷炫造型和能力。如果你想一步登天、成為灌籃大師，我們的</t>
    </r>
    <r>
      <rPr>
        <b/>
        <sz val="12"/>
        <rFont val="新細明體"/>
        <family val="1"/>
        <charset val="136"/>
        <scheme val="major"/>
      </rPr>
      <t>快速安全代儲值</t>
    </r>
    <r>
      <rPr>
        <sz val="12"/>
        <rFont val="新細明體"/>
        <family val="1"/>
        <charset val="136"/>
        <scheme val="major"/>
      </rPr>
      <t>服務也能幫你輕鬆達成。別再看著螢幕發呆了，快來成為灌籃高手，讓你的卡咪龜灌出屬於自己的傳奇！</t>
    </r>
    <phoneticPr fontId="2" type="noConversion"/>
  </si>
  <si>
    <r>
      <t>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來快速強化陣容。此外，遊戲內提供</t>
    </r>
    <r>
      <rPr>
        <b/>
        <sz val="12"/>
        <rFont val="新細明體"/>
        <family val="1"/>
        <charset val="136"/>
        <scheme val="major"/>
      </rPr>
      <t>代儲值</t>
    </r>
    <r>
      <rPr>
        <sz val="12"/>
        <rFont val="新細明體"/>
        <family val="1"/>
        <charset val="136"/>
        <scheme val="major"/>
      </rPr>
      <t>服務，讓你能以最</t>
    </r>
    <r>
      <rPr>
        <b/>
        <sz val="12"/>
        <rFont val="新細明體"/>
        <family val="1"/>
        <charset val="136"/>
        <scheme val="major"/>
      </rPr>
      <t>快速</t>
    </r>
    <r>
      <rPr>
        <sz val="12"/>
        <rFont val="新細明體"/>
        <family val="1"/>
        <charset val="136"/>
        <scheme val="major"/>
      </rPr>
      <t>、最</t>
    </r>
    <r>
      <rPr>
        <b/>
        <sz val="12"/>
        <rFont val="新細明體"/>
        <family val="1"/>
        <charset val="136"/>
        <scheme val="major"/>
      </rPr>
      <t>安全</t>
    </r>
    <r>
      <rPr>
        <sz val="12"/>
        <rFont val="新細明體"/>
        <family val="1"/>
        <charset val="136"/>
        <scheme val="major"/>
      </rPr>
      <t>的方式獲得資源，無後顧之憂地享受這場玩具對決！</t>
    </r>
  </si>
  <si>
    <r>
      <t>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，讓你的城市發展一日千里。遊戲也支援</t>
    </r>
    <r>
      <rPr>
        <b/>
        <sz val="12"/>
        <rFont val="新細明體"/>
        <family val="1"/>
        <charset val="136"/>
        <scheme val="major"/>
      </rPr>
      <t>代儲值</t>
    </r>
    <r>
      <rPr>
        <sz val="12"/>
        <rFont val="新細明體"/>
        <family val="1"/>
        <charset val="136"/>
        <scheme val="major"/>
      </rPr>
      <t>服務，保證</t>
    </r>
    <r>
      <rPr>
        <b/>
        <sz val="12"/>
        <rFont val="新細明體"/>
        <family val="1"/>
        <charset val="136"/>
        <scheme val="major"/>
      </rPr>
      <t>快速安全</t>
    </r>
    <r>
      <rPr>
        <sz val="12"/>
        <rFont val="新細明體"/>
        <family val="1"/>
        <charset val="136"/>
        <scheme val="major"/>
      </rPr>
      <t>，讓你輕鬆獲得資源，成為最稱職的幸福都市市長！</t>
    </r>
  </si>
  <si>
    <r>
      <t>《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，並透過</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服務，讓你的勢力迅速壯大，成就傳奇！</t>
    </r>
  </si>
  <si>
    <r>
      <t>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。遊戲也提供</t>
    </r>
    <r>
      <rPr>
        <b/>
        <sz val="12"/>
        <rFont val="新細明體"/>
        <family val="1"/>
        <charset val="136"/>
        <scheme val="major"/>
      </rPr>
      <t>代儲值</t>
    </r>
    <r>
      <rPr>
        <sz val="12"/>
        <rFont val="新細明體"/>
        <family val="1"/>
        <charset val="136"/>
        <scheme val="major"/>
      </rPr>
      <t>服務，讓你用最</t>
    </r>
    <r>
      <rPr>
        <b/>
        <sz val="12"/>
        <rFont val="新細明體"/>
        <family val="1"/>
        <charset val="136"/>
        <scheme val="major"/>
      </rPr>
      <t>快速安全</t>
    </r>
    <r>
      <rPr>
        <sz val="12"/>
        <rFont val="新細明體"/>
        <family val="1"/>
        <charset val="136"/>
        <scheme val="major"/>
      </rPr>
      <t>的方式獲得稀有資源，成為中世紀最強大的王者！</t>
    </r>
  </si>
  <si>
    <r>
      <t>《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，獲得稀有卡牌與豐富獎勵，讓你贏在起跑點！我們也提供</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服務，讓你輕鬆獲取心儀的卡牌，迅速打造出最強牌組！</t>
    </r>
  </si>
  <si>
    <t>2000霓虹幣</t>
  </si>
  <si>
    <t>950霓虹幣</t>
  </si>
  <si>
    <t>360霓虹幣</t>
  </si>
  <si>
    <t>170霓虹幣</t>
  </si>
  <si>
    <t>80霓虹幣</t>
  </si>
  <si>
    <t>30霓虹幣</t>
  </si>
  <si>
    <t>電馭通行證</t>
  </si>
  <si>
    <t>2600秘寶石</t>
  </si>
  <si>
    <t>1700秘寶石</t>
  </si>
  <si>
    <t>1100秘寶石</t>
  </si>
  <si>
    <t>500秘寶石</t>
  </si>
  <si>
    <t>210秘寶石</t>
  </si>
  <si>
    <t>100秘寶石</t>
  </si>
  <si>
    <t>20秘寶石</t>
  </si>
  <si>
    <t>使徒成長禮包</t>
  </si>
  <si>
    <t>新手支援禮包</t>
  </si>
  <si>
    <t>最新價格請洽Line@</t>
    <phoneticPr fontId="2" type="noConversion"/>
  </si>
  <si>
    <t>《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t>
    <phoneticPr fontId="2" type="noConversion"/>
  </si>
  <si>
    <t>《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t>
    <phoneticPr fontId="2" type="noConversion"/>
  </si>
  <si>
    <t>1980水晶</t>
  </si>
  <si>
    <t>980水晶</t>
  </si>
  <si>
    <t>死靈之書月禮包</t>
  </si>
  <si>
    <t>https://www.facebook.com/StoneAgePW.TC</t>
  </si>
  <si>
    <t>https://stoneage.netmarble.com/tc/?fbclid=IwY2xjawNpUptleHRuA2FlbQIxMABicmlkETF3S1BCMXJDRHZjbVRVUk1zAR4nTTOPlNXGxdlWskAfF35YQMP4uZD2bWuuccP6PWKJPn95mlZCXuXzxX2uUQ_aem_x86QOulC2aS21RXQAoKSSw</t>
  </si>
  <si>
    <t>https://apps.apple.com/tw/app/%E7%9F%B3%E5%99%A8%E6%99%82%E4%BB%A3-%E5%AF%B5%E7%89%A9%E4%B8%96%E7%95%8C/id6737408689?l=zh</t>
  </si>
  <si>
    <t>https://www.facebook.com/BluePlanetBK</t>
  </si>
  <si>
    <t>https://www.blueplanetbk.com/?fbclid=IwY2xjawMuDaxleHRuA2FlbQIxMABicmlkETFTc2N5eG0wQUcyQ1NCUmNlAR5ewHwDUlAZAVZoCzJ1dv2zYlHNQfML3R3DAQ5UPsbCxBJzguTmcX9-cQfoYw_aem_AsL3fnuAl-fsLHsaYYGz7Q</t>
  </si>
  <si>
    <t>https://apps.apple.com/tw/app/%E8%94%9A%E8%97%8D%E6%98%9F%E7%90%83-%E5%9C%8B%E7%8E%8B%E5%BE%88%E5%BF%99/id6749769179</t>
  </si>
  <si>
    <t>https://www.facebook.com/honeytraptw</t>
  </si>
  <si>
    <t>https://lmsg.onefungame.com/act/pre?utm=fbtsj&amp;fbclid=IwY2xjawNpU2JleHRuA2FlbQIxMABicmlkETEwdDJpT3RaN1hVY2w2U09RAR7ForkiEMoPXyIVmO6wgrqIx4fdyO9Y4hzZeH9U1npq42jol8EiVMMYMFexJw_aem_QudBmxYKO6RpqEpMpR6tuw</t>
  </si>
  <si>
    <t>https://apps.apple.com/tw/app/%E8%83%B8%E6%87%B7%E4%B8%89%E5%9C%8B-%E7%BE%8E%E4%BA%BA%E8%A8%88/id6751325286?pid=fbtsj</t>
  </si>
  <si>
    <t>1650禮包</t>
  </si>
  <si>
    <t>1320禮包</t>
  </si>
  <si>
    <t>1000禮包</t>
  </si>
  <si>
    <t>820禮包</t>
  </si>
  <si>
    <t>430禮包</t>
  </si>
  <si>
    <t>99.99美禮包</t>
  </si>
  <si>
    <t>59.99美禮包</t>
  </si>
  <si>
    <t>49.99美禮包</t>
  </si>
  <si>
    <t>29.99美禮包</t>
  </si>
  <si>
    <t>24.99美禮包</t>
  </si>
  <si>
    <t>14.99美禮包</t>
  </si>
  <si>
    <t>9.99美禮包</t>
  </si>
  <si>
    <t>4.99美禮包</t>
  </si>
  <si>
    <t>蔚藍星球：國王很忙</t>
    <phoneticPr fontId="2" type="noConversion"/>
  </si>
  <si>
    <t>胸懷三國：美人計</t>
    <phoneticPr fontId="2" type="noConversion"/>
  </si>
  <si>
    <t>https://play.google.com/store/apps/details?id=com.netmarble.stonkey</t>
    <phoneticPr fontId="2" type="noConversion"/>
  </si>
  <si>
    <t>https://play.google.com/store/apps/details?id=com.blueplanetm.gp&amp;shortlink=mqju4p0s&amp;c=xx_250918_fb_02&amp;pid=fb%E7%A4%BE%E7%BE%A4&amp;af_xp=custom&amp;source_caller=ui</t>
    <phoneticPr fontId="2" type="noConversion"/>
  </si>
  <si>
    <t>https://play.google.com/store/apps/details?id=com.lmsg.twgp&amp;pcampaignid=&amp;utm_source=fbtsj&amp;referrer=utm_source%3Dfbtsj%26click_id%3D0a59691a-1a07-4136-9587-ed1a409fffd9_fbtsj</t>
    <phoneticPr fontId="2" type="noConversion"/>
  </si>
  <si>
    <t>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t>
    <phoneticPr fontId="2" type="noConversion"/>
  </si>
  <si>
    <t>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t>
    <phoneticPr fontId="2" type="noConversion"/>
  </si>
  <si>
    <t>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t>
    <phoneticPr fontId="2" type="noConversion"/>
  </si>
  <si>
    <t>ALMVIP</t>
    <phoneticPr fontId="2" type="noConversion"/>
  </si>
  <si>
    <t>AWKLLAUNCH</t>
    <phoneticPr fontId="2" type="noConversion"/>
  </si>
  <si>
    <t>鑽石*100+火神能量*4+金幣*50000</t>
    <phoneticPr fontId="2" type="noConversion"/>
  </si>
  <si>
    <t>鑽石禮包</t>
    <phoneticPr fontId="2" type="noConversion"/>
  </si>
  <si>
    <t>點遊戲內左上角頭像</t>
    <phoneticPr fontId="2" type="noConversion"/>
  </si>
  <si>
    <t>彈出視窗下方「Redeem Code」</t>
    <phoneticPr fontId="2" type="noConversion"/>
  </si>
  <si>
    <t>點擊左上角頭像，進入設定介面</t>
    <phoneticPr fontId="2" type="noConversion"/>
  </si>
  <si>
    <t>招募帖*10、古玉*300</t>
    <phoneticPr fontId="2" type="noConversion"/>
  </si>
  <si>
    <t>新手禮包</t>
    <phoneticPr fontId="2" type="noConversion"/>
  </si>
  <si>
    <t>再點擊介面左下方的禮包碼</t>
    <phoneticPr fontId="2" type="noConversion"/>
  </si>
  <si>
    <t>在輸入框中輸入您的禮包碼</t>
    <phoneticPr fontId="2" type="noConversion"/>
  </si>
  <si>
    <t>vip777</t>
    <phoneticPr fontId="2" type="noConversion"/>
  </si>
  <si>
    <t>vip888</t>
    <phoneticPr fontId="2" type="noConversion"/>
  </si>
  <si>
    <t>WildsCommunity666</t>
    <phoneticPr fontId="2" type="noConversion"/>
  </si>
  <si>
    <t>dreamtogether</t>
    <phoneticPr fontId="2" type="noConversion"/>
  </si>
  <si>
    <t>鑽石*500+金幣*18888+許願的時之輪*1+定軌的時之輪*1</t>
    <phoneticPr fontId="2" type="noConversion"/>
  </si>
  <si>
    <t>鑽石*588+金幣*20000+許願的時之輪*3</t>
    <phoneticPr fontId="2" type="noConversion"/>
  </si>
  <si>
    <t>鑽石*888+金幣*1888+許願的時之輪*2+定軌的時之輪*2+突破藥水*200</t>
    <phoneticPr fontId="2" type="noConversion"/>
  </si>
  <si>
    <t>鑽石*688+金幣*20258+許願的時之輪*2+史詩璀璨魂晶*50+經驗卷軸*5000</t>
    <phoneticPr fontId="2" type="noConversion"/>
  </si>
  <si>
    <t>石器時代：寵物世界</t>
    <phoneticPr fontId="2" type="noConversion"/>
  </si>
  <si>
    <t>HAPPYKYLEWK</t>
    <phoneticPr fontId="2" type="noConversion"/>
  </si>
  <si>
    <t>KYLETEO4EVER</t>
    <phoneticPr fontId="2" type="noConversion"/>
  </si>
  <si>
    <t>LEGENDKYLE</t>
    <phoneticPr fontId="2" type="noConversion"/>
  </si>
  <si>
    <t>REBIRTHKYLE</t>
    <phoneticPr fontId="2" type="noConversion"/>
  </si>
  <si>
    <t>KYLEGIFT</t>
    <phoneticPr fontId="2" type="noConversion"/>
  </si>
  <si>
    <t>CHAINOFKYLE</t>
    <phoneticPr fontId="2" type="noConversion"/>
  </si>
  <si>
    <t>KYLEWKSTART</t>
    <phoneticPr fontId="2" type="noConversion"/>
  </si>
  <si>
    <t>Pick Up 英雄召喚使用券 x10</t>
    <phoneticPr fontId="2" type="noConversion"/>
  </si>
  <si>
    <t>金幣 x100W、進化材料選擇箱(上) x30</t>
    <phoneticPr fontId="2" type="noConversion"/>
  </si>
  <si>
    <t>英雄召喚使用券 x10</t>
    <phoneticPr fontId="2" type="noConversion"/>
  </si>
  <si>
    <t>Pick Up 英雄召喚使用券 x10</t>
    <phoneticPr fontId="2" type="noConversion"/>
  </si>
  <si>
    <t>寵物召喚使用券 x10</t>
    <phoneticPr fontId="2" type="noConversion"/>
  </si>
  <si>
    <t>鑰匙箱 x10</t>
    <phoneticPr fontId="2" type="noConversion"/>
  </si>
  <si>
    <t>鑰匙箱 x10</t>
    <phoneticPr fontId="2" type="noConversion"/>
  </si>
  <si>
    <t>https://apps.apple.com/us/app/archer-heroes-tower-defense/id6504802483?uo=4</t>
  </si>
  <si>
    <t>https://12mr.mangot5.com/game/12mr/preRegist/index</t>
  </si>
  <si>
    <t>https://www.facebook.com/12skyMR</t>
  </si>
  <si>
    <t>https://apps.apple.com/tw/app/%E5%8D%81%E4%BA%8C%E4%B9%8B%E5%A4%A9m-reborn/id6751086455?at=1010l3Vj&amp;ct=GNN</t>
  </si>
  <si>
    <t>https://apps.apple.com/tw/app/nba%E5%B7%94%E5%B3%B0%E5%B0%8D%E6%B1%BA/id6737599263</t>
  </si>
  <si>
    <t>https://nba.galasports.com/</t>
  </si>
  <si>
    <t>https://www.facebook.com/nbarivalsofficial/</t>
  </si>
  <si>
    <t>https://apps.apple.com/tw/app/%E4%B8%89%E5%9C%8B%E5%BF%97-%E7%8E%8B%E6%88%B0/id6752843031</t>
  </si>
  <si>
    <t>https://3kingswar.bbgame.com.tw/event/pre/</t>
  </si>
  <si>
    <t>https://www.facebook.com/3kingswar/</t>
  </si>
  <si>
    <t>https://www.facebook.com/pokokostudio</t>
  </si>
  <si>
    <t>https://www.pokokostudio.com/archer-heroes</t>
  </si>
  <si>
    <t>弓箭英雄：塔防</t>
    <phoneticPr fontId="2" type="noConversion"/>
  </si>
  <si>
    <t>https://play.google.com/store/apps/details?id=com.pokokoStudio.ArcherDefense</t>
    <phoneticPr fontId="2" type="noConversion"/>
  </si>
  <si>
    <t>https://play.google.com/store/apps/details?id=com.mangot5.TwelveSkyMReborn</t>
    <phoneticPr fontId="2" type="noConversion"/>
  </si>
  <si>
    <t>https://play.google.com/store/apps/details?id=com.wildcaly.b5.hmt&amp;referrer=utm_source%3Dgamer.com.tw%26utm_campaign%3Dgnn</t>
    <phoneticPr fontId="2" type="noConversion"/>
  </si>
  <si>
    <t>三國志：王戰</t>
    <phoneticPr fontId="2" type="noConversion"/>
  </si>
  <si>
    <t>https://play.google.com/store/apps/details?id=com.bbgame.sanguo.gp.tw</t>
    <phoneticPr fontId="2" type="noConversion"/>
  </si>
  <si>
    <t>十二之天M Reborn》誓言找回當年的感動，讓玩家重溫三大勢力（神劍門、逍遙派、夢魘聖教）的激情對決。這款遊戲主打的就是一個原汁原味，熟悉的場景、懷舊的BGM，以及那令人又愛又恨的勢力戰。準備好再次投身這場無盡的江湖恩怨了嗎？老玩家們都知道，想在勢力戰中脫穎而出，光靠情懷可不夠。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t>
  </si>
  <si>
    <t>十二之天M</t>
    <phoneticPr fontId="2" type="noConversion"/>
  </si>
  <si>
    <t>NBA巔峰對決</t>
    <phoneticPr fontId="2" type="noConversion"/>
  </si>
  <si>
    <t>準備好你的弓箭，面對排山倒海的敵人了嗎？《弓箭英雄：塔防》是一款結合了塔防策略與Roguelite元素的超休閒遊戲。你將扮演一名孤獨的弓箭手，必須利用地形和不斷升級的技能，抵禦一波又一波的怪物入侵。遊戲的畫風簡潔明瞭，但戰鬥的刺激感可一點都沒少。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t>
    <phoneticPr fontId="2" type="noConversion"/>
  </si>
  <si>
    <t>籃球粉注意！正版授權的《NBA巔峰對決》終於來了。這款主打真人PVP的籃球手遊，讓你能操控喜愛的NBA球星，在球場上來一場快節奏的3v3、5v5，甚至1v1單挑。遊戲強調操作手感與球星的專屬技能，想秀一波高難度灌籃或致命三分球？全看你的技術。但說真的，想在天梯上爬分，光有技術還不夠，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t>
    <phoneticPr fontId="2" type="noConversion"/>
  </si>
  <si>
    <t>又一款三國策略遊戲？先別急著滑掉！《三國志：王戰》是一款主打快節奏的SLG手遊，標榜著15天一賽季的急速征戰。在這裡，你不用再苦苦熬夜農地、屯兵，而是要把握黃金時間，快速發展內政、招募名將，與盟友一同攻城掠地。遊戲強調即時戰略操作，微操走位、技能施放時機都可能逆轉戰局。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</si>
</sst>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mc:Ignorable="x14ac">
  <fonts count="14">
    <font>
      <sz val="12"/>
      <color theme="1"/>
      <name val="新細明體"/>
      <family val="2"/>
      <scheme val="minor"/>
    </font>
    <font>
      <u/>
      <sz val="12"/>
      <color theme="10"/>
      <name val="新細明體"/>
      <family val="2"/>
      <scheme val="minor"/>
    </font>
    <font>
      <sz val="9"/>
      <name val="新細明體"/>
      <family val="3"/>
      <charset val="136"/>
      <scheme val="minor"/>
    </font>
    <font>
      <sz val="14"/>
      <name val="新細明體"/>
      <family val="1"/>
      <charset val="136"/>
      <scheme val="major"/>
    </font>
    <font>
      <u/>
      <sz val="14"/>
      <name val="新細明體"/>
      <family val="1"/>
      <charset val="136"/>
      <scheme val="major"/>
    </font>
    <font>
      <sz val="14"/>
      <name val="新細明體"/>
      <family val="2"/>
      <charset val="136"/>
      <scheme val="major"/>
    </font>
    <font>
      <sz val="14"/>
      <color rgb="FF222222"/>
      <name val="細明體"/>
      <family val="3"/>
      <charset val="136"/>
    </font>
    <font>
      <sz val="12"/>
      <name val="新細明體"/>
      <family val="1"/>
      <charset val="136"/>
      <scheme val="major"/>
    </font>
    <font>
      <u/>
      <sz val="12"/>
      <name val="新細明體"/>
      <family val="1"/>
      <charset val="136"/>
      <scheme val="major"/>
    </font>
    <font>
      <sz val="12"/>
      <name val="新細明體"/>
      <family val="2"/>
      <charset val="136"/>
      <scheme val="major"/>
    </font>
    <font>
      <sz val="15"/>
      <color rgb="FF000000"/>
      <name val="Arial"/>
      <family val="2"/>
    </font>
    <font>
      <b/>
      <sz val="12"/>
      <name val="新細明體"/>
      <family val="1"/>
      <charset val="136"/>
      <scheme val="major"/>
    </font>
    <font>
      <u/>
      <sz val="12"/>
      <color theme="10"/>
      <name val="新細明體"/>
      <family val="1"/>
      <charset val="136"/>
      <scheme val="major"/>
    </font>
    <font>
      <sz val="12"/>
      <color theme="1"/>
      <name val="新細明體"/>
      <family val="1"/>
      <charset val="136"/>
      <scheme val="major"/>
    </font>
  </fonts>
  <fills count="5">
    <fill>
      <patternFill patternType="none"/>
    </fill>
    <fill>
      <patternFill patternType="gray125"/>
    </fill>
    <fill>
      <patternFill patternType="solid">
        <fgColor rgb="FFFCE5CD"/>
        <bgColor indexed="64"/>
      </patternFill>
    </fill>
    <fill>
      <patternFill patternType="solid">
        <fgColor theme="9" tint="0.79998168889431442"/>
        <bgColor indexed="64"/>
      </patternFill>
    </fill>
    <fill>
      <patternFill patternType="solid">
        <fgColor rgb="FFFFFFFF"/>
        <bgColor indexed="64"/>
      </patternFill>
    </fill>
  </fills>
  <borders count="18">
    <border>
      <left/>
      <right/>
      <top/>
      <bottom/>
      <diagonal/>
    </border>
    <border>
      <left style="medium">
        <color rgb="FFCCCCCC"/>
      </left>
      <right style="medium">
        <color rgb="FFCCCCCC"/>
      </right>
      <top style="medium">
        <color rgb="FFCCCCCC"/>
      </top>
      <bottom style="medium">
        <color rgb="FFCCCCCC"/>
      </bottom>
      <diagonal/>
    </border>
    <border>
      <left/>
      <right style="medium">
        <color auto="1"/>
      </right>
      <top/>
      <bottom/>
      <diagonal/>
    </border>
    <border>
      <left style="medium">
        <color auto="1"/>
      </left>
      <right/>
      <top/>
      <bottom/>
      <diagonal/>
    </border>
    <border>
      <left/>
      <right/>
      <top/>
      <bottom style="dotted">
        <color theme="0" tint="-0.499984740745262"/>
      </bottom>
      <diagonal/>
    </border>
    <border>
      <left/>
      <right style="medium">
        <color auto="1"/>
      </right>
      <top/>
      <bottom style="dotted">
        <color theme="0" tint="-0.499984740745262"/>
      </bottom>
      <diagonal/>
    </border>
    <border>
      <left style="medium">
        <color auto="1"/>
      </left>
      <right/>
      <top/>
      <bottom style="dotted">
        <color theme="0" tint="-0.499984740745262"/>
      </bottom>
      <diagonal/>
    </border>
    <border>
      <left/>
      <right/>
      <top style="dotted">
        <color theme="0" tint="-0.499984740745262"/>
      </top>
      <bottom style="dotted">
        <color theme="0" tint="-0.499984740745262"/>
      </bottom>
      <diagonal/>
    </border>
    <border>
      <left/>
      <right style="medium">
        <color auto="1"/>
      </right>
      <top style="dotted">
        <color theme="0" tint="-0.499984740745262"/>
      </top>
      <bottom style="dotted">
        <color theme="0" tint="-0.499984740745262"/>
      </bottom>
      <diagonal/>
    </border>
    <border>
      <left style="medium">
        <color auto="1"/>
      </left>
      <right/>
      <top style="dotted">
        <color theme="0" tint="-0.499984740745262"/>
      </top>
      <bottom style="dotted">
        <color theme="0" tint="-0.499984740745262"/>
      </bottom>
      <diagonal/>
    </border>
    <border>
      <left style="medium">
        <color rgb="FFCCCCCC"/>
      </left>
      <right style="medium">
        <color rgb="FFCCCCCC"/>
      </right>
      <top style="dotted">
        <color theme="0" tint="-0.499984740745262"/>
      </top>
      <bottom style="dotted">
        <color theme="0" tint="-0.499984740745262"/>
      </bottom>
      <diagonal/>
    </border>
    <border>
      <left style="medium">
        <color auto="1"/>
      </left>
      <right style="medium">
        <color rgb="FFE1E1E1"/>
      </right>
      <top style="dotted">
        <color theme="0" tint="-0.499984740745262"/>
      </top>
      <bottom style="dotted">
        <color theme="0" tint="-0.499984740745262"/>
      </bottom>
      <diagonal/>
    </border>
    <border>
      <left/>
      <right style="medium">
        <color rgb="FFE1E1E1"/>
      </right>
      <top style="dotted">
        <color theme="0" tint="-0.499984740745262"/>
      </top>
      <bottom style="dotted">
        <color theme="0" tint="-0.499984740745262"/>
      </bottom>
      <diagonal/>
    </border>
    <border>
      <left style="medium">
        <color rgb="FFE1E1E1"/>
      </left>
      <right style="medium">
        <color rgb="FFE1E1E1"/>
      </right>
      <top style="dotted">
        <color theme="0" tint="-0.499984740745262"/>
      </top>
      <bottom style="dotted">
        <color theme="0" tint="-0.499984740745262"/>
      </bottom>
      <diagonal/>
    </border>
    <border>
      <left style="medium">
        <color auto="1"/>
      </left>
      <right/>
      <top style="medium">
        <color rgb="FFCCCCCC"/>
      </top>
      <bottom style="medium">
        <color rgb="FFCCCCCC"/>
      </bottom>
      <diagonal/>
    </border>
    <border>
      <left/>
      <right/>
      <top style="medium">
        <color rgb="FFCCCCCC"/>
      </top>
      <bottom style="medium">
        <color rgb="FFCCCCCC"/>
      </bottom>
      <diagonal/>
    </border>
    <border>
      <left/>
      <right style="medium">
        <color rgb="FFCCCCCC"/>
      </right>
      <top style="medium">
        <color rgb="FFCCCCCC"/>
      </top>
      <bottom style="medium">
        <color rgb="FFCCCCCC"/>
      </bottom>
      <diagonal/>
    </border>
    <border>
      <left/>
      <right/>
      <top/>
      <bottom style="medium">
        <color rgb="FF000000"/>
      </bottom>
      <diagonal/>
    </border>
  </borders>
  <cellStyleXfs count="2">
    <xf numFmtId="0" fontId="0" fillId="0" borderId="0"/>
    <xf numFmtId="0" fontId="1" fillId="0" borderId="0" applyNumberFormat="0" applyFill="0" applyBorder="0" applyAlignment="0" applyProtection="0"/>
  </cellStyleXfs>
  <cellXfs count="83">
    <xf numFmtId="0" fontId="0" fillId="0" borderId="0" xfId="0"/>
    <xf numFmtId="0" fontId="3" fillId="0" borderId="4" xfId="0" applyFont="1" applyFill="1" applyBorder="1" applyAlignment="1">
      <alignment horizontal="center" vertical="top"/>
    </xf>
    <xf numFmtId="0" fontId="3" fillId="0" borderId="4" xfId="0" applyFont="1" applyFill="1" applyBorder="1"/>
    <xf numFmtId="0" fontId="3" fillId="0" borderId="5" xfId="0" applyFont="1" applyFill="1" applyBorder="1" applyAlignment="1">
      <alignment horizontal="center" vertical="top"/>
    </xf>
    <xf numFmtId="0" fontId="3" fillId="0" borderId="6" xfId="0" applyFont="1" applyFill="1" applyBorder="1" applyAlignment="1">
      <alignment horizontal="center" vertical="top"/>
    </xf>
    <xf numFmtId="0" fontId="3" fillId="3" borderId="6" xfId="0" applyFont="1" applyFill="1" applyBorder="1" applyAlignment="1">
      <alignment horizontal="center" vertical="top"/>
    </xf>
    <xf numFmtId="0" fontId="3" fillId="3" borderId="4" xfId="0" applyFont="1" applyFill="1" applyBorder="1" applyAlignment="1">
      <alignment horizontal="center" vertical="top"/>
    </xf>
    <xf numFmtId="0" fontId="3" fillId="0" borderId="7" xfId="0" applyFont="1" applyFill="1" applyBorder="1" applyAlignment="1">
      <alignment vertical="center" wrapText="1"/>
    </xf>
    <xf numFmtId="0" fontId="3" fillId="0" borderId="7" xfId="0" applyFont="1" applyFill="1" applyBorder="1"/>
    <xf numFmtId="0" fontId="3" fillId="0" borderId="8" xfId="0" applyFont="1" applyFill="1" applyBorder="1"/>
    <xf numFmtId="0" fontId="3" fillId="0" borderId="9" xfId="0" applyFont="1" applyFill="1" applyBorder="1" applyAlignment="1">
      <alignment horizontal="left" vertical="center" wrapText="1" indent="1"/>
    </xf>
    <xf numFmtId="0" fontId="3" fillId="0" borderId="7" xfId="0" applyFont="1" applyFill="1" applyBorder="1" applyAlignment="1">
      <alignment horizontal="left" vertical="center" wrapText="1" indent="1"/>
    </xf>
    <xf numFmtId="0" fontId="3" fillId="3" borderId="9" xfId="0" applyFont="1" applyFill="1" applyBorder="1"/>
    <xf numFmtId="0" fontId="3" fillId="3" borderId="7" xfId="0" applyFont="1" applyFill="1" applyBorder="1"/>
    <xf numFmtId="0" fontId="3" fillId="0" borderId="7" xfId="0" applyFont="1" applyFill="1" applyBorder="1" applyAlignment="1">
      <alignment vertical="center"/>
    </xf>
    <xf numFmtId="0" fontId="3" fillId="3" borderId="7" xfId="0" applyFont="1" applyFill="1" applyBorder="1" applyAlignment="1">
      <alignment horizontal="left" vertical="center" wrapText="1"/>
    </xf>
    <xf numFmtId="0" fontId="3" fillId="0" borderId="8" xfId="0" applyFont="1" applyFill="1" applyBorder="1" applyAlignment="1"/>
    <xf numFmtId="0" fontId="3" fillId="0" borderId="8" xfId="0" applyFont="1" applyFill="1" applyBorder="1" applyAlignment="1">
      <alignment wrapText="1"/>
    </xf>
    <xf numFmtId="0" fontId="3" fillId="3" borderId="9" xfId="0" applyFont="1" applyFill="1" applyBorder="1" applyAlignment="1">
      <alignment horizontal="left" vertical="center" wrapText="1" indent="1"/>
    </xf>
    <xf numFmtId="0" fontId="3" fillId="3" borderId="7" xfId="0" applyFont="1" applyFill="1" applyBorder="1" applyAlignment="1">
      <alignment horizontal="left" vertical="center" wrapText="1" indent="1"/>
    </xf>
    <xf numFmtId="0" fontId="3" fillId="0" borderId="7" xfId="0" applyFont="1" applyFill="1" applyBorder="1" applyAlignment="1">
      <alignment wrapText="1"/>
    </xf>
    <xf numFmtId="0" fontId="3" fillId="3" borderId="7" xfId="0" applyFont="1" applyFill="1" applyBorder="1" applyAlignment="1">
      <alignment vertical="center" wrapText="1"/>
    </xf>
    <xf numFmtId="0" fontId="3" fillId="0" borderId="7" xfId="0" applyFont="1" applyFill="1" applyBorder="1" applyAlignment="1">
      <alignment horizontal="right" vertical="center" wrapText="1" indent="1"/>
    </xf>
    <xf numFmtId="0" fontId="3" fillId="3" borderId="7" xfId="0" applyFont="1" applyFill="1" applyBorder="1" applyAlignment="1">
      <alignment horizontal="right" vertical="center" wrapText="1" indent="1"/>
    </xf>
    <xf numFmtId="0" fontId="3" fillId="3" borderId="9" xfId="0" applyFont="1" applyFill="1" applyBorder="1" applyAlignment="1">
      <alignment horizontal="right" vertical="center" wrapText="1" indent="1"/>
    </xf>
    <xf numFmtId="0" fontId="3" fillId="3" borderId="7" xfId="0" applyFont="1" applyFill="1" applyBorder="1" applyAlignment="1">
      <alignment wrapText="1"/>
    </xf>
    <xf numFmtId="0" fontId="3" fillId="3" borderId="9" xfId="0" applyFont="1" applyFill="1" applyBorder="1" applyAlignment="1">
      <alignment vertical="center" wrapText="1"/>
    </xf>
    <xf numFmtId="0" fontId="3" fillId="0" borderId="8" xfId="0" applyFont="1" applyFill="1" applyBorder="1" applyAlignment="1">
      <alignment vertical="center"/>
    </xf>
    <xf numFmtId="0" fontId="3" fillId="0" borderId="10" xfId="0" applyFont="1" applyFill="1" applyBorder="1" applyAlignment="1">
      <alignment wrapText="1"/>
    </xf>
    <xf numFmtId="0" fontId="3" fillId="0" borderId="9" xfId="0" applyFont="1" applyFill="1" applyBorder="1"/>
    <xf numFmtId="0" fontId="3" fillId="3" borderId="11" xfId="0" applyFont="1" applyFill="1" applyBorder="1" applyAlignment="1">
      <alignment horizontal="left" vertical="center" wrapText="1" indent="1"/>
    </xf>
    <xf numFmtId="0" fontId="3" fillId="0" borderId="12" xfId="0" applyFont="1" applyFill="1" applyBorder="1" applyAlignment="1">
      <alignment horizontal="left" vertical="center" wrapText="1" indent="1"/>
    </xf>
    <xf numFmtId="0" fontId="3" fillId="3" borderId="13" xfId="0" applyFont="1" applyFill="1" applyBorder="1" applyAlignment="1">
      <alignment horizontal="left" vertical="center" wrapText="1" indent="1"/>
    </xf>
    <xf numFmtId="0" fontId="3" fillId="0" borderId="8" xfId="0" applyFont="1" applyFill="1" applyBorder="1" applyAlignment="1">
      <alignment vertical="center" wrapText="1"/>
    </xf>
    <xf numFmtId="0" fontId="4" fillId="0" borderId="7" xfId="1" applyFont="1" applyFill="1" applyBorder="1"/>
    <xf numFmtId="0" fontId="7" fillId="0" borderId="0" xfId="0" applyFont="1" applyFill="1" applyAlignment="1">
      <alignment vertical="center" wrapText="1"/>
    </xf>
    <xf numFmtId="0" fontId="7" fillId="0" borderId="0" xfId="0" applyFont="1" applyFill="1" applyBorder="1" applyAlignment="1">
      <alignment vertical="center" wrapText="1"/>
    </xf>
    <xf numFmtId="0" fontId="7" fillId="0" borderId="2" xfId="0" applyFont="1" applyFill="1" applyBorder="1" applyAlignment="1">
      <alignment vertical="center" wrapText="1"/>
    </xf>
    <xf numFmtId="0" fontId="7" fillId="0" borderId="3" xfId="0" applyFont="1" applyFill="1" applyBorder="1" applyAlignment="1">
      <alignment vertical="center" wrapText="1"/>
    </xf>
    <xf numFmtId="0" fontId="7" fillId="0" borderId="0" xfId="0" applyFont="1" applyFill="1" applyAlignment="1">
      <alignment horizontal="center" vertical="center" wrapText="1"/>
    </xf>
    <xf numFmtId="0" fontId="7" fillId="0" borderId="0" xfId="0" applyFont="1" applyFill="1" applyBorder="1" applyAlignment="1">
      <alignment horizontal="center" vertical="center" wrapText="1"/>
    </xf>
    <xf numFmtId="0" fontId="7" fillId="0" borderId="2" xfId="0" applyFont="1" applyFill="1" applyBorder="1" applyAlignment="1">
      <alignment horizontal="center" vertical="center" wrapText="1"/>
    </xf>
    <xf numFmtId="0" fontId="7" fillId="0" borderId="3" xfId="0" applyFont="1" applyFill="1" applyBorder="1" applyAlignment="1">
      <alignment horizontal="center" vertical="center" wrapText="1"/>
    </xf>
    <xf numFmtId="0" fontId="8" fillId="0" borderId="0" xfId="1" applyFont="1" applyFill="1" applyBorder="1" applyAlignment="1">
      <alignment vertical="center" wrapText="1"/>
    </xf>
    <xf numFmtId="0" fontId="7" fillId="0" borderId="2" xfId="0" applyFont="1" applyFill="1" applyBorder="1" applyAlignment="1">
      <alignment wrapText="1"/>
    </xf>
    <xf numFmtId="0" fontId="7" fillId="0" borderId="0" xfId="0" applyFont="1" applyFill="1" applyBorder="1" applyAlignment="1">
      <alignment wrapText="1"/>
    </xf>
    <xf numFmtId="0" fontId="7" fillId="0" borderId="0" xfId="0" applyFont="1" applyFill="1" applyAlignment="1">
      <alignment wrapText="1"/>
    </xf>
    <xf numFmtId="0" fontId="7" fillId="0" borderId="1" xfId="0" applyFont="1" applyFill="1" applyBorder="1" applyAlignment="1">
      <alignment wrapText="1"/>
    </xf>
    <xf numFmtId="0" fontId="7" fillId="0" borderId="3" xfId="0" applyFont="1" applyFill="1" applyBorder="1" applyAlignment="1">
      <alignment wrapText="1"/>
    </xf>
    <xf numFmtId="0" fontId="7" fillId="0" borderId="1" xfId="0" applyFont="1" applyFill="1" applyBorder="1" applyAlignment="1">
      <alignment vertical="center" wrapText="1"/>
    </xf>
    <xf numFmtId="0" fontId="7" fillId="2" borderId="1" xfId="0" applyFont="1" applyFill="1" applyBorder="1" applyAlignment="1">
      <alignment horizontal="right" wrapText="1"/>
    </xf>
    <xf numFmtId="0" fontId="7" fillId="0" borderId="1" xfId="0" applyFont="1" applyBorder="1" applyAlignment="1">
      <alignment wrapText="1"/>
    </xf>
    <xf numFmtId="0" fontId="7" fillId="0" borderId="0" xfId="0" applyFont="1" applyAlignment="1">
      <alignment wrapText="1"/>
    </xf>
    <xf numFmtId="0" fontId="7" fillId="2" borderId="1" xfId="0" applyFont="1" applyFill="1" applyBorder="1" applyAlignment="1">
      <alignment wrapText="1"/>
    </xf>
    <xf numFmtId="0" fontId="7" fillId="0" borderId="2" xfId="0" applyFont="1" applyFill="1" applyBorder="1"/>
    <xf numFmtId="0" fontId="7" fillId="0" borderId="7" xfId="0" applyFont="1" applyFill="1" applyBorder="1"/>
    <xf numFmtId="0" fontId="10" fillId="0" borderId="0" xfId="0" applyFont="1"/>
    <xf numFmtId="0" fontId="7" fillId="0" borderId="14" xfId="0" applyFont="1" applyFill="1" applyBorder="1" applyAlignment="1">
      <alignment wrapText="1"/>
    </xf>
    <xf numFmtId="0" fontId="7" fillId="0" borderId="15" xfId="0" applyFont="1" applyFill="1" applyBorder="1" applyAlignment="1">
      <alignment horizontal="right" wrapText="1"/>
    </xf>
    <xf numFmtId="0" fontId="7" fillId="0" borderId="15" xfId="0" applyFont="1" applyFill="1" applyBorder="1" applyAlignment="1">
      <alignment wrapText="1"/>
    </xf>
    <xf numFmtId="0" fontId="7" fillId="2" borderId="15" xfId="0" applyFont="1" applyFill="1" applyBorder="1" applyAlignment="1">
      <alignment horizontal="right" wrapText="1"/>
    </xf>
    <xf numFmtId="0" fontId="7" fillId="0" borderId="15" xfId="0" applyFont="1" applyBorder="1" applyAlignment="1">
      <alignment wrapText="1"/>
    </xf>
    <xf numFmtId="0" fontId="7" fillId="0" borderId="16" xfId="0" applyFont="1" applyBorder="1" applyAlignment="1">
      <alignment wrapText="1"/>
    </xf>
    <xf numFmtId="0" fontId="7" fillId="0" borderId="9" xfId="0" applyFont="1" applyFill="1" applyBorder="1"/>
    <xf numFmtId="0" fontId="7" fillId="0" borderId="0" xfId="0" applyFont="1"/>
    <xf numFmtId="0" fontId="8" fillId="0" borderId="0" xfId="1" applyFont="1"/>
    <xf numFmtId="0" fontId="3" fillId="0" borderId="0" xfId="0" applyFont="1"/>
    <xf numFmtId="0" fontId="3" fillId="0" borderId="7" xfId="0" applyFont="1" applyBorder="1"/>
    <xf numFmtId="0" fontId="3" fillId="2" borderId="10" xfId="0" applyFont="1" applyFill="1" applyBorder="1" applyAlignment="1">
      <alignment wrapText="1"/>
    </xf>
    <xf numFmtId="0" fontId="3" fillId="0" borderId="8" xfId="0" applyFont="1" applyBorder="1"/>
    <xf numFmtId="0" fontId="3" fillId="4" borderId="17" xfId="0" applyFont="1" applyFill="1" applyBorder="1" applyAlignment="1">
      <alignment horizontal="left" vertical="center" wrapText="1" indent="1"/>
    </xf>
    <xf numFmtId="0" fontId="4" fillId="0" borderId="0" xfId="1" applyFont="1"/>
    <xf numFmtId="0" fontId="3" fillId="4" borderId="0" xfId="0" applyFont="1" applyFill="1" applyAlignment="1">
      <alignment horizontal="center" vertical="center" wrapText="1"/>
    </xf>
    <xf numFmtId="0" fontId="4" fillId="0" borderId="9" xfId="1" applyFont="1" applyFill="1" applyBorder="1"/>
    <xf numFmtId="0" fontId="3" fillId="0" borderId="0" xfId="0" applyFont="1" applyAlignment="1">
      <alignment vertical="center" wrapText="1"/>
    </xf>
    <xf numFmtId="0" fontId="1" fillId="3" borderId="9" xfId="1" applyFill="1" applyBorder="1"/>
    <xf numFmtId="49" fontId="3" fillId="3" borderId="9" xfId="0" applyNumberFormat="1" applyFont="1" applyFill="1" applyBorder="1"/>
    <xf numFmtId="0" fontId="8" fillId="0" borderId="0" xfId="1" applyFont="1" applyFill="1" applyAlignment="1">
      <alignment vertical="center" wrapText="1"/>
    </xf>
    <xf numFmtId="0" fontId="7" fillId="0" borderId="2" xfId="0" applyFont="1" applyBorder="1"/>
    <xf numFmtId="0" fontId="7" fillId="3" borderId="0" xfId="0" applyFont="1" applyFill="1"/>
    <xf numFmtId="0" fontId="12" fillId="0" borderId="0" xfId="1" applyFont="1" applyFill="1" applyBorder="1" applyAlignment="1">
      <alignment vertical="center" wrapText="1"/>
    </xf>
    <xf numFmtId="0" fontId="13" fillId="0" borderId="1" xfId="0" applyFont="1" applyBorder="1" applyAlignment="1">
      <alignment wrapText="1"/>
    </xf>
    <xf numFmtId="0" fontId="13" fillId="2" borderId="1" xfId="0" applyFont="1" applyFill="1" applyBorder="1" applyAlignment="1">
      <alignment wrapText="1"/>
    </xf>
  </cellXfs>
  <cellStyles count="2">
    <cellStyle name="一般" xfId="0" builtinId="0"/>
    <cellStyle name="超連結" xfId="1" builtinId="8"/>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play.google.com/store/apps/details?id=com.QuestLab.DraftWar" TargetMode="External"/><Relationship Id="rId21" Type="http://schemas.openxmlformats.org/officeDocument/2006/relationships/hyperlink" Target="https://forum.gamer.com.tw/" TargetMode="External"/><Relationship Id="rId42" Type="http://schemas.openxmlformats.org/officeDocument/2006/relationships/hyperlink" Target="https://www.facebook.com/brawlstars" TargetMode="External"/><Relationship Id="rId63" Type="http://schemas.openxmlformats.org/officeDocument/2006/relationships/hyperlink" Target="https://apps.apple.com/sg/app/%E4%B8%BB%E5%85%AC%E8%B6%85%E6%9C%83%E9%96%83/id6743072374" TargetMode="External"/><Relationship Id="rId84" Type="http://schemas.openxmlformats.org/officeDocument/2006/relationships/hyperlink" Target="https://play.google.com/store/apps/details?id=com.v20.gptw&amp;hl=zh_TW" TargetMode="External"/><Relationship Id="rId138" Type="http://schemas.openxmlformats.org/officeDocument/2006/relationships/hyperlink" Target="https://www.facebook.com/deadimpactofficial/" TargetMode="External"/><Relationship Id="rId159" Type="http://schemas.openxmlformats.org/officeDocument/2006/relationships/hyperlink" Target="https://www.facebook.com/MUPocketKnightsTW" TargetMode="External"/><Relationship Id="rId170" Type="http://schemas.openxmlformats.org/officeDocument/2006/relationships/hyperlink" Target="https://www.facebook.com/profile.php?id=61580336611412" TargetMode="External"/><Relationship Id="rId191" Type="http://schemas.openxmlformats.org/officeDocument/2006/relationships/hyperlink" Target="https://play.google.com/store/apps/details?id=com.pantheraplay.projecth&amp;hl=zh_TW" TargetMode="External"/><Relationship Id="rId205" Type="http://schemas.openxmlformats.org/officeDocument/2006/relationships/hyperlink" Target="https://www.facebook.com/mygardenworld.ofcl" TargetMode="External"/><Relationship Id="rId107" Type="http://schemas.openxmlformats.org/officeDocument/2006/relationships/hyperlink" Target="https://apps.apple.com/tw/app/%E5%8A%8D%E9%9D%88%E7%A5%9E%E5%9F%9F/id6747476946" TargetMode="External"/><Relationship Id="rId11" Type="http://schemas.openxmlformats.org/officeDocument/2006/relationships/hyperlink" Target="https://sengokubushido.daimaoo.com/?fbclid=IwY2xjawMAQbRleHRuA2FlbQIxMABicmlkETFPYlJ3QnBHdzJ2ZHpqTTR1AR6zM1yhT-zsCARVzhipU4ZQmqlUO1mnmbLB2-ADjU0f2LHx6kokbFYlE-eang_aem_yul5hCIFGTcCd7GAYVQ0Ug" TargetMode="External"/><Relationship Id="rId32" Type="http://schemas.openxmlformats.org/officeDocument/2006/relationships/hyperlink" Target="https://forum.gamer.com.tw/B.php?bsn=83350" TargetMode="External"/><Relationship Id="rId53" Type="http://schemas.openxmlformats.org/officeDocument/2006/relationships/hyperlink" Target="https://apps.apple.com/tw/app/%E6%9C%88%E5%85%94%E8%8C%B6%E5%B1%8B-%E6%82%A0%E9%96%92%E4%B9%8B%E6%97%85-tsuki-tea-house/id6505020147" TargetMode="External"/><Relationship Id="rId74" Type="http://schemas.openxmlformats.org/officeDocument/2006/relationships/hyperlink" Target="https://play.google.com/store/apps/details?id=net.ekgames.projectr&amp;hl=zh_TW" TargetMode="External"/><Relationship Id="rId128" Type="http://schemas.openxmlformats.org/officeDocument/2006/relationships/hyperlink" Target="https://www.facebook.com/jiakbazombies" TargetMode="External"/><Relationship Id="rId149" Type="http://schemas.openxmlformats.org/officeDocument/2006/relationships/hyperlink" Target="https://x.com/torerowa_en" TargetMode="External"/><Relationship Id="rId5" Type="http://schemas.openxmlformats.org/officeDocument/2006/relationships/hyperlink" Target="https://play.google.com/store/apps/details?id=com.IceDragon.ShindaiRecord&amp;hl=zh_TW&amp;fbclid=IwY2xjawL8VbpleHRuA2FlbQIxMABicmlkETFMUEUzeWpMQUVnbUQxTW9FAR5khHVT2YUhE5xhO2B-MJL1ODx1zBZJcQeA0AGIDh_XBZzK6PEnlyENRfzI7A_aem_gXLvCoTZUoscSpWEZ4hYxg" TargetMode="External"/><Relationship Id="rId95" Type="http://schemas.openxmlformats.org/officeDocument/2006/relationships/hyperlink" Target="https://www.facebook.com/kaijuno8.TheGame.EN" TargetMode="External"/><Relationship Id="rId160" Type="http://schemas.openxmlformats.org/officeDocument/2006/relationships/hyperlink" Target="https://www.facebook.com/MUPocketKnightsTW" TargetMode="External"/><Relationship Id="rId181" Type="http://schemas.openxmlformats.org/officeDocument/2006/relationships/hyperlink" Target="https://play.google.com/store/apps/details?id=com.WINGEDSAKURAGAMES.WingedSakuraAFKDuelists&amp;hl=zh_TW" TargetMode="External"/><Relationship Id="rId216" Type="http://schemas.openxmlformats.org/officeDocument/2006/relationships/hyperlink" Target="https://play.google.com/store/apps/details?id=com.netmarble.stonkey" TargetMode="External"/><Relationship Id="rId22" Type="http://schemas.openxmlformats.org/officeDocument/2006/relationships/hyperlink" Target="https://forum.gamer.com.tw/B.php?bsn=79185" TargetMode="External"/><Relationship Id="rId43" Type="http://schemas.openxmlformats.org/officeDocument/2006/relationships/hyperlink" Target="https://apps.apple.com/tw/app/%E8%8D%92%E9%87%8E%E4%BA%82%E9%AC%A5/id1229016807" TargetMode="External"/><Relationship Id="rId64" Type="http://schemas.openxmlformats.org/officeDocument/2006/relationships/hyperlink" Target="https://xbdzz-happytime.onelink.me/Qmv0/u7g0i82n?fbclid=IwZXh0bgNhZW0CMTAAYnJpZBExS3hBdXl3bUJJUUtVZ2xsSwEeUs-bWAhlY_UCiRiKxe1XXAQMZW7G7ZLu6k4Nz3va8Qwuburf2qH8D17Nxw4_aem_m3uaLESoBQce2a_nJHdw8Q" TargetMode="External"/><Relationship Id="rId118" Type="http://schemas.openxmlformats.org/officeDocument/2006/relationships/hyperlink" Target="https://play.google.com/store/apps/details?id=com.QuestLab.DraftWar" TargetMode="External"/><Relationship Id="rId139" Type="http://schemas.openxmlformats.org/officeDocument/2006/relationships/hyperlink" Target="https://apps.apple.com/hk/app/dunkadillo/id6748931212" TargetMode="External"/><Relationship Id="rId85" Type="http://schemas.openxmlformats.org/officeDocument/2006/relationships/hyperlink" Target="https://play.google.com/store/apps/details?id=com.softstargames.wbrebelheroes&amp;hl=zh_TW" TargetMode="External"/><Relationship Id="rId150" Type="http://schemas.openxmlformats.org/officeDocument/2006/relationships/hyperlink" Target="https://en.torerowa.com/" TargetMode="External"/><Relationship Id="rId171" Type="http://schemas.openxmlformats.org/officeDocument/2006/relationships/hyperlink" Target="https://www.facebook.com/RFONLINENEXTtc" TargetMode="External"/><Relationship Id="rId192" Type="http://schemas.openxmlformats.org/officeDocument/2006/relationships/hyperlink" Target="https://www.facebook.com/elysiathegame/" TargetMode="External"/><Relationship Id="rId206" Type="http://schemas.openxmlformats.org/officeDocument/2006/relationships/hyperlink" Target="https://hjxp.floralgames.net/reserve/index.html" TargetMode="External"/><Relationship Id="rId12" Type="http://schemas.openxmlformats.org/officeDocument/2006/relationships/hyperlink" Target="https://acg.gamer.com.tw/acgDetail.php?s=146280" TargetMode="External"/><Relationship Id="rId33" Type="http://schemas.openxmlformats.org/officeDocument/2006/relationships/hyperlink" Target="https://forum.gamer.com.tw/" TargetMode="External"/><Relationship Id="rId108" Type="http://schemas.openxmlformats.org/officeDocument/2006/relationships/hyperlink" Target="https://www.facebook.com/profile.php?id=61579427546689" TargetMode="External"/><Relationship Id="rId129" Type="http://schemas.openxmlformats.org/officeDocument/2006/relationships/hyperlink" Target="https://www.jiakbazombies.com/" TargetMode="External"/><Relationship Id="rId54" Type="http://schemas.openxmlformats.org/officeDocument/2006/relationships/hyperlink" Target="https://play.google.com/store/apps/details?id=com.hyperbeard.tsukiteahouse&amp;hl=zh_HK" TargetMode="External"/><Relationship Id="rId75" Type="http://schemas.openxmlformats.org/officeDocument/2006/relationships/hyperlink" Target="https://fellowmoon.garena.com/zh_tw/" TargetMode="External"/><Relationship Id="rId96" Type="http://schemas.openxmlformats.org/officeDocument/2006/relationships/hyperlink" Target="https://www.facebook.com/savagesurvivaltw" TargetMode="External"/><Relationship Id="rId140" Type="http://schemas.openxmlformats.org/officeDocument/2006/relationships/hyperlink" Target="https://play.google.com/store/apps/details?id=com.ThomasK.Young.Dunkadillo&amp;hl=zh_TW" TargetMode="External"/><Relationship Id="rId161" Type="http://schemas.openxmlformats.org/officeDocument/2006/relationships/hyperlink" Target="https://play.google.com/store/apps/details?id=com.ylhd.hsjg&amp;hl=zh_TW" TargetMode="External"/><Relationship Id="rId182" Type="http://schemas.openxmlformats.org/officeDocument/2006/relationships/hyperlink" Target="https://play.google.com/store/apps/details?id=com.Redeev.Oniro" TargetMode="External"/><Relationship Id="rId217" Type="http://schemas.openxmlformats.org/officeDocument/2006/relationships/hyperlink" Target="https://play.google.com/store/apps/details?id=com.blueplanetm.gp&amp;shortlink=mqju4p0s&amp;c=xx_250918_fb_02&amp;pid=fb%E7%A4%BE%E7%BE%A4&amp;af_xp=custom&amp;source_caller=ui" TargetMode="External"/><Relationship Id="rId6" Type="http://schemas.openxmlformats.org/officeDocument/2006/relationships/hyperlink" Target="https://apps.apple.com/us/app/%E7%A5%9E%E4%BB%A3%E7%B4%80%E4%BA%8B-%E5%83%8F%E7%B4%A0%E9%A2%A8roguelike%E9%81%8A%E6%88%B2/id6720742591" TargetMode="External"/><Relationship Id="rId23" Type="http://schemas.openxmlformats.org/officeDocument/2006/relationships/hyperlink" Target="https://play.google.com/store/apps/details?id=com.orienjoy.heroland&amp;hl=ln" TargetMode="External"/><Relationship Id="rId119" Type="http://schemas.openxmlformats.org/officeDocument/2006/relationships/hyperlink" Target="https://play.google.com/store/apps/details?id=com.snake.twgp&amp;referrer=adjust_reftag%3Dc5wqR98e7f8LF%26utm_source%3DFBZYJJ" TargetMode="External"/><Relationship Id="rId44" Type="http://schemas.openxmlformats.org/officeDocument/2006/relationships/hyperlink" Target="https://play.google.com/store/apps/details?id=com.supercell.brawlstars&amp;hl=zh_TW" TargetMode="External"/><Relationship Id="rId65" Type="http://schemas.openxmlformats.org/officeDocument/2006/relationships/hyperlink" Target="https://www.facebook.com/MergeKingdomsTW" TargetMode="External"/><Relationship Id="rId86" Type="http://schemas.openxmlformats.org/officeDocument/2006/relationships/hyperlink" Target="https://www.facebook.com/KOFAFKTC" TargetMode="External"/><Relationship Id="rId130" Type="http://schemas.openxmlformats.org/officeDocument/2006/relationships/hyperlink" Target="https://www.mega-games.co/2" TargetMode="External"/><Relationship Id="rId151" Type="http://schemas.openxmlformats.org/officeDocument/2006/relationships/hyperlink" Target="https://play.google.com/store/apps/details?id=nice.ricochet&amp;hl=zh_TW" TargetMode="External"/><Relationship Id="rId172" Type="http://schemas.openxmlformats.org/officeDocument/2006/relationships/hyperlink" Target="https://play.google.com/store/apps/details?id=com.camelgames.loa&amp;hl=zh_TW" TargetMode="External"/><Relationship Id="rId193" Type="http://schemas.openxmlformats.org/officeDocument/2006/relationships/hyperlink" Target="https://apps.apple.com/mo/app/elysia-%E6%98%9F%E7%A9%BA%E5%A2%9C%E8%90%BD/id6737166302?at=1010l3Vj&amp;ct=ACG" TargetMode="External"/><Relationship Id="rId207" Type="http://schemas.openxmlformats.org/officeDocument/2006/relationships/hyperlink" Target="https://play.google.com/store/apps/details?id=com.floralgames.hjxp&amp;referrer=utm_source%3Dgamer.com.tw%26utm_campaign%3Dgnn" TargetMode="External"/><Relationship Id="rId13" Type="http://schemas.openxmlformats.org/officeDocument/2006/relationships/hyperlink" Target="https://www.facebook.com/overbrawl.go" TargetMode="External"/><Relationship Id="rId109" Type="http://schemas.openxmlformats.org/officeDocument/2006/relationships/hyperlink" Target="https://www.facebook.com/profile.php?id=61579427546689" TargetMode="External"/><Relationship Id="rId34" Type="http://schemas.openxmlformats.org/officeDocument/2006/relationships/hyperlink" Target="https://apps.apple.com/app/id6748193496&#12288;" TargetMode="External"/><Relationship Id="rId55" Type="http://schemas.openxmlformats.org/officeDocument/2006/relationships/hyperlink" Target="https://ts5n.chinesegamer.hk/" TargetMode="External"/><Relationship Id="rId76" Type="http://schemas.openxmlformats.org/officeDocument/2006/relationships/hyperlink" Target="https://apps.apple.com/tw/app/%E6%96%B0%E6%9C%88%E5%90%8C%E8%A1%8C/id6737657871" TargetMode="External"/><Relationship Id="rId97" Type="http://schemas.openxmlformats.org/officeDocument/2006/relationships/hyperlink" Target="https://play.google.com/store/apps/details?id=com.slg.savagesurvival&amp;referrer=adjust_reftag%3DcghjuHaF15j2F%26utm_source%3DFB_PAGE" TargetMode="External"/><Relationship Id="rId120" Type="http://schemas.openxmlformats.org/officeDocument/2006/relationships/hyperlink" Target="https://snake.joystarfun.com/" TargetMode="External"/><Relationship Id="rId141" Type="http://schemas.openxmlformats.org/officeDocument/2006/relationships/hyperlink" Target="https://x.com/tommy_ill" TargetMode="External"/><Relationship Id="rId7" Type="http://schemas.openxmlformats.org/officeDocument/2006/relationships/hyperlink" Target="https://forum.gamer.com.tw/Co.php?bsn=60076&amp;sn=103640542" TargetMode="External"/><Relationship Id="rId162" Type="http://schemas.openxmlformats.org/officeDocument/2006/relationships/hyperlink" Target="https://apps.apple.com/tw/app/aur-3-%E5%BD%B1%E6%9C%88%E5%B9%BB%E5%9F%9F/id6747416926?ppid=0bec509b-3803-468b-a350-cf23aa3d06e3" TargetMode="External"/><Relationship Id="rId183" Type="http://schemas.openxmlformats.org/officeDocument/2006/relationships/hyperlink" Target="https://play.google.com/store/apps/details?id=com.wemade.ymirglobal" TargetMode="External"/><Relationship Id="rId218" Type="http://schemas.openxmlformats.org/officeDocument/2006/relationships/hyperlink" Target="https://play.google.com/store/apps/details?id=com.lmsg.twgp&amp;pcampaignid=&amp;utm_source=fbtsj&amp;referrer=utm_source%3Dfbtsj%26click_id%3D0a59691a-1a07-4136-9587-ed1a409fffd9_fbtsj" TargetMode="External"/><Relationship Id="rId24" Type="http://schemas.openxmlformats.org/officeDocument/2006/relationships/hyperlink" Target="https://www.facebook.com/profile.php?id=61577308460249" TargetMode="External"/><Relationship Id="rId45" Type="http://schemas.openxmlformats.org/officeDocument/2006/relationships/hyperlink" Target="https://play.google.com/store/apps/details?id=com.supercell.squad&amp;hl=zh_TW" TargetMode="External"/><Relationship Id="rId66" Type="http://schemas.openxmlformats.org/officeDocument/2006/relationships/hyperlink" Target="https://portaly.cc/MergeKingdomsTW?fbclid=IwY2xjawMb74dleHRuA2FlbQIxMABicmlkETFLeEF1eXdtQklRS1VnbGxLAR5i6W9gNz787knAKzTMiwdoi1sCnF6v4BvEazgA4Xj9mDASNF1SEDBh_F22cQ_aem_nGkpSYm8-3MmwK4qa3N2dA" TargetMode="External"/><Relationship Id="rId87" Type="http://schemas.openxmlformats.org/officeDocument/2006/relationships/hyperlink" Target="https://kofafk.netmarble.com/tc/?fbclid=IwY2xjawMiq7dleHRuA2FlbQIxMABicmlkETE4MG1ESk81V1hCTVVtWll4AR48rLbqUrQE2o9gl0cUTqaMn5txinPJqPyCvaQK9e_m7vqFbcqoRwo5Bg5Fxw_aem_YdIWK-jhdy2R12XwNyHVDA" TargetMode="External"/><Relationship Id="rId110" Type="http://schemas.openxmlformats.org/officeDocument/2006/relationships/hyperlink" Target="https://apps.apple.com/my/app/%E5%9C%8B%E7%8E%8B%E9%A7%95%E5%88%B0-%E5%A0%A1%E5%A0%A1%E5%A4%A7%E4%BD%9C%E6%88%B0/id6748291957" TargetMode="External"/><Relationship Id="rId131" Type="http://schemas.openxmlformats.org/officeDocument/2006/relationships/hyperlink" Target="https://play.google.com/store/apps/details?id=games.synthez.zombie.survival.multiplayer" TargetMode="External"/><Relationship Id="rId152" Type="http://schemas.openxmlformats.org/officeDocument/2006/relationships/hyperlink" Target="https://www.facebook.com/PlayRicochet/" TargetMode="External"/><Relationship Id="rId173" Type="http://schemas.openxmlformats.org/officeDocument/2006/relationships/hyperlink" Target="https://apps.apple.com/vn/app/next-agers/id6749529571" TargetMode="External"/><Relationship Id="rId194" Type="http://schemas.openxmlformats.org/officeDocument/2006/relationships/hyperlink" Target="https://www.facebook.com/elysiathegame/" TargetMode="External"/><Relationship Id="rId208" Type="http://schemas.openxmlformats.org/officeDocument/2006/relationships/hyperlink" Target="https://apps.apple.com/tw/app/%E6%88%91%E7%9A%84%E8%8A%B1%E5%9C%92%E4%B8%96%E7%95%8C/id6751560944" TargetMode="External"/><Relationship Id="rId14" Type="http://schemas.openxmlformats.org/officeDocument/2006/relationships/hyperlink" Target="https://overbrawl.knetgame.com/pre" TargetMode="External"/><Relationship Id="rId35" Type="http://schemas.openxmlformats.org/officeDocument/2006/relationships/hyperlink" Target="https://etheria.xd.com/" TargetMode="External"/><Relationship Id="rId56" Type="http://schemas.openxmlformats.org/officeDocument/2006/relationships/hyperlink" Target="https://drive.google.com/file/d/1WEmdcrN1r89fbt9cynQyNvxLuHn9J60H/view?fbclid=IwY2xjawMZI35leHRuA2FlbQIxMABicmlkETFiM29nWVdGSDIxQlFEc2UwAR7YUxJ-rQWS-i8tf0iw_ZdXfMrHt0NPIdf3_Uy6PP2BYOpVR9qSxrTptsOMjQ_aem_bWB-Pjdyt5IM3iosacdupA" TargetMode="External"/><Relationship Id="rId77" Type="http://schemas.openxmlformats.org/officeDocument/2006/relationships/hyperlink" Target="https://www.facebook.com/fellowmoonTW" TargetMode="External"/><Relationship Id="rId100" Type="http://schemas.openxmlformats.org/officeDocument/2006/relationships/hyperlink" Target="https://apps.apple.com/sg/app/beast-clash/id6747020919?mt=8" TargetMode="External"/><Relationship Id="rId8" Type="http://schemas.openxmlformats.org/officeDocument/2006/relationships/hyperlink" Target="https://fatewar.igg.com/" TargetMode="External"/><Relationship Id="rId51" Type="http://schemas.openxmlformats.org/officeDocument/2006/relationships/hyperlink" Target="https://squadbusters.supercell.com/cn/" TargetMode="External"/><Relationship Id="rId72" Type="http://schemas.openxmlformats.org/officeDocument/2006/relationships/hyperlink" Target="https://apps.apple.com/au/app/pixel-starships-2/id1621274842" TargetMode="External"/><Relationship Id="rId93" Type="http://schemas.openxmlformats.org/officeDocument/2006/relationships/hyperlink" Target="https://www.facebook.com/" TargetMode="External"/><Relationship Id="rId98" Type="http://schemas.openxmlformats.org/officeDocument/2006/relationships/hyperlink" Target="https://discord.com/invite/Pcax2kxpuj?fbclid=IwY2xjawMlG6JleHRuA2FlbQIxMABicmlkETFTMTFvVWNrVmlrVk91TGJNAR7l8ykAbIRq8km_4dW6YiP9Uk8PdmPXGstKXq23ucj4CbACpZK9VnT5g41xoA_aem_BVgZb_Of1vnDF9Pkx7T3yA" TargetMode="External"/><Relationship Id="rId121" Type="http://schemas.openxmlformats.org/officeDocument/2006/relationships/hyperlink" Target="https://www.facebook.com/DarkFairyTales" TargetMode="External"/><Relationship Id="rId142" Type="http://schemas.openxmlformats.org/officeDocument/2006/relationships/hyperlink" Target="https://play.google.com/store/apps/details?id=com.megagames.xxlwoofia&amp;referrer=adjust_reftag%3DckszLl8ZK4OBq%26utm_source%3DKM_R15%25E9%25A0%2590%25E7%25B4%2584_AN" TargetMode="External"/><Relationship Id="rId163" Type="http://schemas.openxmlformats.org/officeDocument/2006/relationships/hyperlink" Target="https://www.facebook.com/aur3.lunar" TargetMode="External"/><Relationship Id="rId184" Type="http://schemas.openxmlformats.org/officeDocument/2006/relationships/hyperlink" Target="https://apps.apple.com/tw/app/winged-sakura-afk-duelists/id6742160449" TargetMode="External"/><Relationship Id="rId189" Type="http://schemas.openxmlformats.org/officeDocument/2006/relationships/hyperlink" Target="https://apps.apple.com/tw/app/legend-of-ymir/id6748295875?at=1010l3Vj&amp;ct=GNN" TargetMode="External"/><Relationship Id="rId219" Type="http://schemas.openxmlformats.org/officeDocument/2006/relationships/hyperlink" Target="https://play.google.com/store/apps/details?id=com.pokokoStudio.ArcherDefense" TargetMode="External"/><Relationship Id="rId3" Type="http://schemas.openxmlformats.org/officeDocument/2006/relationships/hyperlink" Target="https://www.gamer.com.tw/" TargetMode="External"/><Relationship Id="rId214" Type="http://schemas.openxmlformats.org/officeDocument/2006/relationships/hyperlink" Target="mailto:&#26368;&#26032;&#20729;&#26684;&#35531;&#27965;Line@" TargetMode="External"/><Relationship Id="rId25" Type="http://schemas.openxmlformats.org/officeDocument/2006/relationships/hyperlink" Target="https://apps.apple.com/cn/app/%E8%8B%B1%E5%8B%87%E4%B9%8B%E5%9C%B0/id6480160896" TargetMode="External"/><Relationship Id="rId46" Type="http://schemas.openxmlformats.org/officeDocument/2006/relationships/hyperlink" Target="https://apps.apple.com/tw/app/%E9%81%BA%E5%BF%98%E4%B9%8B%E5%8A%8D/id6744879430" TargetMode="External"/><Relationship Id="rId67" Type="http://schemas.openxmlformats.org/officeDocument/2006/relationships/hyperlink" Target="https://www.facebook.com/DestinyRisingHMT" TargetMode="External"/><Relationship Id="rId116" Type="http://schemas.openxmlformats.org/officeDocument/2006/relationships/hyperlink" Target="https://play.google.com/store/apps/details?id=com.QuestLab.DraftWar" TargetMode="External"/><Relationship Id="rId137" Type="http://schemas.openxmlformats.org/officeDocument/2006/relationships/hyperlink" Target="https://x.com/mugendan_en" TargetMode="External"/><Relationship Id="rId158" Type="http://schemas.openxmlformats.org/officeDocument/2006/relationships/hyperlink" Target="https://apps.apple.com/tw/app/%E5%A5%87%E8%B9%9Fmu-%E9%A8%8E%E5%A3%AB%E8%A2%8B%E4%BD%A0%E9%A3%9B/id6742208743" TargetMode="External"/><Relationship Id="rId20" Type="http://schemas.openxmlformats.org/officeDocument/2006/relationships/hyperlink" Target="https://www.facebook.com/profile.php?id=61575005136218" TargetMode="External"/><Relationship Id="rId41" Type="http://schemas.openxmlformats.org/officeDocument/2006/relationships/hyperlink" Target="https://supercell.com/en/games/brawlstars/" TargetMode="External"/><Relationship Id="rId62" Type="http://schemas.openxmlformats.org/officeDocument/2006/relationships/hyperlink" Target="https://www.facebook.com/TreeofSaviorM/" TargetMode="External"/><Relationship Id="rId83" Type="http://schemas.openxmlformats.org/officeDocument/2006/relationships/hyperlink" Target="https://play.google.com/store/apps/details?id=com.netmarble.kofafk&amp;hl=zh_TW" TargetMode="External"/><Relationship Id="rId88" Type="http://schemas.openxmlformats.org/officeDocument/2006/relationships/hyperlink" Target="https://www.facebook.com/taleoftaoist" TargetMode="External"/><Relationship Id="rId111" Type="http://schemas.openxmlformats.org/officeDocument/2006/relationships/hyperlink" Target="https://www.facebook.com/AresTWofficial" TargetMode="External"/><Relationship Id="rId132" Type="http://schemas.openxmlformats.org/officeDocument/2006/relationships/hyperlink" Target="https://deadimpact.com/" TargetMode="External"/><Relationship Id="rId153" Type="http://schemas.openxmlformats.org/officeDocument/2006/relationships/hyperlink" Target="https://apps.apple.com/pl/app/ricochet-squad-pvp-shooter/id6743486517" TargetMode="External"/><Relationship Id="rId174" Type="http://schemas.openxmlformats.org/officeDocument/2006/relationships/hyperlink" Target="https://www.camelgames.com/" TargetMode="External"/><Relationship Id="rId179" Type="http://schemas.openxmlformats.org/officeDocument/2006/relationships/hyperlink" Target="https://x.com/ignm_snackygirl" TargetMode="External"/><Relationship Id="rId195" Type="http://schemas.openxmlformats.org/officeDocument/2006/relationships/hyperlink" Target="https://play.google.com/store/apps/details?id=com.mobirix.mgci&amp;hl=zh_TW" TargetMode="External"/><Relationship Id="rId209" Type="http://schemas.openxmlformats.org/officeDocument/2006/relationships/hyperlink" Target="https://www.facebook.com/Awakenloop/" TargetMode="External"/><Relationship Id="rId190" Type="http://schemas.openxmlformats.org/officeDocument/2006/relationships/hyperlink" Target="https://www.legendofymir.com/" TargetMode="External"/><Relationship Id="rId204" Type="http://schemas.openxmlformats.org/officeDocument/2006/relationships/hyperlink" Target="https://apps.apple.com/us/app/trickcal-chibi-go/id6479391944" TargetMode="External"/><Relationship Id="rId220" Type="http://schemas.openxmlformats.org/officeDocument/2006/relationships/hyperlink" Target="https://play.google.com/store/apps/details?id=com.mangot5.TwelveSkyMReborn" TargetMode="External"/><Relationship Id="rId15" Type="http://schemas.openxmlformats.org/officeDocument/2006/relationships/hyperlink" Target="https://apps.apple.com/tw/app/%E8%B6%85%E8%9D%A6%E5%A4%A7%E4%BD%9C%E6%88%B0/id6746176096" TargetMode="External"/><Relationship Id="rId36" Type="http://schemas.openxmlformats.org/officeDocument/2006/relationships/hyperlink" Target="https://www.facebook.com/etheriatw.official" TargetMode="External"/><Relationship Id="rId57" Type="http://schemas.openxmlformats.org/officeDocument/2006/relationships/hyperlink" Target="https://apps.apple.com/tw/app/gear-fight/id6738430824" TargetMode="External"/><Relationship Id="rId106" Type="http://schemas.openxmlformats.org/officeDocument/2006/relationships/hyperlink" Target="https://play.google.com/store/apps/details?id=com.divine.twgp&amp;referrer=adjust_reftag%3DcGBT9qaSpfyvF%26utm_source%3DFBZYJJ" TargetMode="External"/><Relationship Id="rId127" Type="http://schemas.openxmlformats.org/officeDocument/2006/relationships/hyperlink" Target="https://play.google.com/store/apps/details?id=com.hungryzombies.gptw&amp;listing=tw_midea_ga_v1&amp;hl=zh_TW" TargetMode="External"/><Relationship Id="rId10" Type="http://schemas.openxmlformats.org/officeDocument/2006/relationships/hyperlink" Target="https://www.facebook.com/FateWar/" TargetMode="External"/><Relationship Id="rId31" Type="http://schemas.openxmlformats.org/officeDocument/2006/relationships/hyperlink" Target="https://www.facebook.com/KLWOfficial" TargetMode="External"/><Relationship Id="rId52" Type="http://schemas.openxmlformats.org/officeDocument/2006/relationships/hyperlink" Target="https://apps.apple.com/tw/app/%E7%A0%B4%E5%A3%9E%E7%AA%81%E6%93%8A%E9%9A%8A/id1668983788" TargetMode="External"/><Relationship Id="rId73" Type="http://schemas.openxmlformats.org/officeDocument/2006/relationships/hyperlink" Target="https://apps.apple.com/tw/app/%E5%8D%87%E7%B4%9A%E6%9D%91%E8%8E%8A%E5%A4%A7%E4%BD%9C%E6%88%B0/id6749028974" TargetMode="External"/><Relationship Id="rId78" Type="http://schemas.openxmlformats.org/officeDocument/2006/relationships/hyperlink" Target="https://www.facebook.com/cathotelstory/" TargetMode="External"/><Relationship Id="rId94" Type="http://schemas.openxmlformats.org/officeDocument/2006/relationships/hyperlink" Target="https://www.facebook.com/" TargetMode="External"/><Relationship Id="rId99" Type="http://schemas.openxmlformats.org/officeDocument/2006/relationships/hyperlink" Target="https://apps.apple.com/tw/app/%E9%87%8E%E8%A0%BB%E7%94%9F%E5%AD%98%E9%8C%84-%E4%BE%8F%E7%BE%85%E7%B4%80/id6737189862" TargetMode="External"/><Relationship Id="rId101" Type="http://schemas.openxmlformats.org/officeDocument/2006/relationships/hyperlink" Target="https://www.facebook.com/BeastClashTW/" TargetMode="External"/><Relationship Id="rId122" Type="http://schemas.openxmlformats.org/officeDocument/2006/relationships/hyperlink" Target="https://apps.apple.com/tw/app/%E9%AD%94%E9%8F%A12-%E7%98%8B%E7%8B%82%E7%9A%84%E8%9B%87%E5%A7%AC/id6747476537" TargetMode="External"/><Relationship Id="rId143" Type="http://schemas.openxmlformats.org/officeDocument/2006/relationships/hyperlink" Target="https://www.facebook.com/horizonofruinstw" TargetMode="External"/><Relationship Id="rId148" Type="http://schemas.openxmlformats.org/officeDocument/2006/relationships/hyperlink" Target="https://apps.apple.com/us/app/torerowa/id6474421736" TargetMode="External"/><Relationship Id="rId164" Type="http://schemas.openxmlformats.org/officeDocument/2006/relationships/hyperlink" Target="https://www.facebook.com/aur3.lunar" TargetMode="External"/><Relationship Id="rId169" Type="http://schemas.openxmlformats.org/officeDocument/2006/relationships/hyperlink" Target="https://www.facebook.com/Leapsofcivilization" TargetMode="External"/><Relationship Id="rId185" Type="http://schemas.openxmlformats.org/officeDocument/2006/relationships/hyperlink" Target="https://wsafkduelists.wingedsakura.com/zh-tw/" TargetMode="External"/><Relationship Id="rId4" Type="http://schemas.openxmlformats.org/officeDocument/2006/relationships/hyperlink" Target="https://www.facebook.com/ShindaiRecord" TargetMode="External"/><Relationship Id="rId9" Type="http://schemas.openxmlformats.org/officeDocument/2006/relationships/hyperlink" Target="https://apps.apple.com/tw/app/fate-war/id1632729482" TargetMode="External"/><Relationship Id="rId180" Type="http://schemas.openxmlformats.org/officeDocument/2006/relationships/hyperlink" Target="https://play.google.com/store/apps/details?id=com.ignm.girlowners&amp;hl=zh" TargetMode="External"/><Relationship Id="rId210" Type="http://schemas.openxmlformats.org/officeDocument/2006/relationships/hyperlink" Target="https://play.google.com/store/apps/details?id=com.avalon.c1p.googleplay&amp;hl=zh_TW" TargetMode="External"/><Relationship Id="rId215" Type="http://schemas.openxmlformats.org/officeDocument/2006/relationships/hyperlink" Target="mailto:&#26368;&#26032;&#20729;&#26684;&#35531;&#27965;Line@" TargetMode="External"/><Relationship Id="rId26" Type="http://schemas.openxmlformats.org/officeDocument/2006/relationships/hyperlink" Target="https://play.google.com/store/apps/details?id=com.dreamplay.hiddenheroes.google&amp;fbclid=IwY2xjawMIIqZleHRuA2FlbQIxMABicmlkETFkZXV4UHJOSGFrcm92WWVYAR4-fZWlGr15cqSHFRjjaQwTW4OE4HDAfdBZ5LKH4DG9IgD3Tidgy-Udr-Yk3w_aem_evKrdZdXYqQCCS1J3i2qBg" TargetMode="External"/><Relationship Id="rId47" Type="http://schemas.openxmlformats.org/officeDocument/2006/relationships/hyperlink" Target="https://tw.ncsoft.com/lostsword" TargetMode="External"/><Relationship Id="rId68" Type="http://schemas.openxmlformats.org/officeDocument/2006/relationships/hyperlink" Target="https://www.gameshub-online.com/" TargetMode="External"/><Relationship Id="rId89" Type="http://schemas.openxmlformats.org/officeDocument/2006/relationships/hyperlink" Target="https://spg.taleoftaoist.com/site" TargetMode="External"/><Relationship Id="rId112" Type="http://schemas.openxmlformats.org/officeDocument/2006/relationships/hyperlink" Target="https://www.theares.com.tw/" TargetMode="External"/><Relationship Id="rId133" Type="http://schemas.openxmlformats.org/officeDocument/2006/relationships/hyperlink" Target="https://apps.apple.com/tw/app/dead-impact-survival-online/id6444281832" TargetMode="External"/><Relationship Id="rId154" Type="http://schemas.openxmlformats.org/officeDocument/2006/relationships/hyperlink" Target="https://niceplans.studio/" TargetMode="External"/><Relationship Id="rId175" Type="http://schemas.openxmlformats.org/officeDocument/2006/relationships/hyperlink" Target="https://discord.com/invite/RFJMXzqWaK" TargetMode="External"/><Relationship Id="rId196" Type="http://schemas.openxmlformats.org/officeDocument/2006/relationships/hyperlink" Target="https://apps.apple.com/us/app/merge-cat-town/id6743785079" TargetMode="External"/><Relationship Id="rId200" Type="http://schemas.openxmlformats.org/officeDocument/2006/relationships/hyperlink" Target="https://apps.apple.com/tw/app/%E5%B9%BB%E7%89%8C%E4%BA%A4%E9%8B%92/id6749214742" TargetMode="External"/><Relationship Id="rId16" Type="http://schemas.openxmlformats.org/officeDocument/2006/relationships/hyperlink" Target="https://www.facebook.com/TW.realmonster" TargetMode="External"/><Relationship Id="rId221" Type="http://schemas.openxmlformats.org/officeDocument/2006/relationships/hyperlink" Target="https://play.google.com/store/apps/details?id=com.wildcaly.b5.hmt&amp;referrer=utm_source%3Dgamer.com.tw%26utm_campaign%3Dgnn" TargetMode="External"/><Relationship Id="rId37" Type="http://schemas.openxmlformats.org/officeDocument/2006/relationships/hyperlink" Target="https://play.google.com/store/apps/details?id=com.xd.etheria.gp.glb&amp;hl=zh_TW" TargetMode="External"/><Relationship Id="rId58" Type="http://schemas.openxmlformats.org/officeDocument/2006/relationships/hyperlink" Target="https://play.google.com/store/apps/details?id=com.EternalStudio.GearFight&amp;hl=zh_TW" TargetMode="External"/><Relationship Id="rId79" Type="http://schemas.openxmlformats.org/officeDocument/2006/relationships/hyperlink" Target="https://linktr.ee/cathotel?fbclid=IwY2xjawMiqkJleHRuA2FlbQIxMABicmlkETFGbzB2OThYMEVrT1pjSFN6AR4gWQ29lgBx3LoNSLeTOdKbTzVxL3j9WGhbKk7fKwj1QcuIE4vEMknzDIXMtA_aem_M7p2pA8Q7xOdCg1Ut_MgZw" TargetMode="External"/><Relationship Id="rId102" Type="http://schemas.openxmlformats.org/officeDocument/2006/relationships/hyperlink" Target="https://www.facebook.com/BeastClashTW/" TargetMode="External"/><Relationship Id="rId123" Type="http://schemas.openxmlformats.org/officeDocument/2006/relationships/hyperlink" Target="https://play.google.com/store/apps/details?id=com.paradoxduel.myjd" TargetMode="External"/><Relationship Id="rId144" Type="http://schemas.openxmlformats.org/officeDocument/2006/relationships/hyperlink" Target="https://apps.apple.com/tw/app/grave-strikers/id6748154304" TargetMode="External"/><Relationship Id="rId90" Type="http://schemas.openxmlformats.org/officeDocument/2006/relationships/hyperlink" Target="https://www.facebook.com/windbreakerSSG" TargetMode="External"/><Relationship Id="rId165" Type="http://schemas.openxmlformats.org/officeDocument/2006/relationships/hyperlink" Target="https://apps.apple.com/tw/app/id6747162052" TargetMode="External"/><Relationship Id="rId186" Type="http://schemas.openxmlformats.org/officeDocument/2006/relationships/hyperlink" Target="https://www.facebook.com/oniroarpg?locale=zh_TW" TargetMode="External"/><Relationship Id="rId211" Type="http://schemas.openxmlformats.org/officeDocument/2006/relationships/hyperlink" Target="https://play.google.com/store/apps/details?id=com.Stargazer.StellaSora" TargetMode="External"/><Relationship Id="rId27" Type="http://schemas.openxmlformats.org/officeDocument/2006/relationships/hyperlink" Target="https://apps.apple.com/hk/app/%E6%9C%AA%E9%91%91%E5%AE%9A%E5%8B%87%E8%80%85%E5%9C%98-%E9%81%8B%E6%B0%A3%E5%9E%8B%E6%94%BE%E7%BD%AErpg/id6744206189" TargetMode="External"/><Relationship Id="rId48" Type="http://schemas.openxmlformats.org/officeDocument/2006/relationships/hyperlink" Target="https://www.facebook.com/LostSwordOfficial.TW/" TargetMode="External"/><Relationship Id="rId69" Type="http://schemas.openxmlformats.org/officeDocument/2006/relationships/hyperlink" Target="https://www.pixelstarships.com/" TargetMode="External"/><Relationship Id="rId113" Type="http://schemas.openxmlformats.org/officeDocument/2006/relationships/hyperlink" Target="https://apps.apple.com/tw/app/%E9%98%BF%E7%91%9E%E6%96%AF-%E5%91%BD%E9%81%8B%E7%9A%84%E9%81%B8%E6%93%87%E8%80%85/id6745206397" TargetMode="External"/><Relationship Id="rId134" Type="http://schemas.openxmlformats.org/officeDocument/2006/relationships/hyperlink" Target="https://play.google.com/store/apps/details?id=jp.hexadrive.infinitybullets" TargetMode="External"/><Relationship Id="rId80" Type="http://schemas.openxmlformats.org/officeDocument/2006/relationships/hyperlink" Target="https://apps.apple.com/tw/app/%E8%B2%93%E6%97%85%E9%A4%A8%E7%89%A9%E8%AA%9E/id6745919462" TargetMode="External"/><Relationship Id="rId155" Type="http://schemas.openxmlformats.org/officeDocument/2006/relationships/hyperlink" Target="https://www.facebook.com/magicvillage" TargetMode="External"/><Relationship Id="rId176" Type="http://schemas.openxmlformats.org/officeDocument/2006/relationships/hyperlink" Target="https://play.google.com/store/apps/details?id=com.myplayasia.hellzombie.tw&amp;referrer=utm_source%3Dgamer.com.tw%26utm_campaign%3Dgnn" TargetMode="External"/><Relationship Id="rId197" Type="http://schemas.openxmlformats.org/officeDocument/2006/relationships/hyperlink" Target="https://www.facebook.com/EidolonsCross" TargetMode="External"/><Relationship Id="rId201" Type="http://schemas.openxmlformats.org/officeDocument/2006/relationships/hyperlink" Target="https://play.google.com/store/apps/details?id=com.DigiJello.EidolonsCross" TargetMode="External"/><Relationship Id="rId222" Type="http://schemas.openxmlformats.org/officeDocument/2006/relationships/hyperlink" Target="https://play.google.com/store/apps/details?id=com.bbgame.sanguo.gp.tw" TargetMode="External"/><Relationship Id="rId17" Type="http://schemas.openxmlformats.org/officeDocument/2006/relationships/hyperlink" Target="https://forum.gamer.com.tw/" TargetMode="External"/><Relationship Id="rId38" Type="http://schemas.openxmlformats.org/officeDocument/2006/relationships/hyperlink" Target="https://apps.apple.com/us/app/etheria-restart/id6737684676" TargetMode="External"/><Relationship Id="rId59" Type="http://schemas.openxmlformats.org/officeDocument/2006/relationships/hyperlink" Target="https://voodoo.io/" TargetMode="External"/><Relationship Id="rId103" Type="http://schemas.openxmlformats.org/officeDocument/2006/relationships/hyperlink" Target="https://play.google.com/store/apps/details?id=com.animal3.an.tw" TargetMode="External"/><Relationship Id="rId124" Type="http://schemas.openxmlformats.org/officeDocument/2006/relationships/hyperlink" Target="https://apps.apple.com/tw/app/%E9%87%8F%E5%AD%90%E6%A9%9F%E5%8B%95%E9%9A%8A/id6746777110" TargetMode="External"/><Relationship Id="rId70" Type="http://schemas.openxmlformats.org/officeDocument/2006/relationships/hyperlink" Target="https://www.facebook.com/pixelstarships/" TargetMode="External"/><Relationship Id="rId91" Type="http://schemas.openxmlformats.org/officeDocument/2006/relationships/hyperlink" Target="https://wbrebelheroes.softstargames.com.tw/" TargetMode="External"/><Relationship Id="rId145" Type="http://schemas.openxmlformats.org/officeDocument/2006/relationships/hyperlink" Target="https://dbg-squadra.bn-ent.net/tw" TargetMode="External"/><Relationship Id="rId166" Type="http://schemas.openxmlformats.org/officeDocument/2006/relationships/hyperlink" Target="https://play.google.com/store/apps/details?id=com.cayenne.ms" TargetMode="External"/><Relationship Id="rId187" Type="http://schemas.openxmlformats.org/officeDocument/2006/relationships/hyperlink" Target="https://www.redeev.com/oniro/" TargetMode="External"/><Relationship Id="rId1" Type="http://schemas.openxmlformats.org/officeDocument/2006/relationships/hyperlink" Target="https://apps.apple.com/tw/app/%E9%AD%94%E6%B3%95%E9%BB%AF%E9%81%93/id6745922493" TargetMode="External"/><Relationship Id="rId212" Type="http://schemas.openxmlformats.org/officeDocument/2006/relationships/hyperlink" Target="https://play.google.com/store/apps/details?id=com.fanimax.cyberparkour" TargetMode="External"/><Relationship Id="rId28" Type="http://schemas.openxmlformats.org/officeDocument/2006/relationships/hyperlink" Target="https://www.facebook.com/profile.php?id=61577386190686" TargetMode="External"/><Relationship Id="rId49" Type="http://schemas.openxmlformats.org/officeDocument/2006/relationships/hyperlink" Target="https://play.google.com/store/apps/details?id=com.nctaiwan.lsnct&amp;hl=zh_TW" TargetMode="External"/><Relationship Id="rId114" Type="http://schemas.openxmlformats.org/officeDocument/2006/relationships/hyperlink" Target="https://play.google.com/store/apps/details?id=com.com2usholdings.arestw.android.google.tw.normal&amp;referrer=adjust_reftag%3DcQPtsgLXttBFs%26utm_source%3DMarket_badge%26utm_campaign%3DGoogle_play" TargetMode="External"/><Relationship Id="rId60" Type="http://schemas.openxmlformats.org/officeDocument/2006/relationships/hyperlink" Target="https://apps.apple.com/tw/app/%E6%95%91%E4%B8%96%E8%80%85%E4%B9%8B%E6%A8%B9%EF%BD%8D/id6458050011" TargetMode="External"/><Relationship Id="rId81" Type="http://schemas.openxmlformats.org/officeDocument/2006/relationships/hyperlink" Target="https://www.facebook.com/dsw.ujgame" TargetMode="External"/><Relationship Id="rId135" Type="http://schemas.openxmlformats.org/officeDocument/2006/relationships/hyperlink" Target="https://infinitybullets.com/en/" TargetMode="External"/><Relationship Id="rId156" Type="http://schemas.openxmlformats.org/officeDocument/2006/relationships/hyperlink" Target="https://www.facebook.com/magicvillage" TargetMode="External"/><Relationship Id="rId177" Type="http://schemas.openxmlformats.org/officeDocument/2006/relationships/hyperlink" Target="https://apps.apple.com/tw/app/%E5%B1%8D%E4%B8%8D%E5%8F%AF%E6%93%8B-hell-zombie/id6752315777?at=1010l3Vj&amp;ct=GNN" TargetMode="External"/><Relationship Id="rId198" Type="http://schemas.openxmlformats.org/officeDocument/2006/relationships/hyperlink" Target="https://www.facebook.com/TrickcalRevive" TargetMode="External"/><Relationship Id="rId202" Type="http://schemas.openxmlformats.org/officeDocument/2006/relationships/hyperlink" Target="https://www.facebook.com/profile.php?id=61573708981461" TargetMode="External"/><Relationship Id="rId223" Type="http://schemas.openxmlformats.org/officeDocument/2006/relationships/printerSettings" Target="../printerSettings/printerSettings1.bin"/><Relationship Id="rId18" Type="http://schemas.openxmlformats.org/officeDocument/2006/relationships/hyperlink" Target="https://apps.apple.com/tw/app/%E4%B8%89%E5%9C%8B%E5%BF%97thrones/id6741511767" TargetMode="External"/><Relationship Id="rId39" Type="http://schemas.openxmlformats.org/officeDocument/2006/relationships/hyperlink" Target="https://www.highbrow.com/" TargetMode="External"/><Relationship Id="rId50" Type="http://schemas.openxmlformats.org/officeDocument/2006/relationships/hyperlink" Target="https://www.facebook.com/SquadBustersGame/" TargetMode="External"/><Relationship Id="rId104" Type="http://schemas.openxmlformats.org/officeDocument/2006/relationships/hyperlink" Target="https://www.facebook.com/tw.divine" TargetMode="External"/><Relationship Id="rId125" Type="http://schemas.openxmlformats.org/officeDocument/2006/relationships/hyperlink" Target="https://pre.paradoxduel.com/" TargetMode="External"/><Relationship Id="rId146" Type="http://schemas.openxmlformats.org/officeDocument/2006/relationships/hyperlink" Target="https://ghz.gamexdd.com/" TargetMode="External"/><Relationship Id="rId167" Type="http://schemas.openxmlformats.org/officeDocument/2006/relationships/hyperlink" Target="https://www.facebook.com/UntitledMagicalGirl.TW" TargetMode="External"/><Relationship Id="rId188" Type="http://schemas.openxmlformats.org/officeDocument/2006/relationships/hyperlink" Target="https://apps.apple.com/us/app/oniro-arpg/id6746137443" TargetMode="External"/><Relationship Id="rId71" Type="http://schemas.openxmlformats.org/officeDocument/2006/relationships/hyperlink" Target="https://play.google.com/store/apps/details?id=com.savysoda.pss2.android" TargetMode="External"/><Relationship Id="rId92" Type="http://schemas.openxmlformats.org/officeDocument/2006/relationships/hyperlink" Target="https://apps.apple.com/tw/app/%E5%8D%87%E7%B4%9A%E6%9D%91%E8%8E%8A%E5%A4%A7%E4%BD%9C%E6%88%B0/id6749028974" TargetMode="External"/><Relationship Id="rId213" Type="http://schemas.openxmlformats.org/officeDocument/2006/relationships/hyperlink" Target="https://play.google.com/store/apps/details?id=com.nintendo.zaha" TargetMode="External"/><Relationship Id="rId2" Type="http://schemas.openxmlformats.org/officeDocument/2006/relationships/hyperlink" Target="https://www.facebook.com/groups/mfadofficial?fbclid=IwY2xjawL8GuRleHRuA2FlbQIxMABicmlkETFCWFVzVjJpdGw0WGZCQWZYAR4okRRMZdPKEN1G7OeiA1zHf3rr0itUlllP-XiC-ELD9696aXuCQos4a4woTg_aem_FiHf8qxIM1SQ8j2Bv67NQg" TargetMode="External"/><Relationship Id="rId29" Type="http://schemas.openxmlformats.org/officeDocument/2006/relationships/hyperlink" Target="https://forum.gamer.com.tw/" TargetMode="External"/><Relationship Id="rId40" Type="http://schemas.openxmlformats.org/officeDocument/2006/relationships/hyperlink" Target="https://www.facebook.com/" TargetMode="External"/><Relationship Id="rId115" Type="http://schemas.openxmlformats.org/officeDocument/2006/relationships/hyperlink" Target="https://apps.apple.com/us/app/draft-showdown/id6743368869" TargetMode="External"/><Relationship Id="rId136" Type="http://schemas.openxmlformats.org/officeDocument/2006/relationships/hyperlink" Target="https://apps.apple.com/tw/app/infinity-bullets/id6497716526" TargetMode="External"/><Relationship Id="rId157" Type="http://schemas.openxmlformats.org/officeDocument/2006/relationships/hyperlink" Target="https://play.google.com/store/apps/details?id=com.webzen.muidle.google" TargetMode="External"/><Relationship Id="rId178" Type="http://schemas.openxmlformats.org/officeDocument/2006/relationships/hyperlink" Target="https://play.google.com/store/apps/details?id=com.netmarble.rfnext" TargetMode="External"/><Relationship Id="rId61" Type="http://schemas.openxmlformats.org/officeDocument/2006/relationships/hyperlink" Target="https://tosm-treeofsavior.beanfun.com/main" TargetMode="External"/><Relationship Id="rId82" Type="http://schemas.openxmlformats.org/officeDocument/2006/relationships/hyperlink" Target="https://apps.apple.com/tw/app/%E9%BE%8D%E7%9F%B3%E6%88%B0%E7%88%AD-%E9%A6%B4%E9%BE%8D%E5%87%BA%E5%BE%81/id6743779102" TargetMode="External"/><Relationship Id="rId199" Type="http://schemas.openxmlformats.org/officeDocument/2006/relationships/hyperlink" Target="https://pre-registration.eidolons-cross.com/Index?fbclid=IwY2xjawNQdt1leHRuA2FlbQIxMABicmlkETFXVWp5cHFhSmxFZG90ekszAR73MUPffYTl-0n3AGnFc63slqKtvWdLDjY5602jFW6N0KzUdsEHaOWIcrZ36Q_aem_UU_XF0pbKKpsChOMt3NZjA" TargetMode="External"/><Relationship Id="rId203" Type="http://schemas.openxmlformats.org/officeDocument/2006/relationships/hyperlink" Target="https://www.kingdomrushbattles.com/" TargetMode="External"/><Relationship Id="rId19" Type="http://schemas.openxmlformats.org/officeDocument/2006/relationships/hyperlink" Target="https://play.google.com/store/apps/details?id=com.statewill.shzz" TargetMode="External"/><Relationship Id="rId30" Type="http://schemas.openxmlformats.org/officeDocument/2006/relationships/hyperlink" Target="https://apps.apple.com/tw/app/%E8%A6%8B%E7%BF%92%E9%AA%B7%E9%AB%8F%E7%8E%8B/id6747066550" TargetMode="External"/><Relationship Id="rId105" Type="http://schemas.openxmlformats.org/officeDocument/2006/relationships/hyperlink" Target="https://divine.joystarfun.com/" TargetMode="External"/><Relationship Id="rId126" Type="http://schemas.openxmlformats.org/officeDocument/2006/relationships/hyperlink" Target="https://www.facebook.com/profile.php?id=61578881450274" TargetMode="External"/><Relationship Id="rId147" Type="http://schemas.openxmlformats.org/officeDocument/2006/relationships/hyperlink" Target="https://play.google.com/store/apps/details?id=com.kakaogames.gdod&amp;hl=zh_TW" TargetMode="External"/><Relationship Id="rId168" Type="http://schemas.openxmlformats.org/officeDocument/2006/relationships/hyperlink" Target="https://jm.wasabii.com.tw/" TargetMode="External"/></Relationships>
</file>

<file path=xl/worksheets/_rels/sheet2.xml.rels><?xml version="1.0" encoding="UTF-8" standalone="yes"?>
<Relationships xmlns="http://schemas.openxmlformats.org/package/2006/relationships"><Relationship Id="rId3" Type="http://schemas.openxmlformats.org/officeDocument/2006/relationships/hyperlink" Target="https://ref.gamer.com.tw/redir.php?url=https%3A%2F%2Fcoupon.netmarble.com%2Ftskgb" TargetMode="External"/><Relationship Id="rId7" Type="http://schemas.openxmlformats.org/officeDocument/2006/relationships/printerSettings" Target="../printerSettings/printerSettings2.bin"/><Relationship Id="rId2" Type="http://schemas.openxmlformats.org/officeDocument/2006/relationships/hyperlink" Target="https://coupon.withhive.com/3003" TargetMode="External"/><Relationship Id="rId1" Type="http://schemas.openxmlformats.org/officeDocument/2006/relationships/hyperlink" Target="https://rxr.happyelements.co.jp/campaign" TargetMode="External"/><Relationship Id="rId6" Type="http://schemas.openxmlformats.org/officeDocument/2006/relationships/hyperlink" Target="https://stellasora.stargazer-games.com/redemption" TargetMode="External"/><Relationship Id="rId5" Type="http://schemas.openxmlformats.org/officeDocument/2006/relationships/hyperlink" Target="https://redeem-code.eidolons-cross.com/html/TW/redeem_code/redeem-code.html" TargetMode="External"/><Relationship Id="rId4" Type="http://schemas.openxmlformats.org/officeDocument/2006/relationships/hyperlink" Target="https://dbg-squadra.bn-ent.net/tw/serialcode"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Q627"/>
  <sheetViews>
    <sheetView tabSelected="1" zoomScaleNormal="100" workbookViewId="0">
      <pane xSplit="1" ySplit="1" topLeftCell="B274" activePane="bottomRight" state="frozen"/>
      <selection pane="topRight" activeCell="B1" sqref="B1"/>
      <selection pane="bottomLeft" activeCell="A2" sqref="A2"/>
      <selection pane="bottomRight" activeCell="I288" sqref="I288"/>
    </sheetView>
  </sheetViews>
  <sheetFormatPr defaultColWidth="8.875" defaultRowHeight="16.5"/>
  <cols>
    <col min="1" max="1" width="27" style="35" customWidth="1"/>
    <col min="2" max="3" width="14.625" style="35" customWidth="1"/>
    <col min="4" max="5" width="14.625" style="36" customWidth="1"/>
    <col min="6" max="6" width="10.75" style="35" customWidth="1"/>
    <col min="7" max="7" width="10.75" style="36" customWidth="1"/>
    <col min="8" max="8" width="20" style="36" customWidth="1"/>
    <col min="9" max="9" width="10.75" style="37" customWidth="1"/>
    <col min="10" max="10" width="9.125" style="38" customWidth="1"/>
    <col min="11" max="38" width="9.125" style="36" customWidth="1"/>
    <col min="39" max="39" width="9.125" style="35" customWidth="1"/>
    <col min="40" max="16384" width="8.875" style="35"/>
  </cols>
  <sheetData>
    <row r="1" spans="1:41" ht="45.75" customHeight="1">
      <c r="A1" s="39" t="s">
        <v>327</v>
      </c>
      <c r="B1" s="39" t="s">
        <v>1</v>
      </c>
      <c r="C1" s="39" t="s">
        <v>0</v>
      </c>
      <c r="D1" s="40" t="s">
        <v>328</v>
      </c>
      <c r="E1" s="40" t="s">
        <v>3503</v>
      </c>
      <c r="F1" s="39" t="s">
        <v>329</v>
      </c>
      <c r="G1" s="40" t="s">
        <v>3494</v>
      </c>
      <c r="H1" s="40" t="s">
        <v>2644</v>
      </c>
      <c r="I1" s="41" t="s">
        <v>330</v>
      </c>
      <c r="J1" s="42" t="s">
        <v>331</v>
      </c>
      <c r="K1" s="40" t="s">
        <v>332</v>
      </c>
      <c r="L1" s="40" t="s">
        <v>333</v>
      </c>
      <c r="M1" s="40" t="s">
        <v>334</v>
      </c>
      <c r="N1" s="40" t="s">
        <v>335</v>
      </c>
      <c r="O1" s="40" t="s">
        <v>336</v>
      </c>
      <c r="P1" s="40" t="s">
        <v>337</v>
      </c>
      <c r="Q1" s="40" t="s">
        <v>338</v>
      </c>
      <c r="R1" s="40" t="s">
        <v>339</v>
      </c>
      <c r="S1" s="40" t="s">
        <v>340</v>
      </c>
      <c r="T1" s="40" t="s">
        <v>341</v>
      </c>
      <c r="U1" s="40" t="s">
        <v>342</v>
      </c>
      <c r="V1" s="40" t="s">
        <v>343</v>
      </c>
      <c r="W1" s="40" t="s">
        <v>344</v>
      </c>
      <c r="X1" s="40" t="s">
        <v>345</v>
      </c>
      <c r="Y1" s="40" t="s">
        <v>346</v>
      </c>
      <c r="Z1" s="40" t="s">
        <v>347</v>
      </c>
      <c r="AA1" s="40" t="s">
        <v>348</v>
      </c>
      <c r="AB1" s="40" t="s">
        <v>349</v>
      </c>
      <c r="AC1" s="40" t="s">
        <v>350</v>
      </c>
      <c r="AD1" s="40" t="s">
        <v>351</v>
      </c>
      <c r="AE1" s="40" t="s">
        <v>352</v>
      </c>
      <c r="AF1" s="40" t="s">
        <v>353</v>
      </c>
      <c r="AG1" s="40" t="s">
        <v>354</v>
      </c>
      <c r="AH1" s="40" t="s">
        <v>355</v>
      </c>
      <c r="AI1" s="40" t="s">
        <v>356</v>
      </c>
      <c r="AJ1" s="40" t="s">
        <v>357</v>
      </c>
      <c r="AK1" s="40" t="s">
        <v>358</v>
      </c>
      <c r="AL1" s="40" t="s">
        <v>359</v>
      </c>
      <c r="AM1" s="39" t="s">
        <v>360</v>
      </c>
      <c r="AN1" s="39"/>
      <c r="AO1" s="39"/>
    </row>
    <row r="2" spans="1:41" ht="22.5" customHeight="1">
      <c r="A2" s="35" t="s">
        <v>361</v>
      </c>
      <c r="D2" s="43"/>
      <c r="F2" s="36" t="str">
        <f>IF(A2="","", "https://www.ssbuy.tw/detail_giftcode/dist/giftcodes/" &amp; IF(ISNUMBER(LEFT(A2,1)*1), "game-", "") &amp; A2 &amp; ".html")</f>
        <v>https://www.ssbuy.tw/detail_giftcode/dist/giftcodes/巔峰極速.html</v>
      </c>
      <c r="H2" s="36" t="str">
        <f>IF(A2="","", "https://www.ssbuy.tw/detail_giftcode/dist/gamedetail/" &amp; IF(ISNUMBER(LEFT(A2,1)*1), "game-", "") &amp; A2 &amp; ".html")</f>
        <v>https://www.ssbuy.tw/detail_giftcode/dist/gamedetail/巔峰極速.html</v>
      </c>
      <c r="I2" s="44" t="s">
        <v>362</v>
      </c>
      <c r="J2" s="38" t="s">
        <v>363</v>
      </c>
      <c r="K2" s="36">
        <v>30</v>
      </c>
      <c r="L2" s="36" t="s">
        <v>364</v>
      </c>
      <c r="M2" s="36">
        <v>137</v>
      </c>
      <c r="N2" s="36" t="s">
        <v>365</v>
      </c>
      <c r="O2" s="36">
        <v>260</v>
      </c>
      <c r="P2" s="36" t="s">
        <v>366</v>
      </c>
      <c r="Q2" s="36">
        <v>390</v>
      </c>
      <c r="R2" s="36" t="s">
        <v>367</v>
      </c>
      <c r="S2" s="36">
        <v>520</v>
      </c>
      <c r="T2" s="36" t="s">
        <v>368</v>
      </c>
      <c r="U2" s="36">
        <v>780</v>
      </c>
      <c r="V2" s="36" t="s">
        <v>369</v>
      </c>
      <c r="W2" s="36">
        <v>1300</v>
      </c>
      <c r="X2" s="36" t="s">
        <v>370</v>
      </c>
      <c r="Y2" s="36">
        <v>2395</v>
      </c>
      <c r="Z2" s="36" t="s">
        <v>371</v>
      </c>
      <c r="AA2" s="36">
        <v>137</v>
      </c>
      <c r="AB2" s="36" t="s">
        <v>372</v>
      </c>
      <c r="AC2" s="36">
        <v>260</v>
      </c>
      <c r="AD2" s="36" t="s">
        <v>373</v>
      </c>
      <c r="AE2" s="36">
        <v>520</v>
      </c>
      <c r="AF2" s="36" t="s">
        <v>374</v>
      </c>
      <c r="AG2" s="36">
        <v>1260</v>
      </c>
      <c r="AH2" s="36" t="s">
        <v>375</v>
      </c>
      <c r="AI2" s="36">
        <v>1150</v>
      </c>
    </row>
    <row r="3" spans="1:41" ht="22.5" customHeight="1">
      <c r="A3" s="35" t="s">
        <v>376</v>
      </c>
      <c r="D3" s="43"/>
      <c r="F3" s="36" t="str">
        <f t="shared" ref="F3:F66" si="0">IF(A3="","", "https://www.ssbuy.tw/detail_giftcode/dist/giftcodes/" &amp; IF(ISNUMBER(LEFT(A3,1)*1), "game-", "") &amp; A3 &amp; ".html")</f>
        <v>https://www.ssbuy.tw/detail_giftcode/dist/giftcodes/原神.html</v>
      </c>
      <c r="H3" s="36" t="str">
        <f t="shared" ref="H3:H66" si="1">IF(A3="","", "https://www.ssbuy.tw/detail_giftcode/dist/gamedetail/" &amp; IF(ISNUMBER(LEFT(A3,1)*1), "game-", "") &amp; A3 &amp; ".html")</f>
        <v>https://www.ssbuy.tw/detail_giftcode/dist/gamedetail/原神.html</v>
      </c>
      <c r="I3" s="44" t="s">
        <v>377</v>
      </c>
      <c r="J3" s="38" t="s">
        <v>378</v>
      </c>
      <c r="K3" s="36">
        <v>30</v>
      </c>
      <c r="L3" s="36" t="s">
        <v>379</v>
      </c>
      <c r="M3" s="36">
        <v>137</v>
      </c>
      <c r="N3" s="36" t="s">
        <v>380</v>
      </c>
      <c r="O3" s="36">
        <v>390</v>
      </c>
      <c r="P3" s="36" t="s">
        <v>381</v>
      </c>
      <c r="Q3" s="36">
        <v>780</v>
      </c>
      <c r="R3" s="36" t="s">
        <v>382</v>
      </c>
      <c r="S3" s="36">
        <v>1300</v>
      </c>
      <c r="T3" s="36" t="s">
        <v>383</v>
      </c>
      <c r="U3" s="36">
        <v>2350</v>
      </c>
      <c r="V3" s="36" t="s">
        <v>384</v>
      </c>
      <c r="W3" s="36">
        <v>137</v>
      </c>
      <c r="X3" s="36" t="s">
        <v>385</v>
      </c>
      <c r="Y3" s="36">
        <v>260</v>
      </c>
      <c r="Z3" s="36" t="s">
        <v>386</v>
      </c>
      <c r="AA3" s="36">
        <v>520</v>
      </c>
    </row>
    <row r="4" spans="1:41" ht="22.5" customHeight="1">
      <c r="A4" s="35" t="s">
        <v>387</v>
      </c>
      <c r="D4" s="43"/>
      <c r="F4" s="36" t="str">
        <f t="shared" si="0"/>
        <v>https://www.ssbuy.tw/detail_giftcode/dist/giftcodes/極速快感.html</v>
      </c>
      <c r="H4" s="36" t="str">
        <f t="shared" si="1"/>
        <v>https://www.ssbuy.tw/detail_giftcode/dist/gamedetail/極速快感.html</v>
      </c>
      <c r="I4" s="44" t="s">
        <v>388</v>
      </c>
      <c r="J4" s="38" t="s">
        <v>389</v>
      </c>
      <c r="K4" s="36">
        <v>35</v>
      </c>
      <c r="L4" s="36" t="s">
        <v>390</v>
      </c>
      <c r="M4" s="36">
        <v>137</v>
      </c>
      <c r="N4" s="36" t="s">
        <v>391</v>
      </c>
      <c r="O4" s="36">
        <v>264</v>
      </c>
      <c r="P4" s="36" t="s">
        <v>392</v>
      </c>
      <c r="Q4" s="36">
        <v>394</v>
      </c>
      <c r="R4" s="36" t="s">
        <v>393</v>
      </c>
      <c r="S4" s="36">
        <v>786</v>
      </c>
      <c r="T4" s="36" t="s">
        <v>394</v>
      </c>
      <c r="U4" s="36">
        <v>1130</v>
      </c>
      <c r="V4" s="36" t="s">
        <v>395</v>
      </c>
      <c r="W4" s="36">
        <v>1323</v>
      </c>
      <c r="X4" s="36" t="s">
        <v>396</v>
      </c>
      <c r="Y4" s="36">
        <v>2551</v>
      </c>
      <c r="Z4" s="36" t="s">
        <v>397</v>
      </c>
      <c r="AA4" s="36">
        <v>137</v>
      </c>
      <c r="AB4" s="36" t="s">
        <v>398</v>
      </c>
      <c r="AC4" s="36">
        <v>270</v>
      </c>
      <c r="AD4" s="36" t="s">
        <v>399</v>
      </c>
      <c r="AE4" s="36">
        <v>540</v>
      </c>
      <c r="AF4" s="36" t="s">
        <v>400</v>
      </c>
      <c r="AG4" s="36">
        <v>267</v>
      </c>
    </row>
    <row r="5" spans="1:41" ht="22.5" customHeight="1">
      <c r="A5" s="35" t="s">
        <v>401</v>
      </c>
      <c r="D5" s="43"/>
      <c r="E5" s="45"/>
      <c r="F5" s="36" t="str">
        <f t="shared" si="0"/>
        <v>https://www.ssbuy.tw/detail_giftcode/dist/giftcodes/俠客傳說：小小英雄.html</v>
      </c>
      <c r="H5" s="36" t="str">
        <f t="shared" si="1"/>
        <v>https://www.ssbuy.tw/detail_giftcode/dist/gamedetail/俠客傳說：小小英雄.html</v>
      </c>
      <c r="I5" s="44" t="s">
        <v>402</v>
      </c>
      <c r="J5" s="38" t="s">
        <v>403</v>
      </c>
      <c r="K5" s="36">
        <v>8300</v>
      </c>
      <c r="L5" s="36" t="s">
        <v>404</v>
      </c>
      <c r="M5" s="36">
        <v>2551</v>
      </c>
      <c r="N5" s="36" t="s">
        <v>405</v>
      </c>
      <c r="O5" s="36">
        <v>1323</v>
      </c>
      <c r="P5" s="36" t="s">
        <v>406</v>
      </c>
      <c r="Q5" s="36">
        <v>539</v>
      </c>
      <c r="R5" s="36" t="s">
        <v>407</v>
      </c>
      <c r="S5" s="36">
        <v>267</v>
      </c>
      <c r="T5" s="36" t="s">
        <v>408</v>
      </c>
      <c r="U5" s="36">
        <v>137</v>
      </c>
      <c r="V5" s="36" t="s">
        <v>409</v>
      </c>
      <c r="W5" s="36">
        <v>40</v>
      </c>
    </row>
    <row r="6" spans="1:41" ht="22.5" customHeight="1">
      <c r="A6" s="35" t="s">
        <v>410</v>
      </c>
      <c r="F6" s="36" t="str">
        <f t="shared" si="0"/>
        <v>https://www.ssbuy.tw/detail_giftcode/dist/giftcodes/逆水寒.html</v>
      </c>
      <c r="H6" s="36" t="str">
        <f t="shared" si="1"/>
        <v>https://www.ssbuy.tw/detail_giftcode/dist/gamedetail/逆水寒.html</v>
      </c>
      <c r="I6" s="44" t="s">
        <v>411</v>
      </c>
      <c r="J6" s="38" t="s">
        <v>412</v>
      </c>
      <c r="K6" s="36">
        <v>2390</v>
      </c>
      <c r="L6" s="36" t="s">
        <v>413</v>
      </c>
      <c r="M6" s="36">
        <v>1323</v>
      </c>
      <c r="N6" s="36" t="s">
        <v>414</v>
      </c>
      <c r="O6" s="36">
        <v>810</v>
      </c>
      <c r="P6" s="36" t="s">
        <v>415</v>
      </c>
      <c r="Q6" s="36">
        <v>410</v>
      </c>
      <c r="R6" s="36" t="s">
        <v>416</v>
      </c>
      <c r="S6" s="36">
        <v>137</v>
      </c>
      <c r="T6" s="36" t="s">
        <v>417</v>
      </c>
      <c r="U6" s="36">
        <v>30</v>
      </c>
    </row>
    <row r="7" spans="1:41" ht="22.5" customHeight="1">
      <c r="A7" s="35" t="s">
        <v>418</v>
      </c>
      <c r="F7" s="36" t="str">
        <f t="shared" si="0"/>
        <v>https://www.ssbuy.tw/detail_giftcode/dist/giftcodes/RO仙境傳說：一定要可愛.html</v>
      </c>
      <c r="H7" s="36" t="str">
        <f t="shared" si="1"/>
        <v>https://www.ssbuy.tw/detail_giftcode/dist/gamedetail/RO仙境傳說：一定要可愛.html</v>
      </c>
      <c r="I7" s="44" t="s">
        <v>419</v>
      </c>
      <c r="J7" s="38" t="s">
        <v>420</v>
      </c>
      <c r="K7" s="36">
        <v>2551</v>
      </c>
      <c r="L7" s="36" t="s">
        <v>421</v>
      </c>
      <c r="M7" s="36">
        <v>1720</v>
      </c>
      <c r="N7" s="36" t="s">
        <v>422</v>
      </c>
      <c r="O7" s="36">
        <v>786</v>
      </c>
      <c r="P7" s="36" t="s">
        <v>423</v>
      </c>
      <c r="Q7" s="36">
        <v>394</v>
      </c>
      <c r="R7" s="36" t="s">
        <v>424</v>
      </c>
      <c r="S7" s="36">
        <v>267</v>
      </c>
      <c r="T7" s="36" t="s">
        <v>425</v>
      </c>
      <c r="U7" s="36">
        <v>137</v>
      </c>
      <c r="V7" s="36" t="s">
        <v>426</v>
      </c>
      <c r="W7" s="36">
        <v>50</v>
      </c>
    </row>
    <row r="8" spans="1:41" ht="22.5" customHeight="1">
      <c r="A8" s="35" t="s">
        <v>427</v>
      </c>
      <c r="F8" s="36" t="str">
        <f t="shared" si="0"/>
        <v>https://www.ssbuy.tw/detail_giftcode/dist/giftcodes/RO新世代.html</v>
      </c>
      <c r="H8" s="36" t="str">
        <f t="shared" si="1"/>
        <v>https://www.ssbuy.tw/detail_giftcode/dist/gamedetail/RO新世代.html</v>
      </c>
      <c r="I8" s="44" t="s">
        <v>428</v>
      </c>
      <c r="J8" s="38" t="s">
        <v>429</v>
      </c>
      <c r="K8" s="36">
        <v>2551</v>
      </c>
      <c r="L8" s="36" t="s">
        <v>430</v>
      </c>
      <c r="M8" s="36">
        <v>1323</v>
      </c>
      <c r="N8" s="36" t="s">
        <v>431</v>
      </c>
      <c r="O8" s="36">
        <v>786</v>
      </c>
      <c r="P8" s="36" t="s">
        <v>432</v>
      </c>
      <c r="Q8" s="36">
        <v>539</v>
      </c>
      <c r="R8" s="36" t="s">
        <v>433</v>
      </c>
      <c r="S8" s="36">
        <v>267</v>
      </c>
      <c r="T8" s="36" t="s">
        <v>434</v>
      </c>
      <c r="U8" s="36">
        <v>137</v>
      </c>
      <c r="V8" s="36" t="s">
        <v>435</v>
      </c>
      <c r="W8" s="36">
        <v>35</v>
      </c>
    </row>
    <row r="9" spans="1:41" ht="22.5" customHeight="1">
      <c r="A9" s="35" t="s">
        <v>436</v>
      </c>
      <c r="F9" s="36" t="str">
        <f t="shared" si="0"/>
        <v>https://www.ssbuy.tw/detail_giftcode/dist/giftcodes/上古：龍神覺醒.html</v>
      </c>
      <c r="H9" s="36" t="str">
        <f t="shared" si="1"/>
        <v>https://www.ssbuy.tw/detail_giftcode/dist/gamedetail/上古：龍神覺醒.html</v>
      </c>
      <c r="I9" s="44" t="s">
        <v>437</v>
      </c>
      <c r="J9" s="38" t="s">
        <v>438</v>
      </c>
      <c r="K9" s="36">
        <v>2551</v>
      </c>
      <c r="L9" s="36" t="s">
        <v>439</v>
      </c>
      <c r="M9" s="36">
        <v>1380</v>
      </c>
      <c r="N9" s="36" t="s">
        <v>440</v>
      </c>
      <c r="O9" s="36">
        <v>830</v>
      </c>
      <c r="P9" s="36" t="s">
        <v>441</v>
      </c>
      <c r="Q9" s="36">
        <v>539</v>
      </c>
      <c r="R9" s="36" t="s">
        <v>442</v>
      </c>
      <c r="S9" s="36">
        <v>394</v>
      </c>
      <c r="T9" s="36" t="s">
        <v>443</v>
      </c>
      <c r="U9" s="36">
        <v>267</v>
      </c>
      <c r="V9" s="36" t="s">
        <v>444</v>
      </c>
      <c r="W9" s="36">
        <v>137</v>
      </c>
      <c r="X9" s="36" t="s">
        <v>445</v>
      </c>
      <c r="Y9" s="36">
        <v>35</v>
      </c>
    </row>
    <row r="10" spans="1:41" ht="22.5" customHeight="1">
      <c r="A10" s="35" t="s">
        <v>446</v>
      </c>
      <c r="F10" s="36" t="str">
        <f t="shared" si="0"/>
        <v>https://www.ssbuy.tw/detail_giftcode/dist/giftcodes/小艦艦超勇.html</v>
      </c>
      <c r="H10" s="36" t="str">
        <f t="shared" si="1"/>
        <v>https://www.ssbuy.tw/detail_giftcode/dist/gamedetail/小艦艦超勇.html</v>
      </c>
      <c r="I10" s="44" t="s">
        <v>447</v>
      </c>
      <c r="J10" s="38" t="s">
        <v>448</v>
      </c>
      <c r="K10" s="36">
        <v>2551</v>
      </c>
      <c r="L10" s="36" t="s">
        <v>449</v>
      </c>
      <c r="M10" s="36">
        <v>1323</v>
      </c>
      <c r="N10" s="36" t="s">
        <v>450</v>
      </c>
      <c r="O10" s="36">
        <v>539</v>
      </c>
      <c r="P10" s="36" t="s">
        <v>451</v>
      </c>
      <c r="Q10" s="36">
        <v>267</v>
      </c>
      <c r="R10" s="36" t="s">
        <v>452</v>
      </c>
      <c r="S10" s="36">
        <v>137</v>
      </c>
      <c r="T10" s="36" t="s">
        <v>453</v>
      </c>
      <c r="U10" s="36">
        <v>40</v>
      </c>
    </row>
    <row r="11" spans="1:41" ht="22.5" customHeight="1">
      <c r="A11" s="35" t="s">
        <v>454</v>
      </c>
      <c r="F11" s="36" t="str">
        <f t="shared" si="0"/>
        <v>https://www.ssbuy.tw/detail_giftcode/dist/giftcodes/天使軍團.html</v>
      </c>
      <c r="H11" s="36" t="str">
        <f t="shared" si="1"/>
        <v>https://www.ssbuy.tw/detail_giftcode/dist/gamedetail/天使軍團.html</v>
      </c>
      <c r="I11" s="44" t="s">
        <v>455</v>
      </c>
      <c r="J11" s="38" t="s">
        <v>456</v>
      </c>
      <c r="K11" s="36">
        <v>2551</v>
      </c>
      <c r="L11" s="36" t="s">
        <v>457</v>
      </c>
      <c r="M11" s="36">
        <v>1323</v>
      </c>
      <c r="N11" s="36" t="s">
        <v>431</v>
      </c>
      <c r="O11" s="36">
        <v>786</v>
      </c>
      <c r="P11" s="36" t="s">
        <v>458</v>
      </c>
      <c r="Q11" s="36">
        <v>539</v>
      </c>
      <c r="R11" s="36" t="s">
        <v>459</v>
      </c>
      <c r="S11" s="36">
        <v>267</v>
      </c>
      <c r="T11" s="36" t="s">
        <v>460</v>
      </c>
      <c r="U11" s="36">
        <v>137</v>
      </c>
      <c r="V11" s="36" t="s">
        <v>461</v>
      </c>
      <c r="W11" s="36">
        <v>35</v>
      </c>
    </row>
    <row r="12" spans="1:41" ht="22.5" customHeight="1">
      <c r="A12" s="35" t="s">
        <v>462</v>
      </c>
      <c r="F12" s="36" t="str">
        <f t="shared" si="0"/>
        <v>https://www.ssbuy.tw/detail_giftcode/dist/giftcodes/天堂W.html</v>
      </c>
      <c r="H12" s="36" t="str">
        <f t="shared" si="1"/>
        <v>https://www.ssbuy.tw/detail_giftcode/dist/gamedetail/天堂W.html</v>
      </c>
      <c r="I12" s="44" t="s">
        <v>463</v>
      </c>
      <c r="J12" s="38" t="s">
        <v>464</v>
      </c>
      <c r="K12" s="36">
        <v>5300</v>
      </c>
      <c r="L12" s="36" t="s">
        <v>465</v>
      </c>
      <c r="M12" s="36">
        <v>2360</v>
      </c>
      <c r="N12" s="36" t="s">
        <v>466</v>
      </c>
      <c r="O12" s="36">
        <v>1180</v>
      </c>
      <c r="P12" s="36" t="s">
        <v>467</v>
      </c>
      <c r="Q12" s="36">
        <v>730</v>
      </c>
      <c r="R12" s="36" t="s">
        <v>468</v>
      </c>
      <c r="S12" s="36">
        <v>250</v>
      </c>
    </row>
    <row r="13" spans="1:41" ht="22.5" customHeight="1">
      <c r="A13" s="35" t="s">
        <v>469</v>
      </c>
      <c r="F13" s="36" t="str">
        <f t="shared" si="0"/>
        <v>https://www.ssbuy.tw/detail_giftcode/dist/giftcodes/少女前線2：追放.html</v>
      </c>
      <c r="H13" s="36" t="str">
        <f t="shared" si="1"/>
        <v>https://www.ssbuy.tw/detail_giftcode/dist/gamedetail/少女前線2：追放.html</v>
      </c>
      <c r="I13" s="44" t="s">
        <v>470</v>
      </c>
      <c r="J13" s="38" t="s">
        <v>471</v>
      </c>
      <c r="K13" s="36">
        <v>2551</v>
      </c>
      <c r="L13" s="36" t="s">
        <v>472</v>
      </c>
      <c r="M13" s="36">
        <v>1323</v>
      </c>
      <c r="N13" s="36" t="s">
        <v>473</v>
      </c>
      <c r="O13" s="36">
        <v>786</v>
      </c>
      <c r="P13" s="36" t="s">
        <v>474</v>
      </c>
      <c r="Q13" s="36">
        <v>539</v>
      </c>
      <c r="R13" s="36" t="s">
        <v>475</v>
      </c>
      <c r="S13" s="36">
        <v>267</v>
      </c>
      <c r="T13" s="36" t="s">
        <v>476</v>
      </c>
      <c r="U13" s="36">
        <v>137</v>
      </c>
      <c r="V13" s="36" t="s">
        <v>461</v>
      </c>
      <c r="W13" s="36">
        <v>35</v>
      </c>
    </row>
    <row r="14" spans="1:41" ht="22.5" customHeight="1">
      <c r="A14" s="35" t="s">
        <v>477</v>
      </c>
      <c r="F14" s="36" t="str">
        <f t="shared" si="0"/>
        <v>https://www.ssbuy.tw/detail_giftcode/dist/giftcodes/幻獸傳說Ｍ.html</v>
      </c>
      <c r="H14" s="36" t="str">
        <f t="shared" si="1"/>
        <v>https://www.ssbuy.tw/detail_giftcode/dist/gamedetail/幻獸傳說Ｍ.html</v>
      </c>
      <c r="I14" s="44" t="s">
        <v>478</v>
      </c>
      <c r="J14" s="38" t="s">
        <v>479</v>
      </c>
      <c r="K14" s="36">
        <v>2551</v>
      </c>
      <c r="L14" s="36" t="s">
        <v>480</v>
      </c>
      <c r="M14" s="36">
        <v>1323</v>
      </c>
      <c r="N14" s="36" t="s">
        <v>481</v>
      </c>
      <c r="O14" s="36">
        <v>786</v>
      </c>
      <c r="P14" s="36" t="s">
        <v>482</v>
      </c>
      <c r="Q14" s="36">
        <v>539</v>
      </c>
      <c r="R14" s="36" t="s">
        <v>483</v>
      </c>
      <c r="S14" s="36">
        <v>394</v>
      </c>
      <c r="T14" s="36" t="s">
        <v>484</v>
      </c>
      <c r="U14" s="36">
        <v>267</v>
      </c>
      <c r="V14" s="36" t="s">
        <v>485</v>
      </c>
      <c r="W14" s="36">
        <v>137</v>
      </c>
      <c r="X14" s="36" t="s">
        <v>486</v>
      </c>
      <c r="Y14" s="36">
        <v>35</v>
      </c>
    </row>
    <row r="15" spans="1:41" ht="22.5" customHeight="1">
      <c r="A15" s="35" t="s">
        <v>487</v>
      </c>
      <c r="F15" s="36" t="str">
        <f t="shared" si="0"/>
        <v>https://www.ssbuy.tw/detail_giftcode/dist/giftcodes/未定事件簿.html</v>
      </c>
      <c r="H15" s="36" t="str">
        <f t="shared" si="1"/>
        <v>https://www.ssbuy.tw/detail_giftcode/dist/gamedetail/未定事件簿.html</v>
      </c>
      <c r="I15" s="44" t="s">
        <v>488</v>
      </c>
      <c r="J15" s="38" t="s">
        <v>489</v>
      </c>
      <c r="K15" s="36">
        <v>2551</v>
      </c>
      <c r="L15" s="36" t="s">
        <v>490</v>
      </c>
      <c r="M15" s="36">
        <v>1323</v>
      </c>
      <c r="N15" s="36" t="s">
        <v>491</v>
      </c>
      <c r="O15" s="36">
        <v>786</v>
      </c>
      <c r="P15" s="36" t="s">
        <v>492</v>
      </c>
      <c r="Q15" s="36">
        <v>539</v>
      </c>
      <c r="R15" s="36" t="s">
        <v>493</v>
      </c>
      <c r="S15" s="36">
        <v>267</v>
      </c>
      <c r="T15" s="36" t="s">
        <v>494</v>
      </c>
      <c r="U15" s="36">
        <v>137</v>
      </c>
      <c r="V15" s="36" t="s">
        <v>495</v>
      </c>
      <c r="W15" s="36">
        <v>35</v>
      </c>
    </row>
    <row r="16" spans="1:41" ht="22.5" customHeight="1">
      <c r="A16" s="35" t="s">
        <v>496</v>
      </c>
      <c r="F16" s="36" t="str">
        <f t="shared" si="0"/>
        <v>https://www.ssbuy.tw/detail_giftcode/dist/giftcodes/永恆靈魂.html</v>
      </c>
      <c r="H16" s="36" t="str">
        <f t="shared" si="1"/>
        <v>https://www.ssbuy.tw/detail_giftcode/dist/gamedetail/永恆靈魂.html</v>
      </c>
      <c r="I16" s="44" t="s">
        <v>497</v>
      </c>
      <c r="J16" s="38" t="s">
        <v>498</v>
      </c>
      <c r="K16" s="36">
        <v>2551</v>
      </c>
      <c r="L16" s="36" t="s">
        <v>430</v>
      </c>
      <c r="M16" s="36">
        <v>1323</v>
      </c>
      <c r="N16" s="36" t="s">
        <v>499</v>
      </c>
      <c r="O16" s="36">
        <v>786</v>
      </c>
      <c r="P16" s="36" t="s">
        <v>500</v>
      </c>
      <c r="Q16" s="36">
        <v>539</v>
      </c>
      <c r="R16" s="36" t="s">
        <v>501</v>
      </c>
      <c r="S16" s="36">
        <v>267</v>
      </c>
      <c r="T16" s="36" t="s">
        <v>502</v>
      </c>
      <c r="U16" s="36">
        <v>137</v>
      </c>
      <c r="V16" s="36" t="s">
        <v>461</v>
      </c>
      <c r="W16" s="36">
        <v>35</v>
      </c>
    </row>
    <row r="17" spans="1:27" ht="22.5" customHeight="1">
      <c r="A17" s="35" t="s">
        <v>503</v>
      </c>
      <c r="F17" s="36" t="str">
        <f t="shared" si="0"/>
        <v>https://www.ssbuy.tw/detail_giftcode/dist/giftcodes/守住呀主公.html</v>
      </c>
      <c r="H17" s="36" t="str">
        <f t="shared" si="1"/>
        <v>https://www.ssbuy.tw/detail_giftcode/dist/gamedetail/守住呀主公.html</v>
      </c>
      <c r="I17" s="44" t="s">
        <v>504</v>
      </c>
      <c r="J17" s="38" t="s">
        <v>505</v>
      </c>
      <c r="K17" s="36">
        <v>2551</v>
      </c>
      <c r="L17" s="36" t="s">
        <v>506</v>
      </c>
      <c r="M17" s="36">
        <v>1323</v>
      </c>
      <c r="N17" s="36" t="s">
        <v>507</v>
      </c>
      <c r="O17" s="36">
        <v>786</v>
      </c>
      <c r="P17" s="36" t="s">
        <v>508</v>
      </c>
      <c r="Q17" s="36">
        <v>539</v>
      </c>
      <c r="R17" s="36" t="s">
        <v>509</v>
      </c>
      <c r="S17" s="36">
        <v>394</v>
      </c>
      <c r="T17" s="36" t="s">
        <v>510</v>
      </c>
      <c r="U17" s="36">
        <v>267</v>
      </c>
      <c r="V17" s="36" t="s">
        <v>511</v>
      </c>
      <c r="W17" s="36">
        <v>137</v>
      </c>
      <c r="X17" s="36" t="s">
        <v>512</v>
      </c>
      <c r="Y17" s="36">
        <v>30</v>
      </c>
    </row>
    <row r="18" spans="1:27" ht="22.5" customHeight="1">
      <c r="A18" s="35" t="s">
        <v>513</v>
      </c>
      <c r="F18" s="36" t="str">
        <f t="shared" si="0"/>
        <v>https://www.ssbuy.tw/detail_giftcode/dist/giftcodes/吟遊戰記.html</v>
      </c>
      <c r="H18" s="36" t="str">
        <f t="shared" si="1"/>
        <v>https://www.ssbuy.tw/detail_giftcode/dist/gamedetail/吟遊戰記.html</v>
      </c>
      <c r="I18" s="44" t="s">
        <v>514</v>
      </c>
      <c r="J18" s="38" t="s">
        <v>515</v>
      </c>
      <c r="K18" s="36">
        <v>2551</v>
      </c>
      <c r="L18" s="36" t="s">
        <v>516</v>
      </c>
      <c r="M18" s="36">
        <v>1323</v>
      </c>
      <c r="N18" s="36" t="s">
        <v>517</v>
      </c>
      <c r="O18" s="36">
        <v>786</v>
      </c>
      <c r="P18" s="36" t="s">
        <v>518</v>
      </c>
      <c r="Q18" s="36">
        <v>539</v>
      </c>
      <c r="R18" s="36" t="s">
        <v>519</v>
      </c>
      <c r="S18" s="36">
        <v>394</v>
      </c>
      <c r="T18" s="36" t="s">
        <v>520</v>
      </c>
      <c r="U18" s="36">
        <v>267</v>
      </c>
      <c r="V18" s="36" t="s">
        <v>521</v>
      </c>
      <c r="W18" s="36">
        <v>137</v>
      </c>
      <c r="X18" s="36" t="s">
        <v>522</v>
      </c>
      <c r="Y18" s="36">
        <v>30</v>
      </c>
    </row>
    <row r="19" spans="1:27" ht="22.5" customHeight="1">
      <c r="A19" s="35" t="s">
        <v>523</v>
      </c>
      <c r="F19" s="36" t="str">
        <f t="shared" si="0"/>
        <v>https://www.ssbuy.tw/detail_giftcode/dist/giftcodes/我獨自升級：ARISE.html</v>
      </c>
      <c r="H19" s="36" t="str">
        <f t="shared" si="1"/>
        <v>https://www.ssbuy.tw/detail_giftcode/dist/gamedetail/我獨自升級：ARISE.html</v>
      </c>
      <c r="I19" s="44" t="s">
        <v>524</v>
      </c>
      <c r="J19" s="38" t="s">
        <v>525</v>
      </c>
      <c r="K19" s="36">
        <v>1940</v>
      </c>
      <c r="L19" s="36" t="s">
        <v>526</v>
      </c>
      <c r="M19" s="36">
        <v>1150</v>
      </c>
      <c r="N19" s="36" t="s">
        <v>527</v>
      </c>
      <c r="O19" s="36">
        <v>620</v>
      </c>
      <c r="P19" s="36" t="s">
        <v>528</v>
      </c>
      <c r="Q19" s="36">
        <v>267</v>
      </c>
      <c r="R19" s="36" t="s">
        <v>529</v>
      </c>
      <c r="S19" s="36">
        <v>90</v>
      </c>
      <c r="T19" s="36" t="s">
        <v>530</v>
      </c>
      <c r="U19" s="36">
        <v>30</v>
      </c>
    </row>
    <row r="20" spans="1:27" ht="22.5" customHeight="1">
      <c r="A20" s="35" t="s">
        <v>531</v>
      </c>
      <c r="F20" s="36" t="str">
        <f t="shared" si="0"/>
        <v>https://www.ssbuy.tw/detail_giftcode/dist/giftcodes/命運聖契：少女的羈絆.html</v>
      </c>
      <c r="H20" s="36" t="str">
        <f t="shared" si="1"/>
        <v>https://www.ssbuy.tw/detail_giftcode/dist/gamedetail/命運聖契：少女的羈絆.html</v>
      </c>
      <c r="I20" s="44" t="s">
        <v>532</v>
      </c>
      <c r="J20" s="38" t="s">
        <v>533</v>
      </c>
      <c r="K20" s="36">
        <v>2551</v>
      </c>
      <c r="L20" s="36" t="s">
        <v>534</v>
      </c>
      <c r="M20" s="36">
        <v>1323</v>
      </c>
      <c r="N20" s="36" t="s">
        <v>535</v>
      </c>
      <c r="O20" s="36">
        <v>786</v>
      </c>
      <c r="P20" s="36" t="s">
        <v>536</v>
      </c>
      <c r="Q20" s="36">
        <v>394</v>
      </c>
      <c r="R20" s="36" t="s">
        <v>537</v>
      </c>
      <c r="S20" s="36">
        <v>137</v>
      </c>
      <c r="T20" s="36" t="s">
        <v>538</v>
      </c>
      <c r="U20" s="36">
        <v>40</v>
      </c>
    </row>
    <row r="21" spans="1:27" ht="22.5" customHeight="1">
      <c r="A21" s="35" t="s">
        <v>539</v>
      </c>
      <c r="F21" s="36" t="str">
        <f t="shared" si="0"/>
        <v>https://www.ssbuy.tw/detail_giftcode/dist/giftcodes/放置軍團.html</v>
      </c>
      <c r="H21" s="36" t="str">
        <f t="shared" si="1"/>
        <v>https://www.ssbuy.tw/detail_giftcode/dist/gamedetail/放置軍團.html</v>
      </c>
      <c r="I21" s="44" t="s">
        <v>540</v>
      </c>
      <c r="J21" s="38" t="s">
        <v>541</v>
      </c>
      <c r="K21" s="36">
        <v>2540</v>
      </c>
      <c r="L21" s="36" t="s">
        <v>542</v>
      </c>
      <c r="M21" s="36">
        <v>1280</v>
      </c>
      <c r="N21" s="36" t="s">
        <v>543</v>
      </c>
      <c r="O21" s="36">
        <v>539</v>
      </c>
      <c r="P21" s="36" t="s">
        <v>544</v>
      </c>
      <c r="Q21" s="36">
        <v>267</v>
      </c>
      <c r="R21" s="36" t="s">
        <v>545</v>
      </c>
      <c r="S21" s="36">
        <v>137</v>
      </c>
    </row>
    <row r="22" spans="1:27" ht="22.5" customHeight="1">
      <c r="A22" s="35" t="s">
        <v>546</v>
      </c>
      <c r="F22" s="36" t="str">
        <f t="shared" si="0"/>
        <v>https://www.ssbuy.tw/detail_giftcode/dist/giftcodes/明日方舟.html</v>
      </c>
      <c r="H22" s="36" t="str">
        <f t="shared" si="1"/>
        <v>https://www.ssbuy.tw/detail_giftcode/dist/gamedetail/明日方舟.html</v>
      </c>
      <c r="I22" s="44" t="s">
        <v>547</v>
      </c>
      <c r="J22" s="38" t="s">
        <v>498</v>
      </c>
      <c r="K22" s="36">
        <v>2551</v>
      </c>
      <c r="L22" s="36" t="s">
        <v>548</v>
      </c>
      <c r="M22" s="36">
        <v>1323</v>
      </c>
      <c r="N22" s="36" t="s">
        <v>473</v>
      </c>
      <c r="O22" s="36">
        <v>786</v>
      </c>
      <c r="P22" s="36" t="s">
        <v>549</v>
      </c>
      <c r="Q22" s="36">
        <v>539</v>
      </c>
      <c r="R22" s="36" t="s">
        <v>550</v>
      </c>
      <c r="S22" s="36">
        <v>267</v>
      </c>
      <c r="T22" s="36" t="s">
        <v>551</v>
      </c>
      <c r="U22" s="36">
        <v>137</v>
      </c>
      <c r="V22" s="36" t="s">
        <v>552</v>
      </c>
      <c r="W22" s="36">
        <v>35</v>
      </c>
    </row>
    <row r="23" spans="1:27" ht="22.5" customHeight="1">
      <c r="A23" s="35" t="s">
        <v>553</v>
      </c>
      <c r="F23" s="36" t="str">
        <f t="shared" si="0"/>
        <v>https://www.ssbuy.tw/detail_giftcode/dist/giftcodes/屍鬼三國.html</v>
      </c>
      <c r="H23" s="36" t="str">
        <f t="shared" si="1"/>
        <v>https://www.ssbuy.tw/detail_giftcode/dist/gamedetail/屍鬼三國.html</v>
      </c>
      <c r="I23" s="44" t="s">
        <v>554</v>
      </c>
      <c r="J23" s="38" t="s">
        <v>555</v>
      </c>
      <c r="K23" s="36">
        <v>2551</v>
      </c>
      <c r="L23" s="36" t="s">
        <v>556</v>
      </c>
      <c r="M23" s="36">
        <v>1323</v>
      </c>
      <c r="N23" s="36" t="s">
        <v>557</v>
      </c>
      <c r="O23" s="36">
        <v>786</v>
      </c>
      <c r="P23" s="36" t="s">
        <v>558</v>
      </c>
      <c r="Q23" s="36">
        <v>394</v>
      </c>
      <c r="R23" s="36" t="s">
        <v>559</v>
      </c>
      <c r="S23" s="36">
        <v>137</v>
      </c>
      <c r="T23" s="36" t="s">
        <v>560</v>
      </c>
      <c r="U23" s="36">
        <v>30</v>
      </c>
    </row>
    <row r="24" spans="1:27" ht="22.5" customHeight="1">
      <c r="A24" s="35" t="s">
        <v>561</v>
      </c>
      <c r="F24" s="36" t="str">
        <f t="shared" si="0"/>
        <v>https://www.ssbuy.tw/detail_giftcode/dist/giftcodes/星鏈計畫：未來少女.html</v>
      </c>
      <c r="H24" s="36" t="str">
        <f t="shared" si="1"/>
        <v>https://www.ssbuy.tw/detail_giftcode/dist/gamedetail/星鏈計畫：未來少女.html</v>
      </c>
      <c r="I24" s="44" t="s">
        <v>562</v>
      </c>
      <c r="J24" s="38" t="s">
        <v>563</v>
      </c>
      <c r="K24" s="36">
        <v>2150</v>
      </c>
      <c r="L24" s="36" t="s">
        <v>564</v>
      </c>
      <c r="M24" s="36">
        <v>1750</v>
      </c>
      <c r="N24" s="36" t="s">
        <v>565</v>
      </c>
      <c r="O24" s="36">
        <v>1130</v>
      </c>
      <c r="P24" s="36" t="s">
        <v>566</v>
      </c>
      <c r="Q24" s="36">
        <v>700</v>
      </c>
      <c r="R24" s="36" t="s">
        <v>567</v>
      </c>
      <c r="S24" s="36">
        <v>340</v>
      </c>
      <c r="T24" s="36" t="s">
        <v>568</v>
      </c>
      <c r="U24" s="36">
        <v>90</v>
      </c>
    </row>
    <row r="25" spans="1:27" ht="22.5" customHeight="1">
      <c r="A25" s="35" t="s">
        <v>569</v>
      </c>
      <c r="F25" s="36" t="str">
        <f t="shared" si="0"/>
        <v>https://www.ssbuy.tw/detail_giftcode/dist/giftcodes/英雄之王.html</v>
      </c>
      <c r="H25" s="36" t="str">
        <f t="shared" si="1"/>
        <v>https://www.ssbuy.tw/detail_giftcode/dist/gamedetail/英雄之王.html</v>
      </c>
      <c r="I25" s="44" t="s">
        <v>570</v>
      </c>
      <c r="J25" s="38" t="s">
        <v>571</v>
      </c>
      <c r="K25" s="36">
        <v>2551</v>
      </c>
      <c r="L25" s="36" t="s">
        <v>490</v>
      </c>
      <c r="M25" s="36">
        <v>1323</v>
      </c>
      <c r="N25" s="36" t="s">
        <v>491</v>
      </c>
      <c r="O25" s="36">
        <v>786</v>
      </c>
      <c r="P25" s="36" t="s">
        <v>572</v>
      </c>
      <c r="Q25" s="36">
        <v>539</v>
      </c>
      <c r="R25" s="36" t="s">
        <v>573</v>
      </c>
      <c r="S25" s="36">
        <v>267</v>
      </c>
      <c r="T25" s="36" t="s">
        <v>574</v>
      </c>
      <c r="U25" s="36">
        <v>137</v>
      </c>
      <c r="V25" s="36" t="s">
        <v>575</v>
      </c>
      <c r="W25" s="36">
        <v>35</v>
      </c>
    </row>
    <row r="26" spans="1:27" ht="22.5" customHeight="1">
      <c r="A26" s="35" t="s">
        <v>576</v>
      </c>
      <c r="F26" s="36" t="str">
        <f t="shared" si="0"/>
        <v>https://www.ssbuy.tw/detail_giftcode/dist/giftcodes/英雄聯盟.html</v>
      </c>
      <c r="H26" s="36" t="str">
        <f t="shared" si="1"/>
        <v>https://www.ssbuy.tw/detail_giftcode/dist/gamedetail/英雄聯盟.html</v>
      </c>
      <c r="I26" s="44" t="s">
        <v>1535</v>
      </c>
      <c r="J26" s="38" t="s">
        <v>577</v>
      </c>
      <c r="K26" s="36">
        <v>2420</v>
      </c>
      <c r="L26" s="36" t="s">
        <v>578</v>
      </c>
      <c r="M26" s="36">
        <v>1323</v>
      </c>
      <c r="N26" s="36" t="s">
        <v>579</v>
      </c>
      <c r="O26" s="36">
        <v>740</v>
      </c>
      <c r="P26" s="36" t="s">
        <v>580</v>
      </c>
      <c r="Q26" s="36">
        <v>267</v>
      </c>
      <c r="R26" s="36" t="s">
        <v>581</v>
      </c>
      <c r="S26" s="36">
        <v>137</v>
      </c>
    </row>
    <row r="27" spans="1:27" ht="22.5" customHeight="1">
      <c r="A27" s="35" t="s">
        <v>582</v>
      </c>
      <c r="F27" s="36" t="str">
        <f t="shared" si="0"/>
        <v>https://www.ssbuy.tw/detail_giftcode/dist/giftcodes/恐龍突變.html</v>
      </c>
      <c r="H27" s="36" t="str">
        <f t="shared" si="1"/>
        <v>https://www.ssbuy.tw/detail_giftcode/dist/gamedetail/恐龍突變.html</v>
      </c>
      <c r="I27" s="44" t="s">
        <v>583</v>
      </c>
      <c r="J27" s="38" t="s">
        <v>584</v>
      </c>
      <c r="K27" s="36">
        <v>1323</v>
      </c>
      <c r="L27" s="36" t="s">
        <v>585</v>
      </c>
      <c r="M27" s="36">
        <v>1120</v>
      </c>
      <c r="N27" s="36" t="s">
        <v>586</v>
      </c>
      <c r="O27" s="36">
        <v>786</v>
      </c>
      <c r="P27" s="36" t="s">
        <v>587</v>
      </c>
      <c r="Q27" s="36">
        <v>680</v>
      </c>
      <c r="R27" s="36" t="s">
        <v>588</v>
      </c>
      <c r="S27" s="36">
        <v>539</v>
      </c>
      <c r="T27" s="36" t="s">
        <v>589</v>
      </c>
      <c r="U27" s="36">
        <v>394</v>
      </c>
      <c r="V27" s="36" t="s">
        <v>590</v>
      </c>
      <c r="W27" s="36">
        <v>267</v>
      </c>
      <c r="X27" s="36" t="s">
        <v>591</v>
      </c>
      <c r="Y27" s="36">
        <v>170</v>
      </c>
    </row>
    <row r="28" spans="1:27" ht="22.5" customHeight="1">
      <c r="A28" s="35" t="s">
        <v>592</v>
      </c>
      <c r="F28" s="36" t="str">
        <f t="shared" si="0"/>
        <v>https://www.ssbuy.tw/detail_giftcode/dist/giftcodes/神域.html</v>
      </c>
      <c r="H28" s="36" t="str">
        <f t="shared" si="1"/>
        <v>https://www.ssbuy.tw/detail_giftcode/dist/gamedetail/神域.html</v>
      </c>
      <c r="I28" s="44" t="s">
        <v>593</v>
      </c>
      <c r="J28" s="38" t="s">
        <v>594</v>
      </c>
      <c r="K28" s="36">
        <v>2551</v>
      </c>
      <c r="L28" s="36" t="s">
        <v>595</v>
      </c>
      <c r="M28" s="36">
        <v>1323</v>
      </c>
      <c r="N28" s="36" t="s">
        <v>596</v>
      </c>
      <c r="O28" s="36">
        <v>786</v>
      </c>
      <c r="P28" s="36" t="s">
        <v>597</v>
      </c>
      <c r="Q28" s="36">
        <v>539</v>
      </c>
      <c r="R28" s="36" t="s">
        <v>598</v>
      </c>
      <c r="S28" s="36">
        <v>267</v>
      </c>
      <c r="T28" s="36" t="s">
        <v>502</v>
      </c>
      <c r="U28" s="36">
        <v>137</v>
      </c>
      <c r="V28" s="36" t="s">
        <v>461</v>
      </c>
      <c r="W28" s="36">
        <v>35</v>
      </c>
    </row>
    <row r="29" spans="1:27" ht="22.5" customHeight="1">
      <c r="A29" s="35" t="s">
        <v>599</v>
      </c>
      <c r="F29" s="36" t="str">
        <f t="shared" si="0"/>
        <v>https://www.ssbuy.tw/detail_giftcode/dist/giftcodes/崩壞：星穹鐵道.html</v>
      </c>
      <c r="H29" s="36" t="str">
        <f t="shared" si="1"/>
        <v>https://www.ssbuy.tw/detail_giftcode/dist/gamedetail/崩壞：星穹鐵道.html</v>
      </c>
      <c r="I29" s="44" t="s">
        <v>600</v>
      </c>
      <c r="J29" s="38" t="s">
        <v>601</v>
      </c>
      <c r="K29" s="36">
        <v>2320</v>
      </c>
      <c r="L29" s="36" t="s">
        <v>602</v>
      </c>
      <c r="M29" s="36">
        <v>1250</v>
      </c>
      <c r="N29" s="36" t="s">
        <v>603</v>
      </c>
      <c r="O29" s="36">
        <v>790</v>
      </c>
      <c r="P29" s="36" t="s">
        <v>604</v>
      </c>
      <c r="Q29" s="36">
        <v>394</v>
      </c>
      <c r="R29" s="36" t="s">
        <v>605</v>
      </c>
      <c r="S29" s="36">
        <v>137</v>
      </c>
      <c r="T29" s="36" t="s">
        <v>606</v>
      </c>
      <c r="U29" s="36">
        <v>30</v>
      </c>
      <c r="V29" s="36" t="s">
        <v>607</v>
      </c>
      <c r="W29" s="36">
        <v>137</v>
      </c>
      <c r="X29" s="36" t="s">
        <v>608</v>
      </c>
      <c r="Y29" s="36">
        <v>260</v>
      </c>
      <c r="Z29" s="36" t="s">
        <v>609</v>
      </c>
      <c r="AA29" s="36">
        <v>520</v>
      </c>
    </row>
    <row r="30" spans="1:27" ht="22.5" customHeight="1">
      <c r="A30" s="35" t="s">
        <v>610</v>
      </c>
      <c r="F30" s="36" t="str">
        <f t="shared" si="0"/>
        <v>https://www.ssbuy.tw/detail_giftcode/dist/giftcodes/救世者之樹：新世界.html</v>
      </c>
      <c r="H30" s="36" t="str">
        <f t="shared" si="1"/>
        <v>https://www.ssbuy.tw/detail_giftcode/dist/gamedetail/救世者之樹：新世界.html</v>
      </c>
      <c r="I30" s="44" t="s">
        <v>611</v>
      </c>
      <c r="J30" s="38" t="s">
        <v>612</v>
      </c>
      <c r="K30" s="36">
        <v>2551</v>
      </c>
      <c r="L30" s="36" t="s">
        <v>490</v>
      </c>
      <c r="M30" s="36">
        <v>1323</v>
      </c>
      <c r="N30" s="36" t="s">
        <v>613</v>
      </c>
      <c r="O30" s="36">
        <v>786</v>
      </c>
      <c r="P30" s="36" t="s">
        <v>614</v>
      </c>
      <c r="Q30" s="36">
        <v>539</v>
      </c>
      <c r="R30" s="36" t="s">
        <v>615</v>
      </c>
      <c r="S30" s="36">
        <v>267</v>
      </c>
      <c r="T30" s="36" t="s">
        <v>616</v>
      </c>
      <c r="U30" s="36">
        <v>137</v>
      </c>
      <c r="V30" s="36" t="s">
        <v>617</v>
      </c>
      <c r="W30" s="36">
        <v>35</v>
      </c>
    </row>
    <row r="31" spans="1:27" ht="22.5" customHeight="1">
      <c r="A31" s="35" t="s">
        <v>618</v>
      </c>
      <c r="F31" s="36" t="str">
        <f t="shared" si="0"/>
        <v>https://www.ssbuy.tw/detail_giftcode/dist/giftcodes/球球英雄.html</v>
      </c>
      <c r="H31" s="36" t="str">
        <f t="shared" si="1"/>
        <v>https://www.ssbuy.tw/detail_giftcode/dist/gamedetail/球球英雄.html</v>
      </c>
      <c r="I31" s="44" t="s">
        <v>619</v>
      </c>
      <c r="J31" s="38" t="s">
        <v>620</v>
      </c>
      <c r="K31" s="36">
        <v>2551</v>
      </c>
      <c r="L31" s="36" t="s">
        <v>595</v>
      </c>
      <c r="M31" s="36">
        <v>1390</v>
      </c>
      <c r="N31" s="36" t="s">
        <v>621</v>
      </c>
      <c r="O31" s="36">
        <v>786</v>
      </c>
      <c r="P31" s="36" t="s">
        <v>622</v>
      </c>
      <c r="Q31" s="36">
        <v>539</v>
      </c>
      <c r="R31" s="36" t="s">
        <v>623</v>
      </c>
      <c r="S31" s="36">
        <v>267</v>
      </c>
      <c r="T31" s="36" t="s">
        <v>624</v>
      </c>
      <c r="U31" s="36">
        <v>137</v>
      </c>
      <c r="V31" s="36" t="s">
        <v>625</v>
      </c>
      <c r="W31" s="36">
        <v>35</v>
      </c>
    </row>
    <row r="32" spans="1:27" ht="22.5" customHeight="1">
      <c r="A32" s="35" t="s">
        <v>626</v>
      </c>
      <c r="F32" s="36" t="str">
        <f t="shared" si="0"/>
        <v>https://www.ssbuy.tw/detail_giftcode/dist/giftcodes/第七史詩.html</v>
      </c>
      <c r="H32" s="36" t="str">
        <f t="shared" si="1"/>
        <v>https://www.ssbuy.tw/detail_giftcode/dist/gamedetail/第七史詩.html</v>
      </c>
      <c r="I32" s="44" t="s">
        <v>627</v>
      </c>
      <c r="J32" s="38" t="s">
        <v>628</v>
      </c>
      <c r="K32" s="36">
        <v>2551</v>
      </c>
      <c r="L32" s="36" t="s">
        <v>629</v>
      </c>
      <c r="M32" s="36">
        <v>1390</v>
      </c>
      <c r="N32" s="36" t="s">
        <v>630</v>
      </c>
      <c r="O32" s="36">
        <v>786</v>
      </c>
      <c r="P32" s="36" t="s">
        <v>622</v>
      </c>
      <c r="Q32" s="36">
        <v>539</v>
      </c>
      <c r="R32" s="36" t="s">
        <v>631</v>
      </c>
      <c r="S32" s="36">
        <v>267</v>
      </c>
      <c r="T32" s="36" t="s">
        <v>632</v>
      </c>
      <c r="U32" s="36">
        <v>137</v>
      </c>
      <c r="V32" s="36" t="s">
        <v>633</v>
      </c>
      <c r="W32" s="36">
        <v>35</v>
      </c>
    </row>
    <row r="33" spans="1:27" ht="22.5" customHeight="1">
      <c r="A33" s="35" t="s">
        <v>634</v>
      </c>
      <c r="F33" s="36" t="str">
        <f t="shared" si="0"/>
        <v>https://www.ssbuy.tw/detail_giftcode/dist/giftcodes/創世紀戰M：阿修羅計畫.html</v>
      </c>
      <c r="H33" s="36" t="str">
        <f t="shared" si="1"/>
        <v>https://www.ssbuy.tw/detail_giftcode/dist/gamedetail/創世紀戰M：阿修羅計畫.html</v>
      </c>
      <c r="I33" s="44" t="s">
        <v>635</v>
      </c>
      <c r="J33" s="38" t="s">
        <v>636</v>
      </c>
      <c r="K33" s="36">
        <v>2551</v>
      </c>
      <c r="L33" s="36" t="s">
        <v>637</v>
      </c>
      <c r="M33" s="36">
        <v>1980</v>
      </c>
      <c r="N33" s="36" t="s">
        <v>638</v>
      </c>
      <c r="O33" s="36">
        <v>1323</v>
      </c>
      <c r="P33" s="36" t="s">
        <v>639</v>
      </c>
      <c r="Q33" s="36">
        <v>786</v>
      </c>
      <c r="R33" s="36" t="s">
        <v>640</v>
      </c>
      <c r="S33" s="36">
        <v>539</v>
      </c>
      <c r="T33" s="36" t="s">
        <v>641</v>
      </c>
      <c r="U33" s="36">
        <v>394</v>
      </c>
      <c r="V33" s="36" t="s">
        <v>642</v>
      </c>
      <c r="W33" s="36">
        <v>137</v>
      </c>
      <c r="X33" s="36" t="s">
        <v>643</v>
      </c>
      <c r="Y33" s="36">
        <v>40</v>
      </c>
    </row>
    <row r="34" spans="1:27" ht="22.5" customHeight="1">
      <c r="A34" s="35" t="s">
        <v>644</v>
      </c>
      <c r="F34" s="36" t="str">
        <f t="shared" si="0"/>
        <v>https://www.ssbuy.tw/detail_giftcode/dist/giftcodes/最強宗師.html</v>
      </c>
      <c r="H34" s="36" t="str">
        <f t="shared" si="1"/>
        <v>https://www.ssbuy.tw/detail_giftcode/dist/gamedetail/最強宗師.html</v>
      </c>
      <c r="I34" s="44" t="s">
        <v>645</v>
      </c>
      <c r="J34" s="38" t="s">
        <v>646</v>
      </c>
      <c r="K34" s="36">
        <v>2551</v>
      </c>
      <c r="L34" s="36" t="s">
        <v>647</v>
      </c>
      <c r="M34" s="36">
        <v>1323</v>
      </c>
      <c r="N34" s="36" t="s">
        <v>648</v>
      </c>
      <c r="O34" s="36">
        <v>786</v>
      </c>
      <c r="P34" s="36" t="s">
        <v>649</v>
      </c>
      <c r="Q34" s="36">
        <v>539</v>
      </c>
      <c r="R34" s="36" t="s">
        <v>650</v>
      </c>
      <c r="S34" s="36">
        <v>394</v>
      </c>
      <c r="T34" s="36" t="s">
        <v>651</v>
      </c>
      <c r="U34" s="36">
        <v>267</v>
      </c>
      <c r="V34" s="36" t="s">
        <v>652</v>
      </c>
      <c r="W34" s="36">
        <v>137</v>
      </c>
      <c r="X34" s="36" t="s">
        <v>653</v>
      </c>
      <c r="Y34" s="36">
        <v>60</v>
      </c>
      <c r="Z34" s="36" t="s">
        <v>654</v>
      </c>
      <c r="AA34" s="36">
        <v>35</v>
      </c>
    </row>
    <row r="35" spans="1:27" ht="22.5" customHeight="1">
      <c r="A35" s="35" t="s">
        <v>655</v>
      </c>
      <c r="F35" s="36" t="str">
        <f t="shared" si="0"/>
        <v>https://www.ssbuy.tw/detail_giftcode/dist/giftcodes/無期迷途.html</v>
      </c>
      <c r="H35" s="36" t="str">
        <f t="shared" si="1"/>
        <v>https://www.ssbuy.tw/detail_giftcode/dist/gamedetail/無期迷途.html</v>
      </c>
      <c r="I35" s="44" t="s">
        <v>656</v>
      </c>
      <c r="J35" s="38" t="s">
        <v>657</v>
      </c>
      <c r="K35" s="36">
        <v>2360</v>
      </c>
      <c r="L35" s="36" t="s">
        <v>658</v>
      </c>
      <c r="M35" s="36">
        <v>1200</v>
      </c>
      <c r="N35" s="36" t="s">
        <v>659</v>
      </c>
      <c r="O35" s="36">
        <v>800</v>
      </c>
      <c r="P35" s="36" t="s">
        <v>660</v>
      </c>
      <c r="Q35" s="36">
        <v>420</v>
      </c>
      <c r="R35" s="36" t="s">
        <v>661</v>
      </c>
      <c r="S35" s="36">
        <v>137</v>
      </c>
      <c r="T35" s="36" t="s">
        <v>662</v>
      </c>
      <c r="U35" s="36">
        <v>30</v>
      </c>
    </row>
    <row r="36" spans="1:27" ht="22.5" customHeight="1">
      <c r="A36" s="35" t="s">
        <v>663</v>
      </c>
      <c r="F36" s="36" t="str">
        <f t="shared" si="0"/>
        <v>https://www.ssbuy.tw/detail_giftcode/dist/giftcodes/絕區零.html</v>
      </c>
      <c r="H36" s="36" t="str">
        <f t="shared" si="1"/>
        <v>https://www.ssbuy.tw/detail_giftcode/dist/gamedetail/絕區零.html</v>
      </c>
      <c r="I36" s="44" t="s">
        <v>664</v>
      </c>
      <c r="J36" s="38" t="s">
        <v>665</v>
      </c>
      <c r="K36" s="36">
        <v>2520</v>
      </c>
      <c r="L36" s="36" t="s">
        <v>666</v>
      </c>
      <c r="M36" s="36">
        <v>1323</v>
      </c>
      <c r="N36" s="36" t="s">
        <v>667</v>
      </c>
      <c r="O36" s="36">
        <v>786</v>
      </c>
      <c r="P36" s="36" t="s">
        <v>668</v>
      </c>
      <c r="Q36" s="36">
        <v>394</v>
      </c>
      <c r="R36" s="36" t="s">
        <v>669</v>
      </c>
      <c r="S36" s="36">
        <v>137</v>
      </c>
      <c r="T36" s="36" t="s">
        <v>670</v>
      </c>
      <c r="U36" s="36">
        <v>30</v>
      </c>
      <c r="V36" s="36" t="s">
        <v>671</v>
      </c>
      <c r="W36" s="36">
        <v>137</v>
      </c>
      <c r="X36" s="36" t="s">
        <v>672</v>
      </c>
      <c r="Y36" s="36">
        <v>270</v>
      </c>
      <c r="Z36" s="36" t="s">
        <v>673</v>
      </c>
      <c r="AA36" s="36">
        <v>540</v>
      </c>
    </row>
    <row r="37" spans="1:27" ht="22.5" customHeight="1">
      <c r="A37" s="35" t="s">
        <v>674</v>
      </c>
      <c r="F37" s="36" t="str">
        <f t="shared" si="0"/>
        <v>https://www.ssbuy.tw/detail_giftcode/dist/giftcodes/傳說對決.html</v>
      </c>
      <c r="H37" s="36" t="str">
        <f t="shared" si="1"/>
        <v>https://www.ssbuy.tw/detail_giftcode/dist/gamedetail/傳說對決.html</v>
      </c>
      <c r="I37" s="44" t="s">
        <v>675</v>
      </c>
      <c r="J37" s="38" t="s">
        <v>676</v>
      </c>
      <c r="K37" s="36">
        <v>2660</v>
      </c>
      <c r="L37" s="36" t="s">
        <v>677</v>
      </c>
      <c r="M37" s="36">
        <v>2350</v>
      </c>
      <c r="N37" s="36" t="s">
        <v>678</v>
      </c>
      <c r="O37" s="36">
        <v>1890</v>
      </c>
      <c r="P37" s="36" t="s">
        <v>679</v>
      </c>
      <c r="Q37" s="36">
        <v>1390</v>
      </c>
      <c r="R37" s="36" t="s">
        <v>680</v>
      </c>
      <c r="S37" s="36">
        <v>970</v>
      </c>
      <c r="T37" s="36" t="s">
        <v>681</v>
      </c>
      <c r="U37" s="36">
        <v>750</v>
      </c>
      <c r="V37" s="36" t="s">
        <v>682</v>
      </c>
      <c r="W37" s="36">
        <v>490</v>
      </c>
      <c r="X37" s="36" t="s">
        <v>683</v>
      </c>
      <c r="Y37" s="36">
        <v>250</v>
      </c>
    </row>
    <row r="38" spans="1:27" ht="22.5" customHeight="1">
      <c r="A38" s="35" t="s">
        <v>684</v>
      </c>
      <c r="F38" s="36" t="str">
        <f t="shared" si="0"/>
        <v>https://www.ssbuy.tw/detail_giftcode/dist/giftcodes/楓之谷M.html</v>
      </c>
      <c r="H38" s="36" t="str">
        <f t="shared" si="1"/>
        <v>https://www.ssbuy.tw/detail_giftcode/dist/gamedetail/楓之谷M.html</v>
      </c>
      <c r="I38" s="44" t="s">
        <v>685</v>
      </c>
      <c r="J38" s="38" t="s">
        <v>686</v>
      </c>
      <c r="K38" s="36">
        <v>2551</v>
      </c>
      <c r="L38" s="36" t="s">
        <v>687</v>
      </c>
      <c r="M38" s="36">
        <v>1390</v>
      </c>
      <c r="N38" s="36" t="s">
        <v>688</v>
      </c>
      <c r="O38" s="36">
        <v>786</v>
      </c>
      <c r="P38" s="36" t="s">
        <v>689</v>
      </c>
      <c r="Q38" s="36">
        <v>539</v>
      </c>
      <c r="R38" s="36" t="s">
        <v>573</v>
      </c>
      <c r="S38" s="36">
        <v>267</v>
      </c>
      <c r="T38" s="36" t="s">
        <v>690</v>
      </c>
      <c r="U38" s="36">
        <v>137</v>
      </c>
      <c r="V38" s="36" t="s">
        <v>691</v>
      </c>
      <c r="W38" s="36">
        <v>35</v>
      </c>
    </row>
    <row r="39" spans="1:27" ht="22.5" customHeight="1">
      <c r="A39" s="35" t="s">
        <v>692</v>
      </c>
      <c r="F39" s="36" t="str">
        <f t="shared" si="0"/>
        <v>https://www.ssbuy.tw/detail_giftcode/dist/giftcodes/鳴潮.html</v>
      </c>
      <c r="H39" s="36" t="str">
        <f t="shared" si="1"/>
        <v>https://www.ssbuy.tw/detail_giftcode/dist/gamedetail/鳴潮.html</v>
      </c>
      <c r="I39" s="44" t="s">
        <v>693</v>
      </c>
      <c r="J39" s="38" t="s">
        <v>694</v>
      </c>
      <c r="K39" s="36">
        <v>2320</v>
      </c>
      <c r="L39" s="36" t="s">
        <v>695</v>
      </c>
      <c r="M39" s="36">
        <v>1323</v>
      </c>
      <c r="N39" s="36" t="s">
        <v>696</v>
      </c>
      <c r="O39" s="36">
        <v>786</v>
      </c>
      <c r="P39" s="36" t="s">
        <v>697</v>
      </c>
      <c r="Q39" s="36">
        <v>394</v>
      </c>
      <c r="R39" s="36" t="s">
        <v>698</v>
      </c>
      <c r="S39" s="36">
        <v>137</v>
      </c>
      <c r="T39" s="36" t="s">
        <v>699</v>
      </c>
      <c r="U39" s="36">
        <v>30</v>
      </c>
      <c r="V39" s="36" t="s">
        <v>700</v>
      </c>
      <c r="W39" s="36">
        <v>137</v>
      </c>
      <c r="X39" s="36" t="s">
        <v>701</v>
      </c>
      <c r="Y39" s="36">
        <v>260</v>
      </c>
      <c r="Z39" s="36" t="s">
        <v>702</v>
      </c>
      <c r="AA39" s="36">
        <v>520</v>
      </c>
    </row>
    <row r="40" spans="1:27" ht="22.5" customHeight="1">
      <c r="A40" s="35" t="s">
        <v>703</v>
      </c>
      <c r="F40" s="36" t="str">
        <f t="shared" si="0"/>
        <v>https://www.ssbuy.tw/detail_giftcode/dist/giftcodes/劍與遠征：啟程.html</v>
      </c>
      <c r="H40" s="36" t="str">
        <f t="shared" si="1"/>
        <v>https://www.ssbuy.tw/detail_giftcode/dist/gamedetail/劍與遠征：啟程.html</v>
      </c>
      <c r="I40" s="44" t="s">
        <v>704</v>
      </c>
      <c r="J40" s="38" t="s">
        <v>705</v>
      </c>
      <c r="K40" s="36">
        <v>2420</v>
      </c>
      <c r="L40" s="36" t="s">
        <v>706</v>
      </c>
      <c r="M40" s="36">
        <v>1323</v>
      </c>
      <c r="N40" s="36" t="s">
        <v>707</v>
      </c>
      <c r="O40" s="36">
        <v>786</v>
      </c>
      <c r="P40" s="36" t="s">
        <v>572</v>
      </c>
      <c r="Q40" s="36">
        <v>539</v>
      </c>
      <c r="R40" s="36" t="s">
        <v>708</v>
      </c>
      <c r="S40" s="36">
        <v>267</v>
      </c>
      <c r="T40" s="36" t="s">
        <v>709</v>
      </c>
      <c r="U40" s="36">
        <v>137</v>
      </c>
      <c r="V40" s="36" t="s">
        <v>691</v>
      </c>
      <c r="W40" s="36">
        <v>35</v>
      </c>
    </row>
    <row r="41" spans="1:27" ht="22.5" customHeight="1">
      <c r="A41" s="35" t="s">
        <v>710</v>
      </c>
      <c r="F41" s="36" t="str">
        <f t="shared" si="0"/>
        <v>https://www.ssbuy.tw/detail_giftcode/dist/giftcodes/熱血大作戰.html</v>
      </c>
      <c r="H41" s="36" t="str">
        <f t="shared" si="1"/>
        <v>https://www.ssbuy.tw/detail_giftcode/dist/gamedetail/熱血大作戰.html</v>
      </c>
      <c r="I41" s="44" t="s">
        <v>711</v>
      </c>
      <c r="J41" s="38" t="s">
        <v>712</v>
      </c>
      <c r="K41" s="36">
        <v>2551</v>
      </c>
      <c r="L41" s="36" t="s">
        <v>713</v>
      </c>
      <c r="M41" s="36">
        <v>1323</v>
      </c>
      <c r="N41" s="36" t="s">
        <v>714</v>
      </c>
      <c r="O41" s="36">
        <v>786</v>
      </c>
      <c r="P41" s="36" t="s">
        <v>715</v>
      </c>
      <c r="Q41" s="36">
        <v>450</v>
      </c>
      <c r="R41" s="36" t="s">
        <v>716</v>
      </c>
      <c r="S41" s="36">
        <v>137</v>
      </c>
      <c r="T41" s="36" t="s">
        <v>717</v>
      </c>
      <c r="U41" s="36">
        <v>40</v>
      </c>
    </row>
    <row r="42" spans="1:27" ht="22.5" customHeight="1">
      <c r="A42" s="35" t="s">
        <v>718</v>
      </c>
      <c r="F42" s="36" t="str">
        <f t="shared" si="0"/>
        <v>https://www.ssbuy.tw/detail_giftcode/dist/giftcodes/骷髏傳說：戰神崛起.html</v>
      </c>
      <c r="H42" s="36" t="str">
        <f t="shared" si="1"/>
        <v>https://www.ssbuy.tw/detail_giftcode/dist/gamedetail/骷髏傳說：戰神崛起.html</v>
      </c>
      <c r="I42" s="44" t="s">
        <v>719</v>
      </c>
      <c r="J42" s="38" t="s">
        <v>720</v>
      </c>
      <c r="K42" s="36">
        <v>2200</v>
      </c>
      <c r="L42" s="36" t="s">
        <v>721</v>
      </c>
      <c r="M42" s="36">
        <v>1380</v>
      </c>
      <c r="N42" s="36" t="s">
        <v>722</v>
      </c>
      <c r="O42" s="36">
        <v>450</v>
      </c>
      <c r="P42" s="36" t="s">
        <v>723</v>
      </c>
      <c r="Q42" s="36">
        <v>240</v>
      </c>
      <c r="R42" s="36" t="s">
        <v>724</v>
      </c>
      <c r="S42" s="36">
        <v>137</v>
      </c>
    </row>
    <row r="43" spans="1:27" ht="22.5" customHeight="1">
      <c r="A43" s="35" t="s">
        <v>725</v>
      </c>
      <c r="F43" s="36" t="str">
        <f t="shared" si="0"/>
        <v>https://www.ssbuy.tw/detail_giftcode/dist/giftcodes/黎明：血色魔女.html</v>
      </c>
      <c r="H43" s="36" t="str">
        <f t="shared" si="1"/>
        <v>https://www.ssbuy.tw/detail_giftcode/dist/gamedetail/黎明：血色魔女.html</v>
      </c>
      <c r="I43" s="44" t="s">
        <v>726</v>
      </c>
      <c r="J43" s="38" t="s">
        <v>727</v>
      </c>
      <c r="K43" s="36">
        <v>2551</v>
      </c>
      <c r="L43" s="36" t="s">
        <v>728</v>
      </c>
      <c r="M43" s="36">
        <v>1323</v>
      </c>
      <c r="N43" s="36" t="s">
        <v>729</v>
      </c>
      <c r="O43" s="36">
        <v>786</v>
      </c>
      <c r="P43" s="36" t="s">
        <v>730</v>
      </c>
      <c r="Q43" s="36">
        <v>539</v>
      </c>
      <c r="R43" s="36" t="s">
        <v>731</v>
      </c>
      <c r="S43" s="36">
        <v>394</v>
      </c>
      <c r="T43" s="36" t="s">
        <v>732</v>
      </c>
      <c r="U43" s="36">
        <v>267</v>
      </c>
      <c r="V43" s="36" t="s">
        <v>733</v>
      </c>
      <c r="W43" s="36">
        <v>137</v>
      </c>
      <c r="X43" s="36" t="s">
        <v>734</v>
      </c>
      <c r="Y43" s="36">
        <v>35</v>
      </c>
    </row>
    <row r="44" spans="1:27" ht="22.5" customHeight="1">
      <c r="A44" s="35" t="s">
        <v>735</v>
      </c>
      <c r="F44" s="36" t="str">
        <f t="shared" si="0"/>
        <v>https://www.ssbuy.tw/detail_giftcode/dist/giftcodes/黎明啟示錄.html</v>
      </c>
      <c r="H44" s="36" t="str">
        <f t="shared" si="1"/>
        <v>https://www.ssbuy.tw/detail_giftcode/dist/gamedetail/黎明啟示錄.html</v>
      </c>
      <c r="I44" s="44" t="s">
        <v>736</v>
      </c>
      <c r="J44" s="38" t="s">
        <v>737</v>
      </c>
      <c r="K44" s="36">
        <v>2551</v>
      </c>
      <c r="L44" s="36" t="s">
        <v>430</v>
      </c>
      <c r="M44" s="36">
        <v>1390</v>
      </c>
      <c r="N44" s="36" t="s">
        <v>738</v>
      </c>
      <c r="O44" s="36">
        <v>786</v>
      </c>
      <c r="P44" s="36" t="s">
        <v>739</v>
      </c>
      <c r="Q44" s="36">
        <v>539</v>
      </c>
      <c r="R44" s="36" t="s">
        <v>708</v>
      </c>
      <c r="S44" s="36">
        <v>267</v>
      </c>
      <c r="T44" s="36" t="s">
        <v>574</v>
      </c>
      <c r="U44" s="36">
        <v>137</v>
      </c>
      <c r="V44" s="36" t="s">
        <v>740</v>
      </c>
      <c r="W44" s="36">
        <v>35</v>
      </c>
    </row>
    <row r="45" spans="1:27" ht="22.5" customHeight="1">
      <c r="A45" s="35" t="s">
        <v>741</v>
      </c>
      <c r="F45" s="36" t="str">
        <f t="shared" si="0"/>
        <v>https://www.ssbuy.tw/detail_giftcode/dist/giftcodes/龍魂旅人.html</v>
      </c>
      <c r="H45" s="36" t="str">
        <f t="shared" si="1"/>
        <v>https://www.ssbuy.tw/detail_giftcode/dist/gamedetail/龍魂旅人.html</v>
      </c>
      <c r="I45" s="44" t="s">
        <v>742</v>
      </c>
      <c r="J45" s="38" t="s">
        <v>743</v>
      </c>
      <c r="K45" s="36">
        <v>2551</v>
      </c>
      <c r="L45" s="36" t="s">
        <v>744</v>
      </c>
      <c r="M45" s="36">
        <v>1460</v>
      </c>
      <c r="N45" s="36" t="s">
        <v>745</v>
      </c>
      <c r="O45" s="36">
        <v>539</v>
      </c>
      <c r="P45" s="36" t="s">
        <v>746</v>
      </c>
      <c r="Q45" s="36">
        <v>267</v>
      </c>
      <c r="R45" s="36" t="s">
        <v>747</v>
      </c>
      <c r="S45" s="36">
        <v>137</v>
      </c>
      <c r="T45" s="36" t="s">
        <v>748</v>
      </c>
      <c r="U45" s="36">
        <v>30</v>
      </c>
    </row>
    <row r="46" spans="1:27" ht="22.5" customHeight="1">
      <c r="A46" s="35" t="s">
        <v>749</v>
      </c>
      <c r="F46" s="36" t="str">
        <f t="shared" si="0"/>
        <v>https://www.ssbuy.tw/detail_giftcode/dist/giftcodes/戀與深空.html</v>
      </c>
      <c r="H46" s="36" t="str">
        <f t="shared" si="1"/>
        <v>https://www.ssbuy.tw/detail_giftcode/dist/gamedetail/戀與深空.html</v>
      </c>
      <c r="I46" s="44" t="s">
        <v>750</v>
      </c>
      <c r="J46" s="38" t="s">
        <v>751</v>
      </c>
      <c r="K46" s="36">
        <v>2551</v>
      </c>
      <c r="L46" s="36" t="s">
        <v>752</v>
      </c>
      <c r="M46" s="36">
        <v>1323</v>
      </c>
      <c r="N46" s="36" t="s">
        <v>753</v>
      </c>
      <c r="O46" s="36">
        <v>786</v>
      </c>
      <c r="P46" s="36" t="s">
        <v>754</v>
      </c>
      <c r="Q46" s="36">
        <v>539</v>
      </c>
      <c r="R46" s="36" t="s">
        <v>755</v>
      </c>
      <c r="S46" s="36">
        <v>267</v>
      </c>
      <c r="T46" s="36" t="s">
        <v>756</v>
      </c>
      <c r="U46" s="36">
        <v>137</v>
      </c>
      <c r="V46" s="36" t="s">
        <v>691</v>
      </c>
      <c r="W46" s="36">
        <v>35</v>
      </c>
    </row>
    <row r="47" spans="1:27" ht="22.5" customHeight="1">
      <c r="A47" s="35" t="s">
        <v>757</v>
      </c>
      <c r="F47" s="36" t="str">
        <f t="shared" si="0"/>
        <v>https://www.ssbuy.tw/detail_giftcode/dist/giftcodes/靈魂衝擊：無限放置.html</v>
      </c>
      <c r="H47" s="36" t="str">
        <f t="shared" si="1"/>
        <v>https://www.ssbuy.tw/detail_giftcode/dist/gamedetail/靈魂衝擊：無限放置.html</v>
      </c>
      <c r="I47" s="44" t="s">
        <v>758</v>
      </c>
      <c r="J47" s="38" t="s">
        <v>759</v>
      </c>
      <c r="K47" s="36">
        <v>2290</v>
      </c>
      <c r="L47" s="36" t="s">
        <v>760</v>
      </c>
      <c r="M47" s="36">
        <v>1180</v>
      </c>
      <c r="N47" s="36" t="s">
        <v>761</v>
      </c>
      <c r="O47" s="36">
        <v>720</v>
      </c>
      <c r="P47" s="36" t="s">
        <v>762</v>
      </c>
      <c r="Q47" s="36">
        <v>267</v>
      </c>
      <c r="R47" s="36" t="s">
        <v>763</v>
      </c>
      <c r="S47" s="36">
        <v>137</v>
      </c>
      <c r="T47" s="36" t="s">
        <v>764</v>
      </c>
      <c r="U47" s="36">
        <v>40</v>
      </c>
    </row>
    <row r="48" spans="1:27" ht="22.5" customHeight="1">
      <c r="A48" s="35" t="s">
        <v>765</v>
      </c>
      <c r="F48" s="36" t="str">
        <f t="shared" si="0"/>
        <v>https://www.ssbuy.tw/detail_giftcode/dist/giftcodes/楓葉島.html</v>
      </c>
      <c r="H48" s="36" t="str">
        <f t="shared" si="1"/>
        <v>https://www.ssbuy.tw/detail_giftcode/dist/gamedetail/楓葉島.html</v>
      </c>
      <c r="I48" s="44" t="s">
        <v>766</v>
      </c>
      <c r="J48" s="38" t="s">
        <v>767</v>
      </c>
      <c r="K48" s="36">
        <v>2530</v>
      </c>
      <c r="L48" s="36" t="s">
        <v>768</v>
      </c>
      <c r="M48" s="36">
        <v>1323</v>
      </c>
      <c r="N48" s="36" t="s">
        <v>769</v>
      </c>
      <c r="O48" s="36">
        <v>786</v>
      </c>
      <c r="P48" s="36" t="s">
        <v>770</v>
      </c>
      <c r="Q48" s="36">
        <v>394</v>
      </c>
      <c r="R48" s="36" t="s">
        <v>771</v>
      </c>
      <c r="S48" s="36">
        <v>137</v>
      </c>
      <c r="T48" s="36" t="s">
        <v>772</v>
      </c>
      <c r="U48" s="36">
        <v>60</v>
      </c>
      <c r="V48" s="36" t="s">
        <v>773</v>
      </c>
      <c r="W48" s="36">
        <v>30</v>
      </c>
    </row>
    <row r="49" spans="1:27" ht="22.5" customHeight="1">
      <c r="A49" s="35" t="s">
        <v>774</v>
      </c>
      <c r="F49" s="36" t="str">
        <f t="shared" si="0"/>
        <v>https://www.ssbuy.tw/detail_giftcode/dist/giftcodes/無名江湖.html</v>
      </c>
      <c r="H49" s="36" t="str">
        <f t="shared" si="1"/>
        <v>https://www.ssbuy.tw/detail_giftcode/dist/gamedetail/無名江湖.html</v>
      </c>
      <c r="I49" s="44" t="s">
        <v>775</v>
      </c>
      <c r="J49" s="38" t="s">
        <v>776</v>
      </c>
      <c r="K49" s="36">
        <v>2551</v>
      </c>
      <c r="L49" s="36" t="s">
        <v>777</v>
      </c>
      <c r="M49" s="36">
        <v>1400</v>
      </c>
      <c r="N49" s="36" t="s">
        <v>778</v>
      </c>
      <c r="O49" s="36">
        <v>786</v>
      </c>
      <c r="P49" s="36" t="s">
        <v>779</v>
      </c>
      <c r="Q49" s="36">
        <v>539</v>
      </c>
      <c r="R49" s="36" t="s">
        <v>780</v>
      </c>
      <c r="S49" s="36">
        <v>267</v>
      </c>
      <c r="T49" s="36" t="s">
        <v>781</v>
      </c>
      <c r="U49" s="36">
        <v>137</v>
      </c>
    </row>
    <row r="50" spans="1:27" ht="22.5" customHeight="1">
      <c r="A50" s="35" t="s">
        <v>782</v>
      </c>
      <c r="F50" s="36" t="str">
        <f t="shared" si="0"/>
        <v>https://www.ssbuy.tw/detail_giftcode/dist/giftcodes/萬妖領域.html</v>
      </c>
      <c r="H50" s="36" t="str">
        <f t="shared" si="1"/>
        <v>https://www.ssbuy.tw/detail_giftcode/dist/gamedetail/萬妖領域.html</v>
      </c>
      <c r="I50" s="44" t="s">
        <v>783</v>
      </c>
      <c r="J50" s="38" t="s">
        <v>784</v>
      </c>
      <c r="K50" s="36">
        <v>2580</v>
      </c>
      <c r="L50" s="36" t="s">
        <v>785</v>
      </c>
      <c r="M50" s="36">
        <v>1370</v>
      </c>
      <c r="N50" s="36" t="s">
        <v>786</v>
      </c>
      <c r="O50" s="36">
        <v>786</v>
      </c>
      <c r="P50" s="36" t="s">
        <v>787</v>
      </c>
      <c r="Q50" s="36">
        <v>539</v>
      </c>
      <c r="R50" s="36" t="s">
        <v>788</v>
      </c>
      <c r="S50" s="36">
        <v>267</v>
      </c>
      <c r="T50" s="36" t="s">
        <v>789</v>
      </c>
      <c r="U50" s="36">
        <v>137</v>
      </c>
    </row>
    <row r="51" spans="1:27" ht="22.5" customHeight="1">
      <c r="A51" s="35" t="s">
        <v>790</v>
      </c>
      <c r="F51" s="36" t="str">
        <f t="shared" si="0"/>
        <v>https://www.ssbuy.tw/detail_giftcode/dist/giftcodes/一姬當千TD.html</v>
      </c>
      <c r="H51" s="36" t="str">
        <f t="shared" si="1"/>
        <v>https://www.ssbuy.tw/detail_giftcode/dist/gamedetail/一姬當千TD.html</v>
      </c>
      <c r="I51" s="44" t="s">
        <v>791</v>
      </c>
      <c r="J51" s="38" t="s">
        <v>792</v>
      </c>
      <c r="K51" s="36">
        <v>2580</v>
      </c>
      <c r="L51" s="36" t="s">
        <v>793</v>
      </c>
      <c r="M51" s="36">
        <v>1323</v>
      </c>
      <c r="N51" s="36" t="s">
        <v>794</v>
      </c>
      <c r="O51" s="36">
        <v>540</v>
      </c>
      <c r="P51" s="36" t="s">
        <v>795</v>
      </c>
      <c r="Q51" s="36">
        <v>137</v>
      </c>
      <c r="R51" s="36" t="s">
        <v>796</v>
      </c>
      <c r="S51" s="36">
        <v>30</v>
      </c>
    </row>
    <row r="52" spans="1:27" ht="22.5" customHeight="1">
      <c r="A52" s="35" t="s">
        <v>797</v>
      </c>
      <c r="F52" s="36" t="str">
        <f t="shared" si="0"/>
        <v>https://www.ssbuy.tw/detail_giftcode/dist/giftcodes/劍客行.html</v>
      </c>
      <c r="H52" s="36" t="str">
        <f t="shared" si="1"/>
        <v>https://www.ssbuy.tw/detail_giftcode/dist/gamedetail/劍客行.html</v>
      </c>
      <c r="I52" s="44" t="s">
        <v>798</v>
      </c>
      <c r="J52" s="38" t="s">
        <v>799</v>
      </c>
      <c r="K52" s="36">
        <v>2580</v>
      </c>
      <c r="L52" s="36" t="s">
        <v>800</v>
      </c>
      <c r="M52" s="36">
        <v>1323</v>
      </c>
      <c r="N52" s="36" t="s">
        <v>801</v>
      </c>
      <c r="O52" s="36">
        <v>786</v>
      </c>
      <c r="P52" s="36" t="s">
        <v>802</v>
      </c>
      <c r="Q52" s="36">
        <v>394</v>
      </c>
      <c r="R52" s="36" t="s">
        <v>803</v>
      </c>
      <c r="S52" s="36">
        <v>267</v>
      </c>
      <c r="T52" s="36" t="s">
        <v>804</v>
      </c>
      <c r="U52" s="36">
        <v>137</v>
      </c>
      <c r="V52" s="36" t="s">
        <v>805</v>
      </c>
      <c r="W52" s="36">
        <v>30</v>
      </c>
    </row>
    <row r="53" spans="1:27" ht="22.5" customHeight="1">
      <c r="A53" s="35" t="s">
        <v>806</v>
      </c>
      <c r="F53" s="36" t="str">
        <f t="shared" si="0"/>
        <v>https://www.ssbuy.tw/detail_giftcode/dist/giftcodes/時之樹少女.html</v>
      </c>
      <c r="H53" s="36" t="str">
        <f t="shared" si="1"/>
        <v>https://www.ssbuy.tw/detail_giftcode/dist/gamedetail/時之樹少女.html</v>
      </c>
      <c r="I53" s="44" t="s">
        <v>807</v>
      </c>
      <c r="J53" s="38" t="s">
        <v>808</v>
      </c>
      <c r="K53" s="36">
        <v>2551</v>
      </c>
      <c r="L53" s="36" t="s">
        <v>809</v>
      </c>
      <c r="M53" s="36">
        <v>1323</v>
      </c>
      <c r="N53" s="36" t="s">
        <v>810</v>
      </c>
      <c r="O53" s="36">
        <v>786</v>
      </c>
      <c r="P53" s="36" t="s">
        <v>811</v>
      </c>
      <c r="Q53" s="36">
        <v>267</v>
      </c>
      <c r="R53" s="36" t="s">
        <v>812</v>
      </c>
      <c r="S53" s="36">
        <v>137</v>
      </c>
      <c r="T53" s="36" t="s">
        <v>813</v>
      </c>
      <c r="U53" s="36">
        <v>30</v>
      </c>
    </row>
    <row r="54" spans="1:27" ht="22.5" customHeight="1">
      <c r="A54" s="35" t="s">
        <v>814</v>
      </c>
      <c r="F54" s="36" t="str">
        <f t="shared" si="0"/>
        <v>https://www.ssbuy.tw/detail_giftcode/dist/giftcodes/錨點降臨Re：Code.html</v>
      </c>
      <c r="H54" s="36" t="str">
        <f t="shared" si="1"/>
        <v>https://www.ssbuy.tw/detail_giftcode/dist/gamedetail/錨點降臨Re：Code.html</v>
      </c>
      <c r="I54" s="44" t="s">
        <v>815</v>
      </c>
      <c r="J54" s="38" t="s">
        <v>816</v>
      </c>
      <c r="K54" s="36">
        <v>2380</v>
      </c>
      <c r="L54" s="36" t="s">
        <v>817</v>
      </c>
      <c r="M54" s="36">
        <v>1230</v>
      </c>
      <c r="N54" s="36" t="s">
        <v>818</v>
      </c>
      <c r="O54" s="36">
        <v>786</v>
      </c>
      <c r="P54" s="36" t="s">
        <v>819</v>
      </c>
      <c r="Q54" s="36">
        <v>394</v>
      </c>
      <c r="R54" s="36" t="s">
        <v>820</v>
      </c>
      <c r="S54" s="36">
        <v>130</v>
      </c>
      <c r="T54" s="36" t="s">
        <v>821</v>
      </c>
      <c r="U54" s="36">
        <v>40</v>
      </c>
    </row>
    <row r="55" spans="1:27" ht="22.5" customHeight="1">
      <c r="A55" s="35" t="s">
        <v>822</v>
      </c>
      <c r="F55" s="36" t="str">
        <f t="shared" si="0"/>
        <v>https://www.ssbuy.tw/detail_giftcode/dist/giftcodes/神契氣靈師.html</v>
      </c>
      <c r="H55" s="36" t="str">
        <f t="shared" si="1"/>
        <v>https://www.ssbuy.tw/detail_giftcode/dist/gamedetail/神契氣靈師.html</v>
      </c>
      <c r="I55" s="44" t="s">
        <v>823</v>
      </c>
      <c r="J55" s="38" t="s">
        <v>824</v>
      </c>
      <c r="K55" s="36">
        <v>2551</v>
      </c>
      <c r="L55" s="36" t="s">
        <v>825</v>
      </c>
      <c r="M55" s="36">
        <v>1323</v>
      </c>
      <c r="N55" s="36" t="s">
        <v>826</v>
      </c>
      <c r="O55" s="36">
        <v>990</v>
      </c>
      <c r="P55" s="36" t="s">
        <v>827</v>
      </c>
      <c r="Q55" s="36">
        <v>394</v>
      </c>
      <c r="R55" s="36" t="s">
        <v>804</v>
      </c>
      <c r="S55" s="36">
        <v>137</v>
      </c>
      <c r="T55" s="36" t="s">
        <v>828</v>
      </c>
      <c r="U55" s="36">
        <v>100</v>
      </c>
      <c r="V55" s="36" t="s">
        <v>829</v>
      </c>
      <c r="W55" s="36">
        <v>40</v>
      </c>
    </row>
    <row r="56" spans="1:27" ht="22.5" customHeight="1">
      <c r="A56" s="35" t="s">
        <v>830</v>
      </c>
      <c r="F56" s="36" t="str">
        <f t="shared" si="0"/>
        <v>https://www.ssbuy.tw/detail_giftcode/dist/giftcodes/不休旅途：繪卷世界.html</v>
      </c>
      <c r="H56" s="36" t="str">
        <f t="shared" si="1"/>
        <v>https://www.ssbuy.tw/detail_giftcode/dist/gamedetail/不休旅途：繪卷世界.html</v>
      </c>
      <c r="I56" s="44" t="s">
        <v>831</v>
      </c>
      <c r="J56" s="38" t="s">
        <v>832</v>
      </c>
      <c r="K56" s="36">
        <v>2551</v>
      </c>
      <c r="L56" s="36" t="s">
        <v>833</v>
      </c>
      <c r="M56" s="36">
        <v>1323</v>
      </c>
      <c r="N56" s="36" t="s">
        <v>834</v>
      </c>
      <c r="O56" s="36">
        <v>539</v>
      </c>
      <c r="P56" s="36" t="s">
        <v>835</v>
      </c>
      <c r="Q56" s="36">
        <v>267</v>
      </c>
      <c r="R56" s="36" t="s">
        <v>836</v>
      </c>
      <c r="S56" s="36">
        <v>137</v>
      </c>
      <c r="T56" s="36" t="s">
        <v>837</v>
      </c>
      <c r="U56" s="36">
        <v>40</v>
      </c>
    </row>
    <row r="57" spans="1:27" ht="22.5" customHeight="1">
      <c r="A57" s="35" t="s">
        <v>838</v>
      </c>
      <c r="F57" s="36" t="str">
        <f t="shared" si="0"/>
        <v>https://www.ssbuy.tw/detail_giftcode/dist/giftcodes/別破防鴨.html</v>
      </c>
      <c r="H57" s="36" t="str">
        <f t="shared" si="1"/>
        <v>https://www.ssbuy.tw/detail_giftcode/dist/gamedetail/別破防鴨.html</v>
      </c>
      <c r="I57" s="44" t="s">
        <v>839</v>
      </c>
      <c r="J57" s="38" t="s">
        <v>840</v>
      </c>
      <c r="K57" s="36">
        <v>2551</v>
      </c>
      <c r="L57" s="36" t="s">
        <v>841</v>
      </c>
      <c r="M57" s="36">
        <v>1323</v>
      </c>
      <c r="N57" s="36" t="s">
        <v>842</v>
      </c>
      <c r="O57" s="36">
        <v>539</v>
      </c>
      <c r="P57" s="36" t="s">
        <v>843</v>
      </c>
      <c r="Q57" s="36">
        <v>267</v>
      </c>
      <c r="R57" s="36" t="s">
        <v>844</v>
      </c>
      <c r="S57" s="36">
        <v>137</v>
      </c>
      <c r="T57" s="36" t="s">
        <v>845</v>
      </c>
      <c r="U57" s="36">
        <v>40</v>
      </c>
    </row>
    <row r="58" spans="1:27" ht="22.5" customHeight="1">
      <c r="A58" s="35" t="s">
        <v>846</v>
      </c>
      <c r="F58" s="36" t="str">
        <f t="shared" si="0"/>
        <v>https://www.ssbuy.tw/detail_giftcode/dist/giftcodes/超派救星幫幫忙.html</v>
      </c>
      <c r="H58" s="36" t="str">
        <f t="shared" si="1"/>
        <v>https://www.ssbuy.tw/detail_giftcode/dist/gamedetail/超派救星幫幫忙.html</v>
      </c>
      <c r="I58" s="44" t="s">
        <v>847</v>
      </c>
      <c r="J58" s="38" t="s">
        <v>848</v>
      </c>
      <c r="K58" s="36">
        <v>2551</v>
      </c>
      <c r="L58" s="36" t="s">
        <v>849</v>
      </c>
      <c r="M58" s="36">
        <v>1323</v>
      </c>
      <c r="N58" s="36" t="s">
        <v>850</v>
      </c>
      <c r="O58" s="36">
        <v>786</v>
      </c>
      <c r="P58" s="36" t="s">
        <v>851</v>
      </c>
      <c r="Q58" s="36">
        <v>610</v>
      </c>
      <c r="R58" s="36" t="s">
        <v>852</v>
      </c>
      <c r="S58" s="36">
        <v>267</v>
      </c>
      <c r="T58" s="36" t="s">
        <v>853</v>
      </c>
      <c r="U58" s="36">
        <v>137</v>
      </c>
      <c r="V58" s="36" t="s">
        <v>854</v>
      </c>
      <c r="W58" s="36">
        <v>90</v>
      </c>
      <c r="X58" s="36" t="s">
        <v>855</v>
      </c>
      <c r="Y58" s="36">
        <v>70</v>
      </c>
      <c r="Z58" s="36" t="s">
        <v>856</v>
      </c>
      <c r="AA58" s="36">
        <v>40</v>
      </c>
    </row>
    <row r="59" spans="1:27" ht="22.5" customHeight="1">
      <c r="A59" s="35" t="s">
        <v>857</v>
      </c>
      <c r="F59" s="36" t="str">
        <f t="shared" si="0"/>
        <v>https://www.ssbuy.tw/detail_giftcode/dist/giftcodes/時光大爆炸.html</v>
      </c>
      <c r="H59" s="36" t="str">
        <f t="shared" si="1"/>
        <v>https://www.ssbuy.tw/detail_giftcode/dist/gamedetail/時光大爆炸.html</v>
      </c>
      <c r="I59" s="44" t="s">
        <v>858</v>
      </c>
      <c r="J59" s="38" t="s">
        <v>859</v>
      </c>
      <c r="K59" s="36">
        <v>2551</v>
      </c>
      <c r="L59" s="36" t="s">
        <v>860</v>
      </c>
      <c r="M59" s="36">
        <v>1323</v>
      </c>
      <c r="N59" s="36" t="s">
        <v>861</v>
      </c>
      <c r="O59" s="36">
        <v>786</v>
      </c>
      <c r="P59" s="36" t="s">
        <v>862</v>
      </c>
      <c r="Q59" s="36">
        <v>394</v>
      </c>
      <c r="R59" s="36" t="s">
        <v>863</v>
      </c>
      <c r="S59" s="36">
        <v>267</v>
      </c>
      <c r="T59" s="36" t="s">
        <v>864</v>
      </c>
      <c r="U59" s="36">
        <v>137</v>
      </c>
      <c r="V59" s="36" t="s">
        <v>865</v>
      </c>
      <c r="W59" s="36">
        <v>35</v>
      </c>
    </row>
    <row r="60" spans="1:27" ht="22.5" customHeight="1">
      <c r="A60" s="35" t="s">
        <v>866</v>
      </c>
      <c r="F60" s="36" t="str">
        <f t="shared" si="0"/>
        <v>https://www.ssbuy.tw/detail_giftcode/dist/giftcodes/深淵：不滅者.html</v>
      </c>
      <c r="H60" s="36" t="str">
        <f t="shared" si="1"/>
        <v>https://www.ssbuy.tw/detail_giftcode/dist/gamedetail/深淵：不滅者.html</v>
      </c>
      <c r="I60" s="44" t="s">
        <v>867</v>
      </c>
      <c r="J60" s="38" t="s">
        <v>868</v>
      </c>
      <c r="K60" s="36">
        <v>2551</v>
      </c>
      <c r="L60" s="36" t="s">
        <v>869</v>
      </c>
      <c r="M60" s="36">
        <v>1323</v>
      </c>
      <c r="N60" s="36" t="s">
        <v>870</v>
      </c>
      <c r="O60" s="36">
        <v>786</v>
      </c>
      <c r="P60" s="36" t="s">
        <v>871</v>
      </c>
      <c r="Q60" s="36">
        <v>539</v>
      </c>
      <c r="R60" s="36" t="s">
        <v>872</v>
      </c>
      <c r="S60" s="36">
        <v>394</v>
      </c>
      <c r="T60" s="36" t="s">
        <v>873</v>
      </c>
      <c r="U60" s="36">
        <v>267</v>
      </c>
      <c r="V60" s="36" t="s">
        <v>874</v>
      </c>
      <c r="W60" s="36">
        <v>137</v>
      </c>
      <c r="X60" s="36" t="s">
        <v>875</v>
      </c>
      <c r="Y60" s="36">
        <v>40</v>
      </c>
    </row>
    <row r="61" spans="1:27" ht="22.5" customHeight="1">
      <c r="A61" s="35" t="s">
        <v>2</v>
      </c>
      <c r="F61" s="36" t="str">
        <f t="shared" si="0"/>
        <v>https://www.ssbuy.tw/detail_giftcode/dist/giftcodes/Last War.html</v>
      </c>
      <c r="H61" s="36" t="str">
        <f t="shared" si="1"/>
        <v>https://www.ssbuy.tw/detail_giftcode/dist/gamedetail/Last War.html</v>
      </c>
      <c r="I61" s="44" t="s">
        <v>876</v>
      </c>
      <c r="J61" s="38" t="s">
        <v>877</v>
      </c>
      <c r="K61" s="36">
        <v>2551</v>
      </c>
      <c r="L61" s="36" t="s">
        <v>878</v>
      </c>
      <c r="M61" s="36">
        <v>1320</v>
      </c>
      <c r="N61" s="36" t="s">
        <v>879</v>
      </c>
      <c r="O61" s="36">
        <v>530</v>
      </c>
      <c r="P61" s="36" t="s">
        <v>880</v>
      </c>
      <c r="Q61" s="36">
        <v>265</v>
      </c>
      <c r="R61" s="36" t="s">
        <v>881</v>
      </c>
      <c r="S61" s="36">
        <v>137</v>
      </c>
      <c r="T61" s="36" t="s">
        <v>882</v>
      </c>
      <c r="U61" s="36">
        <v>30</v>
      </c>
    </row>
    <row r="62" spans="1:27" ht="22.5" customHeight="1">
      <c r="A62" s="35" t="s">
        <v>883</v>
      </c>
      <c r="F62" s="36" t="str">
        <f t="shared" si="0"/>
        <v>https://www.ssbuy.tw/detail_giftcode/dist/giftcodes/勇士不要停.html</v>
      </c>
      <c r="H62" s="36" t="str">
        <f t="shared" si="1"/>
        <v>https://www.ssbuy.tw/detail_giftcode/dist/gamedetail/勇士不要停.html</v>
      </c>
      <c r="I62" s="44" t="s">
        <v>884</v>
      </c>
      <c r="J62" s="38" t="s">
        <v>885</v>
      </c>
      <c r="K62" s="36">
        <v>2551</v>
      </c>
      <c r="L62" s="36" t="s">
        <v>886</v>
      </c>
      <c r="M62" s="36">
        <v>1323</v>
      </c>
      <c r="N62" s="36" t="s">
        <v>887</v>
      </c>
      <c r="O62" s="36">
        <v>539</v>
      </c>
      <c r="P62" s="36" t="s">
        <v>888</v>
      </c>
      <c r="Q62" s="36">
        <v>267</v>
      </c>
      <c r="R62" s="36" t="s">
        <v>889</v>
      </c>
      <c r="S62" s="36">
        <v>137</v>
      </c>
      <c r="T62" s="36" t="s">
        <v>734</v>
      </c>
      <c r="U62" s="36">
        <v>35</v>
      </c>
    </row>
    <row r="63" spans="1:27" ht="22.5" customHeight="1">
      <c r="A63" s="35" t="s">
        <v>890</v>
      </c>
      <c r="F63" s="36" t="str">
        <f t="shared" si="0"/>
        <v>https://www.ssbuy.tw/detail_giftcode/dist/giftcodes/元氣火柴人.html</v>
      </c>
      <c r="H63" s="36" t="str">
        <f t="shared" si="1"/>
        <v>https://www.ssbuy.tw/detail_giftcode/dist/gamedetail/元氣火柴人.html</v>
      </c>
      <c r="I63" s="44" t="s">
        <v>891</v>
      </c>
      <c r="J63" s="38" t="s">
        <v>892</v>
      </c>
      <c r="K63" s="36">
        <v>2551</v>
      </c>
      <c r="L63" s="36" t="s">
        <v>893</v>
      </c>
      <c r="M63" s="36">
        <v>1323</v>
      </c>
      <c r="N63" s="36" t="s">
        <v>894</v>
      </c>
      <c r="O63" s="36">
        <v>786</v>
      </c>
      <c r="P63" s="36" t="s">
        <v>895</v>
      </c>
      <c r="Q63" s="36">
        <v>630</v>
      </c>
      <c r="R63" s="36" t="s">
        <v>896</v>
      </c>
      <c r="S63" s="36">
        <v>267</v>
      </c>
      <c r="T63" s="36" t="s">
        <v>897</v>
      </c>
      <c r="U63" s="36">
        <v>137</v>
      </c>
      <c r="V63" s="36" t="s">
        <v>898</v>
      </c>
      <c r="W63" s="36">
        <v>30</v>
      </c>
    </row>
    <row r="64" spans="1:27" ht="22.5" customHeight="1">
      <c r="A64" s="35" t="s">
        <v>899</v>
      </c>
      <c r="F64" s="36" t="str">
        <f t="shared" si="0"/>
        <v>https://www.ssbuy.tw/detail_giftcode/dist/giftcodes/深淵之影.html</v>
      </c>
      <c r="H64" s="36" t="str">
        <f t="shared" si="1"/>
        <v>https://www.ssbuy.tw/detail_giftcode/dist/gamedetail/深淵之影.html</v>
      </c>
      <c r="I64" s="44" t="s">
        <v>900</v>
      </c>
      <c r="J64" s="38" t="s">
        <v>901</v>
      </c>
      <c r="K64" s="36">
        <v>170</v>
      </c>
      <c r="L64" s="36" t="s">
        <v>902</v>
      </c>
      <c r="M64" s="36">
        <v>80</v>
      </c>
      <c r="N64" s="36" t="s">
        <v>903</v>
      </c>
      <c r="O64" s="36">
        <v>30</v>
      </c>
    </row>
    <row r="65" spans="1:33" ht="22.5" customHeight="1">
      <c r="A65" s="35" t="s">
        <v>904</v>
      </c>
      <c r="F65" s="36" t="str">
        <f t="shared" si="0"/>
        <v>https://www.ssbuy.tw/detail_giftcode/dist/giftcodes/玩星派對.html</v>
      </c>
      <c r="H65" s="36" t="str">
        <f t="shared" si="1"/>
        <v>https://www.ssbuy.tw/detail_giftcode/dist/gamedetail/玩星派對.html</v>
      </c>
      <c r="I65" s="44" t="s">
        <v>905</v>
      </c>
      <c r="J65" s="38" t="s">
        <v>906</v>
      </c>
      <c r="K65" s="36">
        <v>12670</v>
      </c>
      <c r="L65" s="36" t="s">
        <v>907</v>
      </c>
      <c r="M65" s="36">
        <v>1323</v>
      </c>
      <c r="N65" s="36" t="s">
        <v>908</v>
      </c>
      <c r="O65" s="36">
        <v>786</v>
      </c>
      <c r="P65" s="36" t="s">
        <v>909</v>
      </c>
      <c r="Q65" s="36">
        <v>394</v>
      </c>
      <c r="R65" s="36" t="s">
        <v>910</v>
      </c>
      <c r="S65" s="36">
        <v>137</v>
      </c>
      <c r="T65" s="36" t="s">
        <v>911</v>
      </c>
      <c r="U65" s="36">
        <v>35</v>
      </c>
    </row>
    <row r="66" spans="1:33" ht="22.5" customHeight="1">
      <c r="A66" s="35" t="s">
        <v>912</v>
      </c>
      <c r="F66" s="36" t="str">
        <f t="shared" si="0"/>
        <v>https://www.ssbuy.tw/detail_giftcode/dist/giftcodes/進化吧!我的人生.html</v>
      </c>
      <c r="H66" s="36" t="str">
        <f t="shared" si="1"/>
        <v>https://www.ssbuy.tw/detail_giftcode/dist/gamedetail/進化吧!我的人生.html</v>
      </c>
      <c r="I66" s="44" t="s">
        <v>913</v>
      </c>
      <c r="J66" s="38" t="s">
        <v>914</v>
      </c>
      <c r="K66" s="36">
        <v>2551</v>
      </c>
      <c r="L66" s="36" t="s">
        <v>915</v>
      </c>
      <c r="M66" s="36">
        <v>1323</v>
      </c>
      <c r="N66" s="36" t="s">
        <v>916</v>
      </c>
      <c r="O66" s="36">
        <v>539</v>
      </c>
      <c r="P66" s="36" t="s">
        <v>917</v>
      </c>
      <c r="Q66" s="36">
        <v>267</v>
      </c>
      <c r="R66" s="36" t="s">
        <v>918</v>
      </c>
      <c r="S66" s="36">
        <v>137</v>
      </c>
      <c r="T66" s="36" t="s">
        <v>919</v>
      </c>
      <c r="U66" s="36">
        <v>30</v>
      </c>
    </row>
    <row r="67" spans="1:33" ht="22.5" customHeight="1">
      <c r="A67" s="35" t="s">
        <v>920</v>
      </c>
      <c r="F67" s="36" t="str">
        <f t="shared" ref="F67:F130" si="2">IF(A67="","", "https://www.ssbuy.tw/detail_giftcode/dist/giftcodes/" &amp; IF(ISNUMBER(LEFT(A67,1)*1), "game-", "") &amp; A67 &amp; ".html")</f>
        <v>https://www.ssbuy.tw/detail_giftcode/dist/giftcodes/星之夢幻島.html</v>
      </c>
      <c r="H67" s="36" t="str">
        <f t="shared" ref="H67:H130" si="3">IF(A67="","", "https://www.ssbuy.tw/detail_giftcode/dist/gamedetail/" &amp; IF(ISNUMBER(LEFT(A67,1)*1), "game-", "") &amp; A67 &amp; ".html")</f>
        <v>https://www.ssbuy.tw/detail_giftcode/dist/gamedetail/星之夢幻島.html</v>
      </c>
      <c r="I67" s="44" t="s">
        <v>921</v>
      </c>
      <c r="J67" s="38" t="s">
        <v>922</v>
      </c>
      <c r="K67" s="36">
        <v>2950</v>
      </c>
      <c r="L67" s="36" t="s">
        <v>923</v>
      </c>
      <c r="M67" s="36">
        <v>1323</v>
      </c>
      <c r="N67" s="36" t="s">
        <v>924</v>
      </c>
      <c r="O67" s="36">
        <v>539</v>
      </c>
      <c r="P67" s="36" t="s">
        <v>925</v>
      </c>
      <c r="Q67" s="36">
        <v>267</v>
      </c>
      <c r="R67" s="36" t="s">
        <v>926</v>
      </c>
      <c r="S67" s="36">
        <v>137</v>
      </c>
      <c r="T67" s="36" t="s">
        <v>927</v>
      </c>
      <c r="U67" s="36">
        <v>70</v>
      </c>
    </row>
    <row r="68" spans="1:33" ht="22.5" customHeight="1">
      <c r="A68" s="35" t="s">
        <v>928</v>
      </c>
      <c r="F68" s="36" t="str">
        <f t="shared" si="2"/>
        <v>https://www.ssbuy.tw/detail_giftcode/dist/giftcodes/小冰冰傳奇：回到最初.html</v>
      </c>
      <c r="H68" s="36" t="str">
        <f t="shared" si="3"/>
        <v>https://www.ssbuy.tw/detail_giftcode/dist/gamedetail/小冰冰傳奇：回到最初.html</v>
      </c>
      <c r="I68" s="44" t="s">
        <v>929</v>
      </c>
      <c r="J68" s="38" t="s">
        <v>930</v>
      </c>
      <c r="K68" s="36">
        <v>2551</v>
      </c>
      <c r="L68" s="36" t="s">
        <v>931</v>
      </c>
      <c r="M68" s="36">
        <v>2551</v>
      </c>
      <c r="N68" s="36" t="s">
        <v>932</v>
      </c>
      <c r="O68" s="36">
        <v>786</v>
      </c>
      <c r="P68" s="36" t="s">
        <v>933</v>
      </c>
      <c r="Q68" s="36">
        <v>460</v>
      </c>
      <c r="R68" s="36" t="s">
        <v>934</v>
      </c>
      <c r="S68" s="36">
        <v>137</v>
      </c>
      <c r="T68" s="36" t="s">
        <v>935</v>
      </c>
      <c r="U68" s="36">
        <v>35</v>
      </c>
    </row>
    <row r="69" spans="1:33" ht="22.5" customHeight="1">
      <c r="A69" s="35" t="s">
        <v>936</v>
      </c>
      <c r="F69" s="36" t="str">
        <f t="shared" si="2"/>
        <v>https://www.ssbuy.tw/detail_giftcode/dist/giftcodes/江湖風雲傳.html</v>
      </c>
      <c r="H69" s="36" t="str">
        <f t="shared" si="3"/>
        <v>https://www.ssbuy.tw/detail_giftcode/dist/gamedetail/江湖風雲傳.html</v>
      </c>
      <c r="I69" s="44" t="s">
        <v>937</v>
      </c>
      <c r="J69" s="38" t="s">
        <v>938</v>
      </c>
      <c r="K69" s="36">
        <v>2551</v>
      </c>
      <c r="L69" s="36" t="s">
        <v>939</v>
      </c>
      <c r="M69" s="36">
        <v>1323</v>
      </c>
      <c r="N69" s="36" t="s">
        <v>940</v>
      </c>
      <c r="O69" s="36">
        <v>786</v>
      </c>
      <c r="P69" s="36" t="s">
        <v>941</v>
      </c>
      <c r="Q69" s="36">
        <v>539</v>
      </c>
      <c r="R69" s="36" t="s">
        <v>942</v>
      </c>
      <c r="S69" s="36">
        <v>460</v>
      </c>
      <c r="T69" s="36" t="s">
        <v>943</v>
      </c>
      <c r="U69" s="36">
        <v>240</v>
      </c>
      <c r="V69" s="36" t="s">
        <v>944</v>
      </c>
      <c r="W69" s="36">
        <v>137</v>
      </c>
      <c r="X69" s="36" t="s">
        <v>945</v>
      </c>
      <c r="Y69" s="36">
        <v>60</v>
      </c>
      <c r="Z69" s="36" t="s">
        <v>946</v>
      </c>
      <c r="AA69" s="36">
        <v>35</v>
      </c>
    </row>
    <row r="70" spans="1:33" ht="22.5" customHeight="1">
      <c r="A70" s="35" t="s">
        <v>947</v>
      </c>
      <c r="F70" s="36" t="str">
        <f t="shared" si="2"/>
        <v>https://www.ssbuy.tw/detail_giftcode/dist/giftcodes/星願之冠：狼少女物語.html</v>
      </c>
      <c r="H70" s="36" t="str">
        <f t="shared" si="3"/>
        <v>https://www.ssbuy.tw/detail_giftcode/dist/gamedetail/星願之冠：狼少女物語.html</v>
      </c>
      <c r="I70" s="44" t="s">
        <v>948</v>
      </c>
      <c r="J70" s="38" t="s">
        <v>949</v>
      </c>
      <c r="K70" s="36">
        <v>2450</v>
      </c>
      <c r="L70" s="36" t="s">
        <v>950</v>
      </c>
      <c r="M70" s="36">
        <v>1090</v>
      </c>
      <c r="N70" s="36" t="s">
        <v>951</v>
      </c>
      <c r="O70" s="36">
        <v>710</v>
      </c>
      <c r="P70" s="36" t="s">
        <v>952</v>
      </c>
      <c r="Q70" s="36">
        <v>270</v>
      </c>
      <c r="R70" s="36" t="s">
        <v>953</v>
      </c>
      <c r="S70" s="36">
        <v>137</v>
      </c>
      <c r="T70" s="36" t="s">
        <v>954</v>
      </c>
      <c r="U70" s="36">
        <v>35</v>
      </c>
    </row>
    <row r="71" spans="1:33" ht="22.5" customHeight="1">
      <c r="A71" s="35" t="s">
        <v>955</v>
      </c>
      <c r="F71" s="36" t="str">
        <f t="shared" si="2"/>
        <v>https://www.ssbuy.tw/detail_giftcode/dist/giftcodes/香蕉缺個芭樂.html</v>
      </c>
      <c r="H71" s="36" t="str">
        <f t="shared" si="3"/>
        <v>https://www.ssbuy.tw/detail_giftcode/dist/gamedetail/香蕉缺個芭樂.html</v>
      </c>
      <c r="I71" s="44" t="s">
        <v>956</v>
      </c>
      <c r="J71" s="38" t="s">
        <v>957</v>
      </c>
      <c r="K71" s="36">
        <v>2551</v>
      </c>
      <c r="L71" s="36" t="s">
        <v>958</v>
      </c>
      <c r="M71" s="36">
        <v>1323</v>
      </c>
      <c r="N71" s="36" t="s">
        <v>959</v>
      </c>
      <c r="O71" s="36">
        <v>786</v>
      </c>
      <c r="P71" s="36" t="s">
        <v>960</v>
      </c>
      <c r="Q71" s="36">
        <v>460</v>
      </c>
      <c r="R71" s="36" t="s">
        <v>961</v>
      </c>
      <c r="S71" s="36">
        <v>137</v>
      </c>
      <c r="T71" s="36" t="s">
        <v>734</v>
      </c>
      <c r="U71" s="36">
        <v>35</v>
      </c>
    </row>
    <row r="72" spans="1:33" ht="22.5" customHeight="1">
      <c r="A72" s="35" t="s">
        <v>962</v>
      </c>
      <c r="F72" s="36" t="str">
        <f t="shared" si="2"/>
        <v>https://www.ssbuy.tw/detail_giftcode/dist/giftcodes/精靈塔塔開.html</v>
      </c>
      <c r="H72" s="36" t="str">
        <f t="shared" si="3"/>
        <v>https://www.ssbuy.tw/detail_giftcode/dist/gamedetail/精靈塔塔開.html</v>
      </c>
      <c r="I72" s="44" t="s">
        <v>963</v>
      </c>
      <c r="J72" s="38" t="s">
        <v>964</v>
      </c>
      <c r="K72" s="36">
        <v>2560</v>
      </c>
      <c r="L72" s="36" t="s">
        <v>965</v>
      </c>
      <c r="M72" s="36">
        <v>1323</v>
      </c>
      <c r="N72" s="36" t="s">
        <v>966</v>
      </c>
      <c r="O72" s="36">
        <v>610</v>
      </c>
      <c r="P72" s="36" t="s">
        <v>967</v>
      </c>
      <c r="Q72" s="36">
        <v>267</v>
      </c>
      <c r="R72" s="36" t="s">
        <v>968</v>
      </c>
      <c r="S72" s="36">
        <v>137</v>
      </c>
      <c r="T72" s="36" t="s">
        <v>969</v>
      </c>
      <c r="U72" s="36">
        <v>35</v>
      </c>
    </row>
    <row r="73" spans="1:33" ht="22.5" customHeight="1">
      <c r="A73" s="35" t="s">
        <v>970</v>
      </c>
      <c r="F73" s="36" t="str">
        <f t="shared" si="2"/>
        <v>https://www.ssbuy.tw/detail_giftcode/dist/giftcodes/終末之歌.html</v>
      </c>
      <c r="H73" s="36" t="str">
        <f t="shared" si="3"/>
        <v>https://www.ssbuy.tw/detail_giftcode/dist/gamedetail/終末之歌.html</v>
      </c>
      <c r="I73" s="44" t="s">
        <v>971</v>
      </c>
      <c r="J73" s="38" t="s">
        <v>972</v>
      </c>
      <c r="K73" s="36">
        <v>2551</v>
      </c>
      <c r="L73" s="36" t="s">
        <v>973</v>
      </c>
      <c r="M73" s="36">
        <v>1323</v>
      </c>
      <c r="N73" s="36" t="s">
        <v>974</v>
      </c>
      <c r="O73" s="36">
        <v>786</v>
      </c>
      <c r="P73" s="36" t="s">
        <v>975</v>
      </c>
      <c r="Q73" s="36">
        <v>460</v>
      </c>
      <c r="R73" s="36" t="s">
        <v>976</v>
      </c>
      <c r="S73" s="36">
        <v>137</v>
      </c>
      <c r="T73" s="36" t="s">
        <v>977</v>
      </c>
      <c r="U73" s="36">
        <v>30</v>
      </c>
    </row>
    <row r="74" spans="1:33" ht="22.5" customHeight="1">
      <c r="A74" s="35" t="s">
        <v>978</v>
      </c>
      <c r="F74" s="36" t="str">
        <f t="shared" si="2"/>
        <v>https://www.ssbuy.tw/detail_giftcode/dist/giftcodes/森靈奇境.html</v>
      </c>
      <c r="H74" s="36" t="str">
        <f t="shared" si="3"/>
        <v>https://www.ssbuy.tw/detail_giftcode/dist/gamedetail/森靈奇境.html</v>
      </c>
      <c r="I74" s="44" t="s">
        <v>979</v>
      </c>
      <c r="J74" s="38" t="s">
        <v>980</v>
      </c>
      <c r="K74" s="36">
        <v>2551</v>
      </c>
      <c r="L74" s="36" t="s">
        <v>981</v>
      </c>
      <c r="M74" s="36">
        <v>1323</v>
      </c>
      <c r="N74" s="36" t="s">
        <v>982</v>
      </c>
      <c r="O74" s="36">
        <v>786</v>
      </c>
      <c r="P74" s="36" t="s">
        <v>983</v>
      </c>
      <c r="Q74" s="36">
        <v>539</v>
      </c>
      <c r="R74" s="36" t="s">
        <v>984</v>
      </c>
      <c r="S74" s="36">
        <v>267</v>
      </c>
      <c r="T74" s="36" t="s">
        <v>985</v>
      </c>
      <c r="U74" s="36">
        <v>137</v>
      </c>
      <c r="V74" s="36" t="s">
        <v>888</v>
      </c>
      <c r="W74" s="36">
        <v>35</v>
      </c>
    </row>
    <row r="75" spans="1:33" ht="22.5" customHeight="1">
      <c r="A75" s="35" t="s">
        <v>986</v>
      </c>
      <c r="F75" s="36" t="str">
        <f t="shared" si="2"/>
        <v>https://www.ssbuy.tw/detail_giftcode/dist/giftcodes/鬥破蒼穹：蕭門篇.html</v>
      </c>
      <c r="H75" s="36" t="str">
        <f t="shared" si="3"/>
        <v>https://www.ssbuy.tw/detail_giftcode/dist/gamedetail/鬥破蒼穹：蕭門篇.html</v>
      </c>
      <c r="I75" s="44" t="s">
        <v>987</v>
      </c>
      <c r="J75" s="38" t="s">
        <v>988</v>
      </c>
      <c r="K75" s="36">
        <v>2551</v>
      </c>
      <c r="L75" s="36" t="s">
        <v>989</v>
      </c>
      <c r="M75" s="36">
        <v>1323</v>
      </c>
      <c r="N75" s="36" t="s">
        <v>990</v>
      </c>
      <c r="O75" s="36">
        <v>786</v>
      </c>
      <c r="P75" s="36" t="s">
        <v>991</v>
      </c>
      <c r="Q75" s="36">
        <v>394</v>
      </c>
      <c r="R75" s="36" t="s">
        <v>992</v>
      </c>
      <c r="S75" s="36">
        <v>267</v>
      </c>
      <c r="T75" s="36" t="s">
        <v>993</v>
      </c>
      <c r="U75" s="36">
        <v>137</v>
      </c>
      <c r="V75" s="36" t="s">
        <v>994</v>
      </c>
      <c r="W75" s="36">
        <v>35</v>
      </c>
    </row>
    <row r="76" spans="1:33" ht="22.5" customHeight="1">
      <c r="A76" s="35" t="s">
        <v>995</v>
      </c>
      <c r="F76" s="36" t="str">
        <f t="shared" si="2"/>
        <v>https://www.ssbuy.tw/detail_giftcode/dist/giftcodes/無畏的狼煙.html</v>
      </c>
      <c r="H76" s="36" t="str">
        <f t="shared" si="3"/>
        <v>https://www.ssbuy.tw/detail_giftcode/dist/gamedetail/無畏的狼煙.html</v>
      </c>
      <c r="I76" s="44" t="s">
        <v>996</v>
      </c>
      <c r="J76" s="38" t="s">
        <v>997</v>
      </c>
      <c r="K76" s="36">
        <v>2551</v>
      </c>
      <c r="L76" s="36" t="s">
        <v>998</v>
      </c>
      <c r="M76" s="36">
        <v>1323</v>
      </c>
      <c r="N76" s="36" t="s">
        <v>999</v>
      </c>
      <c r="O76" s="36">
        <v>786</v>
      </c>
      <c r="P76" s="36" t="s">
        <v>1000</v>
      </c>
      <c r="Q76" s="36">
        <v>539</v>
      </c>
      <c r="R76" s="36" t="s">
        <v>1001</v>
      </c>
      <c r="S76" s="36">
        <v>267</v>
      </c>
      <c r="T76" s="36" t="s">
        <v>1002</v>
      </c>
      <c r="U76" s="36">
        <v>137</v>
      </c>
      <c r="V76" s="36" t="s">
        <v>1003</v>
      </c>
      <c r="W76" s="36">
        <v>35</v>
      </c>
    </row>
    <row r="77" spans="1:33" ht="22.5" customHeight="1">
      <c r="A77" s="46" t="s">
        <v>1004</v>
      </c>
      <c r="F77" s="36" t="str">
        <f t="shared" si="2"/>
        <v>https://www.ssbuy.tw/detail_giftcode/dist/giftcodes/代號：無頭.html</v>
      </c>
      <c r="H77" s="36" t="str">
        <f t="shared" si="3"/>
        <v>https://www.ssbuy.tw/detail_giftcode/dist/gamedetail/代號：無頭.html</v>
      </c>
      <c r="I77" s="44" t="s">
        <v>1005</v>
      </c>
      <c r="J77" s="38" t="s">
        <v>1006</v>
      </c>
      <c r="K77" s="36">
        <v>2551</v>
      </c>
      <c r="L77" s="36" t="s">
        <v>1007</v>
      </c>
      <c r="M77" s="36">
        <v>1323</v>
      </c>
      <c r="N77" s="36" t="s">
        <v>1008</v>
      </c>
      <c r="O77" s="36">
        <v>539</v>
      </c>
      <c r="P77" s="36" t="s">
        <v>1009</v>
      </c>
      <c r="Q77" s="36">
        <v>267</v>
      </c>
      <c r="R77" s="36" t="s">
        <v>1010</v>
      </c>
      <c r="S77" s="36">
        <v>137</v>
      </c>
      <c r="T77" s="36" t="s">
        <v>1011</v>
      </c>
      <c r="U77" s="36">
        <v>30</v>
      </c>
    </row>
    <row r="78" spans="1:33" ht="22.5" customHeight="1">
      <c r="A78" s="35" t="s">
        <v>1012</v>
      </c>
      <c r="F78" s="36" t="str">
        <f t="shared" si="2"/>
        <v>https://www.ssbuy.tw/detail_giftcode/dist/giftcodes/牛頭人GO.html</v>
      </c>
      <c r="H78" s="36" t="str">
        <f t="shared" si="3"/>
        <v>https://www.ssbuy.tw/detail_giftcode/dist/gamedetail/牛頭人GO.html</v>
      </c>
      <c r="I78" s="44" t="s">
        <v>1013</v>
      </c>
      <c r="J78" s="38" t="s">
        <v>1014</v>
      </c>
      <c r="K78" s="36">
        <v>2551</v>
      </c>
      <c r="L78" s="36" t="s">
        <v>1015</v>
      </c>
      <c r="M78" s="36">
        <v>1323</v>
      </c>
      <c r="N78" s="36" t="s">
        <v>1016</v>
      </c>
      <c r="O78" s="36">
        <v>539</v>
      </c>
      <c r="P78" s="36" t="s">
        <v>1017</v>
      </c>
      <c r="Q78" s="36">
        <v>267</v>
      </c>
      <c r="R78" s="36" t="s">
        <v>1018</v>
      </c>
      <c r="S78" s="36">
        <v>137</v>
      </c>
      <c r="T78" s="36" t="s">
        <v>1019</v>
      </c>
      <c r="U78" s="36">
        <v>90</v>
      </c>
      <c r="V78" s="36" t="s">
        <v>1020</v>
      </c>
      <c r="W78" s="36">
        <v>35</v>
      </c>
    </row>
    <row r="79" spans="1:33" ht="22.5" customHeight="1">
      <c r="A79" s="35" t="s">
        <v>1021</v>
      </c>
      <c r="F79" s="36" t="str">
        <f t="shared" si="2"/>
        <v>https://www.ssbuy.tw/detail_giftcode/dist/giftcodes/派對吧三國.html</v>
      </c>
      <c r="H79" s="36" t="str">
        <f t="shared" si="3"/>
        <v>https://www.ssbuy.tw/detail_giftcode/dist/gamedetail/派對吧三國.html</v>
      </c>
      <c r="I79" s="44" t="s">
        <v>1022</v>
      </c>
      <c r="J79" s="38" t="s">
        <v>1023</v>
      </c>
      <c r="K79" s="36">
        <v>2551</v>
      </c>
      <c r="L79" s="36" t="s">
        <v>1024</v>
      </c>
      <c r="M79" s="36">
        <v>1960</v>
      </c>
      <c r="N79" s="36" t="s">
        <v>1025</v>
      </c>
      <c r="O79" s="36">
        <v>1323</v>
      </c>
      <c r="P79" s="36" t="s">
        <v>1026</v>
      </c>
      <c r="Q79" s="36">
        <v>786</v>
      </c>
      <c r="R79" s="36" t="s">
        <v>1027</v>
      </c>
      <c r="S79" s="36">
        <v>539</v>
      </c>
      <c r="T79" s="36" t="s">
        <v>1028</v>
      </c>
      <c r="U79" s="36">
        <v>394</v>
      </c>
      <c r="V79" s="36" t="s">
        <v>1029</v>
      </c>
      <c r="W79" s="36">
        <v>267</v>
      </c>
      <c r="X79" s="36" t="s">
        <v>1030</v>
      </c>
      <c r="Y79" s="36">
        <v>260</v>
      </c>
      <c r="Z79" s="36" t="s">
        <v>1031</v>
      </c>
      <c r="AA79" s="36">
        <v>137</v>
      </c>
      <c r="AB79" s="36" t="s">
        <v>1032</v>
      </c>
      <c r="AC79" s="36">
        <v>90</v>
      </c>
      <c r="AD79" s="36" t="s">
        <v>1033</v>
      </c>
      <c r="AE79" s="36">
        <v>60</v>
      </c>
      <c r="AF79" s="36" t="s">
        <v>1034</v>
      </c>
      <c r="AG79" s="36">
        <v>35</v>
      </c>
    </row>
    <row r="80" spans="1:33" ht="22.5" customHeight="1">
      <c r="A80" s="35" t="s">
        <v>1035</v>
      </c>
      <c r="F80" s="36" t="str">
        <f t="shared" si="2"/>
        <v>https://www.ssbuy.tw/detail_giftcode/dist/giftcodes/酒酒大俠.html</v>
      </c>
      <c r="H80" s="36" t="str">
        <f t="shared" si="3"/>
        <v>https://www.ssbuy.tw/detail_giftcode/dist/gamedetail/酒酒大俠.html</v>
      </c>
      <c r="I80" s="44" t="s">
        <v>1036</v>
      </c>
      <c r="J80" s="38" t="s">
        <v>1037</v>
      </c>
      <c r="K80" s="36">
        <v>2551</v>
      </c>
      <c r="L80" s="36" t="s">
        <v>1038</v>
      </c>
      <c r="M80" s="36">
        <v>1323</v>
      </c>
      <c r="N80" s="36" t="s">
        <v>1039</v>
      </c>
      <c r="O80" s="36">
        <v>786</v>
      </c>
      <c r="P80" s="36" t="s">
        <v>1040</v>
      </c>
      <c r="Q80" s="36">
        <v>394</v>
      </c>
      <c r="R80" s="36" t="s">
        <v>1041</v>
      </c>
      <c r="S80" s="36">
        <v>267</v>
      </c>
      <c r="T80" s="36" t="s">
        <v>1042</v>
      </c>
      <c r="U80" s="36">
        <v>137</v>
      </c>
      <c r="V80" s="36" t="s">
        <v>1043</v>
      </c>
      <c r="W80" s="36">
        <v>35</v>
      </c>
    </row>
    <row r="81" spans="1:37" ht="22.5" customHeight="1">
      <c r="A81" s="35" t="s">
        <v>1044</v>
      </c>
      <c r="F81" s="36" t="str">
        <f t="shared" si="2"/>
        <v>https://www.ssbuy.tw/detail_giftcode/dist/giftcodes/鼠衛家園.html</v>
      </c>
      <c r="H81" s="36" t="str">
        <f t="shared" si="3"/>
        <v>https://www.ssbuy.tw/detail_giftcode/dist/gamedetail/鼠衛家園.html</v>
      </c>
      <c r="I81" s="44" t="s">
        <v>1045</v>
      </c>
      <c r="J81" s="38" t="s">
        <v>1046</v>
      </c>
      <c r="K81" s="36">
        <v>2551</v>
      </c>
      <c r="L81" s="36" t="s">
        <v>1047</v>
      </c>
      <c r="M81" s="36">
        <v>1280</v>
      </c>
      <c r="N81" s="36" t="s">
        <v>1048</v>
      </c>
      <c r="O81" s="36">
        <v>539</v>
      </c>
      <c r="P81" s="36" t="s">
        <v>1049</v>
      </c>
      <c r="Q81" s="36">
        <v>267</v>
      </c>
      <c r="R81" s="36" t="s">
        <v>1050</v>
      </c>
      <c r="S81" s="36">
        <v>137</v>
      </c>
    </row>
    <row r="82" spans="1:37" ht="22.5" customHeight="1">
      <c r="A82" s="35" t="s">
        <v>1051</v>
      </c>
      <c r="F82" s="36" t="str">
        <f t="shared" si="2"/>
        <v>https://www.ssbuy.tw/detail_giftcode/dist/giftcodes/未頌者之歌：異世界冒險奇譚.html</v>
      </c>
      <c r="H82" s="36" t="str">
        <f t="shared" si="3"/>
        <v>https://www.ssbuy.tw/detail_giftcode/dist/gamedetail/未頌者之歌：異世界冒險奇譚.html</v>
      </c>
      <c r="I82" s="44" t="s">
        <v>1052</v>
      </c>
      <c r="J82" s="38" t="s">
        <v>1053</v>
      </c>
      <c r="K82" s="36">
        <v>2551</v>
      </c>
      <c r="L82" s="36" t="s">
        <v>1054</v>
      </c>
      <c r="M82" s="36">
        <v>1323</v>
      </c>
      <c r="N82" s="36" t="s">
        <v>1055</v>
      </c>
      <c r="O82" s="36">
        <v>539</v>
      </c>
      <c r="P82" s="36" t="s">
        <v>1056</v>
      </c>
      <c r="Q82" s="36">
        <v>267</v>
      </c>
      <c r="R82" s="36" t="s">
        <v>1057</v>
      </c>
      <c r="S82" s="36">
        <v>137</v>
      </c>
      <c r="T82" s="36" t="s">
        <v>1058</v>
      </c>
      <c r="U82" s="36">
        <v>35</v>
      </c>
    </row>
    <row r="83" spans="1:37" ht="22.5" customHeight="1">
      <c r="A83" s="35" t="s">
        <v>1059</v>
      </c>
      <c r="F83" s="36" t="str">
        <f t="shared" si="2"/>
        <v>https://www.ssbuy.tw/detail_giftcode/dist/giftcodes/熱練戰士.html</v>
      </c>
      <c r="H83" s="36" t="str">
        <f t="shared" si="3"/>
        <v>https://www.ssbuy.tw/detail_giftcode/dist/gamedetail/熱練戰士.html</v>
      </c>
      <c r="I83" s="44" t="s">
        <v>1060</v>
      </c>
      <c r="J83" s="38" t="s">
        <v>1061</v>
      </c>
      <c r="K83" s="36">
        <v>2590</v>
      </c>
      <c r="L83" s="36" t="s">
        <v>1062</v>
      </c>
      <c r="M83" s="36">
        <v>740</v>
      </c>
      <c r="N83" s="36" t="s">
        <v>1063</v>
      </c>
      <c r="O83" s="36">
        <v>137</v>
      </c>
    </row>
    <row r="84" spans="1:37" ht="22.5" customHeight="1">
      <c r="A84" s="35" t="s">
        <v>1064</v>
      </c>
      <c r="F84" s="36" t="str">
        <f t="shared" si="2"/>
        <v>https://www.ssbuy.tw/detail_giftcode/dist/giftcodes/聯盟戰棋.html</v>
      </c>
      <c r="H84" s="36" t="str">
        <f t="shared" si="3"/>
        <v>https://www.ssbuy.tw/detail_giftcode/dist/gamedetail/聯盟戰棋.html</v>
      </c>
      <c r="I84" s="44" t="s">
        <v>1065</v>
      </c>
      <c r="J84" s="38" t="s">
        <v>1066</v>
      </c>
      <c r="K84" s="36">
        <v>2430</v>
      </c>
      <c r="L84" s="36" t="s">
        <v>1067</v>
      </c>
      <c r="M84" s="36">
        <v>1220</v>
      </c>
      <c r="N84" s="36" t="s">
        <v>1068</v>
      </c>
      <c r="O84" s="36">
        <v>850</v>
      </c>
      <c r="P84" s="36" t="s">
        <v>1069</v>
      </c>
      <c r="Q84" s="36">
        <v>539</v>
      </c>
      <c r="R84" s="36" t="s">
        <v>1070</v>
      </c>
      <c r="S84" s="36">
        <v>270</v>
      </c>
      <c r="T84" s="36" t="s">
        <v>1071</v>
      </c>
      <c r="U84" s="36">
        <v>137</v>
      </c>
    </row>
    <row r="85" spans="1:37" ht="22.5" customHeight="1">
      <c r="A85" s="35" t="s">
        <v>1072</v>
      </c>
      <c r="F85" s="36" t="str">
        <f t="shared" si="2"/>
        <v>https://www.ssbuy.tw/detail_giftcode/dist/giftcodes/劍客物語.html</v>
      </c>
      <c r="H85" s="36" t="str">
        <f t="shared" si="3"/>
        <v>https://www.ssbuy.tw/detail_giftcode/dist/gamedetail/劍客物語.html</v>
      </c>
      <c r="I85" s="44" t="s">
        <v>1073</v>
      </c>
      <c r="J85" s="38" t="s">
        <v>1074</v>
      </c>
      <c r="K85" s="36">
        <v>2551</v>
      </c>
      <c r="L85" s="36" t="s">
        <v>1075</v>
      </c>
      <c r="M85" s="36">
        <v>1300</v>
      </c>
      <c r="N85" s="36" t="s">
        <v>1076</v>
      </c>
      <c r="O85" s="36">
        <v>786</v>
      </c>
      <c r="P85" s="36" t="s">
        <v>1077</v>
      </c>
      <c r="Q85" s="36">
        <v>270</v>
      </c>
      <c r="R85" s="36" t="s">
        <v>1078</v>
      </c>
      <c r="S85" s="36">
        <v>137</v>
      </c>
      <c r="T85" s="36" t="s">
        <v>1079</v>
      </c>
      <c r="U85" s="36">
        <v>90</v>
      </c>
    </row>
    <row r="86" spans="1:37" ht="22.5" customHeight="1">
      <c r="A86" s="35" t="s">
        <v>1080</v>
      </c>
      <c r="F86" s="36" t="str">
        <f t="shared" si="2"/>
        <v>https://www.ssbuy.tw/detail_giftcode/dist/giftcodes/人在塔在.html</v>
      </c>
      <c r="H86" s="36" t="str">
        <f t="shared" si="3"/>
        <v>https://www.ssbuy.tw/detail_giftcode/dist/gamedetail/人在塔在.html</v>
      </c>
      <c r="I86" s="44" t="s">
        <v>1081</v>
      </c>
      <c r="J86" s="38" t="s">
        <v>1082</v>
      </c>
      <c r="K86" s="36">
        <v>2551</v>
      </c>
      <c r="L86" s="36" t="s">
        <v>1083</v>
      </c>
      <c r="M86" s="36">
        <v>1390</v>
      </c>
      <c r="N86" s="36" t="s">
        <v>966</v>
      </c>
      <c r="O86" s="36">
        <v>539</v>
      </c>
      <c r="P86" s="36" t="s">
        <v>1084</v>
      </c>
      <c r="Q86" s="36">
        <v>267</v>
      </c>
      <c r="R86" s="36" t="s">
        <v>1085</v>
      </c>
      <c r="S86" s="36">
        <v>137</v>
      </c>
      <c r="T86" s="36" t="s">
        <v>1086</v>
      </c>
      <c r="U86" s="36">
        <v>40</v>
      </c>
    </row>
    <row r="87" spans="1:37" ht="22.5" customHeight="1">
      <c r="A87" s="35" t="s">
        <v>1087</v>
      </c>
      <c r="F87" s="36" t="str">
        <f t="shared" si="2"/>
        <v>https://www.ssbuy.tw/detail_giftcode/dist/giftcodes/龍語霜城.html</v>
      </c>
      <c r="H87" s="36" t="str">
        <f t="shared" si="3"/>
        <v>https://www.ssbuy.tw/detail_giftcode/dist/gamedetail/龍語霜城.html</v>
      </c>
      <c r="I87" s="44" t="s">
        <v>1088</v>
      </c>
      <c r="J87" s="38" t="s">
        <v>1089</v>
      </c>
      <c r="K87" s="36">
        <v>2551</v>
      </c>
      <c r="L87" s="36" t="s">
        <v>1090</v>
      </c>
      <c r="M87" s="36">
        <v>1323</v>
      </c>
      <c r="N87" s="36" t="s">
        <v>1091</v>
      </c>
      <c r="O87" s="36">
        <v>1100</v>
      </c>
      <c r="P87" s="36" t="s">
        <v>1092</v>
      </c>
      <c r="Q87" s="36">
        <v>820</v>
      </c>
      <c r="R87" s="36" t="s">
        <v>1093</v>
      </c>
      <c r="S87" s="36">
        <v>539</v>
      </c>
      <c r="T87" s="36" t="s">
        <v>1094</v>
      </c>
      <c r="U87" s="36">
        <v>420</v>
      </c>
      <c r="V87" s="36" t="s">
        <v>1095</v>
      </c>
      <c r="W87" s="36">
        <v>320</v>
      </c>
      <c r="X87" s="36" t="s">
        <v>1096</v>
      </c>
      <c r="Y87" s="36">
        <v>180</v>
      </c>
    </row>
    <row r="88" spans="1:37" ht="22.5" customHeight="1">
      <c r="A88" s="35" t="s">
        <v>1097</v>
      </c>
      <c r="F88" s="36" t="str">
        <f t="shared" si="2"/>
        <v>https://www.ssbuy.tw/detail_giftcode/dist/giftcodes/洛伊的移動要塞.html</v>
      </c>
      <c r="H88" s="36" t="str">
        <f t="shared" si="3"/>
        <v>https://www.ssbuy.tw/detail_giftcode/dist/gamedetail/洛伊的移動要塞.html</v>
      </c>
      <c r="I88" s="44" t="s">
        <v>1098</v>
      </c>
      <c r="J88" s="38" t="s">
        <v>1099</v>
      </c>
      <c r="K88" s="36">
        <v>2551</v>
      </c>
      <c r="L88" s="36" t="s">
        <v>1100</v>
      </c>
      <c r="M88" s="36">
        <v>2150</v>
      </c>
      <c r="N88" s="36" t="s">
        <v>1101</v>
      </c>
      <c r="O88" s="36">
        <v>2000</v>
      </c>
      <c r="P88" s="36" t="s">
        <v>1102</v>
      </c>
      <c r="Q88" s="36">
        <v>1700</v>
      </c>
      <c r="R88" s="36" t="s">
        <v>1103</v>
      </c>
      <c r="S88" s="36">
        <v>1323</v>
      </c>
      <c r="T88" s="36" t="s">
        <v>1104</v>
      </c>
      <c r="U88" s="36">
        <v>1100</v>
      </c>
      <c r="V88" s="36" t="s">
        <v>1105</v>
      </c>
      <c r="W88" s="36">
        <v>786</v>
      </c>
      <c r="X88" s="36" t="s">
        <v>1106</v>
      </c>
      <c r="Y88" s="36">
        <v>700</v>
      </c>
      <c r="Z88" s="36" t="s">
        <v>1107</v>
      </c>
      <c r="AA88" s="36">
        <v>620</v>
      </c>
      <c r="AB88" s="36" t="s">
        <v>1108</v>
      </c>
      <c r="AC88" s="36">
        <v>490</v>
      </c>
      <c r="AD88" s="36" t="s">
        <v>1109</v>
      </c>
      <c r="AE88" s="36">
        <v>450</v>
      </c>
      <c r="AF88" s="36" t="s">
        <v>1110</v>
      </c>
      <c r="AG88" s="36">
        <v>267</v>
      </c>
      <c r="AH88" s="36" t="s">
        <v>1111</v>
      </c>
      <c r="AI88" s="36">
        <v>180</v>
      </c>
      <c r="AJ88" s="36" t="s">
        <v>1112</v>
      </c>
      <c r="AK88" s="36">
        <v>137</v>
      </c>
    </row>
    <row r="89" spans="1:37" ht="22.5" customHeight="1">
      <c r="A89" s="35" t="s">
        <v>1113</v>
      </c>
      <c r="F89" s="36" t="str">
        <f t="shared" si="2"/>
        <v>https://www.ssbuy.tw/detail_giftcode/dist/giftcodes/喵喵王國.html</v>
      </c>
      <c r="H89" s="36" t="str">
        <f t="shared" si="3"/>
        <v>https://www.ssbuy.tw/detail_giftcode/dist/gamedetail/喵喵王國.html</v>
      </c>
      <c r="I89" s="44" t="s">
        <v>1114</v>
      </c>
      <c r="J89" s="38" t="s">
        <v>1115</v>
      </c>
      <c r="K89" s="36">
        <v>2300</v>
      </c>
      <c r="L89" s="36" t="s">
        <v>1116</v>
      </c>
      <c r="M89" s="36">
        <v>1150</v>
      </c>
      <c r="N89" s="36" t="s">
        <v>1117</v>
      </c>
      <c r="O89" s="36">
        <v>650</v>
      </c>
      <c r="P89" s="36" t="s">
        <v>1118</v>
      </c>
      <c r="Q89" s="36">
        <v>267</v>
      </c>
      <c r="R89" s="36" t="s">
        <v>1119</v>
      </c>
      <c r="S89" s="36">
        <v>120</v>
      </c>
      <c r="T89" s="36" t="s">
        <v>1120</v>
      </c>
      <c r="U89" s="36">
        <v>30</v>
      </c>
    </row>
    <row r="90" spans="1:37" ht="22.5" customHeight="1">
      <c r="A90" s="35" t="s">
        <v>1121</v>
      </c>
      <c r="F90" s="36" t="str">
        <f t="shared" si="2"/>
        <v>https://www.ssbuy.tw/detail_giftcode/dist/giftcodes/東京謎影者.html</v>
      </c>
      <c r="H90" s="36" t="str">
        <f t="shared" si="3"/>
        <v>https://www.ssbuy.tw/detail_giftcode/dist/gamedetail/東京謎影者.html</v>
      </c>
      <c r="I90" s="44" t="s">
        <v>1122</v>
      </c>
      <c r="J90" s="38" t="s">
        <v>1123</v>
      </c>
      <c r="K90" s="36">
        <v>2700</v>
      </c>
      <c r="L90" s="36" t="s">
        <v>1124</v>
      </c>
      <c r="M90" s="36">
        <v>1100</v>
      </c>
      <c r="N90" s="36" t="s">
        <v>1125</v>
      </c>
      <c r="O90" s="36">
        <v>539</v>
      </c>
      <c r="P90" s="36" t="s">
        <v>1126</v>
      </c>
      <c r="Q90" s="36">
        <v>267</v>
      </c>
      <c r="R90" s="36" t="s">
        <v>1127</v>
      </c>
      <c r="S90" s="36">
        <v>200</v>
      </c>
      <c r="T90" s="36" t="s">
        <v>1128</v>
      </c>
      <c r="U90" s="36">
        <v>60</v>
      </c>
    </row>
    <row r="91" spans="1:37" ht="22.5" customHeight="1">
      <c r="A91" s="35" t="s">
        <v>1129</v>
      </c>
      <c r="F91" s="36" t="str">
        <f t="shared" si="2"/>
        <v>https://www.ssbuy.tw/detail_giftcode/dist/giftcodes/戰極死遊.html</v>
      </c>
      <c r="H91" s="36" t="str">
        <f t="shared" si="3"/>
        <v>https://www.ssbuy.tw/detail_giftcode/dist/gamedetail/戰極死遊.html</v>
      </c>
      <c r="I91" s="44" t="s">
        <v>1130</v>
      </c>
      <c r="J91" s="38" t="s">
        <v>1131</v>
      </c>
      <c r="K91" s="36">
        <v>1900</v>
      </c>
      <c r="L91" s="36" t="s">
        <v>1132</v>
      </c>
      <c r="M91" s="36">
        <v>1050</v>
      </c>
      <c r="N91" s="36" t="s">
        <v>1133</v>
      </c>
      <c r="O91" s="36">
        <v>540</v>
      </c>
      <c r="P91" s="36" t="s">
        <v>1134</v>
      </c>
      <c r="Q91" s="36">
        <v>190</v>
      </c>
      <c r="R91" s="36" t="s">
        <v>1135</v>
      </c>
      <c r="S91" s="36">
        <v>90</v>
      </c>
      <c r="T91" s="36" t="s">
        <v>1136</v>
      </c>
      <c r="U91" s="36">
        <v>35</v>
      </c>
    </row>
    <row r="92" spans="1:37" ht="22.5" customHeight="1">
      <c r="A92" s="35" t="s">
        <v>1137</v>
      </c>
      <c r="F92" s="36" t="str">
        <f t="shared" si="2"/>
        <v>https://www.ssbuy.tw/detail_giftcode/dist/giftcodes/進擊的蝸牛.html</v>
      </c>
      <c r="H92" s="36" t="str">
        <f t="shared" si="3"/>
        <v>https://www.ssbuy.tw/detail_giftcode/dist/gamedetail/進擊的蝸牛.html</v>
      </c>
      <c r="I92" s="44" t="s">
        <v>1138</v>
      </c>
      <c r="J92" s="38" t="s">
        <v>1139</v>
      </c>
      <c r="K92" s="36">
        <v>2551</v>
      </c>
      <c r="L92" s="36" t="s">
        <v>1140</v>
      </c>
      <c r="M92" s="36">
        <v>1323</v>
      </c>
      <c r="N92" s="36" t="s">
        <v>1141</v>
      </c>
      <c r="O92" s="36">
        <v>539</v>
      </c>
      <c r="P92" s="36" t="s">
        <v>1142</v>
      </c>
      <c r="Q92" s="36">
        <v>267</v>
      </c>
      <c r="R92" s="36" t="s">
        <v>1143</v>
      </c>
      <c r="S92" s="36">
        <v>137</v>
      </c>
      <c r="T92" s="36" t="s">
        <v>1144</v>
      </c>
      <c r="U92" s="36">
        <v>40</v>
      </c>
    </row>
    <row r="93" spans="1:37" ht="22.5" customHeight="1">
      <c r="A93" s="35" t="s">
        <v>1145</v>
      </c>
      <c r="F93" s="36" t="str">
        <f t="shared" si="2"/>
        <v>https://www.ssbuy.tw/detail_giftcode/dist/giftcodes/純白大作戰.html</v>
      </c>
      <c r="H93" s="36" t="str">
        <f t="shared" si="3"/>
        <v>https://www.ssbuy.tw/detail_giftcode/dist/gamedetail/純白大作戰.html</v>
      </c>
      <c r="I93" s="44" t="s">
        <v>1146</v>
      </c>
      <c r="J93" s="38" t="s">
        <v>1147</v>
      </c>
      <c r="K93" s="36">
        <v>2551</v>
      </c>
      <c r="L93" s="36" t="s">
        <v>1148</v>
      </c>
      <c r="M93" s="36">
        <v>1323</v>
      </c>
      <c r="N93" s="36" t="s">
        <v>1149</v>
      </c>
      <c r="O93" s="36">
        <v>786</v>
      </c>
      <c r="P93" s="36" t="s">
        <v>1150</v>
      </c>
      <c r="Q93" s="36">
        <v>450</v>
      </c>
      <c r="R93" s="36" t="s">
        <v>1151</v>
      </c>
      <c r="S93" s="36">
        <v>137</v>
      </c>
      <c r="T93" s="36" t="s">
        <v>1152</v>
      </c>
      <c r="U93" s="36">
        <v>60</v>
      </c>
    </row>
    <row r="94" spans="1:37" ht="22.5" customHeight="1">
      <c r="A94" s="35" t="s">
        <v>1153</v>
      </c>
      <c r="F94" s="36" t="str">
        <f t="shared" si="2"/>
        <v>https://www.ssbuy.tw/detail_giftcode/dist/giftcodes/黑星勇者.html</v>
      </c>
      <c r="H94" s="36" t="str">
        <f t="shared" si="3"/>
        <v>https://www.ssbuy.tw/detail_giftcode/dist/gamedetail/黑星勇者.html</v>
      </c>
      <c r="I94" s="44" t="s">
        <v>1154</v>
      </c>
      <c r="J94" s="38" t="s">
        <v>1155</v>
      </c>
      <c r="K94" s="36">
        <v>2551</v>
      </c>
      <c r="L94" s="36" t="s">
        <v>1156</v>
      </c>
      <c r="M94" s="36">
        <v>1323</v>
      </c>
      <c r="N94" s="36" t="s">
        <v>1157</v>
      </c>
      <c r="O94" s="36">
        <v>630</v>
      </c>
      <c r="P94" s="36" t="s">
        <v>1158</v>
      </c>
      <c r="Q94" s="36">
        <v>267</v>
      </c>
      <c r="R94" s="36" t="s">
        <v>1159</v>
      </c>
      <c r="S94" s="36">
        <v>137</v>
      </c>
      <c r="T94" s="36" t="s">
        <v>1160</v>
      </c>
      <c r="U94" s="36">
        <v>40</v>
      </c>
    </row>
    <row r="95" spans="1:37" ht="22.5" customHeight="1">
      <c r="A95" s="35" t="s">
        <v>1161</v>
      </c>
      <c r="F95" s="36" t="str">
        <f t="shared" si="2"/>
        <v>https://www.ssbuy.tw/detail_giftcode/dist/giftcodes/龍之谷：經典再現.html</v>
      </c>
      <c r="H95" s="36" t="str">
        <f t="shared" si="3"/>
        <v>https://www.ssbuy.tw/detail_giftcode/dist/gamedetail/龍之谷：經典再現.html</v>
      </c>
      <c r="I95" s="44" t="s">
        <v>1162</v>
      </c>
      <c r="J95" s="38" t="s">
        <v>1163</v>
      </c>
      <c r="K95" s="36">
        <v>2551</v>
      </c>
      <c r="L95" s="36" t="s">
        <v>1164</v>
      </c>
      <c r="M95" s="36">
        <v>1323</v>
      </c>
      <c r="N95" s="36" t="s">
        <v>1165</v>
      </c>
      <c r="O95" s="36">
        <v>990</v>
      </c>
      <c r="P95" s="36" t="s">
        <v>1166</v>
      </c>
      <c r="Q95" s="36">
        <v>540</v>
      </c>
      <c r="R95" s="36" t="s">
        <v>1167</v>
      </c>
      <c r="S95" s="36">
        <v>270</v>
      </c>
      <c r="T95" s="36" t="s">
        <v>1168</v>
      </c>
      <c r="U95" s="36">
        <v>137</v>
      </c>
      <c r="V95" s="36" t="s">
        <v>1169</v>
      </c>
      <c r="W95" s="36">
        <v>40</v>
      </c>
    </row>
    <row r="96" spans="1:37" ht="22.5" customHeight="1">
      <c r="A96" s="35" t="s">
        <v>1170</v>
      </c>
      <c r="F96" s="36" t="str">
        <f t="shared" si="2"/>
        <v>https://www.ssbuy.tw/detail_giftcode/dist/giftcodes/楓之谷Artale.html</v>
      </c>
      <c r="H96" s="36" t="str">
        <f t="shared" si="3"/>
        <v>https://www.ssbuy.tw/detail_giftcode/dist/gamedetail/楓之谷Artale.html</v>
      </c>
      <c r="I96" s="44" t="s">
        <v>1171</v>
      </c>
      <c r="J96" s="38" t="s">
        <v>1172</v>
      </c>
      <c r="K96" s="36">
        <v>1580</v>
      </c>
    </row>
    <row r="97" spans="1:29" ht="22.5" customHeight="1">
      <c r="A97" s="35" t="s">
        <v>1173</v>
      </c>
      <c r="F97" s="36" t="str">
        <f t="shared" si="2"/>
        <v>https://www.ssbuy.tw/detail_giftcode/dist/giftcodes/出發吧麥芬.html</v>
      </c>
      <c r="H97" s="36" t="str">
        <f t="shared" si="3"/>
        <v>https://www.ssbuy.tw/detail_giftcode/dist/gamedetail/出發吧麥芬.html</v>
      </c>
      <c r="I97" s="44" t="s">
        <v>1174</v>
      </c>
      <c r="J97" s="38" t="s">
        <v>1175</v>
      </c>
      <c r="K97" s="36">
        <v>2390</v>
      </c>
      <c r="L97" s="36" t="s">
        <v>1176</v>
      </c>
      <c r="M97" s="36">
        <v>1380</v>
      </c>
      <c r="N97" s="36" t="s">
        <v>1177</v>
      </c>
      <c r="O97" s="36">
        <v>810</v>
      </c>
      <c r="P97" s="36" t="s">
        <v>1178</v>
      </c>
      <c r="Q97" s="36">
        <v>410</v>
      </c>
      <c r="R97" s="36" t="s">
        <v>1179</v>
      </c>
      <c r="S97" s="36">
        <v>270</v>
      </c>
      <c r="T97" s="36" t="s">
        <v>1180</v>
      </c>
      <c r="U97" s="36">
        <v>40</v>
      </c>
    </row>
    <row r="98" spans="1:29" ht="22.5" customHeight="1">
      <c r="A98" s="35" t="s">
        <v>1181</v>
      </c>
      <c r="F98" s="36" t="str">
        <f t="shared" si="2"/>
        <v>https://www.ssbuy.tw/detail_giftcode/dist/giftcodes/RO仙境傳說：守護永恆的愛 Classic.html</v>
      </c>
      <c r="H98" s="36" t="str">
        <f t="shared" si="3"/>
        <v>https://www.ssbuy.tw/detail_giftcode/dist/gamedetail/RO仙境傳說：守護永恆的愛 Classic.html</v>
      </c>
      <c r="I98" s="44" t="s">
        <v>1182</v>
      </c>
      <c r="J98" s="38" t="s">
        <v>1183</v>
      </c>
      <c r="K98" s="36">
        <v>2320</v>
      </c>
      <c r="L98" s="36" t="s">
        <v>1184</v>
      </c>
      <c r="M98" s="36">
        <v>1330</v>
      </c>
      <c r="N98" s="36" t="s">
        <v>1185</v>
      </c>
      <c r="O98" s="36">
        <v>520</v>
      </c>
      <c r="P98" s="36" t="s">
        <v>1186</v>
      </c>
      <c r="Q98" s="36">
        <v>267</v>
      </c>
      <c r="R98" s="36" t="s">
        <v>1187</v>
      </c>
      <c r="S98" s="36">
        <v>137</v>
      </c>
      <c r="T98" s="36" t="s">
        <v>1188</v>
      </c>
      <c r="U98" s="36">
        <v>90</v>
      </c>
    </row>
    <row r="99" spans="1:29" ht="22.5" customHeight="1">
      <c r="A99" s="35" t="s">
        <v>1189</v>
      </c>
      <c r="F99" s="36" t="str">
        <f t="shared" si="2"/>
        <v>https://www.ssbuy.tw/detail_giftcode/dist/giftcodes/魔力寶貝：復興.html</v>
      </c>
      <c r="H99" s="36" t="str">
        <f t="shared" si="3"/>
        <v>https://www.ssbuy.tw/detail_giftcode/dist/gamedetail/魔力寶貝：復興.html</v>
      </c>
      <c r="I99" s="44" t="s">
        <v>1190</v>
      </c>
      <c r="J99" s="38" t="s">
        <v>1191</v>
      </c>
      <c r="K99" s="36">
        <v>2290</v>
      </c>
      <c r="L99" s="36" t="s">
        <v>1192</v>
      </c>
      <c r="M99" s="36">
        <v>2000</v>
      </c>
      <c r="N99" s="36" t="s">
        <v>1193</v>
      </c>
      <c r="O99" s="36">
        <v>1150</v>
      </c>
      <c r="P99" s="36" t="s">
        <v>1194</v>
      </c>
      <c r="Q99" s="36">
        <v>786</v>
      </c>
      <c r="R99" s="36" t="s">
        <v>1195</v>
      </c>
      <c r="S99" s="36">
        <v>450</v>
      </c>
      <c r="T99" s="36" t="s">
        <v>1196</v>
      </c>
      <c r="U99" s="36">
        <v>260</v>
      </c>
      <c r="V99" s="36" t="s">
        <v>1197</v>
      </c>
      <c r="W99" s="36">
        <v>137</v>
      </c>
      <c r="X99" s="36" t="s">
        <v>1198</v>
      </c>
      <c r="Y99" s="36">
        <v>50</v>
      </c>
    </row>
    <row r="100" spans="1:29" ht="22.5" customHeight="1">
      <c r="A100" s="35" t="s">
        <v>1199</v>
      </c>
      <c r="F100" s="36" t="str">
        <f t="shared" si="2"/>
        <v>https://www.ssbuy.tw/detail_giftcode/dist/giftcodes/東京喰種Awakening.html</v>
      </c>
      <c r="H100" s="36" t="str">
        <f t="shared" si="3"/>
        <v>https://www.ssbuy.tw/detail_giftcode/dist/gamedetail/東京喰種Awakening.html</v>
      </c>
      <c r="I100" s="44" t="s">
        <v>1200</v>
      </c>
      <c r="J100" s="38" t="s">
        <v>1201</v>
      </c>
      <c r="K100" s="36">
        <v>2551</v>
      </c>
      <c r="L100" s="36" t="s">
        <v>1202</v>
      </c>
      <c r="M100" s="36">
        <v>1370</v>
      </c>
      <c r="N100" s="36" t="s">
        <v>1203</v>
      </c>
      <c r="O100" s="36">
        <v>740</v>
      </c>
      <c r="P100" s="36" t="s">
        <v>1204</v>
      </c>
      <c r="Q100" s="36">
        <v>394</v>
      </c>
      <c r="R100" s="36" t="s">
        <v>1205</v>
      </c>
      <c r="S100" s="36">
        <v>137</v>
      </c>
      <c r="T100" s="36" t="s">
        <v>1206</v>
      </c>
      <c r="U100" s="36">
        <v>40</v>
      </c>
    </row>
    <row r="101" spans="1:29" ht="22.5" customHeight="1">
      <c r="A101" s="35" t="s">
        <v>1207</v>
      </c>
      <c r="F101" s="36" t="str">
        <f t="shared" si="2"/>
        <v>https://www.ssbuy.tw/detail_giftcode/dist/giftcodes/晶核.html</v>
      </c>
      <c r="H101" s="36" t="str">
        <f t="shared" si="3"/>
        <v>https://www.ssbuy.tw/detail_giftcode/dist/gamedetail/晶核.html</v>
      </c>
      <c r="I101" s="44" t="s">
        <v>1208</v>
      </c>
      <c r="J101" s="38" t="s">
        <v>1209</v>
      </c>
      <c r="K101" s="36">
        <v>2420</v>
      </c>
      <c r="L101" s="36" t="s">
        <v>1210</v>
      </c>
      <c r="M101" s="36">
        <v>1340</v>
      </c>
      <c r="N101" s="36" t="s">
        <v>1211</v>
      </c>
      <c r="O101" s="36">
        <v>786</v>
      </c>
      <c r="P101" s="36" t="s">
        <v>1212</v>
      </c>
      <c r="Q101" s="36">
        <v>394</v>
      </c>
      <c r="R101" s="36" t="s">
        <v>1213</v>
      </c>
      <c r="S101" s="36">
        <v>137</v>
      </c>
      <c r="T101" s="36" t="s">
        <v>1214</v>
      </c>
      <c r="U101" s="36">
        <v>40</v>
      </c>
      <c r="V101" s="36" t="s">
        <v>1215</v>
      </c>
      <c r="W101" s="36">
        <v>137</v>
      </c>
    </row>
    <row r="102" spans="1:29" ht="22.5" customHeight="1" thickBot="1">
      <c r="A102" s="35" t="s">
        <v>1216</v>
      </c>
      <c r="F102" s="36" t="str">
        <f t="shared" si="2"/>
        <v>https://www.ssbuy.tw/detail_giftcode/dist/giftcodes/無盡夢迴.html</v>
      </c>
      <c r="H102" s="36" t="str">
        <f t="shared" si="3"/>
        <v>https://www.ssbuy.tw/detail_giftcode/dist/gamedetail/無盡夢迴.html</v>
      </c>
      <c r="I102" s="44" t="s">
        <v>1217</v>
      </c>
      <c r="J102" s="38" t="s">
        <v>1218</v>
      </c>
      <c r="K102" s="36">
        <v>2520</v>
      </c>
      <c r="L102" s="36" t="s">
        <v>1219</v>
      </c>
      <c r="M102" s="36">
        <v>1330</v>
      </c>
      <c r="N102" s="36" t="s">
        <v>1220</v>
      </c>
      <c r="O102" s="36">
        <v>830</v>
      </c>
      <c r="P102" s="36" t="s">
        <v>1221</v>
      </c>
      <c r="Q102" s="36">
        <v>420</v>
      </c>
      <c r="R102" s="36" t="s">
        <v>1222</v>
      </c>
      <c r="S102" s="36">
        <v>137</v>
      </c>
      <c r="T102" s="36" t="s">
        <v>1223</v>
      </c>
      <c r="U102" s="36">
        <v>40</v>
      </c>
      <c r="V102" s="36" t="s">
        <v>1224</v>
      </c>
      <c r="W102" s="36">
        <v>137</v>
      </c>
    </row>
    <row r="103" spans="1:29" ht="22.5" customHeight="1" thickBot="1">
      <c r="A103" s="46" t="s">
        <v>1225</v>
      </c>
      <c r="F103" s="36" t="str">
        <f t="shared" si="2"/>
        <v>https://www.ssbuy.tw/detail_giftcode/dist/giftcodes/RO仙境傳說：放推冒險團.html</v>
      </c>
      <c r="H103" s="36" t="str">
        <f t="shared" si="3"/>
        <v>https://www.ssbuy.tw/detail_giftcode/dist/gamedetail/RO仙境傳說：放推冒險團.html</v>
      </c>
      <c r="I103" s="44" t="s">
        <v>1226</v>
      </c>
      <c r="J103" s="57" t="s">
        <v>1227</v>
      </c>
      <c r="K103" s="58">
        <v>2551</v>
      </c>
      <c r="L103" s="59" t="s">
        <v>1228</v>
      </c>
      <c r="M103" s="58">
        <v>1323</v>
      </c>
      <c r="N103" s="59" t="s">
        <v>1229</v>
      </c>
      <c r="O103" s="58">
        <v>539</v>
      </c>
      <c r="P103" s="59" t="s">
        <v>1230</v>
      </c>
      <c r="Q103" s="58">
        <v>394</v>
      </c>
      <c r="R103" s="59" t="s">
        <v>1231</v>
      </c>
      <c r="S103" s="58">
        <v>137</v>
      </c>
      <c r="T103" s="59" t="s">
        <v>1232</v>
      </c>
      <c r="U103" s="58">
        <v>35</v>
      </c>
    </row>
    <row r="104" spans="1:29" ht="22.5" customHeight="1" thickBot="1">
      <c r="A104" s="46" t="s">
        <v>1233</v>
      </c>
      <c r="F104" s="36" t="str">
        <f t="shared" si="2"/>
        <v>https://www.ssbuy.tw/detail_giftcode/dist/giftcodes/英雄刷刷刷.html</v>
      </c>
      <c r="H104" s="36" t="str">
        <f t="shared" si="3"/>
        <v>https://www.ssbuy.tw/detail_giftcode/dist/gamedetail/英雄刷刷刷.html</v>
      </c>
      <c r="I104" s="44" t="s">
        <v>1234</v>
      </c>
      <c r="J104" s="57" t="s">
        <v>1235</v>
      </c>
      <c r="K104" s="58">
        <v>2551</v>
      </c>
      <c r="L104" s="59" t="s">
        <v>1236</v>
      </c>
      <c r="M104" s="58">
        <v>1323</v>
      </c>
      <c r="N104" s="59" t="s">
        <v>1237</v>
      </c>
      <c r="O104" s="58">
        <v>812</v>
      </c>
      <c r="P104" s="59" t="s">
        <v>1238</v>
      </c>
      <c r="Q104" s="58">
        <v>539</v>
      </c>
      <c r="R104" s="59" t="s">
        <v>1239</v>
      </c>
      <c r="S104" s="58">
        <v>394</v>
      </c>
      <c r="T104" s="59" t="s">
        <v>1240</v>
      </c>
      <c r="U104" s="58">
        <v>267</v>
      </c>
      <c r="V104" s="59" t="s">
        <v>1241</v>
      </c>
      <c r="W104" s="58">
        <v>137</v>
      </c>
      <c r="X104" s="59" t="s">
        <v>1242</v>
      </c>
      <c r="Y104" s="36">
        <v>89</v>
      </c>
      <c r="Z104" s="59" t="s">
        <v>1243</v>
      </c>
      <c r="AA104" s="36">
        <v>53</v>
      </c>
      <c r="AB104" s="59" t="s">
        <v>1244</v>
      </c>
      <c r="AC104" s="36">
        <v>30</v>
      </c>
    </row>
    <row r="105" spans="1:29" ht="22.5" customHeight="1" thickBot="1">
      <c r="A105" s="47" t="s">
        <v>1245</v>
      </c>
      <c r="F105" s="36" t="str">
        <f t="shared" si="2"/>
        <v>https://www.ssbuy.tw/detail_giftcode/dist/giftcodes/萬靈物語.html</v>
      </c>
      <c r="H105" s="36" t="str">
        <f t="shared" si="3"/>
        <v>https://www.ssbuy.tw/detail_giftcode/dist/gamedetail/萬靈物語.html</v>
      </c>
      <c r="I105" s="44" t="s">
        <v>1246</v>
      </c>
      <c r="J105" s="57" t="s">
        <v>12</v>
      </c>
      <c r="K105" s="58">
        <v>2551</v>
      </c>
      <c r="L105" s="59" t="s">
        <v>13</v>
      </c>
      <c r="M105" s="58">
        <v>1323</v>
      </c>
      <c r="N105" s="59" t="s">
        <v>14</v>
      </c>
      <c r="O105" s="58">
        <v>539</v>
      </c>
      <c r="P105" s="59" t="s">
        <v>15</v>
      </c>
      <c r="Q105" s="58">
        <v>394</v>
      </c>
      <c r="R105" s="59" t="s">
        <v>16</v>
      </c>
      <c r="S105" s="58">
        <v>137</v>
      </c>
      <c r="T105" s="59" t="s">
        <v>7</v>
      </c>
      <c r="U105" s="58">
        <v>35</v>
      </c>
    </row>
    <row r="106" spans="1:29" ht="22.5" customHeight="1" thickBot="1">
      <c r="A106" s="47" t="s">
        <v>1247</v>
      </c>
      <c r="F106" s="36" t="str">
        <f t="shared" si="2"/>
        <v>https://www.ssbuy.tw/detail_giftcode/dist/giftcodes/斗羅大陸：逆轉時空.html</v>
      </c>
      <c r="H106" s="36" t="str">
        <f t="shared" si="3"/>
        <v>https://www.ssbuy.tw/detail_giftcode/dist/gamedetail/斗羅大陸：逆轉時空.html</v>
      </c>
      <c r="I106" s="44" t="s">
        <v>1248</v>
      </c>
      <c r="J106" s="57" t="s">
        <v>1249</v>
      </c>
      <c r="K106" s="58">
        <v>2551</v>
      </c>
      <c r="L106" s="59" t="s">
        <v>1250</v>
      </c>
      <c r="M106" s="58">
        <v>1323</v>
      </c>
      <c r="N106" s="59" t="s">
        <v>1251</v>
      </c>
      <c r="O106" s="58">
        <v>803</v>
      </c>
      <c r="P106" s="59" t="s">
        <v>1252</v>
      </c>
      <c r="Q106" s="58">
        <v>539</v>
      </c>
      <c r="R106" s="59" t="s">
        <v>1253</v>
      </c>
      <c r="S106" s="58">
        <v>394</v>
      </c>
      <c r="T106" s="59" t="s">
        <v>1254</v>
      </c>
      <c r="U106" s="58">
        <v>267</v>
      </c>
      <c r="V106" s="59" t="s">
        <v>1255</v>
      </c>
      <c r="W106" s="58">
        <v>137</v>
      </c>
      <c r="X106" s="59" t="s">
        <v>1256</v>
      </c>
      <c r="Y106" s="58">
        <v>35</v>
      </c>
    </row>
    <row r="107" spans="1:29" ht="22.5" customHeight="1" thickBot="1">
      <c r="A107" s="47" t="s">
        <v>1257</v>
      </c>
      <c r="F107" s="36" t="str">
        <f t="shared" si="2"/>
        <v>https://www.ssbuy.tw/detail_giftcode/dist/giftcodes/魔靈召喚：保衛戰.html</v>
      </c>
      <c r="H107" s="36" t="str">
        <f t="shared" si="3"/>
        <v>https://www.ssbuy.tw/detail_giftcode/dist/gamedetail/魔靈召喚：保衛戰.html</v>
      </c>
      <c r="I107" s="44" t="s">
        <v>1258</v>
      </c>
      <c r="J107" s="57" t="s">
        <v>1259</v>
      </c>
      <c r="K107" s="58">
        <v>2551</v>
      </c>
      <c r="L107" s="59" t="s">
        <v>1260</v>
      </c>
      <c r="M107" s="58">
        <v>1631</v>
      </c>
      <c r="N107" s="59" t="s">
        <v>1261</v>
      </c>
      <c r="O107" s="58">
        <v>975</v>
      </c>
      <c r="P107" s="59" t="s">
        <v>1262</v>
      </c>
      <c r="Q107" s="58">
        <v>574</v>
      </c>
      <c r="R107" s="59" t="s">
        <v>1263</v>
      </c>
      <c r="S107" s="58">
        <v>241</v>
      </c>
      <c r="T107" s="59" t="s">
        <v>1264</v>
      </c>
      <c r="U107" s="58">
        <v>89</v>
      </c>
    </row>
    <row r="108" spans="1:29" ht="22.5" customHeight="1" thickBot="1">
      <c r="A108" s="47" t="s">
        <v>1265</v>
      </c>
      <c r="F108" s="36" t="str">
        <f t="shared" si="2"/>
        <v>https://www.ssbuy.tw/detail_giftcode/dist/giftcodes/潘多蘭島.html</v>
      </c>
      <c r="H108" s="36" t="str">
        <f t="shared" si="3"/>
        <v>https://www.ssbuy.tw/detail_giftcode/dist/gamedetail/潘多蘭島.html</v>
      </c>
      <c r="I108" s="44" t="s">
        <v>1266</v>
      </c>
      <c r="J108" s="57" t="s">
        <v>1267</v>
      </c>
      <c r="K108" s="58">
        <v>2551</v>
      </c>
      <c r="L108" s="59" t="s">
        <v>1268</v>
      </c>
      <c r="M108" s="58">
        <v>1323</v>
      </c>
      <c r="N108" s="59" t="s">
        <v>1269</v>
      </c>
      <c r="O108" s="58">
        <v>539</v>
      </c>
      <c r="P108" s="59" t="s">
        <v>232</v>
      </c>
      <c r="Q108" s="58">
        <v>267</v>
      </c>
      <c r="R108" s="59" t="s">
        <v>16</v>
      </c>
      <c r="S108" s="58">
        <v>137</v>
      </c>
      <c r="T108" s="59" t="s">
        <v>1270</v>
      </c>
      <c r="U108" s="58">
        <v>283</v>
      </c>
      <c r="V108" s="59" t="s">
        <v>1271</v>
      </c>
      <c r="W108" s="58">
        <v>812</v>
      </c>
      <c r="X108" s="59" t="s">
        <v>1272</v>
      </c>
      <c r="Y108" s="58">
        <v>137</v>
      </c>
      <c r="Z108" s="59" t="s">
        <v>1273</v>
      </c>
      <c r="AA108" s="58">
        <v>137</v>
      </c>
    </row>
    <row r="109" spans="1:29" ht="22.5" customHeight="1" thickBot="1">
      <c r="A109" s="47" t="s">
        <v>1274</v>
      </c>
      <c r="F109" s="36" t="str">
        <f t="shared" si="2"/>
        <v>https://www.ssbuy.tw/detail_giftcode/dist/giftcodes/電鋸果汁大亂鬥.html</v>
      </c>
      <c r="H109" s="36" t="str">
        <f t="shared" si="3"/>
        <v>https://www.ssbuy.tw/detail_giftcode/dist/gamedetail/電鋸果汁大亂鬥.html</v>
      </c>
      <c r="I109" s="44" t="s">
        <v>5142</v>
      </c>
      <c r="J109" s="57" t="s">
        <v>1275</v>
      </c>
      <c r="K109" s="58">
        <v>2551</v>
      </c>
      <c r="L109" s="59" t="s">
        <v>5</v>
      </c>
      <c r="M109" s="58">
        <v>1323</v>
      </c>
      <c r="N109" s="59" t="s">
        <v>17</v>
      </c>
      <c r="O109" s="58">
        <v>539</v>
      </c>
      <c r="P109" s="59" t="s">
        <v>1276</v>
      </c>
      <c r="Q109" s="58">
        <v>267</v>
      </c>
      <c r="R109" s="59" t="s">
        <v>1277</v>
      </c>
      <c r="S109" s="58">
        <v>137</v>
      </c>
      <c r="T109" s="59" t="s">
        <v>1278</v>
      </c>
      <c r="U109" s="58">
        <v>324</v>
      </c>
      <c r="V109" s="59" t="s">
        <v>1279</v>
      </c>
      <c r="W109" s="58">
        <v>266</v>
      </c>
    </row>
    <row r="110" spans="1:29" ht="22.5" customHeight="1" thickBot="1">
      <c r="A110" s="47" t="s">
        <v>1280</v>
      </c>
      <c r="F110" s="36" t="str">
        <f t="shared" si="2"/>
        <v>https://www.ssbuy.tw/detail_giftcode/dist/giftcodes/風色幻想NeXus.html</v>
      </c>
      <c r="H110" s="36" t="str">
        <f t="shared" si="3"/>
        <v>https://www.ssbuy.tw/detail_giftcode/dist/gamedetail/風色幻想NeXus.html</v>
      </c>
      <c r="I110" s="44" t="s">
        <v>1281</v>
      </c>
      <c r="J110" s="57" t="s">
        <v>1282</v>
      </c>
      <c r="K110" s="58">
        <v>2551</v>
      </c>
      <c r="L110" s="59" t="s">
        <v>1283</v>
      </c>
      <c r="M110" s="58">
        <v>1323</v>
      </c>
      <c r="N110" s="59" t="s">
        <v>1284</v>
      </c>
      <c r="O110" s="58">
        <v>812</v>
      </c>
      <c r="P110" s="59" t="s">
        <v>1285</v>
      </c>
      <c r="Q110" s="58">
        <v>394</v>
      </c>
      <c r="R110" s="59" t="s">
        <v>1286</v>
      </c>
      <c r="S110" s="58">
        <v>137</v>
      </c>
      <c r="T110" s="59" t="s">
        <v>1287</v>
      </c>
      <c r="U110" s="58">
        <v>539</v>
      </c>
      <c r="V110" s="59" t="s">
        <v>1288</v>
      </c>
      <c r="W110" s="58">
        <v>267</v>
      </c>
      <c r="X110" s="59" t="s">
        <v>1289</v>
      </c>
      <c r="Y110" s="58">
        <v>137</v>
      </c>
    </row>
    <row r="111" spans="1:29" ht="22.5" customHeight="1" thickBot="1">
      <c r="A111" s="47" t="s">
        <v>1290</v>
      </c>
      <c r="F111" s="36" t="str">
        <f t="shared" si="2"/>
        <v>https://www.ssbuy.tw/detail_giftcode/dist/giftcodes/星河訣愛.html</v>
      </c>
      <c r="H111" s="36" t="str">
        <f t="shared" si="3"/>
        <v>https://www.ssbuy.tw/detail_giftcode/dist/gamedetail/星河訣愛.html</v>
      </c>
      <c r="I111" s="44" t="s">
        <v>1291</v>
      </c>
      <c r="J111" s="57" t="s">
        <v>235</v>
      </c>
      <c r="K111" s="58">
        <v>2551</v>
      </c>
      <c r="L111" s="59" t="s">
        <v>236</v>
      </c>
      <c r="M111" s="58">
        <v>1323</v>
      </c>
      <c r="N111" s="59" t="s">
        <v>1292</v>
      </c>
      <c r="O111" s="58">
        <v>812</v>
      </c>
      <c r="P111" s="59" t="s">
        <v>237</v>
      </c>
      <c r="Q111" s="58">
        <v>539</v>
      </c>
      <c r="R111" s="59" t="s">
        <v>238</v>
      </c>
      <c r="S111" s="58">
        <v>267</v>
      </c>
      <c r="T111" s="59" t="s">
        <v>239</v>
      </c>
      <c r="U111" s="58">
        <v>137</v>
      </c>
      <c r="V111" s="59" t="s">
        <v>240</v>
      </c>
      <c r="W111" s="58">
        <v>35</v>
      </c>
    </row>
    <row r="112" spans="1:29" ht="22.5" customHeight="1" thickBot="1">
      <c r="A112" s="46" t="s">
        <v>3</v>
      </c>
      <c r="F112" s="36" t="str">
        <f t="shared" si="2"/>
        <v>https://www.ssbuy.tw/detail_giftcode/dist/giftcodes/kingshot.html</v>
      </c>
      <c r="H112" s="36" t="str">
        <f t="shared" si="3"/>
        <v>https://www.ssbuy.tw/detail_giftcode/dist/gamedetail/kingshot.html</v>
      </c>
      <c r="I112" s="44" t="s">
        <v>1293</v>
      </c>
      <c r="J112" s="48" t="s">
        <v>245</v>
      </c>
      <c r="K112" s="36">
        <v>2551</v>
      </c>
      <c r="L112" s="45" t="s">
        <v>246</v>
      </c>
      <c r="M112" s="36">
        <v>1323</v>
      </c>
      <c r="N112" s="45" t="s">
        <v>4</v>
      </c>
      <c r="O112" s="36">
        <v>539</v>
      </c>
      <c r="P112" s="45" t="s">
        <v>5</v>
      </c>
      <c r="Q112" s="36">
        <v>267</v>
      </c>
      <c r="R112" s="45" t="s">
        <v>1294</v>
      </c>
      <c r="S112" s="36">
        <v>137</v>
      </c>
      <c r="T112" s="45" t="s">
        <v>6</v>
      </c>
      <c r="U112" s="36">
        <v>35</v>
      </c>
      <c r="V112" s="45" t="s">
        <v>1295</v>
      </c>
      <c r="W112" s="36">
        <v>267</v>
      </c>
      <c r="X112" s="45" t="s">
        <v>1296</v>
      </c>
      <c r="Y112" s="36">
        <v>137</v>
      </c>
      <c r="Z112" s="45" t="s">
        <v>206</v>
      </c>
      <c r="AA112" s="36">
        <v>88</v>
      </c>
    </row>
    <row r="113" spans="1:31" ht="22.5" customHeight="1" thickBot="1">
      <c r="A113" s="46" t="s">
        <v>1297</v>
      </c>
      <c r="F113" s="36" t="str">
        <f t="shared" si="2"/>
        <v>https://www.ssbuy.tw/detail_giftcode/dist/giftcodes/胡鬧地牢.html</v>
      </c>
      <c r="H113" s="36" t="str">
        <f t="shared" si="3"/>
        <v>https://www.ssbuy.tw/detail_giftcode/dist/gamedetail/胡鬧地牢.html</v>
      </c>
      <c r="I113" s="44" t="s">
        <v>1298</v>
      </c>
      <c r="J113" s="48" t="s">
        <v>1299</v>
      </c>
      <c r="K113" s="36">
        <v>2442</v>
      </c>
      <c r="L113" s="45" t="s">
        <v>1300</v>
      </c>
      <c r="M113" s="36">
        <v>1234</v>
      </c>
      <c r="N113" s="45" t="s">
        <v>1301</v>
      </c>
      <c r="O113" s="36">
        <v>413</v>
      </c>
      <c r="P113" s="45" t="s">
        <v>1302</v>
      </c>
      <c r="Q113" s="36">
        <v>137</v>
      </c>
      <c r="R113" s="59" t="s">
        <v>7</v>
      </c>
      <c r="S113" s="58">
        <v>27</v>
      </c>
    </row>
    <row r="114" spans="1:31" ht="22.5" customHeight="1" thickBot="1">
      <c r="A114" s="46" t="s">
        <v>1303</v>
      </c>
      <c r="F114" s="36" t="str">
        <f t="shared" si="2"/>
        <v>https://www.ssbuy.tw/detail_giftcode/dist/giftcodes/小小軍團-重生.html</v>
      </c>
      <c r="H114" s="36" t="str">
        <f t="shared" si="3"/>
        <v>https://www.ssbuy.tw/detail_giftcode/dist/gamedetail/小小軍團-重生.html</v>
      </c>
      <c r="I114" s="44" t="s">
        <v>1304</v>
      </c>
      <c r="J114" s="57" t="s">
        <v>1305</v>
      </c>
      <c r="K114" s="58">
        <v>2442</v>
      </c>
      <c r="L114" s="59" t="s">
        <v>1306</v>
      </c>
      <c r="M114" s="58">
        <v>1234</v>
      </c>
      <c r="N114" s="59" t="s">
        <v>1307</v>
      </c>
      <c r="O114" s="58">
        <v>582</v>
      </c>
      <c r="P114" s="59" t="s">
        <v>1308</v>
      </c>
      <c r="Q114" s="58">
        <v>270</v>
      </c>
      <c r="R114" s="59" t="s">
        <v>1309</v>
      </c>
      <c r="S114" s="58">
        <v>137</v>
      </c>
      <c r="T114" s="59" t="s">
        <v>1310</v>
      </c>
      <c r="U114" s="58">
        <v>27</v>
      </c>
      <c r="V114" s="59" t="s">
        <v>1311</v>
      </c>
      <c r="W114" s="58">
        <v>270</v>
      </c>
      <c r="X114" s="59" t="s">
        <v>1312</v>
      </c>
      <c r="Y114" s="58">
        <v>137</v>
      </c>
      <c r="Z114" s="59" t="s">
        <v>1313</v>
      </c>
      <c r="AA114" s="58">
        <v>413</v>
      </c>
    </row>
    <row r="115" spans="1:31" ht="22.5" customHeight="1" thickBot="1">
      <c r="A115" s="47" t="s">
        <v>1314</v>
      </c>
      <c r="F115" s="36" t="str">
        <f t="shared" si="2"/>
        <v>https://www.ssbuy.tw/detail_giftcode/dist/giftcodes/爪爪遠征.html</v>
      </c>
      <c r="H115" s="36" t="str">
        <f t="shared" si="3"/>
        <v>https://www.ssbuy.tw/detail_giftcode/dist/gamedetail/爪爪遠征.html</v>
      </c>
      <c r="I115" s="44" t="s">
        <v>1315</v>
      </c>
      <c r="J115" s="57" t="s">
        <v>1316</v>
      </c>
      <c r="K115" s="58">
        <v>1232</v>
      </c>
      <c r="L115" s="59" t="s">
        <v>1317</v>
      </c>
      <c r="M115" s="58">
        <v>818</v>
      </c>
      <c r="N115" s="59" t="s">
        <v>1318</v>
      </c>
      <c r="O115" s="58">
        <v>578</v>
      </c>
      <c r="P115" s="59" t="s">
        <v>1319</v>
      </c>
      <c r="Q115" s="58">
        <v>185</v>
      </c>
      <c r="R115" s="59" t="s">
        <v>1320</v>
      </c>
      <c r="S115" s="58">
        <v>83</v>
      </c>
      <c r="T115" s="59" t="s">
        <v>1321</v>
      </c>
      <c r="U115" s="58">
        <v>35</v>
      </c>
      <c r="V115" s="59" t="s">
        <v>1322</v>
      </c>
      <c r="W115" s="58">
        <v>185</v>
      </c>
      <c r="X115" s="59" t="s">
        <v>1323</v>
      </c>
      <c r="Y115" s="58">
        <v>185</v>
      </c>
    </row>
    <row r="116" spans="1:31" ht="22.5" customHeight="1" thickBot="1">
      <c r="A116" s="47" t="s">
        <v>1324</v>
      </c>
      <c r="F116" s="36" t="str">
        <f t="shared" si="2"/>
        <v>https://www.ssbuy.tw/detail_giftcode/dist/giftcodes/勇士團團轉.html</v>
      </c>
      <c r="H116" s="36" t="str">
        <f t="shared" si="3"/>
        <v>https://www.ssbuy.tw/detail_giftcode/dist/gamedetail/勇士團團轉.html</v>
      </c>
      <c r="I116" s="44" t="s">
        <v>1325</v>
      </c>
      <c r="J116" s="57" t="s">
        <v>1326</v>
      </c>
      <c r="K116" s="58">
        <v>578</v>
      </c>
      <c r="L116" s="59" t="s">
        <v>1327</v>
      </c>
      <c r="M116" s="58">
        <v>269</v>
      </c>
      <c r="N116" s="59" t="s">
        <v>1328</v>
      </c>
      <c r="O116" s="58">
        <v>110</v>
      </c>
      <c r="P116" s="59" t="s">
        <v>1329</v>
      </c>
      <c r="Q116" s="58">
        <v>83</v>
      </c>
      <c r="R116" s="59" t="s">
        <v>1330</v>
      </c>
      <c r="S116" s="58">
        <v>411</v>
      </c>
    </row>
    <row r="117" spans="1:31" ht="22.5" customHeight="1" thickBot="1">
      <c r="A117" s="47" t="s">
        <v>1331</v>
      </c>
      <c r="F117" s="36" t="str">
        <f t="shared" si="2"/>
        <v>https://www.ssbuy.tw/detail_giftcode/dist/giftcodes/魁 三國志大戰.html</v>
      </c>
      <c r="H117" s="36" t="str">
        <f t="shared" si="3"/>
        <v>https://www.ssbuy.tw/detail_giftcode/dist/gamedetail/魁 三國志大戰.html</v>
      </c>
      <c r="I117" s="44" t="s">
        <v>1332</v>
      </c>
      <c r="J117" s="57" t="s">
        <v>1333</v>
      </c>
      <c r="K117" s="58">
        <v>1622</v>
      </c>
      <c r="L117" s="59" t="s">
        <v>1334</v>
      </c>
      <c r="M117" s="58">
        <v>818</v>
      </c>
      <c r="N117" s="59" t="s">
        <v>1335</v>
      </c>
      <c r="O117" s="58">
        <v>411</v>
      </c>
      <c r="P117" s="59" t="s">
        <v>1336</v>
      </c>
      <c r="Q117" s="58">
        <v>83</v>
      </c>
      <c r="R117" s="59" t="s">
        <v>1337</v>
      </c>
      <c r="S117" s="58">
        <v>35</v>
      </c>
      <c r="T117" s="59" t="s">
        <v>1338</v>
      </c>
      <c r="U117" s="58">
        <v>110</v>
      </c>
    </row>
    <row r="118" spans="1:31" ht="22.5" customHeight="1" thickBot="1">
      <c r="A118" s="47" t="s">
        <v>8</v>
      </c>
      <c r="F118" s="36" t="str">
        <f t="shared" si="2"/>
        <v>https://www.ssbuy.tw/detail_giftcode/dist/giftcodes/tokyo beast.html</v>
      </c>
      <c r="H118" s="36" t="str">
        <f t="shared" si="3"/>
        <v>https://www.ssbuy.tw/detail_giftcode/dist/gamedetail/tokyo beast.html</v>
      </c>
      <c r="I118" s="44" t="s">
        <v>1339</v>
      </c>
      <c r="J118" s="57" t="s">
        <v>1340</v>
      </c>
      <c r="K118" s="58">
        <v>2414</v>
      </c>
      <c r="L118" s="59" t="s">
        <v>1341</v>
      </c>
      <c r="M118" s="58">
        <v>1622</v>
      </c>
      <c r="N118" s="59" t="s">
        <v>1342</v>
      </c>
      <c r="O118" s="58">
        <v>1232</v>
      </c>
      <c r="P118" s="59" t="s">
        <v>1343</v>
      </c>
      <c r="Q118" s="58">
        <v>818</v>
      </c>
      <c r="R118" s="59" t="s">
        <v>1344</v>
      </c>
      <c r="S118" s="58">
        <v>578</v>
      </c>
      <c r="T118" s="59" t="s">
        <v>1345</v>
      </c>
      <c r="U118" s="58">
        <v>269</v>
      </c>
      <c r="V118" s="59" t="s">
        <v>1346</v>
      </c>
      <c r="W118" s="58">
        <v>138</v>
      </c>
      <c r="X118" s="59" t="s">
        <v>1347</v>
      </c>
      <c r="Y118" s="58">
        <v>83</v>
      </c>
      <c r="Z118" s="59" t="s">
        <v>1348</v>
      </c>
      <c r="AA118" s="58">
        <v>35</v>
      </c>
      <c r="AB118" s="59" t="s">
        <v>1349</v>
      </c>
      <c r="AC118" s="58">
        <v>2414</v>
      </c>
      <c r="AD118" s="59" t="s">
        <v>1350</v>
      </c>
      <c r="AE118" s="58">
        <v>818</v>
      </c>
    </row>
    <row r="119" spans="1:31" ht="22.5" customHeight="1" thickBot="1">
      <c r="A119" s="49" t="s">
        <v>1351</v>
      </c>
      <c r="F119" s="36" t="str">
        <f t="shared" si="2"/>
        <v>https://www.ssbuy.tw/detail_giftcode/dist/giftcodes/切換英雄：放置型RPG.html</v>
      </c>
      <c r="H119" s="36" t="str">
        <f t="shared" si="3"/>
        <v>https://www.ssbuy.tw/detail_giftcode/dist/gamedetail/切換英雄：放置型RPG.html</v>
      </c>
      <c r="I119" s="44" t="s">
        <v>1352</v>
      </c>
      <c r="J119" s="57" t="s">
        <v>1353</v>
      </c>
      <c r="K119" s="58">
        <v>1867</v>
      </c>
      <c r="L119" s="59" t="s">
        <v>1354</v>
      </c>
      <c r="M119" s="58">
        <v>1232</v>
      </c>
      <c r="N119" s="59" t="s">
        <v>1355</v>
      </c>
      <c r="O119" s="58">
        <v>818</v>
      </c>
      <c r="P119" s="59" t="s">
        <v>1356</v>
      </c>
      <c r="Q119" s="58">
        <v>327</v>
      </c>
      <c r="R119" s="59" t="s">
        <v>1357</v>
      </c>
      <c r="S119" s="58">
        <v>185</v>
      </c>
      <c r="T119" s="59" t="s">
        <v>1358</v>
      </c>
      <c r="U119" s="58">
        <v>110</v>
      </c>
      <c r="V119" s="59" t="s">
        <v>1278</v>
      </c>
      <c r="W119" s="58">
        <v>185</v>
      </c>
      <c r="X119" s="59" t="s">
        <v>1359</v>
      </c>
      <c r="Y119" s="58">
        <v>818</v>
      </c>
      <c r="Z119" s="59" t="s">
        <v>1360</v>
      </c>
      <c r="AA119" s="58">
        <v>578</v>
      </c>
      <c r="AB119" s="59" t="s">
        <v>1361</v>
      </c>
      <c r="AC119" s="58">
        <v>327</v>
      </c>
    </row>
    <row r="120" spans="1:31" ht="22.5" customHeight="1" thickBot="1">
      <c r="A120" s="35" t="s">
        <v>1362</v>
      </c>
      <c r="F120" s="36" t="str">
        <f t="shared" si="2"/>
        <v>https://www.ssbuy.tw/detail_giftcode/dist/giftcodes/小死神傳奇.html</v>
      </c>
      <c r="H120" s="36" t="str">
        <f t="shared" si="3"/>
        <v>https://www.ssbuy.tw/detail_giftcode/dist/gamedetail/小死神傳奇.html</v>
      </c>
      <c r="I120" s="44" t="s">
        <v>1363</v>
      </c>
      <c r="J120" s="57" t="s">
        <v>1364</v>
      </c>
      <c r="K120" s="58">
        <v>2011</v>
      </c>
      <c r="L120" s="59" t="s">
        <v>1365</v>
      </c>
      <c r="M120" s="58">
        <v>1066</v>
      </c>
      <c r="N120" s="59" t="s">
        <v>1366</v>
      </c>
      <c r="O120" s="58">
        <v>244</v>
      </c>
      <c r="P120" s="59" t="s">
        <v>1367</v>
      </c>
      <c r="Q120" s="58">
        <v>110</v>
      </c>
      <c r="R120" s="59" t="s">
        <v>1368</v>
      </c>
      <c r="S120" s="58">
        <v>35</v>
      </c>
      <c r="T120" s="59" t="s">
        <v>9</v>
      </c>
      <c r="U120" s="58">
        <v>653</v>
      </c>
      <c r="V120" s="59" t="s">
        <v>10</v>
      </c>
      <c r="W120" s="58">
        <v>244</v>
      </c>
      <c r="X120" s="59" t="s">
        <v>11</v>
      </c>
      <c r="Y120" s="58">
        <v>110</v>
      </c>
    </row>
    <row r="121" spans="1:31" ht="22.5" customHeight="1" thickBot="1">
      <c r="A121" s="35" t="s">
        <v>1369</v>
      </c>
      <c r="F121" s="36" t="str">
        <f t="shared" si="2"/>
        <v>https://www.ssbuy.tw/detail_giftcode/dist/giftcodes/闇影詩章：凌越世界.html</v>
      </c>
      <c r="H121" s="36" t="str">
        <f t="shared" si="3"/>
        <v>https://www.ssbuy.tw/detail_giftcode/dist/gamedetail/闇影詩章：凌越世界.html</v>
      </c>
      <c r="I121" s="44" t="s">
        <v>1370</v>
      </c>
      <c r="J121" s="57" t="s">
        <v>1371</v>
      </c>
      <c r="K121" s="58">
        <v>1948</v>
      </c>
      <c r="L121" s="59" t="s">
        <v>1372</v>
      </c>
      <c r="M121" s="58">
        <v>984</v>
      </c>
      <c r="N121" s="59" t="s">
        <v>1373</v>
      </c>
      <c r="O121" s="58">
        <v>620</v>
      </c>
      <c r="P121" s="59" t="s">
        <v>1374</v>
      </c>
      <c r="Q121" s="58">
        <v>419</v>
      </c>
      <c r="R121" s="59" t="s">
        <v>1375</v>
      </c>
      <c r="S121" s="58">
        <v>210</v>
      </c>
      <c r="T121" s="59" t="s">
        <v>1376</v>
      </c>
      <c r="U121" s="58">
        <v>115</v>
      </c>
      <c r="V121" s="59" t="s">
        <v>1377</v>
      </c>
      <c r="W121" s="58">
        <v>32</v>
      </c>
      <c r="X121" s="59" t="s">
        <v>1378</v>
      </c>
      <c r="Y121" s="58">
        <v>984</v>
      </c>
      <c r="Z121" s="59" t="s">
        <v>1329</v>
      </c>
      <c r="AA121" s="58">
        <v>419</v>
      </c>
    </row>
    <row r="122" spans="1:31" ht="22.5" customHeight="1" thickBot="1">
      <c r="A122" s="47" t="s">
        <v>1379</v>
      </c>
      <c r="F122" s="36" t="str">
        <f t="shared" si="2"/>
        <v>https://www.ssbuy.tw/detail_giftcode/dist/giftcodes/雪月風花.html</v>
      </c>
      <c r="H122" s="36" t="str">
        <f t="shared" si="3"/>
        <v>https://www.ssbuy.tw/detail_giftcode/dist/gamedetail/雪月風花.html</v>
      </c>
      <c r="I122" s="44" t="s">
        <v>1380</v>
      </c>
      <c r="J122" s="57" t="s">
        <v>18</v>
      </c>
      <c r="K122" s="58">
        <v>2551</v>
      </c>
      <c r="L122" s="59" t="s">
        <v>19</v>
      </c>
      <c r="M122" s="58">
        <v>1323</v>
      </c>
      <c r="N122" s="59" t="s">
        <v>20</v>
      </c>
      <c r="O122" s="58">
        <v>786</v>
      </c>
      <c r="P122" s="59" t="s">
        <v>21</v>
      </c>
      <c r="Q122" s="58">
        <v>539</v>
      </c>
      <c r="R122" s="59" t="s">
        <v>22</v>
      </c>
      <c r="S122" s="58">
        <v>267</v>
      </c>
      <c r="T122" s="59" t="s">
        <v>23</v>
      </c>
      <c r="U122" s="58">
        <v>138</v>
      </c>
    </row>
    <row r="123" spans="1:31" ht="22.5" customHeight="1" thickBot="1">
      <c r="A123" s="47" t="s">
        <v>1381</v>
      </c>
      <c r="F123" s="36" t="str">
        <f t="shared" si="2"/>
        <v>https://www.ssbuy.tw/detail_giftcode/dist/giftcodes/文明帝國：同盟時代.html</v>
      </c>
      <c r="H123" s="36" t="str">
        <f t="shared" si="3"/>
        <v>https://www.ssbuy.tw/detail_giftcode/dist/gamedetail/文明帝國：同盟時代.html</v>
      </c>
      <c r="I123" s="44" t="s">
        <v>1382</v>
      </c>
      <c r="J123" s="57" t="s">
        <v>12</v>
      </c>
      <c r="K123" s="58">
        <v>2551</v>
      </c>
      <c r="L123" s="59" t="s">
        <v>13</v>
      </c>
      <c r="M123" s="58">
        <v>1323</v>
      </c>
      <c r="N123" s="59" t="s">
        <v>24</v>
      </c>
      <c r="O123" s="58">
        <v>786</v>
      </c>
      <c r="P123" s="59" t="s">
        <v>14</v>
      </c>
      <c r="Q123" s="58">
        <v>539</v>
      </c>
      <c r="R123" s="59" t="s">
        <v>16</v>
      </c>
      <c r="S123" s="58">
        <v>138</v>
      </c>
      <c r="T123" s="59" t="s">
        <v>25</v>
      </c>
      <c r="U123" s="58">
        <v>267</v>
      </c>
      <c r="V123" s="59" t="s">
        <v>26</v>
      </c>
      <c r="W123" s="58">
        <v>138</v>
      </c>
    </row>
    <row r="124" spans="1:31" ht="22.5" customHeight="1" thickBot="1">
      <c r="A124" s="47" t="s">
        <v>1383</v>
      </c>
      <c r="F124" s="36" t="str">
        <f t="shared" si="2"/>
        <v>https://www.ssbuy.tw/detail_giftcode/dist/giftcodes/魔法商店大亨.html</v>
      </c>
      <c r="H124" s="36" t="str">
        <f t="shared" si="3"/>
        <v>https://www.ssbuy.tw/detail_giftcode/dist/gamedetail/魔法商店大亨.html</v>
      </c>
      <c r="I124" s="44" t="s">
        <v>1384</v>
      </c>
      <c r="J124" s="57" t="s">
        <v>27</v>
      </c>
      <c r="K124" s="58">
        <v>559</v>
      </c>
      <c r="L124" s="59" t="s">
        <v>28</v>
      </c>
      <c r="M124" s="58">
        <v>397</v>
      </c>
      <c r="N124" s="59" t="s">
        <v>29</v>
      </c>
      <c r="O124" s="58">
        <v>236</v>
      </c>
      <c r="P124" s="59" t="s">
        <v>30</v>
      </c>
      <c r="Q124" s="58">
        <v>133</v>
      </c>
      <c r="R124" s="59" t="s">
        <v>31</v>
      </c>
      <c r="S124" s="58">
        <v>80</v>
      </c>
      <c r="T124" s="59" t="s">
        <v>32</v>
      </c>
      <c r="U124" s="58">
        <v>53</v>
      </c>
    </row>
    <row r="125" spans="1:31" ht="22.5" customHeight="1" thickBot="1">
      <c r="A125" s="47" t="s">
        <v>1385</v>
      </c>
      <c r="F125" s="36" t="str">
        <f t="shared" si="2"/>
        <v>https://www.ssbuy.tw/detail_giftcode/dist/giftcodes/新仙劍奇俠傳lite.html</v>
      </c>
      <c r="H125" s="36" t="str">
        <f t="shared" si="3"/>
        <v>https://www.ssbuy.tw/detail_giftcode/dist/gamedetail/新仙劍奇俠傳lite.html</v>
      </c>
      <c r="I125" s="44" t="s">
        <v>1386</v>
      </c>
      <c r="J125" s="57" t="s">
        <v>33</v>
      </c>
      <c r="K125" s="58">
        <v>2450</v>
      </c>
      <c r="L125" s="59" t="s">
        <v>34</v>
      </c>
      <c r="M125" s="58">
        <v>1328</v>
      </c>
      <c r="N125" s="59" t="s">
        <v>35</v>
      </c>
      <c r="O125" s="58">
        <v>808</v>
      </c>
      <c r="P125" s="59" t="s">
        <v>36</v>
      </c>
      <c r="Q125" s="58">
        <v>437</v>
      </c>
      <c r="R125" s="59" t="s">
        <v>37</v>
      </c>
      <c r="S125" s="58">
        <v>273</v>
      </c>
      <c r="T125" s="59" t="s">
        <v>38</v>
      </c>
      <c r="U125" s="58">
        <v>137</v>
      </c>
      <c r="V125" s="59" t="s">
        <v>39</v>
      </c>
      <c r="W125" s="58">
        <v>30</v>
      </c>
    </row>
    <row r="126" spans="1:31" ht="22.5" customHeight="1" thickBot="1">
      <c r="A126" s="47" t="s">
        <v>1387</v>
      </c>
      <c r="F126" s="36" t="str">
        <f t="shared" si="2"/>
        <v>https://www.ssbuy.tw/detail_giftcode/dist/giftcodes/神州M.html</v>
      </c>
      <c r="H126" s="36" t="str">
        <f t="shared" si="3"/>
        <v>https://www.ssbuy.tw/detail_giftcode/dist/gamedetail/神州M.html</v>
      </c>
      <c r="I126" s="44" t="s">
        <v>1388</v>
      </c>
      <c r="J126" s="57" t="s">
        <v>40</v>
      </c>
      <c r="K126" s="58">
        <v>2333</v>
      </c>
      <c r="L126" s="59" t="s">
        <v>41</v>
      </c>
      <c r="M126" s="58">
        <v>1030</v>
      </c>
      <c r="N126" s="59" t="s">
        <v>42</v>
      </c>
      <c r="O126" s="58">
        <v>631</v>
      </c>
      <c r="P126" s="59" t="s">
        <v>43</v>
      </c>
      <c r="Q126" s="58">
        <v>236</v>
      </c>
      <c r="R126" s="59" t="s">
        <v>44</v>
      </c>
      <c r="S126" s="58">
        <v>115</v>
      </c>
      <c r="T126" s="59" t="s">
        <v>45</v>
      </c>
      <c r="U126" s="58">
        <v>35</v>
      </c>
      <c r="V126" s="59" t="s">
        <v>46</v>
      </c>
      <c r="W126" s="58">
        <v>2333</v>
      </c>
      <c r="X126" s="59" t="s">
        <v>47</v>
      </c>
      <c r="Y126" s="58">
        <v>1030</v>
      </c>
      <c r="Z126" s="59" t="s">
        <v>9</v>
      </c>
      <c r="AA126" s="58">
        <v>631</v>
      </c>
      <c r="AB126" s="59" t="s">
        <v>10</v>
      </c>
      <c r="AC126" s="58">
        <v>236</v>
      </c>
    </row>
    <row r="127" spans="1:31" ht="22.5" customHeight="1" thickBot="1">
      <c r="A127" s="35" t="s">
        <v>1389</v>
      </c>
      <c r="F127" s="36" t="str">
        <f t="shared" si="2"/>
        <v>https://www.ssbuy.tw/detail_giftcode/dist/giftcodes/英雄傳說：卡卡布三部曲.html</v>
      </c>
      <c r="H127" s="36" t="str">
        <f t="shared" si="3"/>
        <v>https://www.ssbuy.tw/detail_giftcode/dist/gamedetail/英雄傳說：卡卡布三部曲.html</v>
      </c>
      <c r="I127" s="44" t="s">
        <v>1390</v>
      </c>
      <c r="J127" s="57" t="s">
        <v>48</v>
      </c>
      <c r="K127" s="58">
        <v>2333</v>
      </c>
      <c r="L127" s="59" t="s">
        <v>49</v>
      </c>
      <c r="M127" s="58">
        <v>1190</v>
      </c>
      <c r="N127" s="59" t="s">
        <v>50</v>
      </c>
      <c r="O127" s="58">
        <v>539</v>
      </c>
      <c r="P127" s="59" t="s">
        <v>51</v>
      </c>
      <c r="Q127" s="58">
        <v>267</v>
      </c>
      <c r="R127" s="59" t="s">
        <v>52</v>
      </c>
      <c r="S127" s="58">
        <v>115</v>
      </c>
      <c r="T127" s="59" t="s">
        <v>53</v>
      </c>
      <c r="U127" s="58">
        <v>35</v>
      </c>
      <c r="V127" s="59" t="s">
        <v>54</v>
      </c>
      <c r="W127" s="58">
        <v>138</v>
      </c>
      <c r="X127" s="59" t="s">
        <v>55</v>
      </c>
      <c r="Y127" s="58">
        <v>267</v>
      </c>
      <c r="Z127" s="59" t="s">
        <v>56</v>
      </c>
      <c r="AA127" s="58">
        <v>539</v>
      </c>
    </row>
    <row r="128" spans="1:31" ht="22.5" customHeight="1" thickBot="1">
      <c r="A128" s="47" t="s">
        <v>57</v>
      </c>
      <c r="F128" s="36" t="str">
        <f t="shared" si="2"/>
        <v>https://www.ssbuy.tw/detail_giftcode/dist/giftcodes/胡來英雄.html</v>
      </c>
      <c r="H128" s="36" t="str">
        <f t="shared" si="3"/>
        <v>https://www.ssbuy.tw/detail_giftcode/dist/gamedetail/胡來英雄.html</v>
      </c>
      <c r="I128" s="37" t="s">
        <v>1391</v>
      </c>
      <c r="J128" s="57" t="s">
        <v>61</v>
      </c>
      <c r="K128" s="58">
        <v>2551</v>
      </c>
      <c r="L128" s="59" t="s">
        <v>62</v>
      </c>
      <c r="M128" s="58">
        <v>1323</v>
      </c>
      <c r="N128" s="59" t="s">
        <v>63</v>
      </c>
      <c r="O128" s="58">
        <v>786</v>
      </c>
      <c r="P128" s="59" t="s">
        <v>64</v>
      </c>
      <c r="Q128" s="58">
        <v>539</v>
      </c>
      <c r="R128" s="59" t="s">
        <v>65</v>
      </c>
      <c r="S128" s="58">
        <v>267</v>
      </c>
      <c r="T128" s="59" t="s">
        <v>16</v>
      </c>
      <c r="U128" s="58">
        <v>138</v>
      </c>
      <c r="V128" s="59" t="s">
        <v>7</v>
      </c>
      <c r="W128" s="58">
        <v>35</v>
      </c>
      <c r="X128" s="59" t="s">
        <v>66</v>
      </c>
      <c r="Y128" s="58">
        <v>267</v>
      </c>
      <c r="Z128" s="59" t="s">
        <v>67</v>
      </c>
      <c r="AA128" s="58">
        <v>267</v>
      </c>
      <c r="AB128" s="59" t="s">
        <v>68</v>
      </c>
      <c r="AC128" s="58">
        <v>539</v>
      </c>
    </row>
    <row r="129" spans="1:35" ht="22.5" customHeight="1" thickBot="1">
      <c r="A129" s="47" t="s">
        <v>58</v>
      </c>
      <c r="F129" s="36" t="str">
        <f t="shared" si="2"/>
        <v>https://www.ssbuy.tw/detail_giftcode/dist/giftcodes/一天又一天的RPG.html</v>
      </c>
      <c r="H129" s="36" t="str">
        <f t="shared" si="3"/>
        <v>https://www.ssbuy.tw/detail_giftcode/dist/gamedetail/一天又一天的RPG.html</v>
      </c>
      <c r="I129" s="37" t="s">
        <v>1392</v>
      </c>
      <c r="J129" s="57" t="s">
        <v>69</v>
      </c>
      <c r="K129" s="58">
        <v>2551</v>
      </c>
      <c r="L129" s="59" t="s">
        <v>70</v>
      </c>
      <c r="M129" s="58">
        <v>1804</v>
      </c>
      <c r="N129" s="59" t="s">
        <v>71</v>
      </c>
      <c r="O129" s="58">
        <v>1323</v>
      </c>
      <c r="P129" s="59" t="s">
        <v>72</v>
      </c>
      <c r="Q129" s="58">
        <v>786</v>
      </c>
      <c r="R129" s="59" t="s">
        <v>73</v>
      </c>
      <c r="S129" s="58">
        <v>539</v>
      </c>
      <c r="T129" s="59" t="s">
        <v>74</v>
      </c>
      <c r="U129" s="58">
        <v>397</v>
      </c>
      <c r="V129" s="59" t="s">
        <v>75</v>
      </c>
      <c r="W129" s="58">
        <v>138</v>
      </c>
      <c r="X129" s="59" t="s">
        <v>76</v>
      </c>
      <c r="Y129" s="58">
        <v>89</v>
      </c>
      <c r="Z129" s="59" t="s">
        <v>77</v>
      </c>
      <c r="AA129" s="58">
        <v>62</v>
      </c>
      <c r="AB129" s="59" t="s">
        <v>78</v>
      </c>
      <c r="AC129" s="58">
        <v>35</v>
      </c>
    </row>
    <row r="130" spans="1:35" ht="22.5" customHeight="1" thickBot="1">
      <c r="A130" s="47" t="s">
        <v>59</v>
      </c>
      <c r="F130" s="36" t="str">
        <f t="shared" si="2"/>
        <v>https://www.ssbuy.tw/detail_giftcode/dist/giftcodes/銀與血.html</v>
      </c>
      <c r="H130" s="36" t="str">
        <f t="shared" si="3"/>
        <v>https://www.ssbuy.tw/detail_giftcode/dist/gamedetail/銀與血.html</v>
      </c>
      <c r="I130" s="44" t="s">
        <v>1393</v>
      </c>
      <c r="J130" s="57" t="s">
        <v>79</v>
      </c>
      <c r="K130" s="58">
        <v>2099</v>
      </c>
      <c r="L130" s="59" t="s">
        <v>80</v>
      </c>
      <c r="M130" s="58">
        <v>1410</v>
      </c>
      <c r="N130" s="59" t="s">
        <v>81</v>
      </c>
      <c r="O130" s="58">
        <v>786</v>
      </c>
      <c r="P130" s="59" t="s">
        <v>82</v>
      </c>
      <c r="Q130" s="58">
        <v>539</v>
      </c>
      <c r="R130" s="59" t="s">
        <v>83</v>
      </c>
      <c r="S130" s="58">
        <v>267</v>
      </c>
      <c r="T130" s="59" t="s">
        <v>84</v>
      </c>
      <c r="U130" s="58">
        <v>138</v>
      </c>
      <c r="V130" s="59" t="s">
        <v>85</v>
      </c>
      <c r="W130" s="58">
        <v>138</v>
      </c>
      <c r="X130" s="59" t="s">
        <v>86</v>
      </c>
      <c r="Y130" s="58">
        <v>397</v>
      </c>
      <c r="Z130" s="59" t="s">
        <v>87</v>
      </c>
      <c r="AA130" s="58">
        <v>539</v>
      </c>
      <c r="AB130" s="59" t="s">
        <v>88</v>
      </c>
      <c r="AC130" s="58">
        <v>267</v>
      </c>
      <c r="AD130" s="59" t="s">
        <v>89</v>
      </c>
      <c r="AE130" s="58">
        <v>397</v>
      </c>
    </row>
    <row r="131" spans="1:35" ht="22.5" customHeight="1" thickBot="1">
      <c r="A131" s="47" t="s">
        <v>60</v>
      </c>
      <c r="F131" s="36" t="str">
        <f t="shared" ref="F131:F194" si="4">IF(A131="","", "https://www.ssbuy.tw/detail_giftcode/dist/giftcodes/" &amp; IF(ISNUMBER(LEFT(A131,1)*1), "game-", "") &amp; A131 &amp; ".html")</f>
        <v>https://www.ssbuy.tw/detail_giftcode/dist/giftcodes/緋石之心.html</v>
      </c>
      <c r="H131" s="36" t="str">
        <f t="shared" ref="H131:H194" si="5">IF(A131="","", "https://www.ssbuy.tw/detail_giftcode/dist/gamedetail/" &amp; IF(ISNUMBER(LEFT(A131,1)*1), "game-", "") &amp; A131 &amp; ".html")</f>
        <v>https://www.ssbuy.tw/detail_giftcode/dist/gamedetail/緋石之心.html</v>
      </c>
      <c r="I131" s="37" t="s">
        <v>1394</v>
      </c>
      <c r="J131" s="57" t="s">
        <v>90</v>
      </c>
      <c r="K131" s="58">
        <v>2333</v>
      </c>
      <c r="L131" s="59" t="s">
        <v>91</v>
      </c>
      <c r="M131" s="58">
        <v>1190</v>
      </c>
      <c r="N131" s="59" t="s">
        <v>92</v>
      </c>
      <c r="O131" s="58">
        <v>786</v>
      </c>
      <c r="P131" s="59" t="s">
        <v>93</v>
      </c>
      <c r="Q131" s="58">
        <v>559</v>
      </c>
      <c r="R131" s="59" t="s">
        <v>94</v>
      </c>
      <c r="S131" s="58">
        <v>267</v>
      </c>
      <c r="T131" s="59" t="s">
        <v>95</v>
      </c>
      <c r="U131" s="58">
        <v>133</v>
      </c>
      <c r="V131" s="59" t="s">
        <v>96</v>
      </c>
      <c r="W131" s="58">
        <v>27</v>
      </c>
      <c r="X131" s="59" t="s">
        <v>97</v>
      </c>
      <c r="Y131" s="58">
        <v>133</v>
      </c>
      <c r="Z131" s="59" t="s">
        <v>98</v>
      </c>
      <c r="AA131" s="58">
        <v>267</v>
      </c>
    </row>
    <row r="132" spans="1:35" ht="22.5" customHeight="1" thickBot="1">
      <c r="A132" s="47" t="s">
        <v>1395</v>
      </c>
      <c r="F132" s="36" t="str">
        <f t="shared" si="4"/>
        <v>https://www.ssbuy.tw/detail_giftcode/dist/giftcodes/滔湧少女.html</v>
      </c>
      <c r="H132" s="36" t="str">
        <f t="shared" si="5"/>
        <v>https://www.ssbuy.tw/detail_giftcode/dist/gamedetail/滔湧少女.html</v>
      </c>
      <c r="I132" s="37" t="s">
        <v>1396</v>
      </c>
      <c r="J132" s="57" t="s">
        <v>12</v>
      </c>
      <c r="K132" s="58">
        <v>2551</v>
      </c>
      <c r="L132" s="59" t="s">
        <v>118</v>
      </c>
      <c r="M132" s="58">
        <v>1804</v>
      </c>
      <c r="N132" s="59" t="s">
        <v>119</v>
      </c>
      <c r="O132" s="58">
        <v>1323</v>
      </c>
      <c r="P132" s="59" t="s">
        <v>24</v>
      </c>
      <c r="Q132" s="58">
        <v>786</v>
      </c>
      <c r="R132" s="59" t="s">
        <v>14</v>
      </c>
      <c r="S132" s="58">
        <v>539</v>
      </c>
      <c r="T132" s="59" t="s">
        <v>15</v>
      </c>
      <c r="U132" s="58">
        <v>397</v>
      </c>
      <c r="V132" s="59" t="s">
        <v>120</v>
      </c>
      <c r="W132" s="58">
        <v>267</v>
      </c>
      <c r="X132" s="59" t="s">
        <v>16</v>
      </c>
      <c r="Y132" s="58">
        <v>138</v>
      </c>
      <c r="Z132" s="59" t="s">
        <v>121</v>
      </c>
      <c r="AA132" s="58">
        <v>89</v>
      </c>
      <c r="AB132" s="59" t="s">
        <v>7</v>
      </c>
      <c r="AC132" s="58">
        <v>35</v>
      </c>
    </row>
    <row r="133" spans="1:35" ht="22.5" customHeight="1" thickBot="1">
      <c r="A133" s="47" t="s">
        <v>99</v>
      </c>
      <c r="F133" s="36" t="str">
        <f t="shared" si="4"/>
        <v>https://www.ssbuy.tw/detail_giftcode/dist/giftcodes/漫威祕法狂潮.html</v>
      </c>
      <c r="H133" s="36" t="str">
        <f t="shared" si="5"/>
        <v>https://www.ssbuy.tw/detail_giftcode/dist/gamedetail/漫威祕法狂潮.html</v>
      </c>
      <c r="I133" s="37" t="s">
        <v>1397</v>
      </c>
      <c r="J133" s="57" t="s">
        <v>101</v>
      </c>
      <c r="K133" s="58">
        <v>2551</v>
      </c>
      <c r="L133" s="59" t="s">
        <v>102</v>
      </c>
      <c r="M133" s="58">
        <v>1323</v>
      </c>
      <c r="N133" s="59" t="s">
        <v>103</v>
      </c>
      <c r="O133" s="58">
        <v>559</v>
      </c>
      <c r="P133" s="59" t="s">
        <v>104</v>
      </c>
      <c r="Q133" s="58">
        <v>267</v>
      </c>
      <c r="R133" s="59" t="s">
        <v>105</v>
      </c>
      <c r="S133" s="58">
        <v>138</v>
      </c>
      <c r="T133" s="59" t="s">
        <v>106</v>
      </c>
      <c r="U133" s="58">
        <v>35</v>
      </c>
      <c r="V133" s="59" t="s">
        <v>107</v>
      </c>
      <c r="W133" s="58">
        <v>138</v>
      </c>
    </row>
    <row r="134" spans="1:35" ht="22.5" customHeight="1" thickBot="1">
      <c r="A134" s="47" t="s">
        <v>100</v>
      </c>
      <c r="F134" s="36" t="str">
        <f t="shared" si="4"/>
        <v>https://www.ssbuy.tw/detail_giftcode/dist/giftcodes/魔教回歸：2D MMORPG.html</v>
      </c>
      <c r="H134" s="36" t="str">
        <f t="shared" si="5"/>
        <v>https://www.ssbuy.tw/detail_giftcode/dist/gamedetail/魔教回歸：2D MMORPG.html</v>
      </c>
      <c r="I134" s="44" t="s">
        <v>1398</v>
      </c>
      <c r="J134" s="57" t="s">
        <v>108</v>
      </c>
      <c r="K134" s="58">
        <v>1943</v>
      </c>
      <c r="L134" s="59" t="s">
        <v>109</v>
      </c>
      <c r="M134" s="58">
        <v>1030</v>
      </c>
      <c r="N134" s="59" t="s">
        <v>110</v>
      </c>
      <c r="O134" s="58">
        <v>631</v>
      </c>
      <c r="P134" s="59" t="s">
        <v>111</v>
      </c>
      <c r="Q134" s="58">
        <v>236</v>
      </c>
      <c r="R134" s="59" t="s">
        <v>112</v>
      </c>
      <c r="S134" s="58">
        <v>53</v>
      </c>
      <c r="T134" s="59" t="s">
        <v>113</v>
      </c>
      <c r="U134" s="58">
        <v>107</v>
      </c>
      <c r="V134" s="59" t="s">
        <v>114</v>
      </c>
      <c r="W134" s="58">
        <v>631</v>
      </c>
      <c r="X134" s="59" t="s">
        <v>115</v>
      </c>
      <c r="Y134" s="58">
        <v>397</v>
      </c>
      <c r="Z134" s="59" t="s">
        <v>116</v>
      </c>
      <c r="AA134" s="58">
        <v>1804</v>
      </c>
      <c r="AB134" s="59" t="s">
        <v>117</v>
      </c>
      <c r="AC134" s="58">
        <v>236</v>
      </c>
    </row>
    <row r="135" spans="1:35" ht="22.5" customHeight="1" thickBot="1">
      <c r="A135" s="47" t="s">
        <v>122</v>
      </c>
      <c r="F135" s="36" t="str">
        <f t="shared" si="4"/>
        <v>https://www.ssbuy.tw/detail_giftcode/dist/giftcodes/屍戰王朝.html</v>
      </c>
      <c r="H135" s="36" t="str">
        <f t="shared" si="5"/>
        <v>https://www.ssbuy.tw/detail_giftcode/dist/gamedetail/屍戰王朝.html</v>
      </c>
      <c r="I135" s="37" t="s">
        <v>1399</v>
      </c>
      <c r="J135" s="57" t="s">
        <v>125</v>
      </c>
      <c r="K135" s="58">
        <v>2551</v>
      </c>
      <c r="L135" s="59" t="s">
        <v>126</v>
      </c>
      <c r="M135" s="58">
        <v>2386</v>
      </c>
      <c r="N135" s="59" t="s">
        <v>127</v>
      </c>
      <c r="O135" s="58">
        <v>1987</v>
      </c>
      <c r="P135" s="59" t="s">
        <v>128</v>
      </c>
      <c r="Q135" s="58">
        <v>1323</v>
      </c>
      <c r="R135" s="59" t="s">
        <v>129</v>
      </c>
      <c r="S135" s="58">
        <v>1078</v>
      </c>
      <c r="T135" s="59" t="s">
        <v>130</v>
      </c>
      <c r="U135" s="58">
        <v>786</v>
      </c>
      <c r="V135" s="59" t="s">
        <v>131</v>
      </c>
      <c r="W135" s="58">
        <v>539</v>
      </c>
      <c r="X135" s="59" t="s">
        <v>132</v>
      </c>
      <c r="Y135" s="58">
        <v>394</v>
      </c>
      <c r="Z135" s="59" t="s">
        <v>133</v>
      </c>
      <c r="AA135" s="58">
        <v>267</v>
      </c>
      <c r="AB135" s="59" t="s">
        <v>134</v>
      </c>
      <c r="AC135" s="58">
        <v>141</v>
      </c>
      <c r="AD135" s="59" t="s">
        <v>135</v>
      </c>
      <c r="AE135" s="58">
        <v>27</v>
      </c>
      <c r="AF135" s="59" t="s">
        <v>136</v>
      </c>
      <c r="AG135" s="58">
        <v>227</v>
      </c>
    </row>
    <row r="136" spans="1:35" ht="22.5" customHeight="1" thickBot="1">
      <c r="A136" s="47" t="s">
        <v>123</v>
      </c>
      <c r="F136" s="36" t="str">
        <f t="shared" si="4"/>
        <v>https://www.ssbuy.tw/detail_giftcode/dist/giftcodes/機甲變變變.html</v>
      </c>
      <c r="H136" s="36" t="str">
        <f t="shared" si="5"/>
        <v>https://www.ssbuy.tw/detail_giftcode/dist/gamedetail/機甲變變變.html</v>
      </c>
      <c r="I136" s="37" t="s">
        <v>1400</v>
      </c>
      <c r="J136" s="57" t="s">
        <v>4</v>
      </c>
      <c r="K136" s="58">
        <v>2551</v>
      </c>
      <c r="L136" s="59" t="s">
        <v>137</v>
      </c>
      <c r="M136" s="58">
        <v>1323</v>
      </c>
      <c r="N136" s="59" t="s">
        <v>138</v>
      </c>
      <c r="O136" s="58">
        <v>539</v>
      </c>
      <c r="P136" s="59" t="s">
        <v>139</v>
      </c>
      <c r="Q136" s="58">
        <v>267</v>
      </c>
      <c r="R136" s="59" t="s">
        <v>140</v>
      </c>
      <c r="S136" s="58">
        <v>141</v>
      </c>
      <c r="T136" s="59" t="s">
        <v>7</v>
      </c>
      <c r="U136" s="58">
        <v>30</v>
      </c>
      <c r="V136" s="59" t="s">
        <v>141</v>
      </c>
      <c r="W136" s="58">
        <v>141</v>
      </c>
      <c r="X136" s="59" t="s">
        <v>142</v>
      </c>
      <c r="Y136" s="58">
        <v>539</v>
      </c>
      <c r="Z136" s="59" t="s">
        <v>143</v>
      </c>
      <c r="AA136" s="58">
        <v>267</v>
      </c>
      <c r="AB136" s="59" t="s">
        <v>144</v>
      </c>
      <c r="AC136" s="58">
        <v>786</v>
      </c>
    </row>
    <row r="137" spans="1:35" ht="22.5" customHeight="1" thickBot="1">
      <c r="A137" s="47" t="s">
        <v>1401</v>
      </c>
      <c r="F137" s="36" t="str">
        <f t="shared" si="4"/>
        <v>https://www.ssbuy.tw/detail_giftcode/dist/giftcodes/狼少女蘭吉.html</v>
      </c>
      <c r="H137" s="36" t="str">
        <f t="shared" si="5"/>
        <v>https://www.ssbuy.tw/detail_giftcode/dist/gamedetail/狼少女蘭吉.html</v>
      </c>
      <c r="I137" s="37" t="s">
        <v>1402</v>
      </c>
      <c r="J137" s="57" t="s">
        <v>145</v>
      </c>
      <c r="K137" s="58">
        <v>1845</v>
      </c>
      <c r="L137" s="59" t="s">
        <v>146</v>
      </c>
      <c r="M137" s="58">
        <v>786</v>
      </c>
      <c r="N137" s="59" t="s">
        <v>147</v>
      </c>
      <c r="O137" s="58">
        <v>539</v>
      </c>
      <c r="P137" s="59" t="s">
        <v>148</v>
      </c>
      <c r="Q137" s="58">
        <v>183</v>
      </c>
      <c r="R137" s="59" t="s">
        <v>149</v>
      </c>
      <c r="S137" s="58">
        <v>109</v>
      </c>
      <c r="T137" s="59" t="s">
        <v>64</v>
      </c>
      <c r="U137" s="58">
        <v>30</v>
      </c>
      <c r="V137" s="59" t="s">
        <v>150</v>
      </c>
      <c r="W137" s="58">
        <v>1603</v>
      </c>
      <c r="X137" s="59" t="s">
        <v>47</v>
      </c>
      <c r="Y137" s="58">
        <v>1054</v>
      </c>
      <c r="Z137" s="59" t="s">
        <v>151</v>
      </c>
      <c r="AA137" s="58">
        <v>786</v>
      </c>
      <c r="AB137" s="59" t="s">
        <v>152</v>
      </c>
      <c r="AC137" s="58">
        <v>539</v>
      </c>
      <c r="AD137" s="59" t="s">
        <v>153</v>
      </c>
      <c r="AE137" s="58">
        <v>394</v>
      </c>
      <c r="AF137" s="59" t="s">
        <v>154</v>
      </c>
      <c r="AG137" s="58">
        <v>158</v>
      </c>
      <c r="AH137" s="59" t="s">
        <v>11</v>
      </c>
      <c r="AI137" s="58">
        <v>109</v>
      </c>
    </row>
    <row r="138" spans="1:35" ht="22.5" customHeight="1" thickBot="1">
      <c r="A138" s="47" t="s">
        <v>3212</v>
      </c>
      <c r="F138" s="36" t="str">
        <f t="shared" si="4"/>
        <v>https://www.ssbuy.tw/detail_giftcode/dist/giftcodes/RO仙境傳說：曙光.html</v>
      </c>
      <c r="H138" s="36" t="str">
        <f t="shared" si="5"/>
        <v>https://www.ssbuy.tw/detail_giftcode/dist/gamedetail/RO仙境傳說：曙光.html</v>
      </c>
      <c r="I138" s="37" t="s">
        <v>1403</v>
      </c>
      <c r="J138" s="57" t="s">
        <v>155</v>
      </c>
      <c r="K138" s="58">
        <v>2551</v>
      </c>
      <c r="L138" s="59" t="s">
        <v>156</v>
      </c>
      <c r="M138" s="58">
        <v>1323</v>
      </c>
      <c r="N138" s="59" t="s">
        <v>157</v>
      </c>
      <c r="O138" s="58">
        <v>786</v>
      </c>
      <c r="P138" s="59" t="s">
        <v>158</v>
      </c>
      <c r="Q138" s="58">
        <v>539</v>
      </c>
      <c r="R138" s="59" t="s">
        <v>159</v>
      </c>
      <c r="S138" s="58">
        <v>394</v>
      </c>
      <c r="T138" s="59" t="s">
        <v>160</v>
      </c>
      <c r="U138" s="58">
        <v>267</v>
      </c>
      <c r="V138" s="59" t="s">
        <v>161</v>
      </c>
      <c r="W138" s="58">
        <v>141</v>
      </c>
      <c r="X138" s="59" t="s">
        <v>162</v>
      </c>
      <c r="Y138" s="58">
        <v>30</v>
      </c>
    </row>
    <row r="139" spans="1:35" ht="22.5" customHeight="1" thickBot="1">
      <c r="A139" s="47" t="s">
        <v>124</v>
      </c>
      <c r="F139" s="36" t="str">
        <f t="shared" si="4"/>
        <v>https://www.ssbuy.tw/detail_giftcode/dist/giftcodes/星曲Ultra.html</v>
      </c>
      <c r="H139" s="36" t="str">
        <f t="shared" si="5"/>
        <v>https://www.ssbuy.tw/detail_giftcode/dist/gamedetail/星曲Ultra.html</v>
      </c>
      <c r="I139" s="37" t="s">
        <v>1404</v>
      </c>
      <c r="J139" s="57" t="s">
        <v>4</v>
      </c>
      <c r="K139" s="58">
        <v>2551</v>
      </c>
      <c r="L139" s="59" t="s">
        <v>5</v>
      </c>
      <c r="M139" s="58">
        <v>1323</v>
      </c>
      <c r="N139" s="59" t="s">
        <v>17</v>
      </c>
      <c r="O139" s="58">
        <v>539</v>
      </c>
      <c r="P139" s="59" t="s">
        <v>163</v>
      </c>
      <c r="Q139" s="58">
        <v>267</v>
      </c>
      <c r="R139" s="59" t="s">
        <v>6</v>
      </c>
      <c r="S139" s="58">
        <v>141</v>
      </c>
      <c r="T139" s="59" t="s">
        <v>164</v>
      </c>
      <c r="U139" s="58">
        <v>30</v>
      </c>
      <c r="V139" s="59" t="s">
        <v>165</v>
      </c>
      <c r="W139" s="58">
        <v>450</v>
      </c>
    </row>
    <row r="140" spans="1:35" ht="22.5" customHeight="1" thickBot="1">
      <c r="A140" s="47" t="s">
        <v>166</v>
      </c>
      <c r="F140" s="36" t="str">
        <f t="shared" si="4"/>
        <v>https://www.ssbuy.tw/detail_giftcode/dist/giftcodes/第七天災.html</v>
      </c>
      <c r="H140" s="36" t="str">
        <f t="shared" si="5"/>
        <v>https://www.ssbuy.tw/detail_giftcode/dist/gamedetail/第七天災.html</v>
      </c>
      <c r="I140" s="37" t="s">
        <v>1405</v>
      </c>
      <c r="J140" s="57" t="s">
        <v>168</v>
      </c>
      <c r="K140" s="58">
        <v>2551</v>
      </c>
      <c r="L140" s="59" t="s">
        <v>169</v>
      </c>
      <c r="M140" s="58">
        <v>1323</v>
      </c>
      <c r="N140" s="59" t="s">
        <v>170</v>
      </c>
      <c r="O140" s="58">
        <v>786</v>
      </c>
      <c r="P140" s="59" t="s">
        <v>171</v>
      </c>
      <c r="Q140" s="58">
        <v>539</v>
      </c>
      <c r="R140" s="59" t="s">
        <v>172</v>
      </c>
      <c r="S140" s="58">
        <v>394</v>
      </c>
      <c r="T140" s="59" t="s">
        <v>173</v>
      </c>
      <c r="U140" s="58">
        <v>267</v>
      </c>
      <c r="V140" s="59" t="s">
        <v>174</v>
      </c>
      <c r="W140" s="58">
        <v>148</v>
      </c>
      <c r="X140" s="59" t="s">
        <v>175</v>
      </c>
      <c r="Y140" s="58">
        <v>35</v>
      </c>
      <c r="Z140" s="59" t="s">
        <v>176</v>
      </c>
      <c r="AA140" s="58">
        <v>52</v>
      </c>
      <c r="AB140" s="59" t="s">
        <v>177</v>
      </c>
      <c r="AC140" s="58">
        <v>267</v>
      </c>
      <c r="AD140" s="59" t="s">
        <v>178</v>
      </c>
      <c r="AE140" s="58">
        <v>148</v>
      </c>
    </row>
    <row r="141" spans="1:35" ht="22.5" customHeight="1" thickBot="1">
      <c r="A141" s="47" t="s">
        <v>1406</v>
      </c>
      <c r="F141" s="36" t="str">
        <f t="shared" si="4"/>
        <v>https://www.ssbuy.tw/detail_giftcode/dist/giftcodes/百萬神界.html</v>
      </c>
      <c r="H141" s="36" t="str">
        <f t="shared" si="5"/>
        <v>https://www.ssbuy.tw/detail_giftcode/dist/gamedetail/百萬神界.html</v>
      </c>
      <c r="I141" s="37" t="s">
        <v>1407</v>
      </c>
      <c r="J141" s="57" t="s">
        <v>179</v>
      </c>
      <c r="K141" s="58">
        <v>2753</v>
      </c>
      <c r="L141" s="59" t="s">
        <v>180</v>
      </c>
      <c r="M141" s="58">
        <v>1394</v>
      </c>
      <c r="N141" s="59" t="s">
        <v>181</v>
      </c>
      <c r="O141" s="58">
        <v>850</v>
      </c>
      <c r="P141" s="59" t="s">
        <v>182</v>
      </c>
      <c r="Q141" s="58">
        <v>539</v>
      </c>
      <c r="R141" s="59" t="s">
        <v>183</v>
      </c>
      <c r="S141" s="58">
        <v>289</v>
      </c>
      <c r="T141" s="59" t="s">
        <v>65</v>
      </c>
      <c r="U141" s="58">
        <v>152</v>
      </c>
      <c r="V141" s="59" t="s">
        <v>121</v>
      </c>
      <c r="W141" s="58">
        <v>30</v>
      </c>
    </row>
    <row r="142" spans="1:35" ht="22.5" customHeight="1" thickBot="1">
      <c r="A142" s="47" t="s">
        <v>167</v>
      </c>
      <c r="F142" s="36" t="str">
        <f t="shared" si="4"/>
        <v>https://www.ssbuy.tw/detail_giftcode/dist/giftcodes/Dark war.html</v>
      </c>
      <c r="H142" s="36" t="str">
        <f t="shared" si="5"/>
        <v>https://www.ssbuy.tw/detail_giftcode/dist/gamedetail/Dark war.html</v>
      </c>
      <c r="I142" s="37" t="s">
        <v>1408</v>
      </c>
      <c r="J142" s="57" t="s">
        <v>4</v>
      </c>
      <c r="K142" s="58">
        <v>2474</v>
      </c>
      <c r="L142" s="59" t="s">
        <v>5</v>
      </c>
      <c r="M142" s="58">
        <v>1257</v>
      </c>
      <c r="N142" s="59" t="s">
        <v>17</v>
      </c>
      <c r="O142" s="58">
        <v>522</v>
      </c>
      <c r="P142" s="59" t="s">
        <v>163</v>
      </c>
      <c r="Q142" s="58">
        <v>267</v>
      </c>
      <c r="R142" s="59" t="s">
        <v>6</v>
      </c>
      <c r="S142" s="58">
        <v>139</v>
      </c>
      <c r="T142" s="59" t="s">
        <v>164</v>
      </c>
      <c r="U142" s="58">
        <v>35</v>
      </c>
      <c r="V142" s="59" t="s">
        <v>184</v>
      </c>
      <c r="W142" s="58">
        <v>522</v>
      </c>
      <c r="X142" s="59" t="s">
        <v>185</v>
      </c>
      <c r="Y142" s="58">
        <v>637</v>
      </c>
      <c r="Z142" s="59" t="s">
        <v>186</v>
      </c>
      <c r="AA142" s="58">
        <v>83</v>
      </c>
    </row>
    <row r="143" spans="1:35" ht="22.5" customHeight="1" thickBot="1">
      <c r="A143" s="35" t="s">
        <v>187</v>
      </c>
      <c r="F143" s="36" t="str">
        <f t="shared" si="4"/>
        <v>https://www.ssbuy.tw/detail_giftcode/dist/giftcodes/美男惡徒.html</v>
      </c>
      <c r="H143" s="36" t="str">
        <f t="shared" si="5"/>
        <v>https://www.ssbuy.tw/detail_giftcode/dist/gamedetail/美男惡徒.html</v>
      </c>
      <c r="I143" s="37" t="s">
        <v>1409</v>
      </c>
      <c r="J143" s="57" t="s">
        <v>188</v>
      </c>
      <c r="K143" s="60">
        <v>2551</v>
      </c>
      <c r="L143" s="59" t="s">
        <v>189</v>
      </c>
      <c r="M143" s="60">
        <v>1764</v>
      </c>
      <c r="N143" s="59" t="s">
        <v>190</v>
      </c>
      <c r="O143" s="60">
        <v>1217</v>
      </c>
      <c r="P143" s="61" t="s">
        <v>191</v>
      </c>
      <c r="Q143" s="60">
        <v>727</v>
      </c>
      <c r="R143" s="61" t="s">
        <v>63</v>
      </c>
      <c r="S143" s="60">
        <v>394</v>
      </c>
      <c r="T143" s="61" t="s">
        <v>192</v>
      </c>
      <c r="U143" s="60">
        <v>267</v>
      </c>
      <c r="V143" s="61" t="s">
        <v>193</v>
      </c>
      <c r="W143" s="60">
        <v>165</v>
      </c>
      <c r="X143" s="61" t="s">
        <v>194</v>
      </c>
      <c r="Y143" s="60">
        <v>61</v>
      </c>
      <c r="Z143" s="61" t="s">
        <v>195</v>
      </c>
      <c r="AA143" s="60">
        <v>35</v>
      </c>
      <c r="AB143" s="61" t="s">
        <v>196</v>
      </c>
      <c r="AC143" s="60">
        <v>157</v>
      </c>
    </row>
    <row r="144" spans="1:35" ht="22.5" customHeight="1" thickBot="1">
      <c r="A144" s="52" t="s">
        <v>197</v>
      </c>
      <c r="F144" s="36" t="str">
        <f t="shared" si="4"/>
        <v>https://www.ssbuy.tw/detail_giftcode/dist/giftcodes/三國冰河時代.html</v>
      </c>
      <c r="H144" s="36" t="str">
        <f t="shared" si="5"/>
        <v>https://www.ssbuy.tw/detail_giftcode/dist/gamedetail/三國冰河時代.html</v>
      </c>
      <c r="I144" s="44" t="s">
        <v>224</v>
      </c>
      <c r="J144" s="57" t="s">
        <v>200</v>
      </c>
      <c r="K144" s="60">
        <v>2551</v>
      </c>
      <c r="L144" s="59" t="s">
        <v>201</v>
      </c>
      <c r="M144" s="60">
        <v>1323</v>
      </c>
      <c r="N144" s="59" t="s">
        <v>202</v>
      </c>
      <c r="O144" s="60">
        <v>539</v>
      </c>
      <c r="P144" s="61" t="s">
        <v>203</v>
      </c>
      <c r="Q144" s="60">
        <v>267</v>
      </c>
      <c r="R144" s="61" t="s">
        <v>204</v>
      </c>
      <c r="S144" s="60">
        <v>148</v>
      </c>
      <c r="T144" s="61" t="s">
        <v>205</v>
      </c>
      <c r="U144" s="60">
        <v>35</v>
      </c>
      <c r="V144" s="61" t="s">
        <v>206</v>
      </c>
      <c r="W144" s="60">
        <v>57</v>
      </c>
    </row>
    <row r="145" spans="1:43" ht="22.5" customHeight="1" thickBot="1">
      <c r="A145" s="53" t="s">
        <v>198</v>
      </c>
      <c r="F145" s="36" t="str">
        <f t="shared" si="4"/>
        <v>https://www.ssbuy.tw/detail_giftcode/dist/giftcodes/暗黑崛起.html</v>
      </c>
      <c r="H145" s="36" t="str">
        <f t="shared" si="5"/>
        <v>https://www.ssbuy.tw/detail_giftcode/dist/gamedetail/暗黑崛起.html</v>
      </c>
      <c r="I145" s="44" t="s">
        <v>225</v>
      </c>
      <c r="J145" s="57" t="s">
        <v>18</v>
      </c>
      <c r="K145" s="60">
        <v>2386</v>
      </c>
      <c r="L145" s="59" t="s">
        <v>19</v>
      </c>
      <c r="M145" s="60">
        <v>1442</v>
      </c>
      <c r="N145" s="59" t="s">
        <v>20</v>
      </c>
      <c r="O145" s="60">
        <v>786</v>
      </c>
      <c r="P145" s="61" t="s">
        <v>207</v>
      </c>
      <c r="Q145" s="60">
        <v>394</v>
      </c>
      <c r="R145" s="61" t="s">
        <v>23</v>
      </c>
      <c r="S145" s="60">
        <v>130</v>
      </c>
      <c r="T145" s="61" t="s">
        <v>208</v>
      </c>
      <c r="U145" s="60">
        <v>35</v>
      </c>
      <c r="V145" s="61" t="s">
        <v>209</v>
      </c>
      <c r="W145" s="60">
        <v>104</v>
      </c>
    </row>
    <row r="146" spans="1:43" ht="22.5" customHeight="1" thickBot="1">
      <c r="A146" s="53" t="s">
        <v>199</v>
      </c>
      <c r="F146" s="36" t="str">
        <f t="shared" si="4"/>
        <v>https://www.ssbuy.tw/detail_giftcode/dist/giftcodes/轉生魔劍士養成：策略放置RPG.html</v>
      </c>
      <c r="H146" s="36" t="str">
        <f t="shared" si="5"/>
        <v>https://www.ssbuy.tw/detail_giftcode/dist/gamedetail/轉生魔劍士養成：策略放置RPG.html</v>
      </c>
      <c r="I146" s="44" t="s">
        <v>226</v>
      </c>
      <c r="J146" s="57" t="s">
        <v>210</v>
      </c>
      <c r="K146" s="60">
        <v>2386</v>
      </c>
      <c r="L146" s="59" t="s">
        <v>211</v>
      </c>
      <c r="M146" s="60">
        <v>1603</v>
      </c>
      <c r="N146" s="59" t="s">
        <v>212</v>
      </c>
      <c r="O146" s="60">
        <v>786</v>
      </c>
      <c r="P146" s="61" t="s">
        <v>213</v>
      </c>
      <c r="Q146" s="60">
        <v>278</v>
      </c>
      <c r="R146" s="61" t="s">
        <v>214</v>
      </c>
      <c r="S146" s="60">
        <v>130</v>
      </c>
      <c r="T146" s="61" t="s">
        <v>215</v>
      </c>
      <c r="U146" s="60">
        <v>52</v>
      </c>
      <c r="V146" s="61" t="s">
        <v>216</v>
      </c>
      <c r="W146" s="60">
        <v>130</v>
      </c>
      <c r="X146" s="61" t="s">
        <v>217</v>
      </c>
      <c r="Y146" s="60">
        <v>278</v>
      </c>
      <c r="Z146" s="61" t="s">
        <v>218</v>
      </c>
      <c r="AA146" s="60">
        <v>539</v>
      </c>
      <c r="AB146" s="61" t="s">
        <v>219</v>
      </c>
      <c r="AC146" s="60">
        <v>786</v>
      </c>
    </row>
    <row r="147" spans="1:43" ht="22.5" customHeight="1" thickBot="1">
      <c r="A147" s="52" t="s">
        <v>220</v>
      </c>
      <c r="F147" s="36" t="str">
        <f t="shared" si="4"/>
        <v>https://www.ssbuy.tw/detail_giftcode/dist/giftcodes/極速漂移：3V3.html</v>
      </c>
      <c r="H147" s="36" t="str">
        <f t="shared" si="5"/>
        <v>https://www.ssbuy.tw/detail_giftcode/dist/gamedetail/極速漂移：3V3.html</v>
      </c>
      <c r="I147" s="44" t="s">
        <v>227</v>
      </c>
      <c r="J147" s="57" t="s">
        <v>4</v>
      </c>
      <c r="K147" s="60">
        <v>2386</v>
      </c>
      <c r="L147" s="59" t="s">
        <v>5</v>
      </c>
      <c r="M147" s="60">
        <v>1217</v>
      </c>
      <c r="N147" s="59" t="s">
        <v>17</v>
      </c>
      <c r="O147" s="60">
        <v>539</v>
      </c>
      <c r="P147" s="61" t="s">
        <v>163</v>
      </c>
      <c r="Q147" s="60">
        <v>278</v>
      </c>
      <c r="R147" s="61" t="s">
        <v>6</v>
      </c>
      <c r="S147" s="60">
        <v>130</v>
      </c>
      <c r="T147" s="61" t="s">
        <v>164</v>
      </c>
      <c r="U147" s="60">
        <v>35</v>
      </c>
      <c r="V147" s="61" t="s">
        <v>221</v>
      </c>
      <c r="W147" s="60">
        <v>278</v>
      </c>
      <c r="X147" s="61" t="s">
        <v>222</v>
      </c>
      <c r="Y147" s="60">
        <v>539</v>
      </c>
      <c r="Z147" s="61" t="s">
        <v>107</v>
      </c>
      <c r="AA147" s="60">
        <v>130</v>
      </c>
      <c r="AB147" s="61" t="s">
        <v>66</v>
      </c>
      <c r="AC147" s="60">
        <v>323</v>
      </c>
      <c r="AD147" s="61" t="s">
        <v>223</v>
      </c>
      <c r="AE147" s="60">
        <v>87</v>
      </c>
    </row>
    <row r="148" spans="1:43" ht="22.5" customHeight="1" thickBot="1">
      <c r="A148" s="53" t="s">
        <v>228</v>
      </c>
      <c r="F148" s="36" t="str">
        <f t="shared" si="4"/>
        <v>https://www.ssbuy.tw/detail_giftcode/dist/giftcodes/斗羅大陸：獵魂世界.html</v>
      </c>
      <c r="H148" s="36" t="str">
        <f t="shared" si="5"/>
        <v>https://www.ssbuy.tw/detail_giftcode/dist/gamedetail/斗羅大陸：獵魂世界.html</v>
      </c>
      <c r="I148" s="44" t="s">
        <v>230</v>
      </c>
      <c r="J148" s="57" t="s">
        <v>12</v>
      </c>
      <c r="K148" s="60">
        <v>2595</v>
      </c>
      <c r="L148" s="59" t="s">
        <v>13</v>
      </c>
      <c r="M148" s="60">
        <v>1323</v>
      </c>
      <c r="N148" s="59" t="s">
        <v>24</v>
      </c>
      <c r="O148" s="60">
        <v>786</v>
      </c>
      <c r="P148" s="61" t="s">
        <v>14</v>
      </c>
      <c r="Q148" s="60">
        <v>548</v>
      </c>
      <c r="R148" s="61" t="s">
        <v>232</v>
      </c>
      <c r="S148" s="60">
        <v>394</v>
      </c>
      <c r="T148" s="61" t="s">
        <v>233</v>
      </c>
      <c r="U148" s="60">
        <v>198</v>
      </c>
      <c r="V148" s="61" t="s">
        <v>121</v>
      </c>
      <c r="W148" s="60">
        <v>86</v>
      </c>
      <c r="X148" s="61" t="s">
        <v>7</v>
      </c>
      <c r="Y148" s="60">
        <v>35</v>
      </c>
      <c r="Z148" s="61" t="s">
        <v>234</v>
      </c>
      <c r="AA148" s="60">
        <v>146</v>
      </c>
      <c r="AB148" s="61" t="s">
        <v>177</v>
      </c>
      <c r="AC148" s="60">
        <v>266</v>
      </c>
    </row>
    <row r="149" spans="1:43" ht="22.5" customHeight="1" thickBot="1">
      <c r="A149" s="53" t="s">
        <v>229</v>
      </c>
      <c r="F149" s="36" t="str">
        <f t="shared" si="4"/>
        <v>https://www.ssbuy.tw/detail_giftcode/dist/giftcodes/指點兵兵.html</v>
      </c>
      <c r="H149" s="36" t="str">
        <f t="shared" si="5"/>
        <v>https://www.ssbuy.tw/detail_giftcode/dist/gamedetail/指點兵兵.html</v>
      </c>
      <c r="I149" s="44" t="s">
        <v>231</v>
      </c>
      <c r="J149" s="57" t="s">
        <v>235</v>
      </c>
      <c r="K149" s="60">
        <v>2551</v>
      </c>
      <c r="L149" s="59" t="s">
        <v>236</v>
      </c>
      <c r="M149" s="60">
        <v>1323</v>
      </c>
      <c r="N149" s="59" t="s">
        <v>237</v>
      </c>
      <c r="O149" s="60">
        <v>539</v>
      </c>
      <c r="P149" s="61" t="s">
        <v>238</v>
      </c>
      <c r="Q149" s="60">
        <v>266</v>
      </c>
      <c r="R149" s="61" t="s">
        <v>239</v>
      </c>
      <c r="S149" s="60">
        <v>146</v>
      </c>
      <c r="T149" s="61" t="s">
        <v>240</v>
      </c>
      <c r="U149" s="60">
        <v>35</v>
      </c>
    </row>
    <row r="150" spans="1:43" ht="22.5" customHeight="1" thickBot="1">
      <c r="A150" s="53" t="s">
        <v>241</v>
      </c>
      <c r="F150" s="36" t="str">
        <f t="shared" si="4"/>
        <v>https://www.ssbuy.tw/detail_giftcode/dist/giftcodes/變身傳奇.html</v>
      </c>
      <c r="H150" s="36" t="str">
        <f t="shared" si="5"/>
        <v>https://www.ssbuy.tw/detail_giftcode/dist/gamedetail/變身傳奇.html</v>
      </c>
      <c r="I150" s="44" t="s">
        <v>243</v>
      </c>
      <c r="J150" s="57" t="s">
        <v>245</v>
      </c>
      <c r="K150" s="60">
        <v>1949</v>
      </c>
      <c r="L150" s="59" t="s">
        <v>246</v>
      </c>
      <c r="M150" s="60">
        <v>1010</v>
      </c>
      <c r="N150" s="59" t="s">
        <v>247</v>
      </c>
      <c r="O150" s="60">
        <v>618</v>
      </c>
      <c r="P150" s="61" t="s">
        <v>248</v>
      </c>
      <c r="Q150" s="60">
        <v>310</v>
      </c>
      <c r="R150" s="61" t="s">
        <v>1410</v>
      </c>
      <c r="S150" s="60">
        <v>230</v>
      </c>
      <c r="T150" s="61" t="s">
        <v>17</v>
      </c>
      <c r="U150" s="60">
        <v>76</v>
      </c>
      <c r="V150" s="61" t="s">
        <v>249</v>
      </c>
      <c r="W150" s="60">
        <v>230</v>
      </c>
      <c r="X150" s="61" t="s">
        <v>250</v>
      </c>
      <c r="Y150" s="60">
        <v>175</v>
      </c>
      <c r="Z150" s="61" t="s">
        <v>251</v>
      </c>
      <c r="AA150" s="60">
        <v>127</v>
      </c>
      <c r="AB150" s="61" t="s">
        <v>252</v>
      </c>
      <c r="AC150" s="60">
        <v>101</v>
      </c>
      <c r="AD150" s="61" t="s">
        <v>253</v>
      </c>
      <c r="AE150" s="60">
        <v>51</v>
      </c>
    </row>
    <row r="151" spans="1:43" ht="22.5" customHeight="1" thickBot="1">
      <c r="A151" s="53" t="s">
        <v>242</v>
      </c>
      <c r="F151" s="36" t="str">
        <f t="shared" si="4"/>
        <v>https://www.ssbuy.tw/detail_giftcode/dist/giftcodes/Blue eyes：公會大師.html</v>
      </c>
      <c r="H151" s="36" t="str">
        <f t="shared" si="5"/>
        <v>https://www.ssbuy.tw/detail_giftcode/dist/gamedetail/Blue eyes：公會大師.html</v>
      </c>
      <c r="I151" s="44" t="s">
        <v>244</v>
      </c>
      <c r="J151" s="57" t="s">
        <v>254</v>
      </c>
      <c r="K151" s="60">
        <v>2340</v>
      </c>
      <c r="L151" s="59" t="s">
        <v>255</v>
      </c>
      <c r="M151" s="60">
        <v>1166</v>
      </c>
      <c r="N151" s="59" t="s">
        <v>256</v>
      </c>
      <c r="O151" s="60">
        <v>618</v>
      </c>
      <c r="P151" s="61" t="s">
        <v>257</v>
      </c>
      <c r="Q151" s="60">
        <v>310</v>
      </c>
      <c r="R151" s="61" t="s">
        <v>258</v>
      </c>
      <c r="S151" s="60">
        <v>101</v>
      </c>
      <c r="T151" s="61" t="s">
        <v>259</v>
      </c>
      <c r="U151" s="60">
        <v>1793</v>
      </c>
      <c r="V151" s="61" t="s">
        <v>260</v>
      </c>
      <c r="W151" s="60">
        <v>1558</v>
      </c>
      <c r="X151" s="61" t="s">
        <v>261</v>
      </c>
      <c r="Y151" s="60">
        <v>1010</v>
      </c>
      <c r="Z151" s="61" t="s">
        <v>262</v>
      </c>
      <c r="AA151" s="60">
        <v>775</v>
      </c>
      <c r="AB151" s="61" t="s">
        <v>263</v>
      </c>
      <c r="AC151" s="60">
        <v>618</v>
      </c>
      <c r="AD151" s="61" t="s">
        <v>264</v>
      </c>
      <c r="AE151" s="60">
        <v>548</v>
      </c>
      <c r="AF151" s="61" t="s">
        <v>265</v>
      </c>
      <c r="AG151" s="60">
        <v>254</v>
      </c>
      <c r="AH151" s="61" t="s">
        <v>250</v>
      </c>
      <c r="AI151" s="60">
        <v>175</v>
      </c>
      <c r="AJ151" s="61" t="s">
        <v>252</v>
      </c>
      <c r="AK151" s="60">
        <v>101</v>
      </c>
      <c r="AL151" s="62" t="s">
        <v>266</v>
      </c>
      <c r="AM151" s="50">
        <v>76</v>
      </c>
      <c r="AN151" s="51" t="s">
        <v>267</v>
      </c>
      <c r="AO151" s="50">
        <v>25</v>
      </c>
    </row>
    <row r="152" spans="1:43" ht="22.5" customHeight="1" thickBot="1">
      <c r="A152" s="52" t="s">
        <v>268</v>
      </c>
      <c r="F152" s="36" t="str">
        <f t="shared" si="4"/>
        <v>https://www.ssbuy.tw/detail_giftcode/dist/giftcodes/杖劍傳說：坎斯汀之約.html</v>
      </c>
      <c r="H152" s="36" t="str">
        <f t="shared" si="5"/>
        <v>https://www.ssbuy.tw/detail_giftcode/dist/gamedetail/杖劍傳說：坎斯汀之約.html</v>
      </c>
      <c r="I152" s="44" t="s">
        <v>269</v>
      </c>
      <c r="J152" s="57" t="s">
        <v>270</v>
      </c>
      <c r="K152" s="60">
        <v>2510</v>
      </c>
      <c r="L152" s="59" t="s">
        <v>271</v>
      </c>
      <c r="M152" s="60">
        <v>1308</v>
      </c>
      <c r="N152" s="59" t="s">
        <v>272</v>
      </c>
      <c r="O152" s="60">
        <v>766</v>
      </c>
      <c r="P152" s="61" t="s">
        <v>273</v>
      </c>
      <c r="Q152" s="60">
        <v>385</v>
      </c>
      <c r="R152" s="61" t="s">
        <v>274</v>
      </c>
      <c r="S152" s="60">
        <v>142</v>
      </c>
      <c r="T152" s="61" t="s">
        <v>275</v>
      </c>
      <c r="U152" s="60">
        <v>28</v>
      </c>
      <c r="V152" s="61" t="s">
        <v>276</v>
      </c>
      <c r="W152" s="60">
        <v>142</v>
      </c>
      <c r="X152" s="61" t="s">
        <v>277</v>
      </c>
      <c r="Y152" s="60">
        <v>259</v>
      </c>
      <c r="Z152" s="61" t="s">
        <v>278</v>
      </c>
      <c r="AA152" s="60">
        <v>1308</v>
      </c>
      <c r="AB152" s="61" t="s">
        <v>262</v>
      </c>
      <c r="AC152" s="60">
        <v>766</v>
      </c>
      <c r="AD152" s="61" t="s">
        <v>279</v>
      </c>
      <c r="AE152" s="60">
        <v>526</v>
      </c>
      <c r="AF152" s="61" t="s">
        <v>280</v>
      </c>
      <c r="AG152" s="60">
        <v>259</v>
      </c>
      <c r="AH152" s="61" t="s">
        <v>281</v>
      </c>
      <c r="AI152" s="60">
        <v>142</v>
      </c>
      <c r="AJ152" s="61" t="s">
        <v>282</v>
      </c>
      <c r="AK152" s="60">
        <v>84</v>
      </c>
    </row>
    <row r="153" spans="1:43" ht="22.5" customHeight="1" thickBot="1">
      <c r="A153" s="52" t="s">
        <v>283</v>
      </c>
      <c r="F153" s="36" t="str">
        <f t="shared" si="4"/>
        <v>https://www.ssbuy.tw/detail_giftcode/dist/giftcodes/超級海戰：紀元崛起.html</v>
      </c>
      <c r="H153" s="36" t="str">
        <f t="shared" si="5"/>
        <v>https://www.ssbuy.tw/detail_giftcode/dist/gamedetail/超級海戰：紀元崛起.html</v>
      </c>
      <c r="I153" s="44" t="s">
        <v>292</v>
      </c>
      <c r="J153" s="57" t="s">
        <v>12</v>
      </c>
      <c r="K153" s="60">
        <v>2314</v>
      </c>
      <c r="L153" s="59" t="s">
        <v>13</v>
      </c>
      <c r="M153" s="60">
        <v>1153</v>
      </c>
      <c r="N153" s="59" t="s">
        <v>24</v>
      </c>
      <c r="O153" s="60">
        <v>766</v>
      </c>
      <c r="P153" s="61" t="s">
        <v>14</v>
      </c>
      <c r="Q153" s="60">
        <v>541</v>
      </c>
      <c r="R153" s="61" t="s">
        <v>15</v>
      </c>
      <c r="S153" s="60">
        <v>385</v>
      </c>
      <c r="T153" s="61" t="s">
        <v>120</v>
      </c>
      <c r="U153" s="60">
        <v>251</v>
      </c>
      <c r="V153" s="61" t="s">
        <v>284</v>
      </c>
      <c r="W153" s="60">
        <v>228</v>
      </c>
      <c r="X153" s="61" t="s">
        <v>16</v>
      </c>
      <c r="Y153" s="60">
        <v>125</v>
      </c>
      <c r="Z153" s="61" t="s">
        <v>121</v>
      </c>
      <c r="AA153" s="60">
        <v>75</v>
      </c>
      <c r="AB153" s="61" t="s">
        <v>285</v>
      </c>
      <c r="AC153" s="60">
        <v>50</v>
      </c>
      <c r="AD153" s="61" t="s">
        <v>7</v>
      </c>
      <c r="AE153" s="60">
        <v>25</v>
      </c>
      <c r="AF153" s="61" t="s">
        <v>286</v>
      </c>
      <c r="AG153" s="60">
        <v>2314</v>
      </c>
      <c r="AH153" s="61" t="s">
        <v>287</v>
      </c>
      <c r="AI153" s="60">
        <v>1153</v>
      </c>
      <c r="AJ153" s="61" t="s">
        <v>288</v>
      </c>
      <c r="AK153" s="60">
        <v>766</v>
      </c>
      <c r="AL153" s="62" t="s">
        <v>289</v>
      </c>
      <c r="AM153" s="50">
        <v>385</v>
      </c>
      <c r="AN153" s="51" t="s">
        <v>290</v>
      </c>
      <c r="AO153" s="50">
        <v>125</v>
      </c>
      <c r="AP153" s="51" t="s">
        <v>291</v>
      </c>
      <c r="AQ153" s="50">
        <v>25</v>
      </c>
    </row>
    <row r="154" spans="1:43" ht="22.5" customHeight="1" thickBot="1">
      <c r="A154" s="35" t="s">
        <v>293</v>
      </c>
      <c r="F154" s="36" t="str">
        <f t="shared" si="4"/>
        <v>https://www.ssbuy.tw/detail_giftcode/dist/giftcodes/進擊的惡魔團.html</v>
      </c>
      <c r="H154" s="36" t="str">
        <f t="shared" si="5"/>
        <v>https://www.ssbuy.tw/detail_giftcode/dist/gamedetail/進擊的惡魔團.html</v>
      </c>
      <c r="I154" s="44" t="s">
        <v>294</v>
      </c>
      <c r="J154" s="57" t="s">
        <v>295</v>
      </c>
      <c r="K154" s="60">
        <v>2314</v>
      </c>
      <c r="L154" s="59" t="s">
        <v>296</v>
      </c>
      <c r="M154" s="60">
        <v>1153</v>
      </c>
      <c r="N154" s="59" t="s">
        <v>297</v>
      </c>
      <c r="O154" s="60">
        <v>541</v>
      </c>
      <c r="P154" s="61" t="s">
        <v>298</v>
      </c>
      <c r="Q154" s="60">
        <v>251</v>
      </c>
      <c r="R154" s="61" t="s">
        <v>299</v>
      </c>
      <c r="S154" s="60">
        <v>125</v>
      </c>
      <c r="T154" s="61" t="s">
        <v>300</v>
      </c>
      <c r="U154" s="60">
        <v>25</v>
      </c>
      <c r="V154" s="61" t="s">
        <v>301</v>
      </c>
      <c r="W154" s="60">
        <v>2314</v>
      </c>
      <c r="X154" s="61" t="s">
        <v>302</v>
      </c>
      <c r="Y154" s="60">
        <v>1153</v>
      </c>
      <c r="Z154" s="61" t="s">
        <v>262</v>
      </c>
      <c r="AA154" s="60">
        <v>766</v>
      </c>
      <c r="AB154" s="61" t="s">
        <v>264</v>
      </c>
      <c r="AC154" s="60">
        <v>541</v>
      </c>
      <c r="AD154" s="61" t="s">
        <v>303</v>
      </c>
      <c r="AE154" s="60">
        <v>306</v>
      </c>
      <c r="AF154" s="61" t="s">
        <v>265</v>
      </c>
      <c r="AG154" s="60">
        <v>251</v>
      </c>
      <c r="AH154" s="61" t="s">
        <v>250</v>
      </c>
      <c r="AI154" s="60">
        <v>173</v>
      </c>
      <c r="AJ154" s="61" t="s">
        <v>251</v>
      </c>
      <c r="AK154" s="60">
        <v>125</v>
      </c>
      <c r="AL154" s="62" t="s">
        <v>253</v>
      </c>
      <c r="AM154" s="50">
        <v>50</v>
      </c>
      <c r="AN154" s="51" t="s">
        <v>267</v>
      </c>
      <c r="AO154" s="50">
        <v>25</v>
      </c>
    </row>
    <row r="155" spans="1:43" ht="22.5" customHeight="1" thickBot="1">
      <c r="A155" s="53" t="s">
        <v>304</v>
      </c>
      <c r="F155" s="36" t="str">
        <f t="shared" si="4"/>
        <v>https://www.ssbuy.tw/detail_giftcode/dist/giftcodes/蝕影：緋之契.html</v>
      </c>
      <c r="H155" s="36" t="str">
        <f t="shared" si="5"/>
        <v>https://www.ssbuy.tw/detail_giftcode/dist/gamedetail/蝕影：緋之契.html</v>
      </c>
      <c r="I155" s="44" t="s">
        <v>306</v>
      </c>
      <c r="J155" s="57" t="s">
        <v>308</v>
      </c>
      <c r="K155" s="60">
        <v>2518</v>
      </c>
      <c r="L155" s="59" t="s">
        <v>309</v>
      </c>
      <c r="M155" s="60">
        <v>1277</v>
      </c>
      <c r="N155" s="59" t="s">
        <v>310</v>
      </c>
      <c r="O155" s="60">
        <v>766</v>
      </c>
      <c r="P155" s="61" t="s">
        <v>311</v>
      </c>
      <c r="Q155" s="60">
        <v>526</v>
      </c>
      <c r="R155" s="61" t="s">
        <v>312</v>
      </c>
      <c r="S155" s="60">
        <v>385</v>
      </c>
      <c r="T155" s="61" t="s">
        <v>313</v>
      </c>
      <c r="U155" s="60">
        <v>259</v>
      </c>
      <c r="V155" s="61" t="s">
        <v>314</v>
      </c>
      <c r="W155" s="60">
        <v>142</v>
      </c>
      <c r="X155" s="61" t="s">
        <v>315</v>
      </c>
      <c r="Y155" s="60">
        <v>113</v>
      </c>
      <c r="Z155" s="61" t="s">
        <v>316</v>
      </c>
      <c r="AA155" s="60">
        <v>84</v>
      </c>
      <c r="AB155" s="61" t="s">
        <v>317</v>
      </c>
      <c r="AC155" s="60">
        <v>58</v>
      </c>
      <c r="AD155" s="61" t="s">
        <v>318</v>
      </c>
      <c r="AE155" s="60">
        <v>28</v>
      </c>
    </row>
    <row r="156" spans="1:43" ht="22.5" customHeight="1" thickBot="1">
      <c r="A156" s="53" t="s">
        <v>305</v>
      </c>
      <c r="F156" s="36" t="str">
        <f t="shared" si="4"/>
        <v>https://www.ssbuy.tw/detail_giftcode/dist/giftcodes/RO：Crush.html</v>
      </c>
      <c r="H156" s="36" t="str">
        <f t="shared" si="5"/>
        <v>https://www.ssbuy.tw/detail_giftcode/dist/gamedetail/RO：Crush.html</v>
      </c>
      <c r="I156" s="44" t="s">
        <v>307</v>
      </c>
      <c r="J156" s="57" t="s">
        <v>319</v>
      </c>
      <c r="K156" s="60">
        <v>2314</v>
      </c>
      <c r="L156" s="59" t="s">
        <v>320</v>
      </c>
      <c r="M156" s="60">
        <v>1153</v>
      </c>
      <c r="N156" s="59" t="s">
        <v>321</v>
      </c>
      <c r="O156" s="60">
        <v>541</v>
      </c>
      <c r="P156" s="61" t="s">
        <v>15</v>
      </c>
      <c r="Q156" s="60">
        <v>251</v>
      </c>
      <c r="R156" s="61" t="s">
        <v>322</v>
      </c>
      <c r="S156" s="60">
        <v>125</v>
      </c>
      <c r="T156" s="61" t="s">
        <v>7</v>
      </c>
      <c r="U156" s="60">
        <v>25</v>
      </c>
    </row>
    <row r="157" spans="1:43" ht="22.5" customHeight="1" thickBot="1">
      <c r="A157" s="53" t="s">
        <v>323</v>
      </c>
      <c r="F157" s="36" t="str">
        <f t="shared" si="4"/>
        <v>https://www.ssbuy.tw/detail_giftcode/dist/giftcodes/溯回青空.html</v>
      </c>
      <c r="H157" s="36" t="str">
        <f t="shared" si="5"/>
        <v>https://www.ssbuy.tw/detail_giftcode/dist/gamedetail/溯回青空.html</v>
      </c>
      <c r="I157" s="37" t="s">
        <v>1411</v>
      </c>
      <c r="J157" s="57" t="s">
        <v>1437</v>
      </c>
      <c r="K157" s="60">
        <v>1860</v>
      </c>
      <c r="L157" s="59" t="s">
        <v>1438</v>
      </c>
      <c r="M157" s="60">
        <v>1860</v>
      </c>
      <c r="N157" s="59" t="s">
        <v>1439</v>
      </c>
      <c r="O157" s="60">
        <v>1160</v>
      </c>
      <c r="P157" s="61" t="s">
        <v>1440</v>
      </c>
      <c r="Q157" s="60">
        <v>1004</v>
      </c>
      <c r="R157" s="61" t="s">
        <v>1441</v>
      </c>
      <c r="S157" s="60">
        <v>624</v>
      </c>
      <c r="T157" s="61" t="s">
        <v>1442</v>
      </c>
      <c r="U157" s="60">
        <v>260</v>
      </c>
      <c r="V157" s="61" t="s">
        <v>1443</v>
      </c>
      <c r="W157" s="60">
        <v>101</v>
      </c>
      <c r="X157" s="61" t="s">
        <v>1444</v>
      </c>
      <c r="Y157" s="60">
        <v>28</v>
      </c>
      <c r="Z157" s="61" t="s">
        <v>1445</v>
      </c>
      <c r="AA157" s="60">
        <v>160</v>
      </c>
      <c r="AB157" s="61" t="s">
        <v>1446</v>
      </c>
      <c r="AC157" s="60">
        <v>101</v>
      </c>
      <c r="AD157" s="61" t="s">
        <v>1447</v>
      </c>
      <c r="AE157" s="60">
        <v>76</v>
      </c>
    </row>
    <row r="158" spans="1:43" ht="22.5" customHeight="1" thickBot="1">
      <c r="A158" s="53" t="s">
        <v>324</v>
      </c>
      <c r="F158" s="36" t="str">
        <f t="shared" si="4"/>
        <v>https://www.ssbuy.tw/detail_giftcode/dist/giftcodes/蒼之啟示錄.html</v>
      </c>
      <c r="H158" s="36" t="str">
        <f t="shared" si="5"/>
        <v>https://www.ssbuy.tw/detail_giftcode/dist/gamedetail/蒼之啟示錄.html</v>
      </c>
      <c r="I158" s="37" t="s">
        <v>1412</v>
      </c>
      <c r="J158" s="57" t="s">
        <v>1417</v>
      </c>
      <c r="K158" s="60">
        <v>1803</v>
      </c>
      <c r="L158" s="59" t="s">
        <v>1418</v>
      </c>
      <c r="M158" s="60">
        <v>937</v>
      </c>
      <c r="N158" s="59" t="s">
        <v>1419</v>
      </c>
      <c r="O158" s="60">
        <v>551</v>
      </c>
      <c r="P158" s="61" t="s">
        <v>1420</v>
      </c>
      <c r="Q158" s="60">
        <v>391</v>
      </c>
      <c r="R158" s="61" t="s">
        <v>1421</v>
      </c>
      <c r="S158" s="60">
        <v>279</v>
      </c>
      <c r="T158" s="61" t="s">
        <v>1422</v>
      </c>
      <c r="U158" s="60">
        <v>176</v>
      </c>
      <c r="V158" s="61" t="s">
        <v>1423</v>
      </c>
      <c r="W158" s="60">
        <v>102</v>
      </c>
      <c r="X158" s="61" t="s">
        <v>1424</v>
      </c>
      <c r="Y158" s="60">
        <v>17</v>
      </c>
    </row>
    <row r="159" spans="1:43" ht="22.5" customHeight="1" thickBot="1">
      <c r="A159" s="53" t="s">
        <v>325</v>
      </c>
      <c r="F159" s="36" t="str">
        <f t="shared" si="4"/>
        <v>https://www.ssbuy.tw/detail_giftcode/dist/giftcodes/第六絕區.html</v>
      </c>
      <c r="H159" s="36" t="str">
        <f t="shared" si="5"/>
        <v>https://www.ssbuy.tw/detail_giftcode/dist/gamedetail/第六絕區.html</v>
      </c>
      <c r="I159" s="37" t="s">
        <v>1413</v>
      </c>
      <c r="J159" s="57" t="s">
        <v>12</v>
      </c>
      <c r="K159" s="60">
        <v>2554</v>
      </c>
      <c r="L159" s="59" t="s">
        <v>13</v>
      </c>
      <c r="M159" s="60">
        <v>1330</v>
      </c>
      <c r="N159" s="59" t="s">
        <v>24</v>
      </c>
      <c r="O159" s="60">
        <v>779</v>
      </c>
      <c r="P159" s="61" t="s">
        <v>120</v>
      </c>
      <c r="Q159" s="60">
        <v>263</v>
      </c>
      <c r="R159" s="61" t="s">
        <v>16</v>
      </c>
      <c r="S159" s="60">
        <v>145</v>
      </c>
      <c r="T159" s="61" t="s">
        <v>7</v>
      </c>
      <c r="U159" s="60">
        <v>28</v>
      </c>
      <c r="V159" s="61" t="s">
        <v>1425</v>
      </c>
      <c r="W159" s="60">
        <v>145</v>
      </c>
      <c r="X159" s="61" t="s">
        <v>1426</v>
      </c>
      <c r="Y159" s="60">
        <v>263</v>
      </c>
      <c r="Z159" s="61" t="s">
        <v>1427</v>
      </c>
      <c r="AA159" s="60">
        <v>2554</v>
      </c>
      <c r="AB159" s="61" t="s">
        <v>278</v>
      </c>
      <c r="AC159" s="60">
        <v>1330</v>
      </c>
      <c r="AD159" s="61" t="s">
        <v>262</v>
      </c>
      <c r="AE159" s="60">
        <v>779</v>
      </c>
      <c r="AF159" s="61" t="s">
        <v>279</v>
      </c>
      <c r="AG159" s="60">
        <v>535</v>
      </c>
      <c r="AH159" s="61" t="s">
        <v>280</v>
      </c>
      <c r="AI159" s="60">
        <v>263</v>
      </c>
      <c r="AJ159" s="61" t="s">
        <v>281</v>
      </c>
      <c r="AK159" s="60">
        <v>145</v>
      </c>
      <c r="AL159" s="62" t="s">
        <v>1428</v>
      </c>
      <c r="AM159" s="50">
        <v>28</v>
      </c>
    </row>
    <row r="160" spans="1:43" ht="22.5" customHeight="1" thickBot="1">
      <c r="A160" s="53" t="s">
        <v>1416</v>
      </c>
      <c r="F160" s="36" t="str">
        <f t="shared" si="4"/>
        <v>https://www.ssbuy.tw/detail_giftcode/dist/giftcodes/MO.CO.html</v>
      </c>
      <c r="H160" s="36" t="str">
        <f t="shared" si="5"/>
        <v>https://www.ssbuy.tw/detail_giftcode/dist/gamedetail/MO.CO.html</v>
      </c>
      <c r="I160" s="37" t="s">
        <v>1414</v>
      </c>
      <c r="J160" s="57" t="s">
        <v>1459</v>
      </c>
      <c r="K160" s="60">
        <v>2525</v>
      </c>
      <c r="L160" s="59" t="s">
        <v>1460</v>
      </c>
      <c r="M160" s="60">
        <v>1315</v>
      </c>
      <c r="N160" s="59" t="s">
        <v>1461</v>
      </c>
      <c r="O160" s="60">
        <v>529</v>
      </c>
      <c r="P160" s="61" t="s">
        <v>1462</v>
      </c>
      <c r="Q160" s="60">
        <v>260</v>
      </c>
      <c r="R160" s="61" t="s">
        <v>1463</v>
      </c>
      <c r="S160" s="60">
        <v>143</v>
      </c>
    </row>
    <row r="161" spans="1:43" ht="22.5" customHeight="1" thickBot="1">
      <c r="A161" s="53" t="s">
        <v>326</v>
      </c>
      <c r="F161" s="36" t="str">
        <f t="shared" si="4"/>
        <v>https://www.ssbuy.tw/detail_giftcode/dist/giftcodes/幻世三國：一騎當千.html</v>
      </c>
      <c r="H161" s="36" t="str">
        <f t="shared" si="5"/>
        <v>https://www.ssbuy.tw/detail_giftcode/dist/gamedetail/幻世三國：一騎當千.html</v>
      </c>
      <c r="I161" s="37" t="s">
        <v>1415</v>
      </c>
      <c r="J161" s="57" t="s">
        <v>1429</v>
      </c>
      <c r="K161" s="60">
        <v>2525</v>
      </c>
      <c r="L161" s="59" t="s">
        <v>1430</v>
      </c>
      <c r="M161" s="60">
        <v>1938</v>
      </c>
      <c r="N161" s="59" t="s">
        <v>1431</v>
      </c>
      <c r="O161" s="60">
        <v>1160</v>
      </c>
      <c r="P161" s="61" t="s">
        <v>1432</v>
      </c>
      <c r="Q161" s="60">
        <v>771</v>
      </c>
      <c r="R161" s="61" t="s">
        <v>1433</v>
      </c>
      <c r="S161" s="60">
        <v>387</v>
      </c>
      <c r="T161" s="61" t="s">
        <v>1434</v>
      </c>
      <c r="U161" s="60">
        <v>143</v>
      </c>
      <c r="V161" s="61" t="s">
        <v>1435</v>
      </c>
      <c r="W161" s="60">
        <v>28</v>
      </c>
      <c r="X161" s="61" t="s">
        <v>1436</v>
      </c>
      <c r="Y161" s="60">
        <v>308</v>
      </c>
      <c r="Z161" s="61" t="s">
        <v>107</v>
      </c>
      <c r="AA161" s="60">
        <v>143</v>
      </c>
    </row>
    <row r="162" spans="1:43" ht="22.5" customHeight="1" thickBot="1">
      <c r="A162" s="53" t="s">
        <v>1448</v>
      </c>
      <c r="F162" s="36" t="str">
        <f t="shared" si="4"/>
        <v>https://www.ssbuy.tw/detail_giftcode/dist/giftcodes/小兵立大功.html</v>
      </c>
      <c r="H162" s="36" t="str">
        <f t="shared" si="5"/>
        <v>https://www.ssbuy.tw/detail_giftcode/dist/gamedetail/小兵立大功.html</v>
      </c>
      <c r="I162" s="37" t="s">
        <v>3325</v>
      </c>
      <c r="J162" s="57" t="s">
        <v>1450</v>
      </c>
      <c r="K162" s="60">
        <v>1160</v>
      </c>
      <c r="L162" s="59" t="s">
        <v>1451</v>
      </c>
      <c r="M162" s="60">
        <v>693</v>
      </c>
      <c r="N162" s="59" t="s">
        <v>1452</v>
      </c>
      <c r="O162" s="60">
        <v>466</v>
      </c>
      <c r="P162" s="61" t="s">
        <v>1453</v>
      </c>
      <c r="Q162" s="60">
        <v>237</v>
      </c>
      <c r="R162" s="61" t="s">
        <v>1454</v>
      </c>
      <c r="S162" s="60">
        <v>126</v>
      </c>
      <c r="T162" s="61" t="s">
        <v>1455</v>
      </c>
      <c r="U162" s="60">
        <v>25</v>
      </c>
      <c r="V162" s="61" t="s">
        <v>1456</v>
      </c>
      <c r="W162" s="60">
        <v>1751</v>
      </c>
      <c r="X162" s="61" t="s">
        <v>302</v>
      </c>
      <c r="Y162" s="60">
        <v>1160</v>
      </c>
      <c r="Z162" s="61" t="s">
        <v>1457</v>
      </c>
      <c r="AA162" s="60">
        <v>466</v>
      </c>
      <c r="AB162" s="61" t="s">
        <v>1458</v>
      </c>
      <c r="AC162" s="60">
        <v>237</v>
      </c>
      <c r="AD162" s="61" t="s">
        <v>251</v>
      </c>
      <c r="AE162" s="60">
        <v>126</v>
      </c>
      <c r="AF162" s="61" t="s">
        <v>253</v>
      </c>
      <c r="AG162" s="60">
        <v>50</v>
      </c>
      <c r="AH162" s="61" t="s">
        <v>267</v>
      </c>
      <c r="AI162" s="60">
        <v>25</v>
      </c>
    </row>
    <row r="163" spans="1:43" ht="22.5" customHeight="1" thickBot="1">
      <c r="A163" s="53" t="s">
        <v>1449</v>
      </c>
      <c r="F163" s="36" t="str">
        <f t="shared" si="4"/>
        <v>https://www.ssbuy.tw/detail_giftcode/dist/giftcodes/像素全明星.html</v>
      </c>
      <c r="H163" s="36" t="str">
        <f t="shared" si="5"/>
        <v>https://www.ssbuy.tw/detail_giftcode/dist/gamedetail/像素全明星.html</v>
      </c>
      <c r="I163" s="37" t="s">
        <v>2552</v>
      </c>
      <c r="J163" s="57" t="s">
        <v>12</v>
      </c>
      <c r="K163" s="60">
        <v>2327</v>
      </c>
      <c r="L163" s="59" t="s">
        <v>13</v>
      </c>
      <c r="M163" s="60">
        <v>1160</v>
      </c>
      <c r="N163" s="59" t="s">
        <v>24</v>
      </c>
      <c r="O163" s="60">
        <v>771</v>
      </c>
      <c r="P163" s="61" t="s">
        <v>14</v>
      </c>
      <c r="Q163" s="60">
        <v>529</v>
      </c>
      <c r="R163" s="61" t="s">
        <v>15</v>
      </c>
      <c r="S163" s="60">
        <v>387</v>
      </c>
      <c r="T163" s="61" t="s">
        <v>120</v>
      </c>
      <c r="U163" s="60">
        <v>260</v>
      </c>
      <c r="V163" s="61" t="s">
        <v>65</v>
      </c>
      <c r="W163" s="60">
        <v>229</v>
      </c>
      <c r="X163" s="61" t="s">
        <v>6</v>
      </c>
      <c r="Y163" s="60">
        <v>229</v>
      </c>
      <c r="Z163" s="61" t="s">
        <v>233</v>
      </c>
      <c r="AA163" s="60">
        <v>174</v>
      </c>
      <c r="AB163" s="61" t="s">
        <v>16</v>
      </c>
      <c r="AC163" s="60">
        <v>126</v>
      </c>
      <c r="AD163" s="61" t="s">
        <v>121</v>
      </c>
      <c r="AE163" s="60">
        <v>84</v>
      </c>
      <c r="AF163" s="61" t="s">
        <v>285</v>
      </c>
      <c r="AG163" s="60">
        <v>59</v>
      </c>
      <c r="AH163" s="61" t="s">
        <v>7</v>
      </c>
      <c r="AI163" s="60">
        <v>28</v>
      </c>
    </row>
    <row r="164" spans="1:43" ht="22.5" customHeight="1" thickBot="1">
      <c r="A164" s="53" t="s">
        <v>1464</v>
      </c>
      <c r="F164" s="36" t="str">
        <f t="shared" si="4"/>
        <v>https://www.ssbuy.tw/detail_giftcode/dist/giftcodes/浣熊傳說.html</v>
      </c>
      <c r="H164" s="36" t="str">
        <f t="shared" si="5"/>
        <v>https://www.ssbuy.tw/detail_giftcode/dist/gamedetail/浣熊傳說.html</v>
      </c>
      <c r="I164" s="44" t="s">
        <v>1470</v>
      </c>
      <c r="J164" s="57" t="s">
        <v>12</v>
      </c>
      <c r="K164" s="60">
        <v>2327</v>
      </c>
      <c r="L164" s="59" t="s">
        <v>13</v>
      </c>
      <c r="M164" s="60">
        <v>1160</v>
      </c>
      <c r="N164" s="59" t="s">
        <v>24</v>
      </c>
      <c r="O164" s="60">
        <v>771</v>
      </c>
      <c r="P164" s="61" t="s">
        <v>14</v>
      </c>
      <c r="Q164" s="60">
        <v>529</v>
      </c>
      <c r="R164" s="61" t="s">
        <v>120</v>
      </c>
      <c r="S164" s="60">
        <v>260</v>
      </c>
      <c r="T164" s="61" t="s">
        <v>16</v>
      </c>
      <c r="U164" s="60">
        <v>143</v>
      </c>
      <c r="V164" s="61" t="s">
        <v>7</v>
      </c>
      <c r="W164" s="60">
        <v>28</v>
      </c>
    </row>
    <row r="165" spans="1:43" ht="22.5" customHeight="1" thickBot="1">
      <c r="A165" s="53" t="s">
        <v>1465</v>
      </c>
      <c r="F165" s="36" t="str">
        <f t="shared" si="4"/>
        <v>https://www.ssbuy.tw/detail_giftcode/dist/giftcodes/勇者格鬥城.html</v>
      </c>
      <c r="H165" s="36" t="str">
        <f t="shared" si="5"/>
        <v>https://www.ssbuy.tw/detail_giftcode/dist/gamedetail/勇者格鬥城.html</v>
      </c>
      <c r="I165" s="44" t="s">
        <v>1471</v>
      </c>
      <c r="J165" s="57" t="s">
        <v>1466</v>
      </c>
      <c r="K165" s="60">
        <v>2494</v>
      </c>
      <c r="L165" s="59" t="s">
        <v>1467</v>
      </c>
      <c r="M165" s="60">
        <v>2413</v>
      </c>
      <c r="N165" s="59" t="s">
        <v>5</v>
      </c>
      <c r="O165" s="60">
        <v>1946</v>
      </c>
      <c r="P165" s="61" t="s">
        <v>13</v>
      </c>
      <c r="Q165" s="60">
        <v>1276</v>
      </c>
      <c r="R165" s="61" t="s">
        <v>62</v>
      </c>
      <c r="S165" s="60">
        <v>1167</v>
      </c>
      <c r="T165" s="61" t="s">
        <v>24</v>
      </c>
      <c r="U165" s="60">
        <v>771</v>
      </c>
      <c r="V165" s="61" t="s">
        <v>1468</v>
      </c>
      <c r="W165" s="60">
        <v>654</v>
      </c>
      <c r="X165" s="61" t="s">
        <v>14</v>
      </c>
      <c r="Y165" s="60">
        <v>505</v>
      </c>
      <c r="Z165" s="61" t="s">
        <v>15</v>
      </c>
      <c r="AA165" s="60">
        <v>387</v>
      </c>
      <c r="AB165" s="61" t="s">
        <v>1469</v>
      </c>
      <c r="AC165" s="60">
        <v>347</v>
      </c>
      <c r="AD165" s="61" t="s">
        <v>120</v>
      </c>
      <c r="AE165" s="60">
        <v>268</v>
      </c>
      <c r="AF165" s="61" t="s">
        <v>322</v>
      </c>
      <c r="AG165" s="60">
        <v>160</v>
      </c>
      <c r="AH165" s="61" t="s">
        <v>16</v>
      </c>
      <c r="AI165" s="60">
        <v>126</v>
      </c>
      <c r="AJ165" s="61" t="s">
        <v>1327</v>
      </c>
      <c r="AK165" s="60">
        <v>118</v>
      </c>
      <c r="AL165" s="62" t="s">
        <v>121</v>
      </c>
      <c r="AM165" s="50">
        <v>76</v>
      </c>
      <c r="AN165" s="51" t="s">
        <v>285</v>
      </c>
      <c r="AO165" s="50">
        <v>50</v>
      </c>
      <c r="AP165" s="51" t="s">
        <v>7</v>
      </c>
      <c r="AQ165" s="50">
        <v>25</v>
      </c>
    </row>
    <row r="166" spans="1:43" ht="22.5" customHeight="1" thickBot="1">
      <c r="A166" s="53" t="s">
        <v>1472</v>
      </c>
      <c r="F166" s="36" t="str">
        <f t="shared" si="4"/>
        <v>https://www.ssbuy.tw/detail_giftcode/dist/giftcodes/龐寶：背包英雄們.html</v>
      </c>
      <c r="H166" s="36" t="str">
        <f t="shared" si="5"/>
        <v>https://www.ssbuy.tw/detail_giftcode/dist/gamedetail/龐寶：背包英雄們.html</v>
      </c>
      <c r="I166" s="44" t="s">
        <v>1474</v>
      </c>
      <c r="J166" s="57" t="s">
        <v>4</v>
      </c>
      <c r="K166" s="60">
        <v>2335</v>
      </c>
      <c r="L166" s="59" t="s">
        <v>190</v>
      </c>
      <c r="M166" s="60">
        <v>1284</v>
      </c>
      <c r="N166" s="59" t="s">
        <v>1476</v>
      </c>
      <c r="O166" s="60">
        <v>521</v>
      </c>
      <c r="P166" s="61" t="s">
        <v>163</v>
      </c>
      <c r="Q166" s="60">
        <v>260</v>
      </c>
      <c r="R166" s="61" t="s">
        <v>233</v>
      </c>
      <c r="S166" s="60">
        <v>139</v>
      </c>
      <c r="T166" s="61" t="s">
        <v>1477</v>
      </c>
      <c r="U166" s="60">
        <v>83</v>
      </c>
      <c r="V166" s="61" t="s">
        <v>1478</v>
      </c>
      <c r="W166" s="60">
        <v>201</v>
      </c>
    </row>
    <row r="167" spans="1:43" ht="22.5" customHeight="1" thickBot="1">
      <c r="A167" s="53" t="s">
        <v>1473</v>
      </c>
      <c r="F167" s="36" t="str">
        <f t="shared" si="4"/>
        <v>https://www.ssbuy.tw/detail_giftcode/dist/giftcodes/星耀球會.html</v>
      </c>
      <c r="H167" s="36" t="str">
        <f t="shared" si="5"/>
        <v>https://www.ssbuy.tw/detail_giftcode/dist/gamedetail/星耀球會.html</v>
      </c>
      <c r="I167" s="44" t="s">
        <v>1475</v>
      </c>
      <c r="J167" s="57" t="s">
        <v>1479</v>
      </c>
      <c r="K167" s="60">
        <v>2296</v>
      </c>
      <c r="L167" s="59" t="s">
        <v>1480</v>
      </c>
      <c r="M167" s="60">
        <v>1144</v>
      </c>
      <c r="N167" s="59" t="s">
        <v>1481</v>
      </c>
      <c r="O167" s="60">
        <v>529</v>
      </c>
      <c r="P167" s="61" t="s">
        <v>1482</v>
      </c>
      <c r="Q167" s="60">
        <v>260</v>
      </c>
      <c r="R167" s="61" t="s">
        <v>1483</v>
      </c>
      <c r="S167" s="60">
        <v>143</v>
      </c>
      <c r="T167" s="61" t="s">
        <v>1484</v>
      </c>
      <c r="U167" s="60">
        <v>50</v>
      </c>
    </row>
    <row r="168" spans="1:43" ht="22.5" customHeight="1" thickBot="1">
      <c r="A168" s="64" t="s">
        <v>1485</v>
      </c>
      <c r="F168" s="36" t="str">
        <f t="shared" si="4"/>
        <v>https://www.ssbuy.tw/detail_giftcode/dist/giftcodes/東方幻想ECLIPSE.html</v>
      </c>
      <c r="H168" s="36" t="str">
        <f t="shared" si="5"/>
        <v>https://www.ssbuy.tw/detail_giftcode/dist/gamedetail/東方幻想ECLIPSE.html</v>
      </c>
      <c r="I168" s="54" t="s">
        <v>1486</v>
      </c>
      <c r="J168" s="57" t="s">
        <v>1487</v>
      </c>
      <c r="K168" s="60">
        <v>2539</v>
      </c>
      <c r="L168" s="59" t="s">
        <v>1488</v>
      </c>
      <c r="M168" s="60">
        <v>1323</v>
      </c>
      <c r="N168" s="59" t="s">
        <v>1489</v>
      </c>
      <c r="O168" s="60">
        <v>775</v>
      </c>
      <c r="P168" s="61" t="s">
        <v>1490</v>
      </c>
      <c r="Q168" s="60">
        <v>389</v>
      </c>
      <c r="R168" s="61" t="s">
        <v>1491</v>
      </c>
      <c r="S168" s="60">
        <v>144</v>
      </c>
      <c r="T168" s="61" t="s">
        <v>1492</v>
      </c>
      <c r="U168" s="60">
        <v>28</v>
      </c>
      <c r="V168" s="61" t="s">
        <v>1427</v>
      </c>
      <c r="W168" s="60">
        <v>2539</v>
      </c>
      <c r="X168" s="61" t="s">
        <v>260</v>
      </c>
      <c r="Y168" s="60">
        <v>1558</v>
      </c>
      <c r="Z168" s="61" t="s">
        <v>278</v>
      </c>
      <c r="AA168" s="60">
        <v>1323</v>
      </c>
      <c r="AB168" s="61" t="s">
        <v>261</v>
      </c>
      <c r="AC168" s="60">
        <v>1010</v>
      </c>
      <c r="AD168" s="61" t="s">
        <v>262</v>
      </c>
      <c r="AE168" s="60">
        <v>775</v>
      </c>
      <c r="AF168" s="61" t="s">
        <v>1493</v>
      </c>
      <c r="AG168" s="60">
        <v>389</v>
      </c>
      <c r="AH168" s="61" t="s">
        <v>280</v>
      </c>
      <c r="AI168" s="60">
        <v>262</v>
      </c>
      <c r="AJ168" s="61" t="s">
        <v>1494</v>
      </c>
      <c r="AK168" s="60">
        <v>198</v>
      </c>
      <c r="AL168" s="62" t="s">
        <v>281</v>
      </c>
      <c r="AM168" s="50">
        <v>144</v>
      </c>
      <c r="AN168" s="51" t="s">
        <v>1428</v>
      </c>
      <c r="AO168" s="50">
        <v>28</v>
      </c>
    </row>
    <row r="169" spans="1:43" ht="22.5" customHeight="1" thickBot="1">
      <c r="A169" s="53" t="s">
        <v>1495</v>
      </c>
      <c r="F169" s="36" t="str">
        <f t="shared" si="4"/>
        <v>https://www.ssbuy.tw/detail_giftcode/dist/giftcodes/世紀帝國M.html</v>
      </c>
      <c r="H169" s="36" t="str">
        <f t="shared" si="5"/>
        <v>https://www.ssbuy.tw/detail_giftcode/dist/gamedetail/世紀帝國M.html</v>
      </c>
      <c r="I169" s="54" t="s">
        <v>1503</v>
      </c>
      <c r="J169" s="57" t="s">
        <v>1498</v>
      </c>
      <c r="K169" s="60">
        <v>2508</v>
      </c>
      <c r="L169" s="59" t="s">
        <v>1499</v>
      </c>
      <c r="M169" s="60">
        <v>1268</v>
      </c>
      <c r="N169" s="59" t="s">
        <v>1500</v>
      </c>
      <c r="O169" s="60">
        <v>548</v>
      </c>
      <c r="P169" s="61" t="s">
        <v>3979</v>
      </c>
      <c r="Q169" s="60">
        <v>278</v>
      </c>
      <c r="R169" s="61" t="s">
        <v>1501</v>
      </c>
      <c r="S169" s="60">
        <v>127</v>
      </c>
      <c r="T169" s="61" t="s">
        <v>1502</v>
      </c>
      <c r="U169" s="60">
        <v>25</v>
      </c>
    </row>
    <row r="170" spans="1:43" ht="22.5" customHeight="1" thickBot="1">
      <c r="A170" s="53" t="s">
        <v>1496</v>
      </c>
      <c r="F170" s="36" t="str">
        <f t="shared" si="4"/>
        <v>https://www.ssbuy.tw/detail_giftcode/dist/giftcodes/歐啦!守得豬.html</v>
      </c>
      <c r="H170" s="36" t="str">
        <f t="shared" si="5"/>
        <v>https://www.ssbuy.tw/detail_giftcode/dist/gamedetail/歐啦!守得豬.html</v>
      </c>
      <c r="I170" s="54" t="s">
        <v>1504</v>
      </c>
      <c r="J170" s="57" t="s">
        <v>61</v>
      </c>
      <c r="K170" s="60">
        <v>2539</v>
      </c>
      <c r="L170" s="59" t="s">
        <v>62</v>
      </c>
      <c r="M170" s="60">
        <v>1323</v>
      </c>
      <c r="N170" s="59" t="s">
        <v>3980</v>
      </c>
      <c r="O170" s="60">
        <v>579</v>
      </c>
      <c r="P170" s="61" t="s">
        <v>1326</v>
      </c>
      <c r="Q170" s="60">
        <v>294</v>
      </c>
      <c r="R170" s="61" t="s">
        <v>16</v>
      </c>
      <c r="S170" s="60">
        <v>144</v>
      </c>
      <c r="T170" s="61" t="s">
        <v>7</v>
      </c>
      <c r="U170" s="60">
        <v>28</v>
      </c>
      <c r="V170" s="61" t="s">
        <v>177</v>
      </c>
      <c r="W170" s="60">
        <v>294</v>
      </c>
      <c r="X170" s="61" t="s">
        <v>1295</v>
      </c>
      <c r="Y170" s="60">
        <v>144</v>
      </c>
    </row>
    <row r="171" spans="1:43" ht="22.5" customHeight="1" thickBot="1">
      <c r="A171" s="53" t="s">
        <v>1497</v>
      </c>
      <c r="F171" s="36" t="str">
        <f t="shared" si="4"/>
        <v>https://www.ssbuy.tw/detail_giftcode/dist/giftcodes/game-18櫻花幕府.html</v>
      </c>
      <c r="H171" s="36" t="str">
        <f t="shared" si="5"/>
        <v>https://www.ssbuy.tw/detail_giftcode/dist/gamedetail/game-18櫻花幕府.html</v>
      </c>
      <c r="I171" s="44" t="s">
        <v>1505</v>
      </c>
      <c r="J171" s="57" t="s">
        <v>1506</v>
      </c>
      <c r="K171" s="60">
        <v>2340</v>
      </c>
      <c r="L171" s="59" t="s">
        <v>1507</v>
      </c>
      <c r="M171" s="60">
        <v>1166</v>
      </c>
      <c r="N171" s="59" t="s">
        <v>1508</v>
      </c>
      <c r="O171" s="60">
        <v>775</v>
      </c>
      <c r="P171" s="61" t="s">
        <v>1509</v>
      </c>
      <c r="Q171" s="60">
        <v>532</v>
      </c>
      <c r="R171" s="61" t="s">
        <v>1510</v>
      </c>
      <c r="S171" s="60">
        <v>262</v>
      </c>
      <c r="T171" s="61" t="s">
        <v>1511</v>
      </c>
      <c r="U171" s="60">
        <v>144</v>
      </c>
      <c r="V171" s="61" t="s">
        <v>1512</v>
      </c>
      <c r="W171" s="60">
        <v>28</v>
      </c>
    </row>
    <row r="172" spans="1:43" ht="22.5" customHeight="1" thickBot="1">
      <c r="A172" s="53" t="s">
        <v>1513</v>
      </c>
      <c r="F172" s="36" t="str">
        <f t="shared" si="4"/>
        <v>https://www.ssbuy.tw/detail_giftcode/dist/giftcodes/大武道.html</v>
      </c>
      <c r="H172" s="36" t="str">
        <f t="shared" si="5"/>
        <v>https://www.ssbuy.tw/detail_giftcode/dist/gamedetail/大武道.html</v>
      </c>
      <c r="I172" s="44" t="s">
        <v>1526</v>
      </c>
      <c r="J172" s="57" t="s">
        <v>1514</v>
      </c>
      <c r="K172" s="60">
        <v>2539</v>
      </c>
      <c r="L172" s="59" t="s">
        <v>1515</v>
      </c>
      <c r="M172" s="60">
        <v>1323</v>
      </c>
      <c r="N172" s="59" t="s">
        <v>1516</v>
      </c>
      <c r="O172" s="60">
        <v>532</v>
      </c>
      <c r="P172" s="61" t="s">
        <v>1517</v>
      </c>
      <c r="Q172" s="60">
        <v>389</v>
      </c>
      <c r="R172" s="61" t="s">
        <v>318</v>
      </c>
      <c r="S172" s="60">
        <v>144</v>
      </c>
      <c r="T172" s="61" t="s">
        <v>1518</v>
      </c>
      <c r="U172" s="60">
        <v>28</v>
      </c>
      <c r="V172" s="61" t="s">
        <v>1519</v>
      </c>
      <c r="W172" s="60">
        <v>681</v>
      </c>
      <c r="X172" s="61" t="s">
        <v>107</v>
      </c>
      <c r="Y172" s="60">
        <v>144</v>
      </c>
      <c r="Z172" s="61" t="s">
        <v>176</v>
      </c>
      <c r="AA172" s="60">
        <v>28</v>
      </c>
    </row>
    <row r="173" spans="1:43" ht="22.5" customHeight="1" thickBot="1">
      <c r="A173" s="64" t="s">
        <v>3981</v>
      </c>
      <c r="F173" s="36" t="str">
        <f t="shared" si="4"/>
        <v>https://www.ssbuy.tw/detail_giftcode/dist/giftcodes/奇蹟MU：暴走之翼.html</v>
      </c>
      <c r="H173" s="36" t="str">
        <f t="shared" si="5"/>
        <v>https://www.ssbuy.tw/detail_giftcode/dist/gamedetail/奇蹟MU：暴走之翼.html</v>
      </c>
      <c r="I173" s="37" t="s">
        <v>3982</v>
      </c>
      <c r="J173" s="57" t="s">
        <v>155</v>
      </c>
      <c r="K173" s="60">
        <v>2525</v>
      </c>
      <c r="L173" s="59" t="s">
        <v>1520</v>
      </c>
      <c r="M173" s="60">
        <v>1284</v>
      </c>
      <c r="N173" s="59" t="s">
        <v>1521</v>
      </c>
      <c r="O173" s="60">
        <v>624</v>
      </c>
      <c r="P173" s="61" t="s">
        <v>1522</v>
      </c>
      <c r="Q173" s="60">
        <v>545</v>
      </c>
      <c r="R173" s="61" t="s">
        <v>159</v>
      </c>
      <c r="S173" s="60">
        <v>387</v>
      </c>
      <c r="T173" s="61" t="s">
        <v>160</v>
      </c>
      <c r="U173" s="60">
        <v>260</v>
      </c>
      <c r="V173" s="61" t="s">
        <v>1523</v>
      </c>
      <c r="W173" s="60">
        <v>174</v>
      </c>
      <c r="X173" s="61" t="s">
        <v>1524</v>
      </c>
      <c r="Y173" s="60">
        <v>160</v>
      </c>
      <c r="Z173" s="61" t="s">
        <v>1525</v>
      </c>
      <c r="AA173" s="60">
        <v>139</v>
      </c>
      <c r="AB173" s="61" t="s">
        <v>162</v>
      </c>
      <c r="AC173" s="60">
        <v>28</v>
      </c>
    </row>
    <row r="174" spans="1:43" ht="22.5" customHeight="1" thickBot="1">
      <c r="A174" s="53" t="s">
        <v>1529</v>
      </c>
      <c r="F174" s="36" t="str">
        <f t="shared" si="4"/>
        <v>https://www.ssbuy.tw/detail_giftcode/dist/giftcodes/劍太傳說：新的開始.html</v>
      </c>
      <c r="H174" s="36" t="str">
        <f t="shared" si="5"/>
        <v>https://www.ssbuy.tw/detail_giftcode/dist/gamedetail/劍太傳說：新的開始.html</v>
      </c>
      <c r="I174" s="54" t="s">
        <v>1527</v>
      </c>
      <c r="J174" s="57" t="s">
        <v>235</v>
      </c>
      <c r="K174" s="60">
        <v>2539</v>
      </c>
      <c r="L174" s="59" t="s">
        <v>236</v>
      </c>
      <c r="M174" s="60">
        <v>1323</v>
      </c>
      <c r="N174" s="59" t="s">
        <v>1292</v>
      </c>
      <c r="O174" s="60">
        <v>775</v>
      </c>
      <c r="P174" s="61" t="s">
        <v>237</v>
      </c>
      <c r="Q174" s="60">
        <v>532</v>
      </c>
      <c r="R174" s="61" t="s">
        <v>238</v>
      </c>
      <c r="S174" s="60">
        <v>262</v>
      </c>
      <c r="T174" s="61" t="s">
        <v>239</v>
      </c>
      <c r="U174" s="60">
        <v>144</v>
      </c>
      <c r="V174" s="61" t="s">
        <v>240</v>
      </c>
      <c r="W174" s="60">
        <v>28</v>
      </c>
      <c r="X174" s="61" t="s">
        <v>1531</v>
      </c>
      <c r="Y174" s="60">
        <v>775</v>
      </c>
    </row>
    <row r="175" spans="1:43" ht="22.5" customHeight="1" thickBot="1">
      <c r="A175" s="53" t="s">
        <v>1530</v>
      </c>
      <c r="F175" s="36" t="str">
        <f t="shared" si="4"/>
        <v>https://www.ssbuy.tw/detail_giftcode/dist/giftcodes/三國。群英燎原.html</v>
      </c>
      <c r="H175" s="36" t="str">
        <f t="shared" si="5"/>
        <v>https://www.ssbuy.tw/detail_giftcode/dist/gamedetail/三國。群英燎原.html</v>
      </c>
      <c r="I175" s="54" t="s">
        <v>1528</v>
      </c>
      <c r="J175" s="57" t="s">
        <v>235</v>
      </c>
      <c r="K175" s="60">
        <v>2539</v>
      </c>
      <c r="L175" s="59" t="s">
        <v>236</v>
      </c>
      <c r="M175" s="60">
        <v>1323</v>
      </c>
      <c r="N175" s="59" t="s">
        <v>237</v>
      </c>
      <c r="O175" s="60">
        <v>775</v>
      </c>
      <c r="P175" s="61" t="s">
        <v>238</v>
      </c>
      <c r="Q175" s="60">
        <v>262</v>
      </c>
      <c r="R175" s="61" t="s">
        <v>239</v>
      </c>
      <c r="S175" s="60">
        <v>144</v>
      </c>
      <c r="T175" s="61" t="s">
        <v>240</v>
      </c>
      <c r="U175" s="60">
        <v>28</v>
      </c>
    </row>
    <row r="176" spans="1:43" ht="22.5" customHeight="1" thickBot="1">
      <c r="A176" s="53" t="s">
        <v>1532</v>
      </c>
      <c r="F176" s="36" t="str">
        <f t="shared" si="4"/>
        <v>https://www.ssbuy.tw/detail_giftcode/dist/giftcodes/Final War：寒霜前線.html</v>
      </c>
      <c r="H176" s="36" t="str">
        <f t="shared" si="5"/>
        <v>https://www.ssbuy.tw/detail_giftcode/dist/gamedetail/Final War：寒霜前線.html</v>
      </c>
      <c r="I176" s="37" t="s">
        <v>2611</v>
      </c>
      <c r="J176" s="57" t="s">
        <v>1536</v>
      </c>
      <c r="K176" s="60">
        <v>2340</v>
      </c>
      <c r="L176" s="59" t="s">
        <v>1537</v>
      </c>
      <c r="M176" s="60">
        <v>1323</v>
      </c>
      <c r="N176" s="59" t="s">
        <v>1538</v>
      </c>
      <c r="O176" s="60">
        <v>532</v>
      </c>
      <c r="P176" s="61" t="s">
        <v>1539</v>
      </c>
      <c r="Q176" s="60">
        <v>262</v>
      </c>
      <c r="R176" s="61" t="s">
        <v>1540</v>
      </c>
      <c r="S176" s="60">
        <v>144</v>
      </c>
      <c r="T176" s="61" t="s">
        <v>1541</v>
      </c>
      <c r="U176" s="60">
        <v>28</v>
      </c>
    </row>
    <row r="177" spans="1:35" ht="22.5" customHeight="1" thickBot="1">
      <c r="A177" s="53" t="s">
        <v>1533</v>
      </c>
      <c r="F177" s="36" t="str">
        <f t="shared" si="4"/>
        <v>https://www.ssbuy.tw/detail_giftcode/dist/giftcodes/黑夜獵人.html</v>
      </c>
      <c r="H177" s="36" t="str">
        <f t="shared" si="5"/>
        <v>https://www.ssbuy.tw/detail_giftcode/dist/gamedetail/黑夜獵人.html</v>
      </c>
      <c r="I177" s="37" t="s">
        <v>1534</v>
      </c>
      <c r="J177" s="57" t="s">
        <v>1542</v>
      </c>
      <c r="K177" s="60">
        <v>2340</v>
      </c>
      <c r="L177" s="59" t="s">
        <v>1543</v>
      </c>
      <c r="M177" s="60">
        <v>1166</v>
      </c>
      <c r="N177" s="59" t="s">
        <v>1544</v>
      </c>
      <c r="O177" s="60">
        <v>548</v>
      </c>
      <c r="P177" s="61" t="s">
        <v>1545</v>
      </c>
      <c r="Q177" s="60">
        <v>254</v>
      </c>
      <c r="R177" s="61" t="s">
        <v>1546</v>
      </c>
      <c r="S177" s="60">
        <v>127</v>
      </c>
      <c r="T177" s="61" t="s">
        <v>1547</v>
      </c>
      <c r="U177" s="60">
        <v>25</v>
      </c>
    </row>
    <row r="178" spans="1:35" ht="22.5" customHeight="1" thickBot="1">
      <c r="A178" s="35" t="s">
        <v>1548</v>
      </c>
      <c r="C178" s="77" t="s">
        <v>1552</v>
      </c>
      <c r="D178" s="43" t="s">
        <v>1550</v>
      </c>
      <c r="E178" s="43" t="s">
        <v>1549</v>
      </c>
      <c r="F178" s="36" t="str">
        <f t="shared" si="4"/>
        <v>https://www.ssbuy.tw/detail_giftcode/dist/giftcodes/魔法黯道.html</v>
      </c>
      <c r="G178" s="43" t="s">
        <v>1551</v>
      </c>
      <c r="H178" s="36" t="str">
        <f t="shared" si="5"/>
        <v>https://www.ssbuy.tw/detail_giftcode/dist/gamedetail/魔法黯道.html</v>
      </c>
      <c r="I178" s="78" t="s">
        <v>4001</v>
      </c>
      <c r="J178" s="57" t="s">
        <v>1553</v>
      </c>
      <c r="K178" s="60">
        <v>2340</v>
      </c>
      <c r="L178" s="59" t="s">
        <v>1554</v>
      </c>
      <c r="M178" s="60">
        <v>1166</v>
      </c>
      <c r="N178" s="59" t="s">
        <v>1555</v>
      </c>
      <c r="O178" s="60">
        <v>775</v>
      </c>
      <c r="P178" s="61" t="s">
        <v>1556</v>
      </c>
      <c r="Q178" s="60">
        <v>532</v>
      </c>
      <c r="R178" s="61" t="s">
        <v>1557</v>
      </c>
      <c r="S178" s="60">
        <v>262</v>
      </c>
      <c r="T178" s="61" t="s">
        <v>1558</v>
      </c>
      <c r="U178" s="60">
        <v>144</v>
      </c>
      <c r="V178" s="61" t="s">
        <v>1559</v>
      </c>
      <c r="W178" s="60">
        <v>28</v>
      </c>
      <c r="X178" s="61" t="s">
        <v>1560</v>
      </c>
      <c r="Y178" s="60">
        <v>262</v>
      </c>
      <c r="Z178" s="61" t="s">
        <v>107</v>
      </c>
      <c r="AA178" s="60">
        <v>144</v>
      </c>
      <c r="AB178" s="61" t="s">
        <v>1561</v>
      </c>
      <c r="AC178" s="60">
        <v>775</v>
      </c>
    </row>
    <row r="179" spans="1:35" ht="22.5" customHeight="1" thickBot="1">
      <c r="A179" s="35" t="s">
        <v>1562</v>
      </c>
      <c r="C179" s="77" t="s">
        <v>1563</v>
      </c>
      <c r="D179" s="43" t="s">
        <v>1564</v>
      </c>
      <c r="E179" s="43" t="s">
        <v>1565</v>
      </c>
      <c r="F179" s="36" t="str">
        <f t="shared" si="4"/>
        <v>https://www.ssbuy.tw/detail_giftcode/dist/giftcodes/神代紀事.html</v>
      </c>
      <c r="G179" s="43" t="s">
        <v>1566</v>
      </c>
      <c r="H179" s="36" t="str">
        <f t="shared" si="5"/>
        <v>https://www.ssbuy.tw/detail_giftcode/dist/gamedetail/神代紀事.html</v>
      </c>
      <c r="I179" s="37" t="s">
        <v>3429</v>
      </c>
      <c r="J179" s="57" t="s">
        <v>1567</v>
      </c>
      <c r="K179" s="60">
        <v>2340</v>
      </c>
      <c r="L179" s="59" t="s">
        <v>1568</v>
      </c>
      <c r="M179" s="60">
        <v>1166</v>
      </c>
      <c r="N179" s="59" t="s">
        <v>1569</v>
      </c>
      <c r="O179" s="60">
        <v>697</v>
      </c>
      <c r="P179" s="61" t="s">
        <v>1570</v>
      </c>
      <c r="Q179" s="60">
        <v>357</v>
      </c>
      <c r="R179" s="61" t="s">
        <v>1571</v>
      </c>
      <c r="S179" s="60">
        <v>127</v>
      </c>
      <c r="T179" s="61" t="s">
        <v>1572</v>
      </c>
      <c r="U179" s="60">
        <v>25</v>
      </c>
      <c r="V179" s="61" t="s">
        <v>1573</v>
      </c>
      <c r="W179" s="60">
        <v>230</v>
      </c>
      <c r="X179" s="61" t="s">
        <v>1574</v>
      </c>
      <c r="Y179" s="60">
        <v>697</v>
      </c>
      <c r="Z179" s="61" t="s">
        <v>1575</v>
      </c>
      <c r="AA179" s="60">
        <v>230</v>
      </c>
      <c r="AB179" s="61" t="s">
        <v>1576</v>
      </c>
      <c r="AC179" s="60">
        <v>25</v>
      </c>
      <c r="AD179" s="61" t="s">
        <v>1577</v>
      </c>
      <c r="AE179" s="60">
        <v>357</v>
      </c>
      <c r="AF179" s="61" t="s">
        <v>1578</v>
      </c>
      <c r="AG179" s="60">
        <v>127</v>
      </c>
      <c r="AH179" s="61" t="s">
        <v>1579</v>
      </c>
      <c r="AI179" s="60">
        <v>25</v>
      </c>
    </row>
    <row r="180" spans="1:35" ht="22.5" customHeight="1" thickBot="1">
      <c r="A180" s="35" t="s">
        <v>1580</v>
      </c>
      <c r="C180" s="77" t="s">
        <v>1584</v>
      </c>
      <c r="D180" s="43" t="s">
        <v>1582</v>
      </c>
      <c r="E180" s="43" t="s">
        <v>1583</v>
      </c>
      <c r="F180" s="36" t="str">
        <f t="shared" si="4"/>
        <v>https://www.ssbuy.tw/detail_giftcode/dist/giftcodes/天命國度.html</v>
      </c>
      <c r="G180" s="36" t="s">
        <v>1585</v>
      </c>
      <c r="H180" s="36" t="str">
        <f t="shared" si="5"/>
        <v>https://www.ssbuy.tw/detail_giftcode/dist/gamedetail/天命國度.html</v>
      </c>
      <c r="I180" s="54" t="s">
        <v>1581</v>
      </c>
      <c r="J180" s="57" t="s">
        <v>1586</v>
      </c>
      <c r="K180" s="60">
        <v>2539</v>
      </c>
      <c r="L180" s="59" t="s">
        <v>1587</v>
      </c>
      <c r="M180" s="60">
        <v>1323</v>
      </c>
      <c r="N180" s="59" t="s">
        <v>1588</v>
      </c>
      <c r="O180" s="60">
        <v>262</v>
      </c>
      <c r="P180" s="61" t="s">
        <v>1589</v>
      </c>
      <c r="Q180" s="60">
        <v>144</v>
      </c>
      <c r="R180" s="61" t="s">
        <v>1590</v>
      </c>
      <c r="S180" s="60">
        <v>28</v>
      </c>
      <c r="T180" s="61" t="s">
        <v>1591</v>
      </c>
      <c r="U180" s="60">
        <v>532</v>
      </c>
    </row>
    <row r="181" spans="1:35" ht="22.5" customHeight="1" thickBot="1">
      <c r="A181" s="64" t="s">
        <v>1592</v>
      </c>
      <c r="C181" s="35" t="s">
        <v>1594</v>
      </c>
      <c r="D181" s="43" t="s">
        <v>1593</v>
      </c>
      <c r="E181" s="36" t="s">
        <v>1595</v>
      </c>
      <c r="F181" s="36" t="str">
        <f t="shared" si="4"/>
        <v>https://www.ssbuy.tw/detail_giftcode/dist/giftcodes/戰國武士道.html</v>
      </c>
      <c r="G181" s="36" t="s">
        <v>1596</v>
      </c>
      <c r="H181" s="36" t="str">
        <f t="shared" si="5"/>
        <v>https://www.ssbuy.tw/detail_giftcode/dist/gamedetail/戰國武士道.html</v>
      </c>
      <c r="I181" s="37" t="s">
        <v>1621</v>
      </c>
      <c r="J181" s="57" t="s">
        <v>1603</v>
      </c>
      <c r="K181" s="60">
        <v>2539</v>
      </c>
      <c r="L181" s="59" t="s">
        <v>1602</v>
      </c>
      <c r="M181" s="60">
        <v>1323</v>
      </c>
      <c r="N181" s="59" t="s">
        <v>1604</v>
      </c>
      <c r="O181" s="60">
        <v>783</v>
      </c>
      <c r="P181" s="61" t="s">
        <v>1605</v>
      </c>
      <c r="Q181" s="60">
        <v>397</v>
      </c>
      <c r="R181" s="61" t="s">
        <v>1606</v>
      </c>
      <c r="S181" s="60">
        <v>144</v>
      </c>
      <c r="T181" s="61" t="s">
        <v>1607</v>
      </c>
      <c r="U181" s="60">
        <v>25</v>
      </c>
      <c r="V181" s="61" t="s">
        <v>1608</v>
      </c>
      <c r="W181" s="60">
        <v>1252</v>
      </c>
      <c r="X181" s="61" t="s">
        <v>1609</v>
      </c>
      <c r="Y181" s="60">
        <v>135</v>
      </c>
      <c r="Z181" s="61" t="s">
        <v>1610</v>
      </c>
      <c r="AA181" s="60">
        <v>85</v>
      </c>
    </row>
    <row r="182" spans="1:35" ht="22.5" customHeight="1" thickBot="1">
      <c r="A182" s="64" t="s">
        <v>1597</v>
      </c>
      <c r="C182" s="77" t="s">
        <v>1599</v>
      </c>
      <c r="D182" s="43" t="s">
        <v>1600</v>
      </c>
      <c r="E182" s="43" t="s">
        <v>1601</v>
      </c>
      <c r="F182" s="36" t="str">
        <f t="shared" si="4"/>
        <v>https://www.ssbuy.tw/detail_giftcode/dist/giftcodes/超蝦大作戰.html</v>
      </c>
      <c r="G182" s="43" t="s">
        <v>1598</v>
      </c>
      <c r="H182" s="36" t="str">
        <f t="shared" si="5"/>
        <v>https://www.ssbuy.tw/detail_giftcode/dist/gamedetail/超蝦大作戰.html</v>
      </c>
      <c r="I182" s="78" t="s">
        <v>4002</v>
      </c>
      <c r="J182" s="57" t="s">
        <v>1611</v>
      </c>
      <c r="K182" s="60">
        <v>2539</v>
      </c>
      <c r="L182" s="59" t="s">
        <v>1612</v>
      </c>
      <c r="M182" s="60">
        <v>1793</v>
      </c>
      <c r="N182" s="59" t="s">
        <v>1613</v>
      </c>
      <c r="O182" s="60">
        <v>1323</v>
      </c>
      <c r="P182" s="61" t="s">
        <v>1614</v>
      </c>
      <c r="Q182" s="60">
        <v>775</v>
      </c>
      <c r="R182" s="61" t="s">
        <v>1615</v>
      </c>
      <c r="S182" s="60">
        <v>532</v>
      </c>
      <c r="T182" s="61" t="s">
        <v>1616</v>
      </c>
      <c r="U182" s="60">
        <v>389</v>
      </c>
      <c r="V182" s="61" t="s">
        <v>1617</v>
      </c>
      <c r="W182" s="60">
        <v>262</v>
      </c>
      <c r="X182" s="61" t="s">
        <v>1618</v>
      </c>
      <c r="Y182" s="60">
        <v>238</v>
      </c>
      <c r="Z182" s="61" t="s">
        <v>1619</v>
      </c>
      <c r="AA182" s="60">
        <v>144</v>
      </c>
      <c r="AB182" s="61" t="s">
        <v>1620</v>
      </c>
      <c r="AC182" s="60">
        <v>110</v>
      </c>
    </row>
    <row r="183" spans="1:35" ht="22.5" customHeight="1" thickBot="1">
      <c r="A183" s="64" t="s">
        <v>1622</v>
      </c>
      <c r="C183" s="77" t="s">
        <v>1623</v>
      </c>
      <c r="D183" s="36" t="s">
        <v>1625</v>
      </c>
      <c r="E183" s="43" t="s">
        <v>1624</v>
      </c>
      <c r="F183" s="36" t="str">
        <f t="shared" si="4"/>
        <v>https://www.ssbuy.tw/detail_giftcode/dist/giftcodes/真妖獸!廢柴要修仙.html</v>
      </c>
      <c r="G183" s="43" t="s">
        <v>1626</v>
      </c>
      <c r="H183" s="36" t="str">
        <f t="shared" si="5"/>
        <v>https://www.ssbuy.tw/detail_giftcode/dist/gamedetail/真妖獸!廢柴要修仙.html</v>
      </c>
      <c r="I183" s="37" t="s">
        <v>3448</v>
      </c>
      <c r="J183" s="57" t="s">
        <v>1627</v>
      </c>
      <c r="K183" s="60">
        <v>2539</v>
      </c>
      <c r="L183" s="59" t="s">
        <v>313</v>
      </c>
      <c r="M183" s="60">
        <v>1323</v>
      </c>
      <c r="N183" s="59" t="s">
        <v>1628</v>
      </c>
      <c r="O183" s="60">
        <v>775</v>
      </c>
      <c r="P183" s="61" t="s">
        <v>1629</v>
      </c>
      <c r="Q183" s="60">
        <v>532</v>
      </c>
      <c r="R183" s="61" t="s">
        <v>1630</v>
      </c>
      <c r="S183" s="60">
        <v>262</v>
      </c>
      <c r="T183" s="61" t="s">
        <v>1631</v>
      </c>
      <c r="U183" s="60">
        <v>144</v>
      </c>
      <c r="V183" s="61" t="s">
        <v>1632</v>
      </c>
      <c r="W183" s="60">
        <v>59</v>
      </c>
      <c r="X183" s="61" t="s">
        <v>1518</v>
      </c>
      <c r="Y183" s="60">
        <v>28</v>
      </c>
    </row>
    <row r="184" spans="1:35" ht="22.5" customHeight="1" thickBot="1">
      <c r="A184" s="64" t="s">
        <v>1637</v>
      </c>
      <c r="C184" s="77" t="s">
        <v>1635</v>
      </c>
      <c r="D184" s="43" t="s">
        <v>1634</v>
      </c>
      <c r="E184" s="43" t="s">
        <v>1633</v>
      </c>
      <c r="F184" s="36" t="str">
        <f t="shared" si="4"/>
        <v>https://www.ssbuy.tw/detail_giftcode/dist/giftcodes/三國志Thrones.html</v>
      </c>
      <c r="G184" s="43" t="s">
        <v>1636</v>
      </c>
      <c r="H184" s="36" t="str">
        <f t="shared" si="5"/>
        <v>https://www.ssbuy.tw/detail_giftcode/dist/gamedetail/三國志Thrones.html</v>
      </c>
      <c r="I184" s="78" t="s">
        <v>4003</v>
      </c>
      <c r="J184" s="57" t="s">
        <v>235</v>
      </c>
      <c r="K184" s="60">
        <v>3010</v>
      </c>
      <c r="L184" s="59" t="s">
        <v>236</v>
      </c>
      <c r="M184" s="60">
        <v>1550</v>
      </c>
      <c r="N184" s="59" t="s">
        <v>1292</v>
      </c>
      <c r="O184" s="60">
        <v>932</v>
      </c>
      <c r="P184" s="61" t="s">
        <v>1638</v>
      </c>
      <c r="Q184" s="60">
        <v>475</v>
      </c>
      <c r="R184" s="61" t="s">
        <v>239</v>
      </c>
      <c r="S184" s="60">
        <v>156</v>
      </c>
      <c r="T184" s="61" t="s">
        <v>240</v>
      </c>
      <c r="U184" s="60">
        <v>28</v>
      </c>
    </row>
    <row r="185" spans="1:35" ht="22.5" customHeight="1" thickBot="1">
      <c r="A185" s="64" t="s">
        <v>1645</v>
      </c>
      <c r="C185" s="77" t="s">
        <v>1641</v>
      </c>
      <c r="D185" s="43" t="s">
        <v>1640</v>
      </c>
      <c r="E185" s="43" t="s">
        <v>1642</v>
      </c>
      <c r="F185" s="36" t="str">
        <f t="shared" si="4"/>
        <v>https://www.ssbuy.tw/detail_giftcode/dist/giftcodes/英勇之地.html</v>
      </c>
      <c r="G185" s="43" t="s">
        <v>1639</v>
      </c>
      <c r="H185" s="36" t="str">
        <f t="shared" si="5"/>
        <v>https://www.ssbuy.tw/detail_giftcode/dist/gamedetail/英勇之地.html</v>
      </c>
      <c r="I185" s="37" t="s">
        <v>3983</v>
      </c>
      <c r="J185" s="57" t="s">
        <v>12</v>
      </c>
      <c r="K185" s="60">
        <v>2415</v>
      </c>
      <c r="L185" s="59" t="s">
        <v>13</v>
      </c>
      <c r="M185" s="60">
        <v>1225</v>
      </c>
      <c r="N185" s="59" t="s">
        <v>24</v>
      </c>
      <c r="O185" s="60">
        <v>735</v>
      </c>
      <c r="P185" s="61" t="s">
        <v>15</v>
      </c>
      <c r="Q185" s="60">
        <v>372</v>
      </c>
      <c r="R185" s="61" t="s">
        <v>16</v>
      </c>
      <c r="S185" s="60">
        <v>132</v>
      </c>
      <c r="T185" s="61" t="s">
        <v>7</v>
      </c>
      <c r="U185" s="60">
        <v>26</v>
      </c>
      <c r="V185" s="61" t="s">
        <v>107</v>
      </c>
      <c r="W185" s="60">
        <v>132</v>
      </c>
      <c r="X185" s="61" t="s">
        <v>1436</v>
      </c>
      <c r="Y185" s="60">
        <v>372</v>
      </c>
      <c r="Z185" s="61" t="s">
        <v>1643</v>
      </c>
      <c r="AA185" s="60">
        <v>1127</v>
      </c>
      <c r="AB185" s="61" t="s">
        <v>1644</v>
      </c>
      <c r="AC185" s="60">
        <v>472</v>
      </c>
    </row>
    <row r="186" spans="1:35" ht="22.5" customHeight="1" thickBot="1">
      <c r="A186" s="53" t="s">
        <v>1646</v>
      </c>
      <c r="C186" s="77" t="s">
        <v>1650</v>
      </c>
      <c r="D186" s="43" t="s">
        <v>1648</v>
      </c>
      <c r="E186" s="43" t="s">
        <v>1649</v>
      </c>
      <c r="F186" s="36" t="str">
        <f t="shared" si="4"/>
        <v>https://www.ssbuy.tw/detail_giftcode/dist/giftcodes/未鑑定勇者團.html</v>
      </c>
      <c r="G186" s="43" t="s">
        <v>1636</v>
      </c>
      <c r="H186" s="36" t="str">
        <f t="shared" si="5"/>
        <v>https://www.ssbuy.tw/detail_giftcode/dist/gamedetail/未鑑定勇者團.html</v>
      </c>
      <c r="I186" s="78" t="s">
        <v>4004</v>
      </c>
      <c r="J186" s="57" t="s">
        <v>1655</v>
      </c>
      <c r="K186" s="60">
        <v>2355</v>
      </c>
      <c r="L186" s="59" t="s">
        <v>1656</v>
      </c>
      <c r="M186" s="60">
        <v>937</v>
      </c>
      <c r="N186" s="59" t="s">
        <v>1657</v>
      </c>
      <c r="O186" s="60">
        <v>232</v>
      </c>
      <c r="P186" s="61" t="s">
        <v>1658</v>
      </c>
      <c r="Q186" s="60">
        <v>176</v>
      </c>
      <c r="R186" s="61" t="s">
        <v>1659</v>
      </c>
      <c r="S186" s="60">
        <v>102</v>
      </c>
    </row>
    <row r="187" spans="1:35" ht="22.5" customHeight="1" thickBot="1">
      <c r="A187" s="53" t="s">
        <v>1647</v>
      </c>
      <c r="C187" s="35" t="s">
        <v>1653</v>
      </c>
      <c r="D187" s="36" t="s">
        <v>1652</v>
      </c>
      <c r="E187" s="36" t="s">
        <v>1654</v>
      </c>
      <c r="F187" s="36" t="str">
        <f t="shared" si="4"/>
        <v>https://www.ssbuy.tw/detail_giftcode/dist/giftcodes/戰靈異聞社.html</v>
      </c>
      <c r="G187" s="43" t="s">
        <v>1651</v>
      </c>
      <c r="H187" s="36" t="str">
        <f t="shared" si="5"/>
        <v>https://www.ssbuy.tw/detail_giftcode/dist/gamedetail/戰靈異聞社.html</v>
      </c>
      <c r="I187" s="78" t="s">
        <v>4005</v>
      </c>
      <c r="J187" s="57" t="s">
        <v>1660</v>
      </c>
      <c r="K187" s="60">
        <v>2555</v>
      </c>
      <c r="L187" s="59" t="s">
        <v>1661</v>
      </c>
      <c r="M187" s="60">
        <v>1331</v>
      </c>
      <c r="N187" s="59" t="s">
        <v>1662</v>
      </c>
      <c r="O187" s="60">
        <v>788</v>
      </c>
      <c r="P187" s="61" t="s">
        <v>1663</v>
      </c>
      <c r="Q187" s="60">
        <v>535</v>
      </c>
      <c r="R187" s="61" t="s">
        <v>1664</v>
      </c>
      <c r="S187" s="60">
        <v>391</v>
      </c>
      <c r="T187" s="61" t="s">
        <v>1665</v>
      </c>
      <c r="U187" s="60">
        <v>343</v>
      </c>
      <c r="V187" s="61" t="s">
        <v>1666</v>
      </c>
      <c r="W187" s="60">
        <v>264</v>
      </c>
      <c r="X187" s="61" t="s">
        <v>1667</v>
      </c>
      <c r="Y187" s="60">
        <v>145</v>
      </c>
      <c r="Z187" s="61" t="s">
        <v>1668</v>
      </c>
      <c r="AA187" s="60">
        <v>28</v>
      </c>
    </row>
    <row r="188" spans="1:35" ht="22.5" customHeight="1" thickBot="1">
      <c r="A188" s="35" t="s">
        <v>1669</v>
      </c>
      <c r="C188" s="77" t="s">
        <v>1671</v>
      </c>
      <c r="D188" s="43" t="s">
        <v>1672</v>
      </c>
      <c r="E188" s="43" t="s">
        <v>1670</v>
      </c>
      <c r="F188" s="36" t="str">
        <f t="shared" si="4"/>
        <v>https://www.ssbuy.tw/detail_giftcode/dist/giftcodes/見習骷髏王.html</v>
      </c>
      <c r="G188" s="43" t="s">
        <v>1673</v>
      </c>
      <c r="H188" s="36" t="str">
        <f t="shared" si="5"/>
        <v>https://www.ssbuy.tw/detail_giftcode/dist/gamedetail/見習骷髏王.html</v>
      </c>
      <c r="I188" s="78" t="s">
        <v>4006</v>
      </c>
      <c r="J188" s="57" t="s">
        <v>1674</v>
      </c>
      <c r="K188" s="60">
        <v>1961</v>
      </c>
      <c r="L188" s="59" t="s">
        <v>1675</v>
      </c>
      <c r="M188" s="60">
        <v>1804</v>
      </c>
      <c r="N188" s="59" t="s">
        <v>1676</v>
      </c>
      <c r="O188" s="60">
        <v>1331</v>
      </c>
      <c r="P188" s="61" t="s">
        <v>1677</v>
      </c>
      <c r="Q188" s="60">
        <v>1174</v>
      </c>
      <c r="R188" s="61" t="s">
        <v>1678</v>
      </c>
      <c r="S188" s="60">
        <v>937</v>
      </c>
      <c r="T188" s="61" t="s">
        <v>151</v>
      </c>
      <c r="U188" s="60">
        <v>780</v>
      </c>
      <c r="V188" s="61" t="s">
        <v>1679</v>
      </c>
      <c r="W188" s="60">
        <v>535</v>
      </c>
      <c r="X188" s="61" t="s">
        <v>1680</v>
      </c>
      <c r="Y188" s="60">
        <v>264</v>
      </c>
      <c r="Z188" s="61" t="s">
        <v>1681</v>
      </c>
      <c r="AA188" s="60">
        <v>184</v>
      </c>
      <c r="AB188" s="61" t="s">
        <v>1682</v>
      </c>
      <c r="AC188" s="60">
        <v>145</v>
      </c>
      <c r="AD188" s="61" t="s">
        <v>1683</v>
      </c>
      <c r="AE188" s="60">
        <v>28</v>
      </c>
    </row>
    <row r="189" spans="1:35" ht="22.5" customHeight="1" thickBot="1">
      <c r="A189" s="35" t="s">
        <v>1685</v>
      </c>
      <c r="C189" s="35" t="s">
        <v>1684</v>
      </c>
      <c r="D189" s="36" t="s">
        <v>1684</v>
      </c>
      <c r="E189" s="43" t="s">
        <v>3984</v>
      </c>
      <c r="F189" s="36" t="str">
        <f t="shared" si="4"/>
        <v>https://www.ssbuy.tw/detail_giftcode/dist/giftcodes/全明星無雙.html</v>
      </c>
      <c r="G189" s="43" t="s">
        <v>1636</v>
      </c>
      <c r="H189" s="36" t="str">
        <f t="shared" si="5"/>
        <v>https://www.ssbuy.tw/detail_giftcode/dist/gamedetail/全明星無雙.html</v>
      </c>
      <c r="I189" s="37" t="s">
        <v>3490</v>
      </c>
      <c r="J189" s="57" t="s">
        <v>61</v>
      </c>
      <c r="K189" s="60">
        <v>2555</v>
      </c>
      <c r="L189" s="59" t="s">
        <v>62</v>
      </c>
      <c r="M189" s="60">
        <v>1331</v>
      </c>
      <c r="N189" s="59" t="s">
        <v>63</v>
      </c>
      <c r="O189" s="60">
        <v>780</v>
      </c>
      <c r="P189" s="61" t="s">
        <v>64</v>
      </c>
      <c r="Q189" s="60">
        <v>535</v>
      </c>
      <c r="R189" s="61" t="s">
        <v>1276</v>
      </c>
      <c r="S189" s="60">
        <v>391</v>
      </c>
      <c r="T189" s="61" t="s">
        <v>65</v>
      </c>
      <c r="U189" s="60">
        <v>264</v>
      </c>
      <c r="V189" s="61" t="s">
        <v>16</v>
      </c>
      <c r="W189" s="60">
        <v>145</v>
      </c>
      <c r="X189" s="61" t="s">
        <v>7</v>
      </c>
      <c r="Y189" s="60">
        <v>28</v>
      </c>
    </row>
    <row r="190" spans="1:35" ht="22.5" customHeight="1" thickBot="1">
      <c r="A190" s="35" t="s">
        <v>3495</v>
      </c>
      <c r="C190" s="77" t="s">
        <v>3497</v>
      </c>
      <c r="D190" s="43" t="s">
        <v>3496</v>
      </c>
      <c r="E190" s="43" t="s">
        <v>3499</v>
      </c>
      <c r="F190" s="36" t="str">
        <f t="shared" si="4"/>
        <v>https://www.ssbuy.tw/detail_giftcode/dist/giftcodes/伊瑟.html</v>
      </c>
      <c r="G190" s="43" t="s">
        <v>3498</v>
      </c>
      <c r="H190" s="36" t="str">
        <f t="shared" si="5"/>
        <v>https://www.ssbuy.tw/detail_giftcode/dist/gamedetail/伊瑟.html</v>
      </c>
      <c r="I190" s="37" t="s">
        <v>3985</v>
      </c>
      <c r="J190" s="38" t="s">
        <v>3500</v>
      </c>
      <c r="K190" s="36" t="s">
        <v>3500</v>
      </c>
      <c r="L190" s="36" t="s">
        <v>3500</v>
      </c>
      <c r="M190" s="36" t="s">
        <v>3500</v>
      </c>
      <c r="N190" s="36" t="s">
        <v>3500</v>
      </c>
      <c r="O190" s="36" t="s">
        <v>3500</v>
      </c>
    </row>
    <row r="191" spans="1:35" ht="22.5" customHeight="1" thickBot="1">
      <c r="A191" s="35" t="s">
        <v>3504</v>
      </c>
      <c r="C191" s="77" t="s">
        <v>3511</v>
      </c>
      <c r="D191" s="43" t="s">
        <v>3510</v>
      </c>
      <c r="E191" s="36" t="s">
        <v>3509</v>
      </c>
      <c r="F191" s="36" t="str">
        <f t="shared" si="4"/>
        <v>https://www.ssbuy.tw/detail_giftcode/dist/giftcodes/手刀搶英雄.html</v>
      </c>
      <c r="G191" s="36" t="s">
        <v>3508</v>
      </c>
      <c r="H191" s="36" t="str">
        <f t="shared" si="5"/>
        <v>https://www.ssbuy.tw/detail_giftcode/dist/gamedetail/手刀搶英雄.html</v>
      </c>
      <c r="I191" s="37" t="s">
        <v>3986</v>
      </c>
      <c r="J191" s="57" t="s">
        <v>3512</v>
      </c>
      <c r="K191" s="60">
        <v>1961</v>
      </c>
      <c r="L191" s="59" t="s">
        <v>3513</v>
      </c>
      <c r="M191" s="60">
        <v>1567</v>
      </c>
      <c r="N191" s="59" t="s">
        <v>3514</v>
      </c>
      <c r="O191" s="60">
        <v>1016</v>
      </c>
      <c r="P191" s="61" t="s">
        <v>3515</v>
      </c>
      <c r="Q191" s="60">
        <v>622</v>
      </c>
      <c r="R191" s="61" t="s">
        <v>3516</v>
      </c>
      <c r="S191" s="60">
        <v>232</v>
      </c>
      <c r="T191" s="61" t="s">
        <v>3517</v>
      </c>
      <c r="U191" s="60">
        <v>102</v>
      </c>
      <c r="V191" s="61" t="s">
        <v>3518</v>
      </c>
      <c r="W191" s="60">
        <v>51</v>
      </c>
      <c r="X191" s="61" t="s">
        <v>3519</v>
      </c>
      <c r="Y191" s="60">
        <v>232</v>
      </c>
    </row>
    <row r="192" spans="1:35" ht="22.5" customHeight="1" thickBot="1">
      <c r="A192" s="53" t="s">
        <v>3540</v>
      </c>
      <c r="C192" s="77" t="s">
        <v>3528</v>
      </c>
      <c r="D192" s="43" t="s">
        <v>3527</v>
      </c>
      <c r="E192" s="43" t="s">
        <v>3529</v>
      </c>
      <c r="F192" s="36" t="str">
        <f t="shared" si="4"/>
        <v>https://www.ssbuy.tw/detail_giftcode/dist/giftcodes/荒野亂鬥.html</v>
      </c>
      <c r="G192" s="43" t="s">
        <v>3530</v>
      </c>
      <c r="H192" s="36" t="str">
        <f t="shared" si="5"/>
        <v>https://www.ssbuy.tw/detail_giftcode/dist/gamedetail/荒野亂鬥.html</v>
      </c>
      <c r="I192" s="37" t="s">
        <v>3987</v>
      </c>
      <c r="J192" s="57" t="s">
        <v>3554</v>
      </c>
      <c r="K192" s="60">
        <v>2415</v>
      </c>
      <c r="L192" s="59" t="s">
        <v>3555</v>
      </c>
      <c r="M192" s="60">
        <v>1225</v>
      </c>
      <c r="N192" s="59" t="s">
        <v>3556</v>
      </c>
      <c r="O192" s="60">
        <v>497</v>
      </c>
      <c r="P192" s="61" t="s">
        <v>3557</v>
      </c>
      <c r="Q192" s="60">
        <v>248</v>
      </c>
      <c r="R192" s="61" t="s">
        <v>3558</v>
      </c>
      <c r="S192" s="60">
        <v>132</v>
      </c>
      <c r="T192" s="61" t="s">
        <v>32</v>
      </c>
      <c r="U192" s="60">
        <v>53</v>
      </c>
    </row>
    <row r="193" spans="1:33" ht="22.5" customHeight="1" thickBot="1">
      <c r="A193" s="53" t="s">
        <v>3539</v>
      </c>
      <c r="C193" s="77" t="s">
        <v>3534</v>
      </c>
      <c r="D193" s="43" t="s">
        <v>3533</v>
      </c>
      <c r="E193" s="43" t="s">
        <v>3532</v>
      </c>
      <c r="F193" s="36" t="str">
        <f t="shared" si="4"/>
        <v>https://www.ssbuy.tw/detail_giftcode/dist/giftcodes/遺忘之劍.html</v>
      </c>
      <c r="G193" s="43" t="s">
        <v>3535</v>
      </c>
      <c r="H193" s="36" t="str">
        <f t="shared" si="5"/>
        <v>https://www.ssbuy.tw/detail_giftcode/dist/gamedetail/遺忘之劍.html</v>
      </c>
      <c r="I193" s="37" t="s">
        <v>3988</v>
      </c>
      <c r="J193" s="57" t="s">
        <v>3559</v>
      </c>
      <c r="K193" s="60">
        <v>1890</v>
      </c>
      <c r="L193" s="59" t="s">
        <v>3560</v>
      </c>
      <c r="M193" s="60">
        <v>945</v>
      </c>
      <c r="N193" s="59" t="s">
        <v>3561</v>
      </c>
      <c r="O193" s="60">
        <v>575</v>
      </c>
      <c r="P193" s="61" t="s">
        <v>3562</v>
      </c>
      <c r="Q193" s="60">
        <v>192</v>
      </c>
      <c r="R193" s="61" t="s">
        <v>3563</v>
      </c>
      <c r="S193" s="60">
        <v>102</v>
      </c>
      <c r="T193" s="61" t="s">
        <v>3564</v>
      </c>
      <c r="U193" s="60">
        <v>64</v>
      </c>
      <c r="V193" s="61" t="s">
        <v>3565</v>
      </c>
      <c r="W193" s="60">
        <v>192</v>
      </c>
    </row>
    <row r="194" spans="1:33" ht="22.5" customHeight="1" thickBot="1">
      <c r="A194" s="53" t="s">
        <v>3526</v>
      </c>
      <c r="C194" s="77" t="s">
        <v>3536</v>
      </c>
      <c r="D194" s="43" t="s">
        <v>3537</v>
      </c>
      <c r="E194" s="43" t="s">
        <v>3538</v>
      </c>
      <c r="F194" s="36" t="str">
        <f t="shared" si="4"/>
        <v>https://www.ssbuy.tw/detail_giftcode/dist/giftcodes/破壞突擊隊.html</v>
      </c>
      <c r="G194" s="43" t="s">
        <v>3531</v>
      </c>
      <c r="H194" s="36" t="str">
        <f t="shared" si="5"/>
        <v>https://www.ssbuy.tw/detail_giftcode/dist/gamedetail/破壞突擊隊.html</v>
      </c>
      <c r="I194" s="78" t="s">
        <v>4007</v>
      </c>
      <c r="J194" s="57" t="s">
        <v>3571</v>
      </c>
      <c r="K194" s="60">
        <v>622</v>
      </c>
      <c r="L194" s="59" t="s">
        <v>3572</v>
      </c>
      <c r="M194" s="60">
        <v>312</v>
      </c>
      <c r="N194" s="59" t="s">
        <v>3573</v>
      </c>
      <c r="O194" s="60">
        <v>176</v>
      </c>
      <c r="P194" s="61" t="s">
        <v>3574</v>
      </c>
      <c r="Q194" s="60">
        <v>102</v>
      </c>
      <c r="R194" s="61" t="s">
        <v>3575</v>
      </c>
      <c r="S194" s="60">
        <v>51</v>
      </c>
      <c r="T194" s="61" t="s">
        <v>3576</v>
      </c>
      <c r="U194" s="60">
        <v>26</v>
      </c>
      <c r="V194" s="61" t="s">
        <v>3577</v>
      </c>
      <c r="W194" s="60">
        <v>391</v>
      </c>
      <c r="X194" s="61" t="s">
        <v>3578</v>
      </c>
      <c r="Y194" s="60">
        <v>391</v>
      </c>
      <c r="Z194" s="61" t="s">
        <v>3579</v>
      </c>
      <c r="AA194" s="60">
        <v>622</v>
      </c>
    </row>
    <row r="195" spans="1:33" ht="22.5" customHeight="1" thickBot="1">
      <c r="A195" s="35" t="s">
        <v>3566</v>
      </c>
      <c r="C195" s="77" t="s">
        <v>3570</v>
      </c>
      <c r="D195" s="43" t="s">
        <v>3569</v>
      </c>
      <c r="E195" s="43" t="s">
        <v>3567</v>
      </c>
      <c r="F195" s="36" t="str">
        <f t="shared" ref="F195:F258" si="6">IF(A195="","", "https://www.ssbuy.tw/detail_giftcode/dist/giftcodes/" &amp; IF(ISNUMBER(LEFT(A195,1)*1), "game-", "") &amp; A195 &amp; ".html")</f>
        <v>https://www.ssbuy.tw/detail_giftcode/dist/giftcodes/月兔茶屋：悠閒之旅.html</v>
      </c>
      <c r="G195" s="43" t="s">
        <v>3568</v>
      </c>
      <c r="H195" s="36" t="str">
        <f t="shared" ref="H195:H258" si="7">IF(A195="","", "https://www.ssbuy.tw/detail_giftcode/dist/gamedetail/" &amp; IF(ISNUMBER(LEFT(A195,1)*1), "game-", "") &amp; A195 &amp; ".html")</f>
        <v>https://www.ssbuy.tw/detail_giftcode/dist/gamedetail/月兔茶屋：悠閒之旅.html</v>
      </c>
      <c r="I195" s="37" t="s">
        <v>3989</v>
      </c>
      <c r="J195" s="57" t="s">
        <v>3571</v>
      </c>
      <c r="K195" s="60">
        <v>622</v>
      </c>
      <c r="L195" s="59" t="s">
        <v>3572</v>
      </c>
      <c r="M195" s="60">
        <v>312</v>
      </c>
      <c r="N195" s="59" t="s">
        <v>3573</v>
      </c>
      <c r="O195" s="60">
        <v>176</v>
      </c>
      <c r="P195" s="61" t="s">
        <v>3574</v>
      </c>
      <c r="Q195" s="60">
        <v>102</v>
      </c>
      <c r="R195" s="61" t="s">
        <v>3575</v>
      </c>
      <c r="S195" s="60">
        <v>51</v>
      </c>
      <c r="T195" s="61" t="s">
        <v>3576</v>
      </c>
      <c r="U195" s="60">
        <v>26</v>
      </c>
      <c r="V195" s="61" t="s">
        <v>3577</v>
      </c>
      <c r="W195" s="60">
        <v>391</v>
      </c>
      <c r="X195" s="61" t="s">
        <v>3578</v>
      </c>
      <c r="Y195" s="60">
        <v>391</v>
      </c>
      <c r="Z195" s="61" t="s">
        <v>3579</v>
      </c>
      <c r="AA195" s="60">
        <v>622</v>
      </c>
    </row>
    <row r="196" spans="1:33" ht="22.5" customHeight="1" thickBot="1">
      <c r="A196" s="64" t="s">
        <v>3580</v>
      </c>
      <c r="C196" s="35" t="s">
        <v>3582</v>
      </c>
      <c r="D196" s="43" t="s">
        <v>3581</v>
      </c>
      <c r="E196" s="36" t="s">
        <v>3584</v>
      </c>
      <c r="F196" s="36" t="str">
        <f t="shared" si="6"/>
        <v>https://www.ssbuy.tw/detail_giftcode/dist/giftcodes/吞食天地 虛擬世界.html</v>
      </c>
      <c r="G196" s="36" t="s">
        <v>3583</v>
      </c>
      <c r="H196" s="36" t="str">
        <f t="shared" si="7"/>
        <v>https://www.ssbuy.tw/detail_giftcode/dist/gamedetail/吞食天地 虛擬世界.html</v>
      </c>
      <c r="I196" s="37" t="s">
        <v>3990</v>
      </c>
      <c r="J196" s="57" t="s">
        <v>3590</v>
      </c>
      <c r="K196" s="60">
        <v>2355</v>
      </c>
      <c r="L196" s="59" t="s">
        <v>3591</v>
      </c>
      <c r="M196" s="60">
        <v>1174</v>
      </c>
      <c r="N196" s="59" t="s">
        <v>3592</v>
      </c>
      <c r="O196" s="60">
        <v>359</v>
      </c>
      <c r="P196" s="61" t="s">
        <v>239</v>
      </c>
      <c r="Q196" s="60">
        <v>240</v>
      </c>
      <c r="R196" s="61" t="s">
        <v>3593</v>
      </c>
      <c r="S196" s="60">
        <v>153</v>
      </c>
      <c r="T196" s="61" t="s">
        <v>3594</v>
      </c>
      <c r="U196" s="60">
        <v>77</v>
      </c>
      <c r="V196" s="61" t="s">
        <v>3595</v>
      </c>
      <c r="W196" s="60">
        <v>26</v>
      </c>
      <c r="X196" s="61" t="s">
        <v>3596</v>
      </c>
      <c r="Y196" s="60">
        <v>359</v>
      </c>
      <c r="Z196" s="61" t="s">
        <v>3597</v>
      </c>
      <c r="AA196" s="60">
        <v>240</v>
      </c>
      <c r="AB196" s="61" t="s">
        <v>3598</v>
      </c>
      <c r="AC196" s="60">
        <v>240</v>
      </c>
      <c r="AD196" s="61" t="s">
        <v>3599</v>
      </c>
      <c r="AE196" s="60">
        <v>128</v>
      </c>
      <c r="AF196" s="61" t="s">
        <v>3600</v>
      </c>
      <c r="AG196" s="60">
        <v>128</v>
      </c>
    </row>
    <row r="197" spans="1:33" ht="22.5" customHeight="1" thickBot="1">
      <c r="A197" s="35" t="s">
        <v>3621</v>
      </c>
      <c r="C197" s="35" t="s">
        <v>3601</v>
      </c>
      <c r="D197" s="35" t="s">
        <v>3601</v>
      </c>
      <c r="E197" s="36" t="s">
        <v>3602</v>
      </c>
      <c r="F197" s="36" t="str">
        <f t="shared" si="6"/>
        <v>https://www.ssbuy.tw/detail_giftcode/dist/giftcodes/封神：蒼嵐契約.html</v>
      </c>
      <c r="G197" s="43" t="s">
        <v>3620</v>
      </c>
      <c r="H197" s="36" t="str">
        <f t="shared" si="7"/>
        <v>https://www.ssbuy.tw/detail_giftcode/dist/gamedetail/封神：蒼嵐契約.html</v>
      </c>
      <c r="I197" s="37" t="s">
        <v>3991</v>
      </c>
      <c r="J197" s="57" t="s">
        <v>235</v>
      </c>
      <c r="K197" s="60">
        <v>2355</v>
      </c>
      <c r="L197" s="59" t="s">
        <v>236</v>
      </c>
      <c r="M197" s="60">
        <v>1174</v>
      </c>
      <c r="N197" s="59" t="s">
        <v>1292</v>
      </c>
      <c r="O197" s="60">
        <v>780</v>
      </c>
      <c r="P197" s="61" t="s">
        <v>237</v>
      </c>
      <c r="Q197" s="60">
        <v>535</v>
      </c>
      <c r="R197" s="61" t="s">
        <v>1638</v>
      </c>
      <c r="S197" s="60">
        <v>391</v>
      </c>
      <c r="T197" s="61" t="s">
        <v>238</v>
      </c>
      <c r="U197" s="60">
        <v>264</v>
      </c>
      <c r="V197" s="61" t="s">
        <v>239</v>
      </c>
      <c r="W197" s="60">
        <v>145</v>
      </c>
      <c r="X197" s="61" t="s">
        <v>240</v>
      </c>
      <c r="Y197" s="60">
        <v>28</v>
      </c>
      <c r="Z197" s="61" t="s">
        <v>1313</v>
      </c>
      <c r="AA197" s="60">
        <v>780</v>
      </c>
      <c r="AB197" s="61" t="s">
        <v>3618</v>
      </c>
      <c r="AC197" s="60">
        <v>264</v>
      </c>
      <c r="AD197" s="61" t="s">
        <v>3619</v>
      </c>
      <c r="AE197" s="60">
        <v>391</v>
      </c>
    </row>
    <row r="198" spans="1:33" ht="22.5" customHeight="1" thickBot="1">
      <c r="A198" s="35" t="s">
        <v>3622</v>
      </c>
      <c r="C198" s="35" t="s">
        <v>3626</v>
      </c>
      <c r="D198" s="43" t="s">
        <v>3625</v>
      </c>
      <c r="E198" s="43" t="s">
        <v>3623</v>
      </c>
      <c r="F198" s="36" t="str">
        <f t="shared" si="6"/>
        <v>https://www.ssbuy.tw/detail_giftcode/dist/giftcodes/Gear Fight!.html</v>
      </c>
      <c r="G198" s="43" t="s">
        <v>3624</v>
      </c>
      <c r="H198" s="36" t="str">
        <f t="shared" si="7"/>
        <v>https://www.ssbuy.tw/detail_giftcode/dist/gamedetail/Gear Fight!.html</v>
      </c>
      <c r="I198" s="37" t="s">
        <v>3992</v>
      </c>
      <c r="J198" s="57" t="s">
        <v>3627</v>
      </c>
      <c r="K198" s="60">
        <v>780</v>
      </c>
      <c r="L198" s="59" t="s">
        <v>3628</v>
      </c>
      <c r="M198" s="60">
        <v>232</v>
      </c>
      <c r="N198" s="59" t="s">
        <v>3629</v>
      </c>
      <c r="O198" s="60">
        <v>51</v>
      </c>
      <c r="P198" s="61" t="s">
        <v>3630</v>
      </c>
      <c r="Q198" s="60">
        <v>232</v>
      </c>
      <c r="R198" s="61" t="s">
        <v>3631</v>
      </c>
      <c r="S198" s="60">
        <v>391</v>
      </c>
      <c r="T198" s="61" t="s">
        <v>3632</v>
      </c>
      <c r="U198" s="60">
        <v>256</v>
      </c>
    </row>
    <row r="199" spans="1:33" ht="22.5" customHeight="1" thickBot="1">
      <c r="A199" s="35" t="s">
        <v>3634</v>
      </c>
      <c r="C199" s="77" t="s">
        <v>3637</v>
      </c>
      <c r="D199" s="43" t="s">
        <v>3636</v>
      </c>
      <c r="E199" s="43" t="s">
        <v>3635</v>
      </c>
      <c r="F199" s="36" t="str">
        <f t="shared" si="6"/>
        <v>https://www.ssbuy.tw/detail_giftcode/dist/giftcodes/救世者之樹 M.html</v>
      </c>
      <c r="G199" s="43" t="s">
        <v>3633</v>
      </c>
      <c r="H199" s="36" t="str">
        <f t="shared" si="7"/>
        <v>https://www.ssbuy.tw/detail_giftcode/dist/gamedetail/救世者之樹 M.html</v>
      </c>
      <c r="I199" s="37" t="s">
        <v>3993</v>
      </c>
      <c r="J199" s="57" t="s">
        <v>3643</v>
      </c>
      <c r="K199" s="60">
        <v>2555</v>
      </c>
      <c r="L199" s="59" t="s">
        <v>3644</v>
      </c>
      <c r="M199" s="60">
        <v>2119</v>
      </c>
      <c r="N199" s="59" t="s">
        <v>3645</v>
      </c>
      <c r="O199" s="60">
        <v>1063</v>
      </c>
      <c r="P199" s="61" t="s">
        <v>3646</v>
      </c>
      <c r="Q199" s="60">
        <v>701</v>
      </c>
      <c r="R199" s="61" t="s">
        <v>3647</v>
      </c>
      <c r="S199" s="60">
        <v>312</v>
      </c>
      <c r="T199" s="61" t="s">
        <v>3648</v>
      </c>
      <c r="U199" s="60">
        <v>162</v>
      </c>
      <c r="V199" s="61" t="s">
        <v>3649</v>
      </c>
      <c r="W199" s="60">
        <v>85</v>
      </c>
      <c r="X199" s="61" t="s">
        <v>3650</v>
      </c>
      <c r="Y199" s="60">
        <v>51</v>
      </c>
      <c r="Z199" s="61" t="s">
        <v>3651</v>
      </c>
      <c r="AA199" s="60">
        <v>654</v>
      </c>
    </row>
    <row r="200" spans="1:33" ht="22.5" customHeight="1" thickBot="1">
      <c r="A200" s="53" t="s">
        <v>3661</v>
      </c>
      <c r="C200" s="35" t="s">
        <v>3685</v>
      </c>
      <c r="D200" s="36" t="s">
        <v>3686</v>
      </c>
      <c r="E200" s="36" t="s">
        <v>3669</v>
      </c>
      <c r="F200" s="36" t="str">
        <f t="shared" si="6"/>
        <v>https://www.ssbuy.tw/detail_giftcode/dist/giftcodes/勝利女神：妮姬.html</v>
      </c>
      <c r="G200" s="36" t="s">
        <v>3676</v>
      </c>
      <c r="H200" s="36" t="str">
        <f t="shared" si="7"/>
        <v>https://www.ssbuy.tw/detail_giftcode/dist/gamedetail/勝利女神：妮姬.html</v>
      </c>
      <c r="I200" s="37" t="s">
        <v>3994</v>
      </c>
      <c r="J200" s="57" t="s">
        <v>1427</v>
      </c>
      <c r="K200" s="60">
        <v>2415</v>
      </c>
      <c r="L200" s="59" t="s">
        <v>3697</v>
      </c>
      <c r="M200" s="60">
        <v>1348</v>
      </c>
      <c r="N200" s="59" t="s">
        <v>262</v>
      </c>
      <c r="O200" s="60">
        <v>735</v>
      </c>
      <c r="P200" s="61" t="s">
        <v>3698</v>
      </c>
      <c r="Q200" s="60">
        <v>621</v>
      </c>
      <c r="R200" s="61" t="s">
        <v>279</v>
      </c>
      <c r="S200" s="60">
        <v>497</v>
      </c>
      <c r="T200" s="61" t="s">
        <v>1493</v>
      </c>
      <c r="U200" s="60">
        <v>373</v>
      </c>
      <c r="V200" s="61" t="s">
        <v>280</v>
      </c>
      <c r="W200" s="60">
        <v>248</v>
      </c>
      <c r="X200" s="61" t="s">
        <v>3699</v>
      </c>
      <c r="Y200" s="60">
        <v>199</v>
      </c>
      <c r="Z200" s="61" t="s">
        <v>281</v>
      </c>
      <c r="AA200" s="60">
        <v>132</v>
      </c>
      <c r="AB200" s="61" t="s">
        <v>3700</v>
      </c>
      <c r="AC200" s="60">
        <v>106</v>
      </c>
      <c r="AD200" s="61" t="s">
        <v>3701</v>
      </c>
      <c r="AE200" s="60">
        <v>53</v>
      </c>
      <c r="AF200" s="61" t="s">
        <v>1428</v>
      </c>
      <c r="AG200" s="60">
        <v>40</v>
      </c>
    </row>
    <row r="201" spans="1:33" ht="22.5" customHeight="1" thickBot="1">
      <c r="A201" s="53" t="s">
        <v>3662</v>
      </c>
      <c r="C201" s="36" t="s">
        <v>3626</v>
      </c>
      <c r="D201" s="36" t="s">
        <v>3688</v>
      </c>
      <c r="E201" s="36" t="s">
        <v>3672</v>
      </c>
      <c r="F201" s="36" t="str">
        <f t="shared" si="6"/>
        <v>https://www.ssbuy.tw/detail_giftcode/dist/giftcodes/野龍小隊.html</v>
      </c>
      <c r="G201" s="36" t="s">
        <v>3687</v>
      </c>
      <c r="H201" s="36" t="str">
        <f t="shared" si="7"/>
        <v>https://www.ssbuy.tw/detail_giftcode/dist/gamedetail/野龍小隊.html</v>
      </c>
      <c r="I201" s="78" t="s">
        <v>4008</v>
      </c>
      <c r="J201" s="57" t="s">
        <v>3702</v>
      </c>
      <c r="K201" s="60">
        <v>1961</v>
      </c>
      <c r="L201" s="59" t="s">
        <v>261</v>
      </c>
      <c r="M201" s="60">
        <v>1016</v>
      </c>
      <c r="N201" s="59" t="s">
        <v>263</v>
      </c>
      <c r="O201" s="60">
        <v>622</v>
      </c>
      <c r="P201" s="61" t="s">
        <v>249</v>
      </c>
      <c r="Q201" s="60">
        <v>232</v>
      </c>
      <c r="R201" s="61" t="s">
        <v>252</v>
      </c>
      <c r="S201" s="60">
        <v>102</v>
      </c>
      <c r="T201" s="61" t="s">
        <v>253</v>
      </c>
      <c r="U201" s="60">
        <v>51</v>
      </c>
    </row>
    <row r="202" spans="1:33" ht="22.5" customHeight="1" thickBot="1">
      <c r="A202" s="53" t="s">
        <v>3663</v>
      </c>
      <c r="C202" s="35" t="s">
        <v>3626</v>
      </c>
      <c r="D202" s="36" t="s">
        <v>3689</v>
      </c>
      <c r="E202" s="36" t="s">
        <v>3675</v>
      </c>
      <c r="F202" s="36" t="str">
        <f t="shared" si="6"/>
        <v>https://www.ssbuy.tw/detail_giftcode/dist/giftcodes/BangBang殭屍：避難所戰爭.html</v>
      </c>
      <c r="G202" s="36" t="s">
        <v>3677</v>
      </c>
      <c r="H202" s="36" t="str">
        <f t="shared" si="7"/>
        <v>https://www.ssbuy.tw/detail_giftcode/dist/gamedetail/BangBang殭屍：避難所戰爭.html</v>
      </c>
      <c r="I202" s="78" t="s">
        <v>4009</v>
      </c>
      <c r="J202" s="57" t="s">
        <v>301</v>
      </c>
      <c r="K202" s="60">
        <v>2355</v>
      </c>
      <c r="L202" s="59" t="s">
        <v>302</v>
      </c>
      <c r="M202" s="60">
        <v>1174</v>
      </c>
      <c r="N202" s="59" t="s">
        <v>262</v>
      </c>
      <c r="O202" s="60">
        <v>780</v>
      </c>
      <c r="P202" s="61" t="s">
        <v>264</v>
      </c>
      <c r="Q202" s="60">
        <v>551</v>
      </c>
      <c r="R202" s="61" t="s">
        <v>1493</v>
      </c>
      <c r="S202" s="60">
        <v>391</v>
      </c>
      <c r="T202" s="61" t="s">
        <v>303</v>
      </c>
      <c r="U202" s="60">
        <v>312</v>
      </c>
      <c r="V202" s="61" t="s">
        <v>265</v>
      </c>
      <c r="W202" s="60">
        <v>256</v>
      </c>
      <c r="X202" s="61" t="s">
        <v>251</v>
      </c>
      <c r="Y202" s="60">
        <v>128</v>
      </c>
      <c r="Z202" s="61" t="s">
        <v>252</v>
      </c>
      <c r="AA202" s="60">
        <v>102</v>
      </c>
      <c r="AB202" s="61" t="s">
        <v>266</v>
      </c>
      <c r="AC202" s="60">
        <v>77</v>
      </c>
    </row>
    <row r="203" spans="1:33" ht="22.5" customHeight="1" thickBot="1">
      <c r="A203" s="53" t="s">
        <v>3664</v>
      </c>
      <c r="C203" s="35" t="s">
        <v>3690</v>
      </c>
      <c r="D203" s="36" t="s">
        <v>3690</v>
      </c>
      <c r="E203" s="43" t="s">
        <v>3684</v>
      </c>
      <c r="F203" s="36" t="str">
        <f t="shared" si="6"/>
        <v>https://www.ssbuy.tw/detail_giftcode/dist/giftcodes/主公超會閃.html</v>
      </c>
      <c r="G203" s="36" t="s">
        <v>3691</v>
      </c>
      <c r="H203" s="36" t="str">
        <f t="shared" si="7"/>
        <v>https://www.ssbuy.tw/detail_giftcode/dist/gamedetail/主公超會閃.html</v>
      </c>
      <c r="I203" s="37" t="s">
        <v>3995</v>
      </c>
      <c r="J203" s="57" t="s">
        <v>3703</v>
      </c>
      <c r="K203" s="60">
        <v>2555</v>
      </c>
      <c r="L203" s="59" t="s">
        <v>3704</v>
      </c>
      <c r="M203" s="60">
        <v>1331</v>
      </c>
      <c r="N203" s="59" t="s">
        <v>3705</v>
      </c>
      <c r="O203" s="60">
        <v>780</v>
      </c>
      <c r="P203" s="61" t="s">
        <v>3706</v>
      </c>
      <c r="Q203" s="60">
        <v>535</v>
      </c>
      <c r="R203" s="61" t="s">
        <v>3707</v>
      </c>
      <c r="S203" s="60">
        <v>391</v>
      </c>
      <c r="T203" s="61" t="s">
        <v>3708</v>
      </c>
      <c r="U203" s="60">
        <v>264</v>
      </c>
      <c r="V203" s="61" t="s">
        <v>3709</v>
      </c>
      <c r="W203" s="60">
        <v>232</v>
      </c>
      <c r="X203" s="61" t="s">
        <v>3710</v>
      </c>
      <c r="Y203" s="60">
        <v>208</v>
      </c>
      <c r="Z203" s="61" t="s">
        <v>3711</v>
      </c>
      <c r="AA203" s="60">
        <v>111</v>
      </c>
      <c r="AB203" s="61" t="s">
        <v>3712</v>
      </c>
      <c r="AC203" s="60">
        <v>85</v>
      </c>
    </row>
    <row r="204" spans="1:33" ht="22.5" customHeight="1" thickBot="1">
      <c r="A204" s="53" t="s">
        <v>3665</v>
      </c>
      <c r="C204" s="77" t="s">
        <v>3693</v>
      </c>
      <c r="D204" s="43" t="s">
        <v>3694</v>
      </c>
      <c r="E204" s="36" t="s">
        <v>3671</v>
      </c>
      <c r="F204" s="36" t="str">
        <f t="shared" si="6"/>
        <v>https://www.ssbuy.tw/detail_giftcode/dist/giftcodes/小兵來支援.html</v>
      </c>
      <c r="G204" s="65" t="s">
        <v>3692</v>
      </c>
      <c r="H204" s="36" t="str">
        <f t="shared" si="7"/>
        <v>https://www.ssbuy.tw/detail_giftcode/dist/gamedetail/小兵來支援.html</v>
      </c>
      <c r="I204" s="78" t="s">
        <v>4010</v>
      </c>
      <c r="J204" s="57" t="s">
        <v>3713</v>
      </c>
      <c r="K204" s="60">
        <v>2555</v>
      </c>
      <c r="L204" s="59" t="s">
        <v>3714</v>
      </c>
      <c r="M204" s="60">
        <v>1331</v>
      </c>
      <c r="N204" s="59" t="s">
        <v>3715</v>
      </c>
      <c r="O204" s="60">
        <v>535</v>
      </c>
      <c r="P204" s="61" t="s">
        <v>3716</v>
      </c>
      <c r="Q204" s="60">
        <v>145</v>
      </c>
      <c r="R204" s="61" t="s">
        <v>3717</v>
      </c>
      <c r="S204" s="60">
        <v>391</v>
      </c>
      <c r="T204" s="61" t="s">
        <v>3718</v>
      </c>
      <c r="U204" s="60">
        <v>780</v>
      </c>
      <c r="V204" s="61" t="s">
        <v>3719</v>
      </c>
      <c r="W204" s="60">
        <v>615</v>
      </c>
    </row>
    <row r="205" spans="1:33" ht="22.5" customHeight="1" thickBot="1">
      <c r="A205" s="53" t="s">
        <v>3666</v>
      </c>
      <c r="C205" s="35" t="s">
        <v>3626</v>
      </c>
      <c r="D205" s="43" t="s">
        <v>3696</v>
      </c>
      <c r="E205" s="36" t="s">
        <v>3673</v>
      </c>
      <c r="F205" s="36" t="str">
        <f t="shared" si="6"/>
        <v>https://www.ssbuy.tw/detail_giftcode/dist/giftcodes/姆姆鬥惡龍.html</v>
      </c>
      <c r="G205" s="36" t="s">
        <v>3678</v>
      </c>
      <c r="H205" s="36" t="str">
        <f t="shared" si="7"/>
        <v>https://www.ssbuy.tw/detail_giftcode/dist/gamedetail/姆姆鬥惡龍.html</v>
      </c>
      <c r="I205" s="78" t="s">
        <v>4011</v>
      </c>
      <c r="J205" s="57" t="s">
        <v>1427</v>
      </c>
      <c r="K205" s="60">
        <v>2555</v>
      </c>
      <c r="L205" s="59" t="s">
        <v>278</v>
      </c>
      <c r="M205" s="60">
        <v>1331</v>
      </c>
      <c r="N205" s="59" t="s">
        <v>262</v>
      </c>
      <c r="O205" s="60">
        <v>780</v>
      </c>
      <c r="P205" s="61" t="s">
        <v>279</v>
      </c>
      <c r="Q205" s="60">
        <v>535</v>
      </c>
      <c r="R205" s="61" t="s">
        <v>1493</v>
      </c>
      <c r="S205" s="60">
        <v>391</v>
      </c>
      <c r="T205" s="61" t="s">
        <v>280</v>
      </c>
      <c r="U205" s="60">
        <v>264</v>
      </c>
      <c r="V205" s="61" t="s">
        <v>281</v>
      </c>
      <c r="W205" s="60">
        <v>145</v>
      </c>
      <c r="X205" s="61" t="s">
        <v>1428</v>
      </c>
      <c r="Y205" s="60">
        <v>28</v>
      </c>
    </row>
    <row r="206" spans="1:33" ht="22.5" customHeight="1" thickBot="1">
      <c r="A206" s="53" t="s">
        <v>3667</v>
      </c>
      <c r="C206" s="35" t="s">
        <v>3682</v>
      </c>
      <c r="D206" s="36" t="s">
        <v>3683</v>
      </c>
      <c r="E206" s="36" t="s">
        <v>3670</v>
      </c>
      <c r="F206" s="36" t="str">
        <f t="shared" si="6"/>
        <v>https://www.ssbuy.tw/detail_giftcode/dist/giftcodes/發條特攻隊.html</v>
      </c>
      <c r="G206" s="36" t="s">
        <v>3681</v>
      </c>
      <c r="H206" s="36" t="str">
        <f t="shared" si="7"/>
        <v>https://www.ssbuy.tw/detail_giftcode/dist/gamedetail/發條特攻隊.html</v>
      </c>
      <c r="I206" s="78" t="s">
        <v>4012</v>
      </c>
      <c r="J206" s="57" t="s">
        <v>3720</v>
      </c>
      <c r="K206" s="60">
        <v>2363</v>
      </c>
      <c r="L206" s="59" t="s">
        <v>3721</v>
      </c>
      <c r="M206" s="60">
        <v>1182</v>
      </c>
      <c r="N206" s="59" t="s">
        <v>262</v>
      </c>
      <c r="O206" s="60">
        <v>780</v>
      </c>
      <c r="P206" s="61" t="s">
        <v>3722</v>
      </c>
      <c r="Q206" s="60">
        <v>599</v>
      </c>
      <c r="R206" s="61" t="s">
        <v>3723</v>
      </c>
      <c r="S206" s="60">
        <v>479</v>
      </c>
      <c r="T206" s="61" t="s">
        <v>3724</v>
      </c>
      <c r="U206" s="60">
        <v>359</v>
      </c>
      <c r="V206" s="61" t="s">
        <v>1458</v>
      </c>
      <c r="W206" s="60">
        <v>240</v>
      </c>
      <c r="X206" s="61" t="s">
        <v>251</v>
      </c>
      <c r="Y206" s="60">
        <v>128</v>
      </c>
    </row>
    <row r="207" spans="1:33" ht="22.5" customHeight="1" thickBot="1">
      <c r="A207" s="53" t="s">
        <v>3668</v>
      </c>
      <c r="C207" s="77" t="s">
        <v>3695</v>
      </c>
      <c r="D207" s="36" t="s">
        <v>3679</v>
      </c>
      <c r="E207" s="36" t="s">
        <v>3680</v>
      </c>
      <c r="F207" s="36" t="str">
        <f t="shared" si="6"/>
        <v>https://www.ssbuy.tw/detail_giftcode/dist/giftcodes/天命：群星.html</v>
      </c>
      <c r="G207" s="36" t="s">
        <v>3674</v>
      </c>
      <c r="H207" s="36" t="str">
        <f t="shared" si="7"/>
        <v>https://www.ssbuy.tw/detail_giftcode/dist/gamedetail/天命：群星.html</v>
      </c>
      <c r="I207" s="37" t="s">
        <v>3996</v>
      </c>
      <c r="J207" s="57" t="s">
        <v>3725</v>
      </c>
      <c r="K207" s="60">
        <v>2363</v>
      </c>
      <c r="L207" s="59" t="s">
        <v>3725</v>
      </c>
      <c r="M207" s="60">
        <v>1182</v>
      </c>
      <c r="N207" s="59" t="s">
        <v>3726</v>
      </c>
      <c r="O207" s="60">
        <v>599</v>
      </c>
      <c r="P207" s="61" t="s">
        <v>3727</v>
      </c>
      <c r="Q207" s="60">
        <v>240</v>
      </c>
      <c r="R207" s="61" t="s">
        <v>3728</v>
      </c>
      <c r="S207" s="60">
        <v>128</v>
      </c>
      <c r="T207" s="61" t="s">
        <v>3729</v>
      </c>
      <c r="U207" s="60">
        <v>26</v>
      </c>
      <c r="V207" s="61" t="s">
        <v>3730</v>
      </c>
      <c r="W207" s="60">
        <v>128</v>
      </c>
      <c r="X207" s="61" t="s">
        <v>3731</v>
      </c>
      <c r="Y207" s="60">
        <v>128</v>
      </c>
    </row>
    <row r="208" spans="1:33" ht="22.5" customHeight="1" thickBot="1">
      <c r="A208" s="53" t="s">
        <v>3799</v>
      </c>
      <c r="C208" s="35" t="s">
        <v>3810</v>
      </c>
      <c r="D208" s="36" t="s">
        <v>3811</v>
      </c>
      <c r="E208" s="36" t="s">
        <v>3812</v>
      </c>
      <c r="F208" s="36" t="str">
        <f t="shared" si="6"/>
        <v>https://www.ssbuy.tw/detail_giftcode/dist/giftcodes/血影雙生.html</v>
      </c>
      <c r="G208" s="36" t="s">
        <v>3805</v>
      </c>
      <c r="H208" s="36" t="str">
        <f t="shared" si="7"/>
        <v>https://www.ssbuy.tw/detail_giftcode/dist/gamedetail/血影雙生.html</v>
      </c>
      <c r="I208" s="37" t="s">
        <v>3997</v>
      </c>
      <c r="J208" s="57" t="s">
        <v>3841</v>
      </c>
      <c r="K208" s="60">
        <v>2555</v>
      </c>
      <c r="L208" s="59" t="s">
        <v>3842</v>
      </c>
      <c r="M208" s="60">
        <v>1331</v>
      </c>
      <c r="N208" s="59" t="s">
        <v>3843</v>
      </c>
      <c r="O208" s="60">
        <v>780</v>
      </c>
      <c r="P208" s="61" t="s">
        <v>3844</v>
      </c>
      <c r="Q208" s="60">
        <v>535</v>
      </c>
      <c r="R208" s="61" t="s">
        <v>3845</v>
      </c>
      <c r="S208" s="60">
        <v>264</v>
      </c>
      <c r="T208" s="61" t="s">
        <v>3846</v>
      </c>
      <c r="U208" s="60">
        <v>145</v>
      </c>
      <c r="V208" s="61" t="s">
        <v>3847</v>
      </c>
      <c r="W208" s="60">
        <v>145</v>
      </c>
    </row>
    <row r="209" spans="1:33" ht="22.5" customHeight="1" thickBot="1">
      <c r="A209" s="53" t="s">
        <v>3800</v>
      </c>
      <c r="C209" s="35" t="s">
        <v>3804</v>
      </c>
      <c r="D209" s="36" t="s">
        <v>3803</v>
      </c>
      <c r="E209" s="36" t="s">
        <v>3801</v>
      </c>
      <c r="F209" s="36" t="str">
        <f t="shared" si="6"/>
        <v>https://www.ssbuy.tw/detail_giftcode/dist/giftcodes/我的勇者外傳.html</v>
      </c>
      <c r="G209" s="36" t="s">
        <v>3802</v>
      </c>
      <c r="H209" s="36" t="str">
        <f t="shared" si="7"/>
        <v>https://www.ssbuy.tw/detail_giftcode/dist/gamedetail/我的勇者外傳.html</v>
      </c>
      <c r="I209" s="37" t="s">
        <v>3998</v>
      </c>
      <c r="J209" s="57" t="s">
        <v>3826</v>
      </c>
      <c r="K209" s="60">
        <v>2555</v>
      </c>
      <c r="L209" s="59" t="s">
        <v>3827</v>
      </c>
      <c r="M209" s="60">
        <v>1331</v>
      </c>
      <c r="N209" s="59" t="s">
        <v>3828</v>
      </c>
      <c r="O209" s="60">
        <v>535</v>
      </c>
      <c r="P209" s="61" t="s">
        <v>3829</v>
      </c>
      <c r="Q209" s="60">
        <v>288</v>
      </c>
      <c r="R209" s="61" t="s">
        <v>3830</v>
      </c>
      <c r="S209" s="60">
        <v>145</v>
      </c>
      <c r="T209" s="61" t="s">
        <v>3831</v>
      </c>
      <c r="U209" s="60">
        <v>60</v>
      </c>
      <c r="V209" s="61" t="s">
        <v>3832</v>
      </c>
      <c r="W209" s="60">
        <v>28</v>
      </c>
      <c r="X209" s="61" t="s">
        <v>3833</v>
      </c>
      <c r="Y209" s="60">
        <v>145</v>
      </c>
      <c r="Z209" s="61" t="s">
        <v>3834</v>
      </c>
      <c r="AA209" s="60">
        <v>85</v>
      </c>
    </row>
    <row r="210" spans="1:33" ht="22.5" customHeight="1" thickBot="1">
      <c r="A210" s="53" t="s">
        <v>4025</v>
      </c>
      <c r="C210" s="35" t="s">
        <v>3806</v>
      </c>
      <c r="D210" s="36" t="s">
        <v>3809</v>
      </c>
      <c r="E210" s="36" t="s">
        <v>3807</v>
      </c>
      <c r="F210" s="36" t="str">
        <f t="shared" si="6"/>
        <v>https://www.ssbuy.tw/detail_giftcode/dist/giftcodes/女神契約：異世界遠征隊.html</v>
      </c>
      <c r="G210" s="36" t="s">
        <v>3808</v>
      </c>
      <c r="H210" s="36" t="str">
        <f t="shared" si="7"/>
        <v>https://www.ssbuy.tw/detail_giftcode/dist/gamedetail/女神契約：異世界遠征隊.html</v>
      </c>
      <c r="I210" s="37" t="s">
        <v>3999</v>
      </c>
      <c r="J210" s="57" t="s">
        <v>3835</v>
      </c>
      <c r="K210" s="60">
        <v>2355</v>
      </c>
      <c r="L210" s="59" t="s">
        <v>3836</v>
      </c>
      <c r="M210" s="60">
        <v>1174</v>
      </c>
      <c r="N210" s="59" t="s">
        <v>3837</v>
      </c>
      <c r="O210" s="60">
        <v>551</v>
      </c>
      <c r="P210" s="61" t="s">
        <v>3838</v>
      </c>
      <c r="Q210" s="60">
        <v>256</v>
      </c>
      <c r="R210" s="61" t="s">
        <v>62</v>
      </c>
      <c r="S210" s="60">
        <v>102</v>
      </c>
      <c r="T210" s="61" t="s">
        <v>65</v>
      </c>
      <c r="U210" s="60">
        <v>26</v>
      </c>
      <c r="V210" s="61" t="s">
        <v>3839</v>
      </c>
      <c r="W210" s="60">
        <v>102</v>
      </c>
      <c r="X210" s="61" t="s">
        <v>3840</v>
      </c>
      <c r="Y210" s="60">
        <v>102</v>
      </c>
      <c r="Z210" s="61" t="s">
        <v>1561</v>
      </c>
      <c r="AA210" s="60">
        <v>780</v>
      </c>
    </row>
    <row r="211" spans="1:33" ht="22.5" customHeight="1" thickBot="1">
      <c r="A211" s="53" t="s">
        <v>4024</v>
      </c>
      <c r="C211" s="77" t="s">
        <v>3878</v>
      </c>
      <c r="D211" s="43" t="s">
        <v>3877</v>
      </c>
      <c r="E211" s="43" t="s">
        <v>3880</v>
      </c>
      <c r="F211" s="36" t="str">
        <f t="shared" si="6"/>
        <v>https://www.ssbuy.tw/detail_giftcode/dist/giftcodes/Pixel Starships 2.html</v>
      </c>
      <c r="G211" s="43" t="s">
        <v>3879</v>
      </c>
      <c r="H211" s="36" t="str">
        <f t="shared" si="7"/>
        <v>https://www.ssbuy.tw/detail_giftcode/dist/gamedetail/Pixel Starships 2.html</v>
      </c>
      <c r="I211" s="37" t="s">
        <v>3910</v>
      </c>
      <c r="J211" s="57" t="s">
        <v>3943</v>
      </c>
      <c r="K211" s="60">
        <v>2355</v>
      </c>
      <c r="L211" s="59" t="s">
        <v>3944</v>
      </c>
      <c r="M211" s="60">
        <v>1174</v>
      </c>
      <c r="N211" s="59" t="s">
        <v>3945</v>
      </c>
      <c r="O211" s="60">
        <v>551</v>
      </c>
      <c r="P211" s="61" t="s">
        <v>3946</v>
      </c>
      <c r="Q211" s="60">
        <v>256</v>
      </c>
      <c r="R211" s="61" t="s">
        <v>3947</v>
      </c>
      <c r="S211" s="60">
        <v>128</v>
      </c>
      <c r="T211" s="61" t="s">
        <v>3948</v>
      </c>
      <c r="U211" s="60">
        <v>51</v>
      </c>
      <c r="V211" s="61" t="s">
        <v>3949</v>
      </c>
      <c r="W211" s="60">
        <v>232</v>
      </c>
    </row>
    <row r="212" spans="1:33" ht="22.5" customHeight="1" thickBot="1">
      <c r="A212" s="53" t="s">
        <v>3870</v>
      </c>
      <c r="C212" s="77" t="s">
        <v>3511</v>
      </c>
      <c r="D212" s="43" t="s">
        <v>3881</v>
      </c>
      <c r="E212" s="43" t="s">
        <v>3881</v>
      </c>
      <c r="F212" s="36" t="str">
        <f t="shared" si="6"/>
        <v>https://www.ssbuy.tw/detail_giftcode/dist/giftcodes/升級村莊大作戰.html</v>
      </c>
      <c r="G212" s="43" t="s">
        <v>3882</v>
      </c>
      <c r="H212" s="36" t="str">
        <f t="shared" si="7"/>
        <v>https://www.ssbuy.tw/detail_giftcode/dist/gamedetail/升級村莊大作戰.html</v>
      </c>
      <c r="I212" s="37" t="s">
        <v>3919</v>
      </c>
      <c r="J212" s="57" t="s">
        <v>3969</v>
      </c>
      <c r="K212" s="60">
        <v>1725</v>
      </c>
      <c r="L212" s="59" t="s">
        <v>3970</v>
      </c>
      <c r="M212" s="60">
        <v>827</v>
      </c>
      <c r="N212" s="59" t="s">
        <v>3971</v>
      </c>
      <c r="O212" s="60">
        <v>471</v>
      </c>
      <c r="P212" s="61" t="s">
        <v>3972</v>
      </c>
      <c r="Q212" s="60">
        <v>216</v>
      </c>
      <c r="R212" s="61" t="s">
        <v>64</v>
      </c>
      <c r="S212" s="60">
        <v>111</v>
      </c>
      <c r="T212" s="61" t="s">
        <v>65</v>
      </c>
      <c r="U212" s="60">
        <v>60</v>
      </c>
      <c r="V212" s="61" t="s">
        <v>3949</v>
      </c>
      <c r="W212" s="60">
        <v>232</v>
      </c>
      <c r="X212" s="61" t="s">
        <v>3973</v>
      </c>
      <c r="Y212" s="60">
        <v>391</v>
      </c>
      <c r="Z212" s="60"/>
    </row>
    <row r="213" spans="1:33" ht="22.5" customHeight="1" thickBot="1">
      <c r="A213" s="53" t="s">
        <v>3871</v>
      </c>
      <c r="C213" s="77" t="s">
        <v>3886</v>
      </c>
      <c r="D213" s="43" t="s">
        <v>3884</v>
      </c>
      <c r="E213" s="43" t="s">
        <v>3885</v>
      </c>
      <c r="F213" s="36" t="str">
        <f t="shared" si="6"/>
        <v>https://www.ssbuy.tw/detail_giftcode/dist/giftcodes/新月同行.html</v>
      </c>
      <c r="G213" s="36" t="s">
        <v>3883</v>
      </c>
      <c r="H213" s="36" t="str">
        <f t="shared" si="7"/>
        <v>https://www.ssbuy.tw/detail_giftcode/dist/gamedetail/新月同行.html</v>
      </c>
      <c r="I213" s="37" t="s">
        <v>3920</v>
      </c>
      <c r="J213" s="63" t="s">
        <v>2640</v>
      </c>
      <c r="K213" s="55" t="s">
        <v>2640</v>
      </c>
      <c r="L213" s="55" t="s">
        <v>2640</v>
      </c>
      <c r="M213" s="55" t="s">
        <v>2640</v>
      </c>
    </row>
    <row r="214" spans="1:33" ht="22.5" customHeight="1" thickBot="1">
      <c r="A214" s="53" t="s">
        <v>3916</v>
      </c>
      <c r="C214" s="77" t="s">
        <v>3511</v>
      </c>
      <c r="D214" s="36" t="s">
        <v>3921</v>
      </c>
      <c r="E214" s="36" t="s">
        <v>3921</v>
      </c>
      <c r="F214" s="36" t="str">
        <f t="shared" si="6"/>
        <v>https://www.ssbuy.tw/detail_giftcode/dist/giftcodes/超商勇者.html</v>
      </c>
      <c r="G214" s="36" t="s">
        <v>3921</v>
      </c>
      <c r="H214" s="36" t="str">
        <f t="shared" si="7"/>
        <v>https://www.ssbuy.tw/detail_giftcode/dist/gamedetail/超商勇者.html</v>
      </c>
      <c r="I214" s="37" t="s">
        <v>3917</v>
      </c>
      <c r="J214" s="57" t="s">
        <v>3974</v>
      </c>
      <c r="K214" s="60">
        <v>162</v>
      </c>
      <c r="L214" s="59" t="s">
        <v>3975</v>
      </c>
      <c r="M214" s="60">
        <v>77</v>
      </c>
      <c r="N214" s="59" t="s">
        <v>3976</v>
      </c>
      <c r="O214" s="60">
        <v>77</v>
      </c>
      <c r="P214" s="61" t="s">
        <v>3977</v>
      </c>
      <c r="Q214" s="60">
        <v>77</v>
      </c>
      <c r="R214" s="61" t="s">
        <v>3978</v>
      </c>
      <c r="S214" s="60">
        <v>162</v>
      </c>
    </row>
    <row r="215" spans="1:33" ht="22.5" customHeight="1" thickBot="1">
      <c r="A215" s="53" t="s">
        <v>4000</v>
      </c>
      <c r="C215" s="77" t="s">
        <v>3922</v>
      </c>
      <c r="D215" s="43" t="s">
        <v>3894</v>
      </c>
      <c r="E215" s="36" t="s">
        <v>3893</v>
      </c>
      <c r="F215" s="36" t="str">
        <f t="shared" si="6"/>
        <v>https://www.ssbuy.tw/detail_giftcode/dist/giftcodes/怪獸8號 THE GAME.html</v>
      </c>
      <c r="G215" s="36" t="s">
        <v>3887</v>
      </c>
      <c r="H215" s="36" t="str">
        <f t="shared" si="7"/>
        <v>https://www.ssbuy.tw/detail_giftcode/dist/gamedetail/怪獸8號 THE GAME.html</v>
      </c>
      <c r="I215" s="37" t="s">
        <v>3915</v>
      </c>
      <c r="J215" s="57" t="s">
        <v>4013</v>
      </c>
      <c r="K215" s="60">
        <v>1567</v>
      </c>
      <c r="L215" s="59" t="s">
        <v>4014</v>
      </c>
      <c r="M215" s="60">
        <v>780</v>
      </c>
      <c r="N215" s="59" t="s">
        <v>4015</v>
      </c>
      <c r="O215" s="60">
        <v>551</v>
      </c>
      <c r="P215" s="61" t="s">
        <v>4016</v>
      </c>
      <c r="Q215" s="60">
        <v>256</v>
      </c>
      <c r="R215" s="61" t="s">
        <v>4017</v>
      </c>
      <c r="S215" s="60">
        <v>162</v>
      </c>
      <c r="T215" s="61" t="s">
        <v>4018</v>
      </c>
      <c r="U215" s="60">
        <v>77</v>
      </c>
      <c r="V215" s="61" t="s">
        <v>4019</v>
      </c>
      <c r="W215" s="60">
        <v>26</v>
      </c>
      <c r="X215" s="61" t="s">
        <v>4020</v>
      </c>
      <c r="Y215" s="60">
        <v>102</v>
      </c>
      <c r="Z215" s="61" t="s">
        <v>4021</v>
      </c>
      <c r="AA215" s="60">
        <v>391</v>
      </c>
      <c r="AB215" s="61" t="s">
        <v>4022</v>
      </c>
      <c r="AC215" s="60">
        <v>256</v>
      </c>
      <c r="AD215" s="61" t="s">
        <v>4023</v>
      </c>
      <c r="AE215" s="60">
        <v>256</v>
      </c>
    </row>
    <row r="216" spans="1:33" ht="22.5" customHeight="1" thickBot="1">
      <c r="A216" s="53" t="s">
        <v>3872</v>
      </c>
      <c r="C216" s="77" t="s">
        <v>3895</v>
      </c>
      <c r="D216" s="43" t="s">
        <v>3896</v>
      </c>
      <c r="E216" s="43" t="s">
        <v>3897</v>
      </c>
      <c r="F216" s="36" t="str">
        <f t="shared" si="6"/>
        <v>https://www.ssbuy.tw/detail_giftcode/dist/giftcodes/貓旅館物語.html</v>
      </c>
      <c r="G216" s="36" t="s">
        <v>3888</v>
      </c>
      <c r="H216" s="36" t="str">
        <f t="shared" si="7"/>
        <v>https://www.ssbuy.tw/detail_giftcode/dist/gamedetail/貓旅館物語.html</v>
      </c>
      <c r="I216" s="37" t="s">
        <v>3914</v>
      </c>
      <c r="J216" s="57" t="s">
        <v>4026</v>
      </c>
      <c r="K216" s="60">
        <v>2355</v>
      </c>
      <c r="L216" s="59" t="s">
        <v>4027</v>
      </c>
      <c r="M216" s="60">
        <v>1174</v>
      </c>
      <c r="N216" s="59" t="s">
        <v>4028</v>
      </c>
      <c r="O216" s="60">
        <v>780</v>
      </c>
      <c r="P216" s="61" t="s">
        <v>4029</v>
      </c>
      <c r="Q216" s="60">
        <v>391</v>
      </c>
      <c r="R216" s="61" t="s">
        <v>4030</v>
      </c>
      <c r="S216" s="60">
        <v>128</v>
      </c>
      <c r="T216" s="61" t="s">
        <v>4031</v>
      </c>
      <c r="U216" s="60">
        <v>26</v>
      </c>
      <c r="V216" s="61" t="s">
        <v>4032</v>
      </c>
      <c r="W216" s="60">
        <v>128</v>
      </c>
    </row>
    <row r="217" spans="1:33" ht="22.5" customHeight="1" thickBot="1">
      <c r="A217" s="53" t="s">
        <v>3873</v>
      </c>
      <c r="C217" s="77" t="s">
        <v>3898</v>
      </c>
      <c r="D217" s="36" t="s">
        <v>3899</v>
      </c>
      <c r="E217" s="43" t="s">
        <v>3900</v>
      </c>
      <c r="F217" s="36" t="str">
        <f t="shared" si="6"/>
        <v>https://www.ssbuy.tw/detail_giftcode/dist/giftcodes/龍石戰爭.html</v>
      </c>
      <c r="G217" s="36" t="s">
        <v>3889</v>
      </c>
      <c r="H217" s="36" t="str">
        <f t="shared" si="7"/>
        <v>https://www.ssbuy.tw/detail_giftcode/dist/gamedetail/龍石戰爭.html</v>
      </c>
      <c r="I217" s="37" t="s">
        <v>3918</v>
      </c>
      <c r="J217" s="57" t="s">
        <v>4033</v>
      </c>
      <c r="K217" s="60">
        <v>2555</v>
      </c>
      <c r="L217" s="59" t="s">
        <v>13</v>
      </c>
      <c r="M217" s="60">
        <v>1292</v>
      </c>
      <c r="N217" s="59" t="s">
        <v>14</v>
      </c>
      <c r="O217" s="60">
        <v>511</v>
      </c>
      <c r="P217" s="61" t="s">
        <v>120</v>
      </c>
      <c r="Q217" s="60">
        <v>272</v>
      </c>
      <c r="R217" s="61" t="s">
        <v>16</v>
      </c>
      <c r="S217" s="60">
        <v>128</v>
      </c>
      <c r="T217" s="61" t="s">
        <v>285</v>
      </c>
      <c r="U217" s="60">
        <v>51</v>
      </c>
      <c r="V217" s="61" t="s">
        <v>4034</v>
      </c>
      <c r="W217" s="60">
        <v>77</v>
      </c>
      <c r="X217" s="61" t="s">
        <v>4035</v>
      </c>
      <c r="Y217" s="60">
        <v>128</v>
      </c>
    </row>
    <row r="218" spans="1:33" ht="22.5" customHeight="1" thickBot="1">
      <c r="A218" s="53" t="s">
        <v>3874</v>
      </c>
      <c r="C218" s="77" t="s">
        <v>3904</v>
      </c>
      <c r="D218" s="43" t="s">
        <v>3905</v>
      </c>
      <c r="E218" s="36" t="s">
        <v>3890</v>
      </c>
      <c r="F218" s="36" t="str">
        <f t="shared" si="6"/>
        <v>https://www.ssbuy.tw/detail_giftcode/dist/giftcodes/The King Of Fighters AFK.html</v>
      </c>
      <c r="G218" s="43" t="s">
        <v>3901</v>
      </c>
      <c r="H218" s="36" t="str">
        <f t="shared" si="7"/>
        <v>https://www.ssbuy.tw/detail_giftcode/dist/gamedetail/The King Of Fighters AFK.html</v>
      </c>
      <c r="I218" s="37" t="s">
        <v>3913</v>
      </c>
      <c r="J218" s="57" t="s">
        <v>301</v>
      </c>
      <c r="K218" s="60">
        <v>2355</v>
      </c>
      <c r="L218" s="59" t="s">
        <v>3950</v>
      </c>
      <c r="M218" s="60">
        <v>937</v>
      </c>
      <c r="N218" s="59" t="s">
        <v>3951</v>
      </c>
      <c r="O218" s="60">
        <v>827</v>
      </c>
      <c r="P218" s="61" t="s">
        <v>3952</v>
      </c>
      <c r="Q218" s="60">
        <v>764</v>
      </c>
      <c r="R218" s="61" t="s">
        <v>3953</v>
      </c>
      <c r="S218" s="60">
        <v>583</v>
      </c>
      <c r="T218" s="61" t="s">
        <v>279</v>
      </c>
      <c r="U218" s="60">
        <v>535</v>
      </c>
      <c r="V218" s="61" t="s">
        <v>1493</v>
      </c>
      <c r="W218" s="60">
        <v>391</v>
      </c>
      <c r="X218" s="61" t="s">
        <v>3954</v>
      </c>
      <c r="Y218" s="60">
        <v>375</v>
      </c>
      <c r="Z218" s="61" t="s">
        <v>249</v>
      </c>
      <c r="AA218" s="60">
        <v>232</v>
      </c>
      <c r="AB218" s="61" t="s">
        <v>3955</v>
      </c>
      <c r="AC218" s="60">
        <v>162</v>
      </c>
    </row>
    <row r="219" spans="1:33" ht="22.5" customHeight="1" thickBot="1">
      <c r="A219" s="53" t="s">
        <v>3875</v>
      </c>
      <c r="C219" s="77" t="s">
        <v>3906</v>
      </c>
      <c r="D219" s="43" t="s">
        <v>3907</v>
      </c>
      <c r="E219" s="36" t="s">
        <v>3891</v>
      </c>
      <c r="F219" s="36" t="str">
        <f t="shared" si="6"/>
        <v>https://www.ssbuy.tw/detail_giftcode/dist/giftcodes/邪門鬼道.html</v>
      </c>
      <c r="G219" s="43" t="s">
        <v>3902</v>
      </c>
      <c r="H219" s="36" t="str">
        <f t="shared" si="7"/>
        <v>https://www.ssbuy.tw/detail_giftcode/dist/gamedetail/邪門鬼道.html</v>
      </c>
      <c r="I219" s="37" t="s">
        <v>3912</v>
      </c>
      <c r="J219" s="57" t="s">
        <v>3958</v>
      </c>
      <c r="K219" s="60">
        <v>2555</v>
      </c>
      <c r="L219" s="59" t="s">
        <v>3959</v>
      </c>
      <c r="M219" s="60">
        <v>1331</v>
      </c>
      <c r="N219" s="59" t="s">
        <v>3960</v>
      </c>
      <c r="O219" s="60">
        <v>780</v>
      </c>
      <c r="P219" s="61" t="s">
        <v>3961</v>
      </c>
      <c r="Q219" s="60">
        <v>733</v>
      </c>
      <c r="R219" s="61" t="s">
        <v>3962</v>
      </c>
      <c r="S219" s="60">
        <v>685</v>
      </c>
      <c r="T219" s="61" t="s">
        <v>3963</v>
      </c>
      <c r="U219" s="60">
        <v>583</v>
      </c>
      <c r="V219" s="61" t="s">
        <v>3964</v>
      </c>
      <c r="W219" s="60">
        <v>535</v>
      </c>
      <c r="X219" s="61" t="s">
        <v>3965</v>
      </c>
      <c r="Y219" s="60">
        <v>471</v>
      </c>
      <c r="Z219" s="61" t="s">
        <v>3966</v>
      </c>
      <c r="AA219" s="60">
        <v>423</v>
      </c>
      <c r="AB219" s="61" t="s">
        <v>3967</v>
      </c>
      <c r="AC219" s="60">
        <v>391</v>
      </c>
      <c r="AD219" s="61" t="s">
        <v>3968</v>
      </c>
      <c r="AE219" s="60">
        <v>264</v>
      </c>
      <c r="AF219" s="61" t="s">
        <v>134</v>
      </c>
      <c r="AG219" s="60">
        <v>145</v>
      </c>
    </row>
    <row r="220" spans="1:33" ht="22.5" customHeight="1" thickBot="1">
      <c r="A220" s="53" t="s">
        <v>3876</v>
      </c>
      <c r="C220" s="77" t="s">
        <v>3908</v>
      </c>
      <c r="D220" s="43" t="s">
        <v>3909</v>
      </c>
      <c r="E220" s="36" t="s">
        <v>3892</v>
      </c>
      <c r="F220" s="36" t="str">
        <f t="shared" si="6"/>
        <v>https://www.ssbuy.tw/detail_giftcode/dist/giftcodes/Wind Breaker不良英雄譚.html</v>
      </c>
      <c r="G220" s="43" t="s">
        <v>3903</v>
      </c>
      <c r="H220" s="36" t="str">
        <f t="shared" si="7"/>
        <v>https://www.ssbuy.tw/detail_giftcode/dist/gamedetail/Wind Breaker不良英雄譚.html</v>
      </c>
      <c r="I220" s="37" t="s">
        <v>3911</v>
      </c>
      <c r="J220" s="57" t="s">
        <v>189</v>
      </c>
      <c r="K220" s="60">
        <v>1638</v>
      </c>
      <c r="L220" s="59" t="s">
        <v>1268</v>
      </c>
      <c r="M220" s="60">
        <v>811</v>
      </c>
      <c r="N220" s="59" t="s">
        <v>3956</v>
      </c>
      <c r="O220" s="60">
        <v>479</v>
      </c>
      <c r="P220" s="61" t="s">
        <v>64</v>
      </c>
      <c r="Q220" s="60">
        <v>248</v>
      </c>
      <c r="R220" s="61" t="s">
        <v>139</v>
      </c>
      <c r="S220" s="60">
        <v>164</v>
      </c>
      <c r="T220" s="61" t="s">
        <v>1252</v>
      </c>
      <c r="U220" s="60">
        <v>28</v>
      </c>
      <c r="V220" s="61" t="s">
        <v>3957</v>
      </c>
      <c r="W220" s="60">
        <v>170</v>
      </c>
    </row>
    <row r="221" spans="1:33" ht="22.5" customHeight="1" thickBot="1">
      <c r="A221" s="53" t="s">
        <v>4066</v>
      </c>
      <c r="C221" s="77" t="s">
        <v>4050</v>
      </c>
      <c r="D221" s="43" t="s">
        <v>4052</v>
      </c>
      <c r="E221" s="43" t="s">
        <v>4053</v>
      </c>
      <c r="F221" s="36" t="str">
        <f t="shared" si="6"/>
        <v>https://www.ssbuy.tw/detail_giftcode/dist/giftcodes/野蠻生存錄.html</v>
      </c>
      <c r="G221" s="43" t="s">
        <v>4051</v>
      </c>
      <c r="H221" s="36" t="str">
        <f t="shared" si="7"/>
        <v>https://www.ssbuy.tw/detail_giftcode/dist/gamedetail/野蠻生存錄.html</v>
      </c>
      <c r="I221" s="37" t="s">
        <v>4070</v>
      </c>
      <c r="J221" s="57" t="s">
        <v>4058</v>
      </c>
      <c r="K221" s="60">
        <v>2555</v>
      </c>
      <c r="L221" s="59" t="s">
        <v>4059</v>
      </c>
      <c r="M221" s="60">
        <v>1331</v>
      </c>
      <c r="N221" s="59" t="s">
        <v>4060</v>
      </c>
      <c r="O221" s="60">
        <v>535</v>
      </c>
      <c r="P221" s="61" t="s">
        <v>4061</v>
      </c>
      <c r="Q221" s="60">
        <v>264</v>
      </c>
      <c r="R221" s="61" t="s">
        <v>4062</v>
      </c>
      <c r="S221" s="60">
        <v>145</v>
      </c>
    </row>
    <row r="222" spans="1:33" ht="22.5" customHeight="1" thickBot="1">
      <c r="A222" s="53" t="s">
        <v>4067</v>
      </c>
      <c r="C222" s="77" t="s">
        <v>4055</v>
      </c>
      <c r="D222" s="43" t="s">
        <v>4056</v>
      </c>
      <c r="E222" s="43" t="s">
        <v>4054</v>
      </c>
      <c r="F222" s="36" t="str">
        <f t="shared" si="6"/>
        <v>https://www.ssbuy.tw/detail_giftcode/dist/giftcodes/萬獸崛起.html</v>
      </c>
      <c r="G222" s="43" t="s">
        <v>4057</v>
      </c>
      <c r="H222" s="36" t="str">
        <f t="shared" si="7"/>
        <v>https://www.ssbuy.tw/detail_giftcode/dist/gamedetail/萬獸崛起.html</v>
      </c>
      <c r="I222" s="37" t="s">
        <v>4071</v>
      </c>
      <c r="J222" s="57" t="s">
        <v>61</v>
      </c>
      <c r="K222" s="60">
        <v>2555</v>
      </c>
      <c r="L222" s="59" t="s">
        <v>62</v>
      </c>
      <c r="M222" s="60">
        <v>1331</v>
      </c>
      <c r="N222" s="59" t="s">
        <v>63</v>
      </c>
      <c r="O222" s="60">
        <v>780</v>
      </c>
      <c r="P222" s="61" t="s">
        <v>1276</v>
      </c>
      <c r="Q222" s="60">
        <v>391</v>
      </c>
      <c r="R222" s="61" t="s">
        <v>16</v>
      </c>
      <c r="S222" s="60">
        <v>145</v>
      </c>
      <c r="T222" s="61" t="s">
        <v>7</v>
      </c>
      <c r="U222" s="60">
        <v>28</v>
      </c>
    </row>
    <row r="223" spans="1:33" ht="22.5" customHeight="1" thickBot="1">
      <c r="A223" s="53" t="s">
        <v>4068</v>
      </c>
      <c r="C223" s="77" t="s">
        <v>4063</v>
      </c>
      <c r="D223" s="43" t="s">
        <v>4064</v>
      </c>
      <c r="E223" s="43" t="s">
        <v>4065</v>
      </c>
      <c r="F223" s="36" t="str">
        <f t="shared" si="6"/>
        <v>https://www.ssbuy.tw/detail_giftcode/dist/giftcodes/劍靈神域.html</v>
      </c>
      <c r="G223" s="43" t="s">
        <v>4069</v>
      </c>
      <c r="H223" s="36" t="str">
        <f t="shared" si="7"/>
        <v>https://www.ssbuy.tw/detail_giftcode/dist/gamedetail/劍靈神域.html</v>
      </c>
      <c r="I223" s="37" t="s">
        <v>4072</v>
      </c>
      <c r="J223" s="57" t="s">
        <v>4080</v>
      </c>
      <c r="K223" s="60">
        <v>2555</v>
      </c>
      <c r="L223" s="59" t="s">
        <v>4081</v>
      </c>
      <c r="M223" s="60">
        <v>1300</v>
      </c>
      <c r="N223" s="59" t="s">
        <v>4082</v>
      </c>
      <c r="O223" s="60">
        <v>788</v>
      </c>
      <c r="P223" s="61" t="s">
        <v>235</v>
      </c>
      <c r="Q223" s="60">
        <v>2555</v>
      </c>
      <c r="R223" s="61" t="s">
        <v>236</v>
      </c>
      <c r="S223" s="60">
        <v>1300</v>
      </c>
      <c r="T223" s="61" t="s">
        <v>1292</v>
      </c>
      <c r="U223" s="60">
        <v>788</v>
      </c>
      <c r="V223" s="61" t="s">
        <v>237</v>
      </c>
      <c r="W223" s="60">
        <v>535</v>
      </c>
      <c r="X223" s="61" t="s">
        <v>238</v>
      </c>
      <c r="Y223" s="60">
        <v>264</v>
      </c>
      <c r="Z223" s="61" t="s">
        <v>239</v>
      </c>
      <c r="AA223" s="60">
        <v>145</v>
      </c>
      <c r="AB223" s="61" t="s">
        <v>240</v>
      </c>
      <c r="AC223" s="60">
        <v>28</v>
      </c>
      <c r="AD223" s="61" t="s">
        <v>176</v>
      </c>
      <c r="AE223" s="60">
        <v>85</v>
      </c>
      <c r="AF223" s="61" t="s">
        <v>176</v>
      </c>
      <c r="AG223" s="60">
        <v>85</v>
      </c>
    </row>
    <row r="224" spans="1:33" ht="22.5" customHeight="1" thickBot="1">
      <c r="A224" s="53" t="s">
        <v>4083</v>
      </c>
      <c r="C224" s="77" t="s">
        <v>4086</v>
      </c>
      <c r="D224" s="43" t="s">
        <v>4088</v>
      </c>
      <c r="E224" s="43" t="s">
        <v>4089</v>
      </c>
      <c r="F224" s="36" t="str">
        <f t="shared" si="6"/>
        <v>https://www.ssbuy.tw/detail_giftcode/dist/giftcodes/國王駕到！堡堡大作戰.html</v>
      </c>
      <c r="G224" s="36" t="s">
        <v>4087</v>
      </c>
      <c r="H224" s="36" t="str">
        <f t="shared" si="7"/>
        <v>https://www.ssbuy.tw/detail_giftcode/dist/gamedetail/國王駕到！堡堡大作戰.html</v>
      </c>
      <c r="I224" s="37" t="s">
        <v>4095</v>
      </c>
      <c r="J224" s="57" t="s">
        <v>12</v>
      </c>
      <c r="K224" s="60">
        <v>2555</v>
      </c>
      <c r="L224" s="59" t="s">
        <v>13</v>
      </c>
      <c r="M224" s="60">
        <v>1331</v>
      </c>
      <c r="N224" s="59" t="s">
        <v>14</v>
      </c>
      <c r="O224" s="60">
        <v>551</v>
      </c>
      <c r="P224" s="61" t="s">
        <v>120</v>
      </c>
      <c r="Q224" s="60">
        <v>264</v>
      </c>
      <c r="R224" s="61" t="s">
        <v>16</v>
      </c>
      <c r="S224" s="60">
        <v>145</v>
      </c>
      <c r="T224" s="61" t="s">
        <v>7</v>
      </c>
      <c r="U224" s="60">
        <v>28</v>
      </c>
    </row>
    <row r="225" spans="1:33" ht="22.5" customHeight="1" thickBot="1">
      <c r="A225" s="64" t="s">
        <v>4124</v>
      </c>
      <c r="C225" s="77" t="s">
        <v>4104</v>
      </c>
      <c r="D225" s="43" t="s">
        <v>4105</v>
      </c>
      <c r="E225" s="43" t="s">
        <v>4108</v>
      </c>
      <c r="F225" s="36" t="str">
        <f t="shared" si="6"/>
        <v>https://www.ssbuy.tw/detail_giftcode/dist/giftcodes/阿瑞斯：命運的選擇者.html</v>
      </c>
      <c r="G225" s="43" t="s">
        <v>4106</v>
      </c>
      <c r="H225" s="36" t="str">
        <f t="shared" si="7"/>
        <v>https://www.ssbuy.tw/detail_giftcode/dist/gamedetail/阿瑞斯：命運的選擇者.html</v>
      </c>
      <c r="I225" s="37" t="s">
        <v>4110</v>
      </c>
      <c r="J225" s="63" t="s">
        <v>2640</v>
      </c>
      <c r="K225" s="55" t="s">
        <v>2640</v>
      </c>
      <c r="L225" s="55" t="s">
        <v>2640</v>
      </c>
      <c r="M225" s="55" t="s">
        <v>2640</v>
      </c>
      <c r="N225" s="55" t="s">
        <v>2640</v>
      </c>
      <c r="O225" s="55" t="s">
        <v>2640</v>
      </c>
    </row>
    <row r="226" spans="1:33" ht="22.5" customHeight="1" thickBot="1">
      <c r="A226" s="64" t="s">
        <v>4139</v>
      </c>
      <c r="C226" s="43" t="s">
        <v>4107</v>
      </c>
      <c r="D226" s="43" t="s">
        <v>4107</v>
      </c>
      <c r="E226" s="43" t="s">
        <v>4109</v>
      </c>
      <c r="F226" s="36" t="str">
        <f t="shared" si="6"/>
        <v>https://www.ssbuy.tw/detail_giftcode/dist/giftcodes/Draft showdown.html</v>
      </c>
      <c r="G226" s="43" t="s">
        <v>4107</v>
      </c>
      <c r="H226" s="36" t="str">
        <f t="shared" si="7"/>
        <v>https://www.ssbuy.tw/detail_giftcode/dist/gamedetail/Draft showdown.html</v>
      </c>
      <c r="I226" s="37" t="s">
        <v>4111</v>
      </c>
      <c r="J226" s="57" t="s">
        <v>4125</v>
      </c>
      <c r="K226" s="60">
        <v>171</v>
      </c>
      <c r="L226" s="59" t="s">
        <v>4126</v>
      </c>
      <c r="M226" s="60">
        <v>612</v>
      </c>
      <c r="N226" s="59" t="s">
        <v>4127</v>
      </c>
      <c r="O226" s="60">
        <v>2286</v>
      </c>
      <c r="P226" s="61" t="s">
        <v>4128</v>
      </c>
      <c r="Q226" s="60">
        <v>1139</v>
      </c>
      <c r="R226" s="61" t="s">
        <v>4129</v>
      </c>
      <c r="S226" s="60">
        <v>535</v>
      </c>
      <c r="T226" s="61" t="s">
        <v>4130</v>
      </c>
      <c r="U226" s="60">
        <v>124</v>
      </c>
    </row>
    <row r="227" spans="1:33" ht="22.5" customHeight="1" thickBot="1">
      <c r="A227" s="35" t="s">
        <v>4113</v>
      </c>
      <c r="C227" s="77" t="s">
        <v>4115</v>
      </c>
      <c r="D227" s="43" t="s">
        <v>4114</v>
      </c>
      <c r="E227" s="43" t="s">
        <v>4116</v>
      </c>
      <c r="F227" s="36" t="str">
        <f t="shared" si="6"/>
        <v>https://www.ssbuy.tw/detail_giftcode/dist/giftcodes/魔鏡2：瘋狂的蛇姬.html</v>
      </c>
      <c r="G227" s="43" t="s">
        <v>4112</v>
      </c>
      <c r="H227" s="36" t="str">
        <f t="shared" si="7"/>
        <v>https://www.ssbuy.tw/detail_giftcode/dist/gamedetail/魔鏡2：瘋狂的蛇姬.html</v>
      </c>
      <c r="I227" s="37" t="s">
        <v>4121</v>
      </c>
      <c r="J227" s="57" t="s">
        <v>12</v>
      </c>
      <c r="K227" s="60">
        <v>2479</v>
      </c>
      <c r="L227" s="59" t="s">
        <v>13</v>
      </c>
      <c r="M227" s="60">
        <v>1292</v>
      </c>
      <c r="N227" s="59" t="s">
        <v>24</v>
      </c>
      <c r="O227" s="60">
        <v>757</v>
      </c>
      <c r="P227" s="61" t="s">
        <v>14</v>
      </c>
      <c r="Q227" s="60">
        <v>519</v>
      </c>
      <c r="R227" s="61" t="s">
        <v>120</v>
      </c>
      <c r="S227" s="60">
        <v>256</v>
      </c>
      <c r="T227" s="61" t="s">
        <v>16</v>
      </c>
      <c r="U227" s="60">
        <v>140</v>
      </c>
      <c r="V227" s="61" t="s">
        <v>7</v>
      </c>
      <c r="W227" s="60">
        <v>27</v>
      </c>
      <c r="X227" s="61" t="s">
        <v>4131</v>
      </c>
      <c r="Y227" s="60">
        <v>256</v>
      </c>
      <c r="Z227" s="61" t="s">
        <v>4132</v>
      </c>
      <c r="AA227" s="60">
        <v>757</v>
      </c>
      <c r="AB227" s="61" t="s">
        <v>4133</v>
      </c>
      <c r="AC227" s="60">
        <v>380</v>
      </c>
      <c r="AD227" s="61" t="s">
        <v>4134</v>
      </c>
      <c r="AE227" s="60">
        <v>519</v>
      </c>
    </row>
    <row r="228" spans="1:33" ht="22.5" customHeight="1" thickBot="1">
      <c r="A228" s="35" t="s">
        <v>4122</v>
      </c>
      <c r="C228" s="77" t="s">
        <v>4120</v>
      </c>
      <c r="D228" s="43" t="s">
        <v>4119</v>
      </c>
      <c r="E228" s="43" t="s">
        <v>4118</v>
      </c>
      <c r="F228" s="36" t="str">
        <f t="shared" si="6"/>
        <v>https://www.ssbuy.tw/detail_giftcode/dist/giftcodes/量子機動隊.html</v>
      </c>
      <c r="G228" s="43" t="s">
        <v>4117</v>
      </c>
      <c r="H228" s="36" t="str">
        <f t="shared" si="7"/>
        <v>https://www.ssbuy.tw/detail_giftcode/dist/gamedetail/量子機動隊.html</v>
      </c>
      <c r="I228" s="37" t="s">
        <v>4123</v>
      </c>
      <c r="J228" s="57" t="s">
        <v>1660</v>
      </c>
      <c r="K228" s="60">
        <v>2487</v>
      </c>
      <c r="L228" s="59" t="s">
        <v>1661</v>
      </c>
      <c r="M228" s="60">
        <v>1261</v>
      </c>
      <c r="N228" s="59" t="s">
        <v>4135</v>
      </c>
      <c r="O228" s="60">
        <v>1009</v>
      </c>
      <c r="P228" s="61" t="s">
        <v>4136</v>
      </c>
      <c r="Q228" s="60">
        <v>887</v>
      </c>
      <c r="R228" s="61" t="s">
        <v>4137</v>
      </c>
      <c r="S228" s="60">
        <v>631</v>
      </c>
      <c r="T228" s="61" t="s">
        <v>1663</v>
      </c>
      <c r="U228" s="60">
        <v>512</v>
      </c>
      <c r="V228" s="61" t="s">
        <v>1666</v>
      </c>
      <c r="W228" s="60">
        <v>256</v>
      </c>
      <c r="X228" s="61" t="s">
        <v>1667</v>
      </c>
      <c r="Y228" s="60">
        <v>136</v>
      </c>
      <c r="Z228" s="61" t="s">
        <v>4138</v>
      </c>
      <c r="AA228" s="60">
        <v>57</v>
      </c>
      <c r="AB228" s="61" t="s">
        <v>1668</v>
      </c>
      <c r="AC228" s="60">
        <v>27</v>
      </c>
    </row>
    <row r="229" spans="1:33" ht="22.5" customHeight="1" thickBot="1">
      <c r="A229" s="53" t="s">
        <v>4246</v>
      </c>
      <c r="C229" s="77" t="s">
        <v>4177</v>
      </c>
      <c r="D229" s="43" t="s">
        <v>4178</v>
      </c>
      <c r="E229" s="36" t="s">
        <v>4179</v>
      </c>
      <c r="F229" s="36" t="str">
        <f t="shared" si="6"/>
        <v>https://www.ssbuy.tw/detail_giftcode/dist/giftcodes/呷飽未？殭殭醬.html</v>
      </c>
      <c r="G229" s="43" t="s">
        <v>4176</v>
      </c>
      <c r="H229" s="36" t="str">
        <f t="shared" si="7"/>
        <v>https://www.ssbuy.tw/detail_giftcode/dist/gamedetail/呷飽未？殭殭醬.html</v>
      </c>
      <c r="I229" s="64" t="s">
        <v>5143</v>
      </c>
      <c r="J229" s="57" t="s">
        <v>3720</v>
      </c>
      <c r="K229" s="60">
        <v>2293</v>
      </c>
      <c r="L229" s="59" t="s">
        <v>4199</v>
      </c>
      <c r="M229" s="60">
        <v>1529</v>
      </c>
      <c r="N229" s="59" t="s">
        <v>4200</v>
      </c>
      <c r="O229" s="60">
        <v>764</v>
      </c>
      <c r="P229" s="61" t="s">
        <v>262</v>
      </c>
      <c r="Q229" s="60">
        <v>757</v>
      </c>
      <c r="R229" s="61" t="s">
        <v>4194</v>
      </c>
      <c r="S229" s="60">
        <v>388</v>
      </c>
      <c r="T229" s="61" t="s">
        <v>4195</v>
      </c>
      <c r="U229" s="60">
        <v>372</v>
      </c>
      <c r="V229" s="61" t="s">
        <v>4196</v>
      </c>
      <c r="W229" s="60">
        <v>271</v>
      </c>
      <c r="X229" s="61" t="s">
        <v>265</v>
      </c>
      <c r="Y229" s="60">
        <v>248</v>
      </c>
      <c r="Z229" s="61" t="s">
        <v>4197</v>
      </c>
      <c r="AA229" s="60">
        <v>202</v>
      </c>
      <c r="AB229" s="61" t="s">
        <v>4198</v>
      </c>
      <c r="AC229" s="60">
        <v>132</v>
      </c>
    </row>
    <row r="230" spans="1:33" ht="22.5" customHeight="1" thickBot="1">
      <c r="A230" s="53" t="s">
        <v>5134</v>
      </c>
      <c r="C230" s="35" t="s">
        <v>4180</v>
      </c>
      <c r="D230" s="43" t="s">
        <v>4182</v>
      </c>
      <c r="E230" s="36" t="s">
        <v>4181</v>
      </c>
      <c r="F230" s="36" t="str">
        <f t="shared" si="6"/>
        <v>https://www.ssbuy.tw/detail_giftcode/dist/giftcodes/XXL猛漢町.html</v>
      </c>
      <c r="G230" s="43" t="s">
        <v>4244</v>
      </c>
      <c r="H230" s="36" t="str">
        <f t="shared" si="7"/>
        <v>https://www.ssbuy.tw/detail_giftcode/dist/gamedetail/XXL猛漢町.html</v>
      </c>
      <c r="I230" s="64" t="s">
        <v>5144</v>
      </c>
      <c r="J230" s="51" t="s">
        <v>4231</v>
      </c>
      <c r="K230" s="50">
        <v>4145</v>
      </c>
      <c r="L230" s="51" t="s">
        <v>4232</v>
      </c>
      <c r="M230" s="50">
        <v>2849</v>
      </c>
      <c r="N230" s="51" t="s">
        <v>4233</v>
      </c>
      <c r="O230" s="50">
        <v>1835</v>
      </c>
      <c r="P230" s="51" t="s">
        <v>4234</v>
      </c>
      <c r="Q230" s="50">
        <v>1208</v>
      </c>
      <c r="R230" s="51" t="s">
        <v>4235</v>
      </c>
      <c r="S230" s="50">
        <v>757</v>
      </c>
      <c r="T230" s="51" t="s">
        <v>4236</v>
      </c>
      <c r="U230" s="50">
        <v>465</v>
      </c>
      <c r="V230" s="51" t="s">
        <v>4237</v>
      </c>
      <c r="W230" s="50">
        <v>256</v>
      </c>
      <c r="X230" s="51" t="s">
        <v>4238</v>
      </c>
      <c r="Y230" s="50">
        <v>136</v>
      </c>
      <c r="Z230" s="51" t="s">
        <v>4239</v>
      </c>
      <c r="AA230" s="50">
        <v>54</v>
      </c>
      <c r="AB230" s="51" t="s">
        <v>4240</v>
      </c>
      <c r="AC230" s="50">
        <v>465</v>
      </c>
      <c r="AD230" s="51" t="s">
        <v>4241</v>
      </c>
      <c r="AE230" s="50">
        <v>165</v>
      </c>
      <c r="AF230" s="51" t="s">
        <v>4242</v>
      </c>
      <c r="AG230" s="50">
        <v>329</v>
      </c>
    </row>
    <row r="231" spans="1:33" ht="22.5" customHeight="1" thickBot="1">
      <c r="A231" s="53" t="s">
        <v>5135</v>
      </c>
      <c r="C231" s="77" t="s">
        <v>4190</v>
      </c>
      <c r="D231" s="43" t="s">
        <v>4184</v>
      </c>
      <c r="E231" s="43" t="s">
        <v>4185</v>
      </c>
      <c r="F231" s="36" t="str">
        <f t="shared" si="6"/>
        <v>https://www.ssbuy.tw/detail_giftcode/dist/giftcodes/Dead Impact：Survival Online.html</v>
      </c>
      <c r="G231" s="43" t="s">
        <v>4183</v>
      </c>
      <c r="H231" s="36" t="str">
        <f t="shared" si="7"/>
        <v>https://www.ssbuy.tw/detail_giftcode/dist/gamedetail/Dead Impact：Survival Online.html</v>
      </c>
      <c r="I231" s="64" t="s">
        <v>5145</v>
      </c>
      <c r="J231" s="57" t="s">
        <v>4159</v>
      </c>
      <c r="K231" s="60">
        <v>2286</v>
      </c>
      <c r="L231" s="59" t="s">
        <v>4160</v>
      </c>
      <c r="M231" s="60">
        <v>1521</v>
      </c>
      <c r="N231" s="59" t="s">
        <v>4161</v>
      </c>
      <c r="O231" s="60">
        <v>612</v>
      </c>
      <c r="P231" s="61" t="s">
        <v>4162</v>
      </c>
      <c r="Q231" s="60">
        <v>380</v>
      </c>
      <c r="R231" s="61" t="s">
        <v>1461</v>
      </c>
      <c r="S231" s="60">
        <v>248</v>
      </c>
      <c r="T231" s="61" t="s">
        <v>4163</v>
      </c>
      <c r="U231" s="60">
        <v>50</v>
      </c>
      <c r="V231" s="61" t="s">
        <v>4164</v>
      </c>
      <c r="W231" s="60">
        <v>612</v>
      </c>
      <c r="X231" s="61" t="s">
        <v>4165</v>
      </c>
      <c r="Y231" s="60">
        <v>302</v>
      </c>
      <c r="Z231" s="61" t="s">
        <v>4166</v>
      </c>
      <c r="AA231" s="60">
        <v>535</v>
      </c>
    </row>
    <row r="232" spans="1:33" ht="22.5" customHeight="1" thickBot="1">
      <c r="A232" s="53" t="s">
        <v>4243</v>
      </c>
      <c r="C232" s="77" t="s">
        <v>4189</v>
      </c>
      <c r="D232" s="43" t="s">
        <v>4187</v>
      </c>
      <c r="E232" s="43" t="s">
        <v>4188</v>
      </c>
      <c r="F232" s="36" t="str">
        <f t="shared" si="6"/>
        <v>https://www.ssbuy.tw/detail_giftcode/dist/giftcodes/無限子彈.html</v>
      </c>
      <c r="G232" s="43" t="s">
        <v>4186</v>
      </c>
      <c r="H232" s="36" t="str">
        <f t="shared" si="7"/>
        <v>https://www.ssbuy.tw/detail_giftcode/dist/gamedetail/無限子彈.html</v>
      </c>
      <c r="I232" s="64" t="s">
        <v>5146</v>
      </c>
      <c r="J232" s="57" t="s">
        <v>4167</v>
      </c>
      <c r="K232" s="60">
        <v>1521</v>
      </c>
      <c r="L232" s="59" t="s">
        <v>4168</v>
      </c>
      <c r="M232" s="60">
        <v>986</v>
      </c>
      <c r="N232" s="59" t="s">
        <v>1320</v>
      </c>
      <c r="O232" s="60">
        <v>380</v>
      </c>
      <c r="P232" s="61" t="s">
        <v>4169</v>
      </c>
      <c r="Q232" s="60">
        <v>248</v>
      </c>
      <c r="R232" s="61" t="s">
        <v>4170</v>
      </c>
      <c r="S232" s="60">
        <v>99</v>
      </c>
      <c r="T232" s="61" t="s">
        <v>3628</v>
      </c>
      <c r="U232" s="60">
        <v>25</v>
      </c>
      <c r="V232" s="61" t="s">
        <v>4171</v>
      </c>
      <c r="W232" s="60">
        <v>780</v>
      </c>
      <c r="X232" s="61" t="s">
        <v>4172</v>
      </c>
      <c r="Y232" s="60">
        <v>157</v>
      </c>
      <c r="Z232" s="61" t="s">
        <v>4173</v>
      </c>
      <c r="AA232" s="60">
        <v>248</v>
      </c>
      <c r="AB232" s="61" t="s">
        <v>4174</v>
      </c>
      <c r="AC232" s="60">
        <v>279</v>
      </c>
    </row>
    <row r="233" spans="1:33" ht="22.5" customHeight="1" thickBot="1">
      <c r="A233" s="53" t="s">
        <v>4201</v>
      </c>
      <c r="C233" s="77" t="s">
        <v>4193</v>
      </c>
      <c r="D233" s="43" t="s">
        <v>4192</v>
      </c>
      <c r="E233" s="43" t="s">
        <v>4191</v>
      </c>
      <c r="F233" s="36" t="str">
        <f t="shared" si="6"/>
        <v>https://www.ssbuy.tw/detail_giftcode/dist/giftcodes/Dunkadillo.html</v>
      </c>
      <c r="G233" s="43" t="s">
        <v>4245</v>
      </c>
      <c r="H233" s="36" t="str">
        <f t="shared" si="7"/>
        <v>https://www.ssbuy.tw/detail_giftcode/dist/gamedetail/Dunkadillo.html</v>
      </c>
      <c r="I233" s="64" t="s">
        <v>5147</v>
      </c>
      <c r="J233" s="57" t="s">
        <v>4175</v>
      </c>
      <c r="K233" s="60">
        <v>171</v>
      </c>
    </row>
    <row r="234" spans="1:33" ht="22.5" customHeight="1" thickBot="1">
      <c r="A234" s="53" t="s">
        <v>4247</v>
      </c>
      <c r="C234" s="77" t="s">
        <v>4256</v>
      </c>
      <c r="D234" s="36" t="s">
        <v>4259</v>
      </c>
      <c r="E234" s="36" t="s">
        <v>4257</v>
      </c>
      <c r="F234" s="36" t="str">
        <f t="shared" si="6"/>
        <v>https://www.ssbuy.tw/detail_giftcode/dist/giftcodes/遺跡的地平線.html</v>
      </c>
      <c r="G234" s="36" t="s">
        <v>4258</v>
      </c>
      <c r="H234" s="36" t="str">
        <f t="shared" si="7"/>
        <v>https://www.ssbuy.tw/detail_giftcode/dist/gamedetail/遺跡的地平線.html</v>
      </c>
      <c r="I234" s="37" t="s">
        <v>4280</v>
      </c>
      <c r="J234" s="51" t="s">
        <v>4320</v>
      </c>
      <c r="K234" s="50">
        <v>2479</v>
      </c>
      <c r="L234" s="51" t="s">
        <v>4321</v>
      </c>
      <c r="M234" s="50">
        <v>1292</v>
      </c>
      <c r="N234" s="51" t="s">
        <v>4322</v>
      </c>
      <c r="O234" s="50">
        <v>757</v>
      </c>
      <c r="P234" s="51" t="s">
        <v>4323</v>
      </c>
      <c r="Q234" s="50">
        <v>665</v>
      </c>
      <c r="R234" s="51" t="s">
        <v>4324</v>
      </c>
      <c r="S234" s="50">
        <v>519</v>
      </c>
      <c r="T234" s="51" t="s">
        <v>4325</v>
      </c>
      <c r="U234" s="50">
        <v>380</v>
      </c>
      <c r="V234" s="51" t="s">
        <v>4326</v>
      </c>
      <c r="W234" s="50">
        <v>256</v>
      </c>
      <c r="X234" s="51" t="s">
        <v>4327</v>
      </c>
      <c r="Y234" s="50">
        <v>209</v>
      </c>
      <c r="Z234" s="51" t="s">
        <v>4328</v>
      </c>
      <c r="AA234" s="50">
        <v>140</v>
      </c>
      <c r="AB234" s="51" t="s">
        <v>4329</v>
      </c>
      <c r="AC234" s="50">
        <v>83</v>
      </c>
    </row>
    <row r="235" spans="1:33" ht="22.5" customHeight="1" thickBot="1">
      <c r="A235" s="53" t="s">
        <v>4248</v>
      </c>
      <c r="C235" s="35" t="s">
        <v>4260</v>
      </c>
      <c r="D235" s="36" t="s">
        <v>4265</v>
      </c>
      <c r="E235" s="36" t="s">
        <v>4267</v>
      </c>
      <c r="F235" s="36" t="str">
        <f t="shared" si="6"/>
        <v>https://www.ssbuy.tw/detail_giftcode/dist/giftcodes/三國將將好.html</v>
      </c>
      <c r="G235" s="36" t="s">
        <v>4266</v>
      </c>
      <c r="H235" s="36" t="str">
        <f t="shared" si="7"/>
        <v>https://www.ssbuy.tw/detail_giftcode/dist/gamedetail/三國將將好.html</v>
      </c>
      <c r="I235" s="37" t="s">
        <v>4281</v>
      </c>
      <c r="J235" s="51" t="s">
        <v>301</v>
      </c>
      <c r="K235" s="50">
        <v>2286</v>
      </c>
      <c r="L235" s="51" t="s">
        <v>302</v>
      </c>
      <c r="M235" s="50">
        <v>1139</v>
      </c>
      <c r="N235" s="51" t="s">
        <v>262</v>
      </c>
      <c r="O235" s="50">
        <v>757</v>
      </c>
      <c r="P235" s="51" t="s">
        <v>264</v>
      </c>
      <c r="Q235" s="50">
        <v>535</v>
      </c>
      <c r="R235" s="51" t="s">
        <v>1493</v>
      </c>
      <c r="S235" s="50">
        <v>380</v>
      </c>
      <c r="T235" s="51" t="s">
        <v>265</v>
      </c>
      <c r="U235" s="50">
        <v>248</v>
      </c>
      <c r="V235" s="51" t="s">
        <v>250</v>
      </c>
      <c r="W235" s="50">
        <v>171</v>
      </c>
      <c r="X235" s="51" t="s">
        <v>251</v>
      </c>
      <c r="Y235" s="50">
        <v>124</v>
      </c>
      <c r="Z235" s="51" t="s">
        <v>266</v>
      </c>
      <c r="AA235" s="50">
        <v>74</v>
      </c>
    </row>
    <row r="236" spans="1:33" ht="22.5" customHeight="1" thickBot="1">
      <c r="A236" s="53" t="s">
        <v>4249</v>
      </c>
      <c r="C236" s="35" t="s">
        <v>4261</v>
      </c>
      <c r="D236" s="36" t="s">
        <v>4268</v>
      </c>
      <c r="E236" s="36" t="s">
        <v>4269</v>
      </c>
      <c r="F236" s="36" t="str">
        <f t="shared" si="6"/>
        <v>https://www.ssbuy.tw/detail_giftcode/dist/giftcodes/七騎士 Re：BIRTH.html</v>
      </c>
      <c r="G236" s="36" t="s">
        <v>4270</v>
      </c>
      <c r="H236" s="36" t="str">
        <f t="shared" si="7"/>
        <v>https://www.ssbuy.tw/detail_giftcode/dist/gamedetail/七騎士 Re：BIRTH.html</v>
      </c>
      <c r="I236" s="37" t="s">
        <v>4282</v>
      </c>
      <c r="J236" s="51" t="s">
        <v>1427</v>
      </c>
      <c r="K236" s="50">
        <v>2479</v>
      </c>
      <c r="L236" s="51" t="s">
        <v>259</v>
      </c>
      <c r="M236" s="50">
        <v>1750</v>
      </c>
      <c r="N236" s="51" t="s">
        <v>278</v>
      </c>
      <c r="O236" s="50">
        <v>1292</v>
      </c>
      <c r="P236" s="51" t="s">
        <v>3951</v>
      </c>
      <c r="Q236" s="50">
        <v>803</v>
      </c>
      <c r="R236" s="51" t="s">
        <v>262</v>
      </c>
      <c r="S236" s="50">
        <v>757</v>
      </c>
      <c r="T236" s="51" t="s">
        <v>279</v>
      </c>
      <c r="U236" s="50">
        <v>519</v>
      </c>
      <c r="V236" s="51" t="s">
        <v>280</v>
      </c>
      <c r="W236" s="50">
        <v>256</v>
      </c>
      <c r="X236" s="51" t="s">
        <v>4330</v>
      </c>
      <c r="Y236" s="50">
        <v>178</v>
      </c>
      <c r="Z236" s="51" t="s">
        <v>3700</v>
      </c>
      <c r="AA236" s="50">
        <v>107</v>
      </c>
      <c r="AB236" s="51" t="s">
        <v>3701</v>
      </c>
      <c r="AC236" s="50">
        <v>58</v>
      </c>
      <c r="AD236" s="51" t="s">
        <v>1428</v>
      </c>
      <c r="AE236" s="50">
        <v>27</v>
      </c>
    </row>
    <row r="237" spans="1:33" ht="22.5" customHeight="1" thickBot="1">
      <c r="A237" s="53" t="s">
        <v>4250</v>
      </c>
      <c r="C237" s="35" t="s">
        <v>4262</v>
      </c>
      <c r="D237" s="36" t="s">
        <v>4271</v>
      </c>
      <c r="E237" s="36" t="s">
        <v>4272</v>
      </c>
      <c r="F237" s="36" t="str">
        <f t="shared" si="6"/>
        <v>https://www.ssbuy.tw/detail_giftcode/dist/giftcodes/異界三國：死神契約.html</v>
      </c>
      <c r="G237" s="36" t="s">
        <v>4273</v>
      </c>
      <c r="H237" s="36" t="str">
        <f t="shared" si="7"/>
        <v>https://www.ssbuy.tw/detail_giftcode/dist/gamedetail/異界三國：死神契約.html</v>
      </c>
      <c r="I237" s="37" t="s">
        <v>4285</v>
      </c>
      <c r="J237" s="51" t="s">
        <v>4331</v>
      </c>
      <c r="K237" s="50">
        <v>2479</v>
      </c>
      <c r="L237" s="51" t="s">
        <v>4332</v>
      </c>
      <c r="M237" s="50">
        <v>1796</v>
      </c>
      <c r="N237" s="51" t="s">
        <v>4333</v>
      </c>
      <c r="O237" s="50">
        <v>1292</v>
      </c>
      <c r="P237" s="51" t="s">
        <v>4334</v>
      </c>
      <c r="Q237" s="50">
        <v>757</v>
      </c>
      <c r="R237" s="51" t="s">
        <v>4335</v>
      </c>
      <c r="S237" s="50">
        <v>380</v>
      </c>
      <c r="T237" s="51" t="s">
        <v>4336</v>
      </c>
      <c r="U237" s="50">
        <v>256</v>
      </c>
      <c r="V237" s="51" t="s">
        <v>4337</v>
      </c>
      <c r="W237" s="50">
        <v>140</v>
      </c>
      <c r="X237" s="51" t="s">
        <v>4338</v>
      </c>
      <c r="Y237" s="50">
        <v>83</v>
      </c>
      <c r="Z237" s="51" t="s">
        <v>4339</v>
      </c>
      <c r="AA237" s="50">
        <v>58</v>
      </c>
      <c r="AB237" s="51" t="s">
        <v>4340</v>
      </c>
      <c r="AC237" s="50">
        <v>27</v>
      </c>
    </row>
    <row r="238" spans="1:33" ht="22.5" customHeight="1" thickBot="1">
      <c r="A238" s="53" t="s">
        <v>4251</v>
      </c>
      <c r="C238" s="35" t="s">
        <v>4263</v>
      </c>
      <c r="D238" s="36" t="s">
        <v>4279</v>
      </c>
      <c r="E238" s="36" t="s">
        <v>4277</v>
      </c>
      <c r="F238" s="36" t="str">
        <f t="shared" si="6"/>
        <v>https://www.ssbuy.tw/detail_giftcode/dist/giftcodes/魔法師之徒.html</v>
      </c>
      <c r="G238" s="36" t="s">
        <v>4278</v>
      </c>
      <c r="H238" s="36" t="str">
        <f t="shared" si="7"/>
        <v>https://www.ssbuy.tw/detail_giftcode/dist/gamedetail/魔法師之徒.html</v>
      </c>
      <c r="I238" s="37" t="s">
        <v>4283</v>
      </c>
      <c r="J238" s="51" t="s">
        <v>4341</v>
      </c>
      <c r="K238" s="50">
        <v>2479</v>
      </c>
      <c r="L238" s="51" t="s">
        <v>4342</v>
      </c>
      <c r="M238" s="50">
        <v>1292</v>
      </c>
      <c r="N238" s="51" t="s">
        <v>4343</v>
      </c>
      <c r="O238" s="50">
        <v>757</v>
      </c>
      <c r="P238" s="51" t="s">
        <v>4344</v>
      </c>
      <c r="Q238" s="50">
        <v>519</v>
      </c>
      <c r="R238" s="51" t="s">
        <v>4345</v>
      </c>
      <c r="S238" s="50">
        <v>256</v>
      </c>
      <c r="T238" s="51" t="s">
        <v>4346</v>
      </c>
      <c r="U238" s="50">
        <v>140</v>
      </c>
      <c r="V238" s="51" t="s">
        <v>4347</v>
      </c>
      <c r="W238" s="50">
        <v>27</v>
      </c>
    </row>
    <row r="239" spans="1:33" ht="22.5" customHeight="1" thickBot="1">
      <c r="A239" s="53" t="s">
        <v>4252</v>
      </c>
      <c r="C239" s="35" t="s">
        <v>4264</v>
      </c>
      <c r="D239" s="36" t="s">
        <v>4275</v>
      </c>
      <c r="E239" s="36" t="s">
        <v>4276</v>
      </c>
      <c r="F239" s="36" t="str">
        <f t="shared" si="6"/>
        <v>https://www.ssbuy.tw/detail_giftcode/dist/giftcodes/三國魂將傳.html</v>
      </c>
      <c r="G239" s="36" t="s">
        <v>4274</v>
      </c>
      <c r="H239" s="36" t="str">
        <f t="shared" si="7"/>
        <v>https://www.ssbuy.tw/detail_giftcode/dist/gamedetail/三國魂將傳.html</v>
      </c>
      <c r="I239" s="37" t="s">
        <v>4284</v>
      </c>
      <c r="J239" s="51" t="s">
        <v>235</v>
      </c>
      <c r="K239" s="50">
        <v>2286</v>
      </c>
      <c r="L239" s="51" t="s">
        <v>204</v>
      </c>
      <c r="M239" s="50">
        <v>1139</v>
      </c>
      <c r="N239" s="51" t="s">
        <v>1292</v>
      </c>
      <c r="O239" s="50">
        <v>757</v>
      </c>
      <c r="P239" s="51" t="s">
        <v>4447</v>
      </c>
      <c r="Q239" s="50">
        <v>519</v>
      </c>
      <c r="R239" s="51" t="s">
        <v>205</v>
      </c>
      <c r="S239" s="50">
        <v>256</v>
      </c>
      <c r="T239" s="51" t="s">
        <v>239</v>
      </c>
      <c r="U239" s="50">
        <v>140</v>
      </c>
      <c r="V239" s="51" t="s">
        <v>240</v>
      </c>
      <c r="W239" s="50">
        <v>27</v>
      </c>
      <c r="X239" s="51" t="s">
        <v>4448</v>
      </c>
      <c r="Y239" s="50">
        <v>380</v>
      </c>
      <c r="Z239" s="51" t="s">
        <v>4449</v>
      </c>
      <c r="AA239" s="50">
        <v>256</v>
      </c>
    </row>
    <row r="240" spans="1:33" ht="22.5" customHeight="1" thickBot="1">
      <c r="A240" s="79" t="s">
        <v>4415</v>
      </c>
      <c r="C240" s="35" t="s">
        <v>4391</v>
      </c>
      <c r="D240" s="36" t="s">
        <v>4392</v>
      </c>
      <c r="E240" s="36" t="s">
        <v>4390</v>
      </c>
      <c r="F240" s="36" t="str">
        <f t="shared" si="6"/>
        <v>https://www.ssbuy.tw/detail_giftcode/dist/giftcodes/龍息：神寂.html</v>
      </c>
      <c r="G240" s="36" t="s">
        <v>4393</v>
      </c>
      <c r="H240" s="36" t="str">
        <f t="shared" si="7"/>
        <v>https://www.ssbuy.tw/detail_giftcode/dist/gamedetail/龍息：神寂.html</v>
      </c>
      <c r="I240" s="37" t="s">
        <v>4394</v>
      </c>
      <c r="J240" s="51" t="s">
        <v>4402</v>
      </c>
      <c r="K240" s="50">
        <v>2479</v>
      </c>
      <c r="L240" s="51" t="s">
        <v>4403</v>
      </c>
      <c r="M240" s="50">
        <v>1292</v>
      </c>
      <c r="N240" s="51" t="s">
        <v>4404</v>
      </c>
      <c r="O240" s="50">
        <v>757</v>
      </c>
      <c r="P240" s="51" t="s">
        <v>4405</v>
      </c>
      <c r="Q240" s="50">
        <v>380</v>
      </c>
      <c r="R240" s="51" t="s">
        <v>4406</v>
      </c>
      <c r="S240" s="50">
        <v>140</v>
      </c>
      <c r="T240" s="51" t="s">
        <v>4407</v>
      </c>
      <c r="U240" s="50">
        <v>50</v>
      </c>
    </row>
    <row r="241" spans="1:31" ht="22.5" customHeight="1" thickBot="1">
      <c r="A241" s="53" t="s">
        <v>4416</v>
      </c>
      <c r="C241" s="35" t="s">
        <v>4422</v>
      </c>
      <c r="D241" s="35" t="s">
        <v>4420</v>
      </c>
      <c r="E241" s="36" t="s">
        <v>4421</v>
      </c>
      <c r="F241" s="36" t="str">
        <f t="shared" si="6"/>
        <v>https://www.ssbuy.tw/detail_giftcode/dist/giftcodes/玩具對決.html</v>
      </c>
      <c r="G241" s="36" t="s">
        <v>4419</v>
      </c>
      <c r="H241" s="36" t="str">
        <f t="shared" si="7"/>
        <v>https://www.ssbuy.tw/detail_giftcode/dist/gamedetail/玩具對決.html</v>
      </c>
      <c r="I241" s="64" t="s">
        <v>5148</v>
      </c>
      <c r="J241" s="51" t="s">
        <v>4432</v>
      </c>
      <c r="K241" s="50">
        <v>2286</v>
      </c>
      <c r="L241" s="51" t="s">
        <v>4433</v>
      </c>
      <c r="M241" s="50">
        <v>1139</v>
      </c>
      <c r="N241" s="51" t="s">
        <v>4169</v>
      </c>
      <c r="O241" s="50">
        <v>535</v>
      </c>
      <c r="P241" s="51" t="s">
        <v>4434</v>
      </c>
      <c r="Q241" s="50">
        <v>248</v>
      </c>
      <c r="R241" s="51" t="s">
        <v>27</v>
      </c>
      <c r="S241" s="50">
        <v>124</v>
      </c>
      <c r="T241" s="51" t="s">
        <v>3558</v>
      </c>
      <c r="U241" s="50">
        <v>25</v>
      </c>
      <c r="V241" s="51" t="s">
        <v>4435</v>
      </c>
      <c r="W241" s="50">
        <v>248</v>
      </c>
      <c r="X241" s="51" t="s">
        <v>1560</v>
      </c>
      <c r="Y241" s="50">
        <v>171</v>
      </c>
      <c r="Z241" s="51" t="s">
        <v>4436</v>
      </c>
      <c r="AA241" s="50">
        <v>124</v>
      </c>
    </row>
    <row r="242" spans="1:31" ht="22.5" customHeight="1" thickBot="1">
      <c r="A242" s="53" t="s">
        <v>4417</v>
      </c>
      <c r="C242" s="36" t="s">
        <v>4424</v>
      </c>
      <c r="D242" s="36" t="s">
        <v>4424</v>
      </c>
      <c r="E242" s="36" t="s">
        <v>4424</v>
      </c>
      <c r="F242" s="36" t="str">
        <f t="shared" si="6"/>
        <v>https://www.ssbuy.tw/detail_giftcode/dist/giftcodes/幸福都市：市長模擬器.html</v>
      </c>
      <c r="G242" s="36" t="s">
        <v>4423</v>
      </c>
      <c r="H242" s="36" t="str">
        <f t="shared" si="7"/>
        <v>https://www.ssbuy.tw/detail_giftcode/dist/gamedetail/幸福都市：市長模擬器.html</v>
      </c>
      <c r="I242" s="64" t="s">
        <v>5149</v>
      </c>
      <c r="J242" s="51" t="s">
        <v>301</v>
      </c>
      <c r="K242" s="50">
        <v>2286</v>
      </c>
      <c r="L242" s="51" t="s">
        <v>302</v>
      </c>
      <c r="M242" s="50">
        <v>1139</v>
      </c>
      <c r="N242" s="51" t="s">
        <v>264</v>
      </c>
      <c r="O242" s="50">
        <v>535</v>
      </c>
      <c r="P242" s="51" t="s">
        <v>1457</v>
      </c>
      <c r="Q242" s="50">
        <v>457</v>
      </c>
      <c r="R242" s="51" t="s">
        <v>249</v>
      </c>
      <c r="S242" s="50">
        <v>225</v>
      </c>
      <c r="T242" s="51" t="s">
        <v>1560</v>
      </c>
      <c r="U242" s="50">
        <v>457</v>
      </c>
      <c r="V242" s="51" t="s">
        <v>107</v>
      </c>
      <c r="W242" s="50">
        <v>248</v>
      </c>
    </row>
    <row r="243" spans="1:31" ht="22.5" customHeight="1" thickBot="1">
      <c r="A243" s="53" t="s">
        <v>4418</v>
      </c>
      <c r="C243" s="35" t="s">
        <v>4431</v>
      </c>
      <c r="D243" s="36" t="s">
        <v>4429</v>
      </c>
      <c r="E243" s="36" t="s">
        <v>4426</v>
      </c>
      <c r="F243" s="36" t="str">
        <f t="shared" si="6"/>
        <v>https://www.ssbuy.tw/detail_giftcode/dist/giftcodes/黑道傳奇.html</v>
      </c>
      <c r="G243" s="36" t="s">
        <v>4425</v>
      </c>
      <c r="H243" s="36" t="str">
        <f t="shared" si="7"/>
        <v>https://www.ssbuy.tw/detail_giftcode/dist/gamedetail/黑道傳奇.html</v>
      </c>
      <c r="I243" s="64" t="s">
        <v>5150</v>
      </c>
      <c r="J243" s="51" t="s">
        <v>4437</v>
      </c>
      <c r="K243" s="50">
        <v>2479</v>
      </c>
      <c r="L243" s="51" t="s">
        <v>4438</v>
      </c>
      <c r="M243" s="50">
        <v>1292</v>
      </c>
      <c r="N243" s="51" t="s">
        <v>4439</v>
      </c>
      <c r="O243" s="50">
        <v>757</v>
      </c>
      <c r="P243" s="51" t="s">
        <v>4440</v>
      </c>
      <c r="Q243" s="50">
        <v>634</v>
      </c>
      <c r="R243" s="51" t="s">
        <v>127</v>
      </c>
      <c r="S243" s="50">
        <v>380</v>
      </c>
      <c r="T243" s="51" t="s">
        <v>128</v>
      </c>
      <c r="U243" s="50">
        <v>256</v>
      </c>
      <c r="V243" s="51" t="s">
        <v>4441</v>
      </c>
      <c r="W243" s="50">
        <v>140</v>
      </c>
      <c r="X243" s="51" t="s">
        <v>4442</v>
      </c>
      <c r="Y243" s="50">
        <v>83</v>
      </c>
      <c r="Z243" s="51" t="s">
        <v>4443</v>
      </c>
      <c r="AA243" s="50">
        <v>57</v>
      </c>
    </row>
    <row r="244" spans="1:31" ht="22.5" customHeight="1" thickBot="1">
      <c r="A244" s="53" t="s">
        <v>5136</v>
      </c>
      <c r="C244" s="35" t="s">
        <v>3626</v>
      </c>
      <c r="D244" s="36" t="s">
        <v>4430</v>
      </c>
      <c r="E244" s="36" t="s">
        <v>4427</v>
      </c>
      <c r="F244" s="36" t="str">
        <f t="shared" si="6"/>
        <v>https://www.ssbuy.tw/detail_giftcode/dist/giftcodes/The kingdom：medieval tales.html</v>
      </c>
      <c r="G244" s="36" t="s">
        <v>4428</v>
      </c>
      <c r="H244" s="36" t="str">
        <f t="shared" si="7"/>
        <v>https://www.ssbuy.tw/detail_giftcode/dist/gamedetail/The kingdom：medieval tales.html</v>
      </c>
      <c r="I244" s="64" t="s">
        <v>5151</v>
      </c>
      <c r="J244" s="51" t="s">
        <v>301</v>
      </c>
      <c r="K244" s="50">
        <v>2286</v>
      </c>
      <c r="L244" s="51" t="s">
        <v>302</v>
      </c>
      <c r="M244" s="50">
        <v>1139</v>
      </c>
      <c r="N244" s="51" t="s">
        <v>263</v>
      </c>
      <c r="O244" s="50">
        <v>612</v>
      </c>
      <c r="P244" s="51" t="s">
        <v>1457</v>
      </c>
      <c r="Q244" s="50">
        <v>457</v>
      </c>
      <c r="R244" s="51" t="s">
        <v>249</v>
      </c>
      <c r="S244" s="50">
        <v>225</v>
      </c>
      <c r="T244" s="51" t="s">
        <v>281</v>
      </c>
      <c r="U244" s="50">
        <v>140</v>
      </c>
      <c r="V244" s="51" t="s">
        <v>252</v>
      </c>
      <c r="W244" s="50">
        <v>99</v>
      </c>
      <c r="X244" s="51" t="s">
        <v>4444</v>
      </c>
      <c r="Y244" s="50">
        <v>225</v>
      </c>
      <c r="Z244" s="51" t="s">
        <v>4445</v>
      </c>
      <c r="AA244" s="50">
        <v>302</v>
      </c>
      <c r="AB244" s="51" t="s">
        <v>4446</v>
      </c>
      <c r="AC244" s="50">
        <v>612</v>
      </c>
    </row>
    <row r="245" spans="1:31" ht="22.5" customHeight="1" thickBot="1">
      <c r="A245" s="53" t="s">
        <v>5137</v>
      </c>
      <c r="C245" s="77" t="s">
        <v>4473</v>
      </c>
      <c r="D245" s="43" t="s">
        <v>4463</v>
      </c>
      <c r="E245" s="36" t="s">
        <v>4456</v>
      </c>
      <c r="F245" s="36" t="str">
        <f t="shared" si="6"/>
        <v>https://www.ssbuy.tw/detail_giftcode/dist/giftcodes/七龍珠激震小隊.html</v>
      </c>
      <c r="G245" s="36" t="s">
        <v>4455</v>
      </c>
      <c r="H245" s="36" t="str">
        <f t="shared" si="7"/>
        <v>https://www.ssbuy.tw/detail_giftcode/dist/gamedetail/七龍珠激震小隊.html</v>
      </c>
      <c r="I245" s="37" t="s">
        <v>4469</v>
      </c>
      <c r="J245" s="51" t="s">
        <v>4475</v>
      </c>
      <c r="K245" s="50">
        <v>2056</v>
      </c>
      <c r="L245" s="51" t="s">
        <v>4476</v>
      </c>
      <c r="M245" s="50">
        <v>1009</v>
      </c>
      <c r="N245" s="51" t="s">
        <v>4477</v>
      </c>
      <c r="O245" s="50">
        <v>519</v>
      </c>
      <c r="P245" s="51" t="s">
        <v>4478</v>
      </c>
      <c r="Q245" s="50">
        <v>178</v>
      </c>
      <c r="R245" s="51" t="s">
        <v>4479</v>
      </c>
      <c r="S245" s="50">
        <v>58</v>
      </c>
      <c r="T245" s="51" t="s">
        <v>4480</v>
      </c>
      <c r="U245" s="50">
        <v>1139</v>
      </c>
      <c r="V245" s="51" t="s">
        <v>4481</v>
      </c>
      <c r="W245" s="50">
        <v>256</v>
      </c>
    </row>
    <row r="246" spans="1:31" ht="22.5" customHeight="1" thickBot="1">
      <c r="A246" s="53" t="s">
        <v>4452</v>
      </c>
      <c r="C246" s="35" t="s">
        <v>4474</v>
      </c>
      <c r="D246" s="36" t="s">
        <v>4468</v>
      </c>
      <c r="E246" s="43" t="s">
        <v>4457</v>
      </c>
      <c r="F246" s="36" t="str">
        <f t="shared" si="6"/>
        <v>https://www.ssbuy.tw/detail_giftcode/dist/giftcodes/Grave Strikers.html</v>
      </c>
      <c r="G246" s="36" t="s">
        <v>4458</v>
      </c>
      <c r="H246" s="36" t="str">
        <f t="shared" si="7"/>
        <v>https://www.ssbuy.tw/detail_giftcode/dist/gamedetail/Grave Strikers.html</v>
      </c>
      <c r="I246" s="37" t="s">
        <v>4470</v>
      </c>
      <c r="J246" s="51" t="s">
        <v>5138</v>
      </c>
      <c r="K246" s="50">
        <v>1139</v>
      </c>
      <c r="L246" s="51" t="s">
        <v>4497</v>
      </c>
      <c r="M246" s="50">
        <v>225</v>
      </c>
      <c r="N246" s="51" t="s">
        <v>4498</v>
      </c>
      <c r="O246" s="50">
        <v>99</v>
      </c>
      <c r="P246" s="51" t="s">
        <v>4499</v>
      </c>
      <c r="Q246" s="50">
        <v>25</v>
      </c>
    </row>
    <row r="247" spans="1:31" ht="22.5" customHeight="1" thickBot="1">
      <c r="A247" s="53" t="s">
        <v>4453</v>
      </c>
      <c r="C247" s="35" t="s">
        <v>4467</v>
      </c>
      <c r="D247" s="36" t="s">
        <v>4466</v>
      </c>
      <c r="E247" s="36" t="s">
        <v>4459</v>
      </c>
      <c r="F247" s="36" t="str">
        <f t="shared" si="6"/>
        <v>https://www.ssbuy.tw/detail_giftcode/dist/giftcodes/Stellar Sanctuary.html</v>
      </c>
      <c r="G247" s="36" t="s">
        <v>4460</v>
      </c>
      <c r="H247" s="36" t="str">
        <f t="shared" si="7"/>
        <v>https://www.ssbuy.tw/detail_giftcode/dist/gamedetail/Stellar Sanctuary.html</v>
      </c>
      <c r="I247" s="37" t="s">
        <v>4471</v>
      </c>
      <c r="J247" s="51" t="s">
        <v>4496</v>
      </c>
      <c r="K247" s="50">
        <v>2623</v>
      </c>
      <c r="L247" s="51" t="s">
        <v>4500</v>
      </c>
      <c r="M247" s="50">
        <v>2623</v>
      </c>
      <c r="N247" s="51" t="s">
        <v>4501</v>
      </c>
      <c r="O247" s="50">
        <v>1330</v>
      </c>
      <c r="P247" s="51" t="s">
        <v>4502</v>
      </c>
      <c r="Q247" s="50">
        <v>543</v>
      </c>
      <c r="R247" s="51" t="s">
        <v>4503</v>
      </c>
      <c r="S247" s="50">
        <v>271</v>
      </c>
      <c r="T247" s="51" t="s">
        <v>4504</v>
      </c>
      <c r="U247" s="50">
        <v>149</v>
      </c>
      <c r="V247" s="51" t="s">
        <v>4505</v>
      </c>
      <c r="W247" s="50">
        <v>29</v>
      </c>
    </row>
    <row r="248" spans="1:31" ht="22.5" customHeight="1" thickBot="1">
      <c r="A248" s="53" t="s">
        <v>4454</v>
      </c>
      <c r="C248" s="35" t="s">
        <v>4464</v>
      </c>
      <c r="D248" s="43" t="s">
        <v>4465</v>
      </c>
      <c r="E248" s="36" t="s">
        <v>4461</v>
      </c>
      <c r="F248" s="36" t="str">
        <f t="shared" si="6"/>
        <v>https://www.ssbuy.tw/detail_giftcode/dist/giftcodes/古惑仔：風雲再起.html</v>
      </c>
      <c r="G248" s="36" t="s">
        <v>4462</v>
      </c>
      <c r="H248" s="36" t="str">
        <f t="shared" si="7"/>
        <v>https://www.ssbuy.tw/detail_giftcode/dist/gamedetail/古惑仔：風雲再起.html</v>
      </c>
      <c r="I248" s="37" t="s">
        <v>4472</v>
      </c>
      <c r="J248" s="51" t="s">
        <v>4482</v>
      </c>
      <c r="K248" s="50">
        <v>2449</v>
      </c>
      <c r="L248" s="51" t="s">
        <v>4483</v>
      </c>
      <c r="M248" s="50">
        <v>1911</v>
      </c>
      <c r="N248" s="51" t="s">
        <v>4484</v>
      </c>
      <c r="O248" s="50">
        <v>1529</v>
      </c>
      <c r="P248" s="51" t="s">
        <v>4485</v>
      </c>
      <c r="Q248" s="50">
        <v>1254</v>
      </c>
      <c r="R248" s="51" t="s">
        <v>4486</v>
      </c>
      <c r="S248" s="50">
        <v>757</v>
      </c>
      <c r="T248" s="51" t="s">
        <v>4487</v>
      </c>
      <c r="U248" s="50">
        <v>380</v>
      </c>
      <c r="V248" s="51" t="s">
        <v>4488</v>
      </c>
      <c r="W248" s="50">
        <v>264</v>
      </c>
      <c r="X248" s="51" t="s">
        <v>4489</v>
      </c>
      <c r="Y248" s="50">
        <v>124</v>
      </c>
      <c r="Z248" s="51" t="s">
        <v>4490</v>
      </c>
      <c r="AA248" s="50">
        <v>25</v>
      </c>
    </row>
    <row r="249" spans="1:31" ht="22.5" customHeight="1" thickBot="1">
      <c r="A249" s="53" t="s">
        <v>4535</v>
      </c>
      <c r="C249" s="35" t="s">
        <v>4539</v>
      </c>
      <c r="D249" s="36" t="s">
        <v>4538</v>
      </c>
      <c r="E249" s="36" t="s">
        <v>4540</v>
      </c>
      <c r="F249" s="36" t="str">
        <f t="shared" ref="F249:F253" si="8">IF(A249="","", "https://www.ssbuy.tw/detail_giftcode/dist/giftcodes/" &amp; IF(ISNUMBER(LEFT(A249,1)*1), "game-", "") &amp; A249 &amp; ".html")</f>
        <v>https://www.ssbuy.tw/detail_giftcode/dist/giftcodes/女神秘令.html</v>
      </c>
      <c r="G249" s="43" t="s">
        <v>4541</v>
      </c>
      <c r="H249" s="36" t="str">
        <f t="shared" ref="H249:H253" si="9">IF(A249="","", "https://www.ssbuy.tw/detail_giftcode/dist/gamedetail/" &amp; IF(ISNUMBER(LEFT(A249,1)*1), "game-", "") &amp; A249 &amp; ".html")</f>
        <v>https://www.ssbuy.tw/detail_giftcode/dist/gamedetail/女神秘令.html</v>
      </c>
      <c r="I249" s="37" t="s">
        <v>4554</v>
      </c>
      <c r="J249" s="51" t="s">
        <v>301</v>
      </c>
      <c r="K249" s="53">
        <v>2286</v>
      </c>
      <c r="L249" s="51" t="s">
        <v>302</v>
      </c>
      <c r="M249" s="53">
        <v>1139</v>
      </c>
      <c r="N249" s="51" t="s">
        <v>262</v>
      </c>
      <c r="O249" s="53">
        <v>757</v>
      </c>
      <c r="P249" s="51" t="s">
        <v>279</v>
      </c>
      <c r="Q249" s="53">
        <v>519</v>
      </c>
      <c r="R249" s="51" t="s">
        <v>1493</v>
      </c>
      <c r="S249" s="53">
        <v>380</v>
      </c>
      <c r="T249" s="51" t="s">
        <v>280</v>
      </c>
      <c r="U249" s="53">
        <v>256</v>
      </c>
      <c r="V249" s="51" t="s">
        <v>281</v>
      </c>
      <c r="W249" s="53">
        <v>140</v>
      </c>
      <c r="X249" s="51" t="s">
        <v>1428</v>
      </c>
      <c r="Y249" s="53">
        <v>27</v>
      </c>
    </row>
    <row r="250" spans="1:31" ht="22.5" customHeight="1" thickBot="1">
      <c r="A250" s="53" t="s">
        <v>4536</v>
      </c>
      <c r="C250" s="77" t="s">
        <v>4544</v>
      </c>
      <c r="D250" s="43" t="s">
        <v>4545</v>
      </c>
      <c r="E250" s="43" t="s">
        <v>4543</v>
      </c>
      <c r="F250" s="36" t="str">
        <f t="shared" si="8"/>
        <v>https://www.ssbuy.tw/detail_giftcode/dist/giftcodes/Torerowa.html</v>
      </c>
      <c r="G250" s="36" t="s">
        <v>4542</v>
      </c>
      <c r="H250" s="36" t="str">
        <f t="shared" si="9"/>
        <v>https://www.ssbuy.tw/detail_giftcode/dist/gamedetail/Torerowa.html</v>
      </c>
      <c r="I250" s="37" t="s">
        <v>4555</v>
      </c>
      <c r="J250" s="51" t="s">
        <v>4565</v>
      </c>
      <c r="K250" s="53">
        <v>2293</v>
      </c>
      <c r="L250" s="51" t="s">
        <v>4566</v>
      </c>
      <c r="M250" s="53">
        <v>1529</v>
      </c>
      <c r="N250" s="51" t="s">
        <v>4567</v>
      </c>
      <c r="O250" s="53">
        <v>764</v>
      </c>
      <c r="P250" s="51" t="s">
        <v>4568</v>
      </c>
      <c r="Q250" s="53">
        <v>465</v>
      </c>
      <c r="R250" s="51" t="s">
        <v>4569</v>
      </c>
      <c r="S250" s="53">
        <v>165</v>
      </c>
      <c r="T250" s="51" t="s">
        <v>4570</v>
      </c>
      <c r="U250" s="53">
        <v>124</v>
      </c>
      <c r="V250" s="51" t="s">
        <v>4571</v>
      </c>
      <c r="W250" s="53">
        <v>33</v>
      </c>
    </row>
    <row r="251" spans="1:31" ht="22.5" customHeight="1" thickBot="1">
      <c r="A251" s="53" t="s">
        <v>4537</v>
      </c>
      <c r="C251" s="77" t="s">
        <v>4547</v>
      </c>
      <c r="D251" s="43" t="s">
        <v>4549</v>
      </c>
      <c r="E251" s="43" t="s">
        <v>4548</v>
      </c>
      <c r="F251" s="36" t="str">
        <f t="shared" si="8"/>
        <v>https://www.ssbuy.tw/detail_giftcode/dist/giftcodes/Ricochet Squad.html</v>
      </c>
      <c r="G251" s="43" t="s">
        <v>4546</v>
      </c>
      <c r="H251" s="36" t="str">
        <f t="shared" si="9"/>
        <v>https://www.ssbuy.tw/detail_giftcode/dist/gamedetail/Ricochet Squad.html</v>
      </c>
      <c r="I251" s="37" t="s">
        <v>4556</v>
      </c>
      <c r="J251" s="51" t="s">
        <v>4572</v>
      </c>
      <c r="K251" s="53">
        <v>2286</v>
      </c>
      <c r="L251" s="51" t="s">
        <v>4573</v>
      </c>
      <c r="M251" s="53">
        <v>1139</v>
      </c>
      <c r="N251" s="51" t="s">
        <v>4574</v>
      </c>
      <c r="O251" s="53">
        <v>535</v>
      </c>
      <c r="P251" s="51" t="s">
        <v>4575</v>
      </c>
      <c r="Q251" s="53">
        <v>248</v>
      </c>
      <c r="R251" s="51" t="s">
        <v>4576</v>
      </c>
      <c r="S251" s="53">
        <v>124</v>
      </c>
      <c r="T251" s="51" t="s">
        <v>4577</v>
      </c>
      <c r="U251" s="53">
        <v>25</v>
      </c>
    </row>
    <row r="252" spans="1:31" ht="22.5" customHeight="1" thickBot="1">
      <c r="A252" s="53" t="s">
        <v>4550</v>
      </c>
      <c r="C252" s="77" t="s">
        <v>4553</v>
      </c>
      <c r="D252" s="43" t="s">
        <v>4553</v>
      </c>
      <c r="E252" s="36" t="s">
        <v>4551</v>
      </c>
      <c r="F252" s="36" t="str">
        <f t="shared" si="8"/>
        <v>https://www.ssbuy.tw/detail_giftcode/dist/giftcodes/魔法村物語.html</v>
      </c>
      <c r="G252" s="36" t="s">
        <v>4552</v>
      </c>
      <c r="H252" s="36" t="str">
        <f t="shared" si="9"/>
        <v>https://www.ssbuy.tw/detail_giftcode/dist/gamedetail/魔法村物語.html</v>
      </c>
      <c r="I252" s="37" t="s">
        <v>4557</v>
      </c>
      <c r="J252" s="51" t="s">
        <v>12</v>
      </c>
      <c r="K252" s="53">
        <v>2286</v>
      </c>
      <c r="L252" s="51" t="s">
        <v>13</v>
      </c>
      <c r="M252" s="53">
        <v>1139</v>
      </c>
      <c r="N252" s="51" t="s">
        <v>24</v>
      </c>
      <c r="O252" s="53">
        <v>757</v>
      </c>
      <c r="P252" s="51" t="s">
        <v>14</v>
      </c>
      <c r="Q252" s="53">
        <v>519</v>
      </c>
      <c r="R252" s="51" t="s">
        <v>120</v>
      </c>
      <c r="S252" s="53">
        <v>248</v>
      </c>
      <c r="T252" s="51" t="s">
        <v>16</v>
      </c>
      <c r="U252" s="53">
        <v>124</v>
      </c>
      <c r="V252" s="51" t="s">
        <v>7</v>
      </c>
      <c r="W252" s="53">
        <v>25</v>
      </c>
      <c r="X252" s="51" t="s">
        <v>4584</v>
      </c>
      <c r="Y252" s="53">
        <v>535</v>
      </c>
      <c r="Z252" s="51" t="s">
        <v>4585</v>
      </c>
      <c r="AA252" s="53">
        <v>248</v>
      </c>
      <c r="AB252" s="51" t="s">
        <v>4586</v>
      </c>
      <c r="AC252" s="53">
        <v>124</v>
      </c>
    </row>
    <row r="253" spans="1:31" ht="22.5" customHeight="1" thickBot="1">
      <c r="A253" s="53" t="s">
        <v>4618</v>
      </c>
      <c r="C253" s="77" t="s">
        <v>4622</v>
      </c>
      <c r="D253" s="43" t="s">
        <v>4622</v>
      </c>
      <c r="E253" s="43" t="s">
        <v>4621</v>
      </c>
      <c r="F253" s="36" t="str">
        <f t="shared" si="8"/>
        <v>https://www.ssbuy.tw/detail_giftcode/dist/giftcodes/奇蹟MU：騎士袋你飛.html</v>
      </c>
      <c r="G253" s="43" t="s">
        <v>4620</v>
      </c>
      <c r="H253" s="36" t="str">
        <f t="shared" si="9"/>
        <v>https://www.ssbuy.tw/detail_giftcode/dist/gamedetail/奇蹟MU：騎士袋你飛.html</v>
      </c>
      <c r="I253" s="37" t="s">
        <v>4646</v>
      </c>
      <c r="J253" s="51" t="s">
        <v>145</v>
      </c>
      <c r="K253" s="53">
        <v>1605</v>
      </c>
      <c r="L253" s="51" t="s">
        <v>146</v>
      </c>
      <c r="M253" s="53">
        <v>810</v>
      </c>
      <c r="N253" s="51" t="s">
        <v>147</v>
      </c>
      <c r="O253" s="53">
        <v>496</v>
      </c>
      <c r="P253" s="51" t="s">
        <v>4648</v>
      </c>
      <c r="Q253" s="53">
        <v>198</v>
      </c>
      <c r="R253" s="51" t="s">
        <v>149</v>
      </c>
      <c r="S253" s="53">
        <v>103</v>
      </c>
      <c r="T253" s="51" t="s">
        <v>3978</v>
      </c>
      <c r="U253" s="53">
        <v>21</v>
      </c>
      <c r="V253" s="51" t="s">
        <v>4649</v>
      </c>
      <c r="W253" s="53">
        <v>163</v>
      </c>
      <c r="X253" s="51" t="s">
        <v>4650</v>
      </c>
      <c r="Y253" s="53">
        <v>58</v>
      </c>
      <c r="Z253" s="51" t="s">
        <v>4651</v>
      </c>
      <c r="AA253" s="53">
        <v>58</v>
      </c>
      <c r="AB253" s="51" t="s">
        <v>4652</v>
      </c>
      <c r="AC253" s="53">
        <v>58</v>
      </c>
      <c r="AD253" s="51" t="s">
        <v>4653</v>
      </c>
      <c r="AE253" s="53">
        <v>107</v>
      </c>
    </row>
    <row r="254" spans="1:31" ht="22.5" customHeight="1" thickBot="1">
      <c r="A254" s="53" t="s">
        <v>4619</v>
      </c>
      <c r="C254" s="77" t="s">
        <v>4625</v>
      </c>
      <c r="D254" s="43" t="s">
        <v>4625</v>
      </c>
      <c r="E254" s="43" t="s">
        <v>4624</v>
      </c>
      <c r="F254" s="36" t="str">
        <f t="shared" si="6"/>
        <v>https://www.ssbuy.tw/detail_giftcode/dist/giftcodes/AUR3：影月幻域.html</v>
      </c>
      <c r="G254" s="43" t="s">
        <v>4623</v>
      </c>
      <c r="H254" s="36" t="str">
        <f t="shared" si="7"/>
        <v>https://www.ssbuy.tw/detail_giftcode/dist/gamedetail/AUR3：影月幻域.html</v>
      </c>
      <c r="I254" s="37" t="s">
        <v>4647</v>
      </c>
      <c r="J254" s="51" t="s">
        <v>4654</v>
      </c>
      <c r="K254" s="53">
        <v>1139</v>
      </c>
      <c r="L254" s="51" t="s">
        <v>4655</v>
      </c>
      <c r="M254" s="53">
        <v>612</v>
      </c>
      <c r="N254" s="51" t="s">
        <v>4656</v>
      </c>
      <c r="O254" s="53">
        <v>380</v>
      </c>
      <c r="P254" s="51" t="s">
        <v>5139</v>
      </c>
      <c r="Q254" s="53">
        <v>194</v>
      </c>
      <c r="R254" s="51" t="s">
        <v>4657</v>
      </c>
      <c r="S254" s="53">
        <v>74</v>
      </c>
      <c r="T254" s="51" t="s">
        <v>4658</v>
      </c>
      <c r="U254" s="53">
        <v>17</v>
      </c>
      <c r="V254" s="51" t="s">
        <v>4659</v>
      </c>
      <c r="W254" s="53">
        <v>194</v>
      </c>
      <c r="X254" s="51" t="s">
        <v>4660</v>
      </c>
      <c r="Y254" s="53">
        <v>74</v>
      </c>
    </row>
    <row r="255" spans="1:31" ht="22.5" customHeight="1" thickBot="1">
      <c r="A255" s="53" t="s">
        <v>4682</v>
      </c>
      <c r="C255" s="77" t="s">
        <v>4671</v>
      </c>
      <c r="D255" s="43" t="s">
        <v>4672</v>
      </c>
      <c r="E255" s="43" t="s">
        <v>4669</v>
      </c>
      <c r="F255" s="36" t="str">
        <f t="shared" si="6"/>
        <v>https://www.ssbuy.tw/detail_giftcode/dist/giftcodes/純潔的魔法少女.html</v>
      </c>
      <c r="G255" s="43" t="s">
        <v>4670</v>
      </c>
      <c r="H255" s="36" t="str">
        <f t="shared" si="7"/>
        <v>https://www.ssbuy.tw/detail_giftcode/dist/gamedetail/純潔的魔法少女.html</v>
      </c>
      <c r="I255" s="37" t="s">
        <v>4686</v>
      </c>
      <c r="J255" s="51" t="s">
        <v>4701</v>
      </c>
      <c r="K255" s="53">
        <v>2555</v>
      </c>
      <c r="L255" s="51" t="s">
        <v>4702</v>
      </c>
      <c r="M255" s="53">
        <v>1331</v>
      </c>
      <c r="N255" s="51" t="s">
        <v>4703</v>
      </c>
      <c r="O255" s="53">
        <v>780</v>
      </c>
      <c r="P255" s="51" t="s">
        <v>4704</v>
      </c>
      <c r="Q255" s="53">
        <v>264</v>
      </c>
      <c r="R255" s="51" t="s">
        <v>4705</v>
      </c>
      <c r="S255" s="53">
        <v>145</v>
      </c>
      <c r="T255" s="51" t="s">
        <v>4706</v>
      </c>
      <c r="U255" s="53">
        <v>28</v>
      </c>
      <c r="V255" s="51" t="s">
        <v>4707</v>
      </c>
      <c r="W255" s="53">
        <v>216</v>
      </c>
    </row>
    <row r="256" spans="1:31" ht="22.5" customHeight="1" thickBot="1">
      <c r="A256" s="53" t="s">
        <v>4665</v>
      </c>
      <c r="C256" s="77" t="s">
        <v>4673</v>
      </c>
      <c r="D256" s="43" t="s">
        <v>4678</v>
      </c>
      <c r="E256" s="43" t="s">
        <v>4677</v>
      </c>
      <c r="F256" s="36" t="str">
        <f t="shared" si="6"/>
        <v>https://www.ssbuy.tw/detail_giftcode/dist/giftcodes/Next Agers.html</v>
      </c>
      <c r="G256" s="43" t="s">
        <v>4676</v>
      </c>
      <c r="H256" s="36" t="str">
        <f t="shared" si="7"/>
        <v>https://www.ssbuy.tw/detail_giftcode/dist/gamedetail/Next Agers.html</v>
      </c>
      <c r="I256" s="37" t="s">
        <v>4687</v>
      </c>
      <c r="J256" s="51" t="s">
        <v>4</v>
      </c>
      <c r="K256" s="53">
        <v>2702</v>
      </c>
      <c r="L256" s="51" t="s">
        <v>5</v>
      </c>
      <c r="M256" s="53">
        <v>1370</v>
      </c>
      <c r="N256" s="51" t="s">
        <v>17</v>
      </c>
      <c r="O256" s="53">
        <v>559</v>
      </c>
      <c r="P256" s="51" t="s">
        <v>163</v>
      </c>
      <c r="Q256" s="53">
        <v>280</v>
      </c>
      <c r="R256" s="51" t="s">
        <v>6</v>
      </c>
      <c r="S256" s="53">
        <v>153</v>
      </c>
      <c r="T256" s="51" t="s">
        <v>164</v>
      </c>
      <c r="U256" s="53">
        <v>30</v>
      </c>
      <c r="V256" s="51" t="s">
        <v>4708</v>
      </c>
      <c r="W256" s="53">
        <v>6095</v>
      </c>
    </row>
    <row r="257" spans="1:33" ht="22.5" customHeight="1" thickBot="1">
      <c r="A257" s="53" t="s">
        <v>4666</v>
      </c>
      <c r="C257" s="77" t="s">
        <v>4674</v>
      </c>
      <c r="D257" s="43" t="s">
        <v>4679</v>
      </c>
      <c r="E257" s="43" t="s">
        <v>4680</v>
      </c>
      <c r="F257" s="36" t="str">
        <f t="shared" si="6"/>
        <v>https://www.ssbuy.tw/detail_giftcode/dist/giftcodes/屍不可擋.html</v>
      </c>
      <c r="G257" s="43" t="s">
        <v>4681</v>
      </c>
      <c r="H257" s="36" t="str">
        <f t="shared" si="7"/>
        <v>https://www.ssbuy.tw/detail_giftcode/dist/gamedetail/屍不可擋.html</v>
      </c>
      <c r="I257" s="37" t="s">
        <v>4688</v>
      </c>
      <c r="J257" s="51" t="s">
        <v>4709</v>
      </c>
      <c r="K257" s="53">
        <v>2355</v>
      </c>
      <c r="L257" s="51" t="s">
        <v>4710</v>
      </c>
      <c r="M257" s="53">
        <v>1016</v>
      </c>
      <c r="N257" s="51" t="s">
        <v>4711</v>
      </c>
      <c r="O257" s="53">
        <v>551</v>
      </c>
      <c r="P257" s="51" t="s">
        <v>4712</v>
      </c>
      <c r="Q257" s="53">
        <v>256</v>
      </c>
      <c r="R257" s="51" t="s">
        <v>28</v>
      </c>
      <c r="S257" s="53">
        <v>128</v>
      </c>
      <c r="T257" s="51" t="s">
        <v>4713</v>
      </c>
      <c r="U257" s="53">
        <v>26</v>
      </c>
      <c r="V257" s="51" t="s">
        <v>1674</v>
      </c>
      <c r="W257" s="53">
        <v>1961</v>
      </c>
      <c r="X257" s="51" t="s">
        <v>4714</v>
      </c>
      <c r="Y257" s="53">
        <v>1410</v>
      </c>
      <c r="Z257" s="51" t="s">
        <v>47</v>
      </c>
      <c r="AA257" s="53">
        <v>1016</v>
      </c>
      <c r="AB257" s="51" t="s">
        <v>152</v>
      </c>
      <c r="AC257" s="53">
        <v>551</v>
      </c>
    </row>
    <row r="258" spans="1:33" ht="22.5" customHeight="1" thickBot="1">
      <c r="A258" s="53" t="s">
        <v>4667</v>
      </c>
      <c r="C258" s="77" t="s">
        <v>4675</v>
      </c>
      <c r="D258" s="36" t="s">
        <v>4683</v>
      </c>
      <c r="E258" s="43" t="s">
        <v>4684</v>
      </c>
      <c r="F258" s="36" t="str">
        <f t="shared" si="6"/>
        <v>https://www.ssbuy.tw/detail_giftcode/dist/giftcodes/RF ONLINE NEXT.html</v>
      </c>
      <c r="G258" s="43" t="s">
        <v>4685</v>
      </c>
      <c r="H258" s="36" t="str">
        <f t="shared" si="7"/>
        <v>https://www.ssbuy.tw/detail_giftcode/dist/gamedetail/RF ONLINE NEXT.html</v>
      </c>
      <c r="I258" s="37" t="s">
        <v>4689</v>
      </c>
      <c r="J258" s="51" t="s">
        <v>4735</v>
      </c>
      <c r="K258" s="53">
        <v>1725</v>
      </c>
      <c r="L258" s="51" t="s">
        <v>1268</v>
      </c>
      <c r="M258" s="53">
        <v>937</v>
      </c>
      <c r="N258" s="51" t="s">
        <v>4736</v>
      </c>
      <c r="O258" s="53">
        <v>375</v>
      </c>
      <c r="P258" s="51" t="s">
        <v>4737</v>
      </c>
      <c r="Q258" s="53">
        <v>184</v>
      </c>
      <c r="R258" s="51" t="s">
        <v>1302</v>
      </c>
      <c r="S258" s="53">
        <v>85</v>
      </c>
      <c r="T258" s="51" t="s">
        <v>4738</v>
      </c>
      <c r="U258" s="53">
        <v>28</v>
      </c>
      <c r="V258" s="51" t="s">
        <v>4739</v>
      </c>
      <c r="W258" s="53">
        <v>583</v>
      </c>
      <c r="X258" s="51" t="s">
        <v>4740</v>
      </c>
      <c r="Y258" s="53">
        <v>145</v>
      </c>
      <c r="Z258" s="51" t="s">
        <v>4741</v>
      </c>
      <c r="AA258" s="53">
        <v>162</v>
      </c>
      <c r="AB258" s="51" t="s">
        <v>4742</v>
      </c>
      <c r="AC258" s="53">
        <v>1725</v>
      </c>
      <c r="AD258" s="51" t="s">
        <v>4743</v>
      </c>
      <c r="AE258" s="53">
        <v>1725</v>
      </c>
    </row>
    <row r="259" spans="1:33" ht="22.5" customHeight="1" thickBot="1">
      <c r="A259" s="64" t="s">
        <v>4726</v>
      </c>
      <c r="C259" s="77" t="s">
        <v>4725</v>
      </c>
      <c r="D259" s="36" t="s">
        <v>4724</v>
      </c>
      <c r="E259" s="36" t="s">
        <v>4723</v>
      </c>
      <c r="F259" s="36" t="str">
        <f t="shared" ref="F259:F267" si="10">IF(A259="","", "https://www.ssbuy.tw/detail_giftcode/dist/giftcodes/" &amp; IF(ISNUMBER(LEFT(A259,1)*1), "game-", "") &amp; A259 &amp; ".html")</f>
        <v>https://www.ssbuy.tw/detail_giftcode/dist/giftcodes/少女掌門人.html</v>
      </c>
      <c r="G259" s="43" t="s">
        <v>4727</v>
      </c>
      <c r="H259" s="36" t="str">
        <f t="shared" ref="H259:H283" si="11">IF(A259="","", "https://www.ssbuy.tw/detail_giftcode/dist/gamedetail/" &amp; IF(ISNUMBER(LEFT(A259,1)*1), "game-", "") &amp; A259 &amp; ".html")</f>
        <v>https://www.ssbuy.tw/detail_giftcode/dist/gamedetail/少女掌門人.html</v>
      </c>
      <c r="I259" s="37" t="s">
        <v>4728</v>
      </c>
      <c r="J259" s="51" t="s">
        <v>4715</v>
      </c>
      <c r="K259" s="53">
        <v>2048</v>
      </c>
      <c r="L259" s="51" t="s">
        <v>4716</v>
      </c>
      <c r="M259" s="53">
        <v>1181</v>
      </c>
      <c r="N259" s="51" t="s">
        <v>4717</v>
      </c>
      <c r="O259" s="53">
        <v>843</v>
      </c>
      <c r="P259" s="51" t="s">
        <v>4718</v>
      </c>
      <c r="Q259" s="53">
        <v>423</v>
      </c>
      <c r="R259" s="51" t="s">
        <v>4719</v>
      </c>
      <c r="S259" s="53">
        <v>216</v>
      </c>
      <c r="T259" s="51" t="s">
        <v>4720</v>
      </c>
      <c r="U259" s="53">
        <v>55</v>
      </c>
      <c r="V259" s="51" t="s">
        <v>3577</v>
      </c>
      <c r="W259" s="53">
        <v>630</v>
      </c>
      <c r="X259" s="51" t="s">
        <v>4721</v>
      </c>
      <c r="Y259" s="53">
        <v>439</v>
      </c>
      <c r="Z259" s="51" t="s">
        <v>4722</v>
      </c>
      <c r="AA259" s="53">
        <v>630</v>
      </c>
    </row>
    <row r="260" spans="1:33" ht="22.5" customHeight="1" thickBot="1">
      <c r="A260" s="64" t="s">
        <v>4767</v>
      </c>
      <c r="C260" s="35" t="s">
        <v>4761</v>
      </c>
      <c r="D260" s="77" t="s">
        <v>4766</v>
      </c>
      <c r="E260" s="43" t="s">
        <v>4765</v>
      </c>
      <c r="F260" s="36" t="str">
        <f t="shared" si="10"/>
        <v>https://www.ssbuy.tw/detail_giftcode/dist/giftcodes/翼之櫻：放置決鬥者.html</v>
      </c>
      <c r="G260" s="43" t="s">
        <v>4763</v>
      </c>
      <c r="H260" s="36" t="str">
        <f t="shared" si="11"/>
        <v>https://www.ssbuy.tw/detail_giftcode/dist/gamedetail/翼之櫻：放置決鬥者.html</v>
      </c>
      <c r="I260" s="37" t="s">
        <v>4776</v>
      </c>
      <c r="J260" s="51" t="s">
        <v>4744</v>
      </c>
      <c r="K260" s="53">
        <v>2355</v>
      </c>
      <c r="L260" s="51" t="s">
        <v>4745</v>
      </c>
      <c r="M260" s="53">
        <v>1173</v>
      </c>
      <c r="N260" s="51" t="s">
        <v>4746</v>
      </c>
      <c r="O260" s="53">
        <v>780</v>
      </c>
      <c r="P260" s="51" t="s">
        <v>4747</v>
      </c>
      <c r="Q260" s="53">
        <v>391</v>
      </c>
      <c r="R260" s="51" t="s">
        <v>4748</v>
      </c>
      <c r="S260" s="53">
        <v>128</v>
      </c>
      <c r="T260" s="51" t="s">
        <v>4749</v>
      </c>
      <c r="U260" s="53">
        <v>26</v>
      </c>
      <c r="V260" s="51" t="s">
        <v>107</v>
      </c>
      <c r="W260" s="53">
        <v>128</v>
      </c>
      <c r="X260" s="51" t="s">
        <v>4750</v>
      </c>
      <c r="Y260" s="53">
        <v>77</v>
      </c>
      <c r="Z260" s="51" t="s">
        <v>4751</v>
      </c>
      <c r="AA260" s="53">
        <v>176</v>
      </c>
      <c r="AB260" s="51" t="s">
        <v>4752</v>
      </c>
      <c r="AC260" s="53">
        <v>551</v>
      </c>
    </row>
    <row r="261" spans="1:33" ht="22.5" customHeight="1" thickBot="1">
      <c r="A261" s="53" t="s">
        <v>4733</v>
      </c>
      <c r="C261" s="77" t="s">
        <v>4769</v>
      </c>
      <c r="D261" s="43" t="s">
        <v>4770</v>
      </c>
      <c r="E261" s="43" t="s">
        <v>4771</v>
      </c>
      <c r="F261" s="36" t="str">
        <f t="shared" si="10"/>
        <v>https://www.ssbuy.tw/detail_giftcode/dist/giftcodes/Oniro ARPG.html</v>
      </c>
      <c r="G261" s="43" t="s">
        <v>4768</v>
      </c>
      <c r="H261" s="36" t="str">
        <f t="shared" si="11"/>
        <v>https://www.ssbuy.tw/detail_giftcode/dist/gamedetail/Oniro ARPG.html</v>
      </c>
      <c r="I261" s="37" t="s">
        <v>4774</v>
      </c>
      <c r="J261" s="51" t="s">
        <v>4753</v>
      </c>
      <c r="K261" s="53">
        <v>1961</v>
      </c>
      <c r="L261" s="51" t="s">
        <v>4754</v>
      </c>
      <c r="M261" s="53">
        <v>1016</v>
      </c>
      <c r="N261" s="51" t="s">
        <v>4755</v>
      </c>
      <c r="O261" s="53">
        <v>551</v>
      </c>
      <c r="P261" s="51" t="s">
        <v>4756</v>
      </c>
      <c r="Q261" s="53">
        <v>232</v>
      </c>
      <c r="R261" s="51" t="s">
        <v>4757</v>
      </c>
      <c r="S261" s="53">
        <v>102</v>
      </c>
      <c r="T261" s="51" t="s">
        <v>1377</v>
      </c>
      <c r="U261" s="53">
        <v>26</v>
      </c>
      <c r="V261" s="51" t="s">
        <v>4758</v>
      </c>
      <c r="W261" s="53">
        <v>622</v>
      </c>
      <c r="X261" s="51" t="s">
        <v>4759</v>
      </c>
      <c r="Y261" s="53">
        <v>1173</v>
      </c>
    </row>
    <row r="262" spans="1:33" ht="22.5" customHeight="1" thickBot="1">
      <c r="A262" s="53" t="s">
        <v>4734</v>
      </c>
      <c r="C262" s="35" t="s">
        <v>4762</v>
      </c>
      <c r="D262" s="43" t="s">
        <v>4773</v>
      </c>
      <c r="E262" s="43" t="s">
        <v>4772</v>
      </c>
      <c r="F262" s="36" t="str">
        <f t="shared" si="10"/>
        <v>https://www.ssbuy.tw/detail_giftcode/dist/giftcodes/Legend of YMIR.html</v>
      </c>
      <c r="G262" s="43" t="s">
        <v>4764</v>
      </c>
      <c r="H262" s="36" t="str">
        <f t="shared" si="11"/>
        <v>https://www.ssbuy.tw/detail_giftcode/dist/gamedetail/Legend of YMIR.html</v>
      </c>
      <c r="I262" s="37" t="s">
        <v>4775</v>
      </c>
      <c r="J262" s="51" t="s">
        <v>1268</v>
      </c>
      <c r="K262" s="53">
        <v>2355</v>
      </c>
      <c r="L262" s="51" t="s">
        <v>17</v>
      </c>
      <c r="M262" s="53">
        <v>1173</v>
      </c>
      <c r="N262" s="51" t="s">
        <v>64</v>
      </c>
      <c r="O262" s="53">
        <v>780</v>
      </c>
      <c r="P262" s="51" t="s">
        <v>1277</v>
      </c>
      <c r="Q262" s="53">
        <v>256</v>
      </c>
      <c r="R262" s="51" t="s">
        <v>4760</v>
      </c>
      <c r="S262" s="53">
        <v>128</v>
      </c>
      <c r="T262" s="51" t="s">
        <v>285</v>
      </c>
      <c r="U262" s="53">
        <v>77</v>
      </c>
    </row>
    <row r="263" spans="1:33" ht="22.5" customHeight="1" thickBot="1">
      <c r="A263" s="64" t="s">
        <v>5140</v>
      </c>
      <c r="C263" s="77" t="s">
        <v>4777</v>
      </c>
      <c r="D263" s="43" t="s">
        <v>4777</v>
      </c>
      <c r="E263" s="43" t="s">
        <v>4778</v>
      </c>
      <c r="F263" s="36" t="str">
        <f t="shared" si="10"/>
        <v>https://www.ssbuy.tw/detail_giftcode/dist/giftcodes/Elysia：星空墜落.html</v>
      </c>
      <c r="G263" s="43" t="s">
        <v>4779</v>
      </c>
      <c r="H263" s="36" t="str">
        <f t="shared" si="11"/>
        <v>https://www.ssbuy.tw/detail_giftcode/dist/gamedetail/Elysia：星空墜落.html</v>
      </c>
      <c r="I263" s="37" t="s">
        <v>4780</v>
      </c>
      <c r="J263" s="51" t="s">
        <v>4856</v>
      </c>
      <c r="K263" s="53">
        <v>2371</v>
      </c>
      <c r="L263" s="51" t="s">
        <v>4857</v>
      </c>
      <c r="M263" s="53">
        <v>1204</v>
      </c>
      <c r="N263" s="51" t="s">
        <v>4858</v>
      </c>
      <c r="O263" s="53">
        <v>563</v>
      </c>
      <c r="P263" s="51" t="s">
        <v>4859</v>
      </c>
      <c r="Q263" s="53">
        <v>261</v>
      </c>
      <c r="R263" s="51" t="s">
        <v>4860</v>
      </c>
      <c r="S263" s="53">
        <v>128</v>
      </c>
      <c r="T263" s="51" t="s">
        <v>4861</v>
      </c>
      <c r="U263" s="53">
        <v>26</v>
      </c>
      <c r="V263" s="51" t="s">
        <v>4862</v>
      </c>
      <c r="W263" s="53">
        <v>400</v>
      </c>
      <c r="X263" s="51" t="s">
        <v>4863</v>
      </c>
      <c r="Y263" s="53">
        <v>128</v>
      </c>
      <c r="Z263" s="51" t="s">
        <v>4864</v>
      </c>
      <c r="AA263" s="53">
        <v>2371</v>
      </c>
      <c r="AB263" s="51" t="s">
        <v>4865</v>
      </c>
      <c r="AC263" s="53">
        <v>1204</v>
      </c>
      <c r="AD263" s="51" t="s">
        <v>4866</v>
      </c>
      <c r="AE263" s="53">
        <v>400</v>
      </c>
      <c r="AF263" s="51" t="s">
        <v>4867</v>
      </c>
      <c r="AG263" s="53">
        <v>26</v>
      </c>
    </row>
    <row r="264" spans="1:33" ht="22.5" customHeight="1" thickBot="1">
      <c r="A264" s="53" t="s">
        <v>4806</v>
      </c>
      <c r="E264" s="43" t="s">
        <v>4813</v>
      </c>
      <c r="F264" s="36" t="str">
        <f t="shared" si="10"/>
        <v>https://www.ssbuy.tw/detail_giftcode/dist/giftcodes/合併貓鎮.html</v>
      </c>
      <c r="G264" s="43" t="s">
        <v>4812</v>
      </c>
      <c r="H264" s="36" t="str">
        <f t="shared" si="11"/>
        <v>https://www.ssbuy.tw/detail_giftcode/dist/gamedetail/合併貓鎮.html</v>
      </c>
      <c r="I264" s="37" t="s">
        <v>4827</v>
      </c>
      <c r="J264" s="38" t="s">
        <v>4809</v>
      </c>
      <c r="K264" s="36" t="s">
        <v>4810</v>
      </c>
    </row>
    <row r="265" spans="1:33" ht="22.5" customHeight="1" thickBot="1">
      <c r="A265" s="53" t="s">
        <v>4807</v>
      </c>
      <c r="C265" s="77" t="s">
        <v>4814</v>
      </c>
      <c r="D265" s="43" t="s">
        <v>4816</v>
      </c>
      <c r="E265" s="43" t="s">
        <v>4817</v>
      </c>
      <c r="F265" s="36" t="str">
        <f t="shared" si="10"/>
        <v>https://www.ssbuy.tw/detail_giftcode/dist/giftcodes/幻牌交鋒.html</v>
      </c>
      <c r="G265" s="43" t="s">
        <v>4818</v>
      </c>
      <c r="H265" s="36" t="str">
        <f t="shared" si="11"/>
        <v>https://www.ssbuy.tw/detail_giftcode/dist/gamedetail/幻牌交鋒.html</v>
      </c>
      <c r="I265" s="64" t="s">
        <v>5152</v>
      </c>
      <c r="J265" s="51" t="s">
        <v>4830</v>
      </c>
      <c r="K265" s="53">
        <v>2371</v>
      </c>
      <c r="L265" s="51" t="s">
        <v>4831</v>
      </c>
      <c r="M265" s="53">
        <v>1204</v>
      </c>
      <c r="N265" s="51" t="s">
        <v>1432</v>
      </c>
      <c r="O265" s="53">
        <v>563</v>
      </c>
      <c r="P265" s="51" t="s">
        <v>1433</v>
      </c>
      <c r="Q265" s="53">
        <v>261</v>
      </c>
      <c r="R265" s="51" t="s">
        <v>1434</v>
      </c>
      <c r="S265" s="53">
        <v>128</v>
      </c>
      <c r="T265" s="51" t="s">
        <v>1435</v>
      </c>
      <c r="U265" s="53">
        <v>26</v>
      </c>
      <c r="V265" s="51" t="s">
        <v>4868</v>
      </c>
      <c r="W265" s="53">
        <v>247</v>
      </c>
      <c r="X265" s="51" t="s">
        <v>196</v>
      </c>
      <c r="Y265" s="53">
        <v>261</v>
      </c>
      <c r="Z265" s="51" t="s">
        <v>4833</v>
      </c>
      <c r="AA265" s="53">
        <v>162</v>
      </c>
      <c r="AB265" s="51" t="s">
        <v>4832</v>
      </c>
      <c r="AC265" s="53">
        <v>162</v>
      </c>
    </row>
    <row r="266" spans="1:33" ht="22.5" customHeight="1" thickBot="1">
      <c r="A266" s="53" t="s">
        <v>4819</v>
      </c>
      <c r="C266" s="77" t="s">
        <v>4820</v>
      </c>
      <c r="D266" s="43" t="s">
        <v>4823</v>
      </c>
      <c r="E266" s="43" t="s">
        <v>4822</v>
      </c>
      <c r="F266" s="36" t="str">
        <f t="shared" si="10"/>
        <v>https://www.ssbuy.tw/detail_giftcode/dist/giftcodes/激鬥！王國保衛戰.html</v>
      </c>
      <c r="G266" s="43" t="s">
        <v>4821</v>
      </c>
      <c r="H266" s="36" t="str">
        <f t="shared" si="11"/>
        <v>https://www.ssbuy.tw/detail_giftcode/dist/gamedetail/激鬥！王國保衛戰.html</v>
      </c>
      <c r="I266" s="37" t="s">
        <v>4828</v>
      </c>
      <c r="J266" s="51" t="s">
        <v>4834</v>
      </c>
      <c r="K266" s="53">
        <v>2609</v>
      </c>
      <c r="L266" s="51" t="s">
        <v>4835</v>
      </c>
      <c r="M266" s="53">
        <v>1365</v>
      </c>
      <c r="N266" s="51" t="s">
        <v>4836</v>
      </c>
      <c r="O266" s="53">
        <v>807</v>
      </c>
      <c r="P266" s="51" t="s">
        <v>4837</v>
      </c>
      <c r="Q266" s="53">
        <v>546</v>
      </c>
      <c r="R266" s="51" t="s">
        <v>4838</v>
      </c>
      <c r="S266" s="53">
        <v>400</v>
      </c>
      <c r="T266" s="51" t="s">
        <v>4839</v>
      </c>
      <c r="U266" s="53">
        <v>269</v>
      </c>
      <c r="V266" s="51" t="s">
        <v>4840</v>
      </c>
      <c r="W266" s="53">
        <v>145</v>
      </c>
      <c r="X266" s="51" t="s">
        <v>4841</v>
      </c>
      <c r="Y266" s="53">
        <v>29</v>
      </c>
    </row>
    <row r="267" spans="1:33" ht="22.5" customHeight="1" thickBot="1">
      <c r="A267" s="53" t="s">
        <v>4808</v>
      </c>
      <c r="C267" s="77" t="s">
        <v>4815</v>
      </c>
      <c r="D267" s="36" t="s">
        <v>4826</v>
      </c>
      <c r="E267" s="43" t="s">
        <v>4824</v>
      </c>
      <c r="F267" s="36" t="str">
        <f t="shared" si="10"/>
        <v>https://www.ssbuy.tw/detail_giftcode/dist/giftcodes/嘟嘟臉惡作劇.html</v>
      </c>
      <c r="G267" s="36" t="s">
        <v>4825</v>
      </c>
      <c r="H267" s="36" t="str">
        <f t="shared" si="11"/>
        <v>https://www.ssbuy.tw/detail_giftcode/dist/gamedetail/嘟嘟臉惡作劇.html</v>
      </c>
      <c r="I267" s="37" t="s">
        <v>4829</v>
      </c>
      <c r="J267" s="51" t="s">
        <v>4917</v>
      </c>
      <c r="K267" s="53">
        <v>2371</v>
      </c>
      <c r="L267" s="51" t="s">
        <v>4918</v>
      </c>
      <c r="M267" s="53">
        <v>1204</v>
      </c>
      <c r="N267" s="51" t="s">
        <v>4919</v>
      </c>
      <c r="O267" s="53">
        <v>807</v>
      </c>
      <c r="P267" s="51" t="s">
        <v>4920</v>
      </c>
      <c r="Q267" s="53">
        <v>530</v>
      </c>
      <c r="R267" s="51" t="s">
        <v>4921</v>
      </c>
      <c r="S267" s="53">
        <v>294</v>
      </c>
      <c r="T267" s="51" t="s">
        <v>4922</v>
      </c>
      <c r="U267" s="53">
        <v>136</v>
      </c>
      <c r="V267" s="51" t="s">
        <v>4923</v>
      </c>
      <c r="W267" s="53">
        <v>29</v>
      </c>
      <c r="X267" s="51" t="s">
        <v>4924</v>
      </c>
      <c r="Y267" s="53">
        <v>136</v>
      </c>
      <c r="Z267" s="51" t="s">
        <v>4925</v>
      </c>
      <c r="AA267" s="53">
        <v>136</v>
      </c>
      <c r="AB267" s="51" t="s">
        <v>4926</v>
      </c>
      <c r="AC267" s="53">
        <v>196</v>
      </c>
    </row>
    <row r="268" spans="1:33" ht="22.5" customHeight="1" thickBot="1">
      <c r="A268" s="53" t="s">
        <v>4894</v>
      </c>
      <c r="C268" s="77" t="s">
        <v>4896</v>
      </c>
      <c r="D268" s="43" t="s">
        <v>4879</v>
      </c>
      <c r="E268" s="43" t="s">
        <v>4880</v>
      </c>
      <c r="F268" s="35" t="str">
        <f t="shared" ref="F268:F312" si="12">IF(A268="", "", "gift-codes.html?game=" &amp; A268)</f>
        <v>gift-codes.html?game=我的花園世界</v>
      </c>
      <c r="G268" s="43" t="s">
        <v>4895</v>
      </c>
      <c r="H268" s="36" t="str">
        <f t="shared" si="11"/>
        <v>https://www.ssbuy.tw/detail_giftcode/dist/gamedetail/我的花園世界.html</v>
      </c>
      <c r="I268" s="37" t="s">
        <v>4897</v>
      </c>
      <c r="J268" s="51" t="s">
        <v>4889</v>
      </c>
      <c r="K268" s="53">
        <v>2609</v>
      </c>
      <c r="L268" s="51" t="s">
        <v>204</v>
      </c>
      <c r="M268" s="53">
        <v>1365</v>
      </c>
      <c r="N268" s="51" t="s">
        <v>4890</v>
      </c>
      <c r="O268" s="53">
        <v>807</v>
      </c>
      <c r="P268" s="51" t="s">
        <v>4447</v>
      </c>
      <c r="Q268" s="53">
        <v>546</v>
      </c>
      <c r="R268" s="51" t="s">
        <v>4891</v>
      </c>
      <c r="S268" s="53">
        <v>400</v>
      </c>
      <c r="T268" s="51" t="s">
        <v>205</v>
      </c>
      <c r="U268" s="53">
        <v>269</v>
      </c>
      <c r="V268" s="51" t="s">
        <v>239</v>
      </c>
      <c r="W268" s="53">
        <v>145</v>
      </c>
      <c r="X268" s="51" t="s">
        <v>240</v>
      </c>
      <c r="Y268" s="53">
        <v>29</v>
      </c>
      <c r="Z268" s="51" t="s">
        <v>4892</v>
      </c>
      <c r="AA268" s="53">
        <v>29</v>
      </c>
      <c r="AB268" s="51" t="s">
        <v>4893</v>
      </c>
      <c r="AC268" s="53">
        <v>145</v>
      </c>
    </row>
    <row r="269" spans="1:33" ht="22.5" customHeight="1" thickBot="1">
      <c r="A269" s="53" t="s">
        <v>4927</v>
      </c>
      <c r="C269" s="77" t="s">
        <v>4932</v>
      </c>
      <c r="D269" s="36" t="s">
        <v>4934</v>
      </c>
      <c r="E269" s="36" t="s">
        <v>4933</v>
      </c>
      <c r="F269" s="35" t="str">
        <f t="shared" si="12"/>
        <v>gift-codes.html?game=Awakenloop</v>
      </c>
      <c r="G269" s="36" t="s">
        <v>4935</v>
      </c>
      <c r="H269" s="36" t="str">
        <f t="shared" si="11"/>
        <v>https://www.ssbuy.tw/detail_giftcode/dist/gamedetail/Awakenloop.html</v>
      </c>
      <c r="I269" s="37" t="s">
        <v>4951</v>
      </c>
      <c r="J269" s="51" t="s">
        <v>4834</v>
      </c>
      <c r="K269" s="53">
        <v>2343</v>
      </c>
      <c r="L269" s="51" t="s">
        <v>4835</v>
      </c>
      <c r="M269" s="53">
        <v>1190</v>
      </c>
      <c r="N269" s="51" t="s">
        <v>4836</v>
      </c>
      <c r="O269" s="53">
        <v>798</v>
      </c>
      <c r="P269" s="51" t="s">
        <v>4837</v>
      </c>
      <c r="Q269" s="53">
        <v>540</v>
      </c>
      <c r="R269" s="51" t="s">
        <v>4838</v>
      </c>
      <c r="S269" s="53">
        <v>395</v>
      </c>
      <c r="T269" s="51" t="s">
        <v>4839</v>
      </c>
      <c r="U269" s="53">
        <v>258</v>
      </c>
      <c r="V269" s="51" t="s">
        <v>4840</v>
      </c>
      <c r="W269" s="53">
        <v>126</v>
      </c>
      <c r="X269" s="51" t="s">
        <v>4969</v>
      </c>
      <c r="Y269" s="53">
        <v>52</v>
      </c>
      <c r="Z269" s="51" t="s">
        <v>4841</v>
      </c>
      <c r="AA269" s="53">
        <v>26</v>
      </c>
    </row>
    <row r="270" spans="1:33" ht="22.5" customHeight="1" thickBot="1">
      <c r="A270" s="53" t="s">
        <v>4928</v>
      </c>
      <c r="C270" s="35" t="s">
        <v>4939</v>
      </c>
      <c r="D270" s="36" t="s">
        <v>4936</v>
      </c>
      <c r="E270" s="36" t="s">
        <v>4937</v>
      </c>
      <c r="F270" s="35" t="str">
        <f t="shared" si="12"/>
        <v>gift-codes.html?game=Astellia</v>
      </c>
      <c r="G270" s="36" t="s">
        <v>4938</v>
      </c>
      <c r="H270" s="36" t="str">
        <f t="shared" si="11"/>
        <v>https://www.ssbuy.tw/detail_giftcode/dist/gamedetail/Astellia.html</v>
      </c>
      <c r="I270" s="37" t="s">
        <v>4952</v>
      </c>
      <c r="J270" s="51" t="s">
        <v>4970</v>
      </c>
      <c r="K270" s="53">
        <v>2076</v>
      </c>
      <c r="L270" s="51" t="s">
        <v>261</v>
      </c>
      <c r="M270" s="53">
        <v>1030</v>
      </c>
      <c r="N270" s="51" t="s">
        <v>263</v>
      </c>
      <c r="O270" s="53">
        <v>637</v>
      </c>
      <c r="P270" s="51" t="s">
        <v>3699</v>
      </c>
      <c r="Q270" s="53">
        <v>227</v>
      </c>
    </row>
    <row r="271" spans="1:33" ht="22.5" customHeight="1" thickBot="1">
      <c r="A271" s="53" t="s">
        <v>4929</v>
      </c>
      <c r="C271" s="35" t="s">
        <v>4949</v>
      </c>
      <c r="D271" s="35" t="s">
        <v>4949</v>
      </c>
      <c r="E271" s="36" t="s">
        <v>4950</v>
      </c>
      <c r="F271" s="35" t="str">
        <f t="shared" si="12"/>
        <v>gift-codes.html?game=華夏千秋</v>
      </c>
      <c r="G271" s="36" t="s">
        <v>4940</v>
      </c>
      <c r="H271" s="36" t="str">
        <f t="shared" si="11"/>
        <v>https://www.ssbuy.tw/detail_giftcode/dist/gamedetail/華夏千秋.html</v>
      </c>
      <c r="I271" s="37" t="s">
        <v>4953</v>
      </c>
      <c r="J271" s="51" t="s">
        <v>4971</v>
      </c>
      <c r="K271" s="53">
        <v>2579</v>
      </c>
      <c r="L271" s="51" t="s">
        <v>4972</v>
      </c>
      <c r="M271" s="53">
        <v>1988</v>
      </c>
      <c r="N271" s="51" t="s">
        <v>4973</v>
      </c>
      <c r="O271" s="53">
        <v>1349</v>
      </c>
      <c r="P271" s="51" t="s">
        <v>4974</v>
      </c>
      <c r="Q271" s="53">
        <v>950</v>
      </c>
      <c r="R271" s="51" t="s">
        <v>4975</v>
      </c>
      <c r="S271" s="53">
        <v>798</v>
      </c>
      <c r="T271" s="51" t="s">
        <v>4976</v>
      </c>
      <c r="U271" s="53">
        <v>749</v>
      </c>
      <c r="V271" s="51" t="s">
        <v>4977</v>
      </c>
      <c r="W271" s="53">
        <v>540</v>
      </c>
      <c r="X271" s="51" t="s">
        <v>4978</v>
      </c>
      <c r="Y271" s="53">
        <v>395</v>
      </c>
      <c r="Z271" s="51" t="s">
        <v>4979</v>
      </c>
      <c r="AA271" s="53">
        <v>346</v>
      </c>
      <c r="AB271" s="51" t="s">
        <v>4980</v>
      </c>
      <c r="AC271" s="53">
        <v>314</v>
      </c>
    </row>
    <row r="272" spans="1:33" ht="22.5" customHeight="1" thickBot="1">
      <c r="A272" s="53" t="s">
        <v>4930</v>
      </c>
      <c r="C272" s="35" t="s">
        <v>4941</v>
      </c>
      <c r="D272" s="36" t="s">
        <v>4944</v>
      </c>
      <c r="E272" s="36" t="s">
        <v>4943</v>
      </c>
      <c r="F272" s="35" t="str">
        <f t="shared" si="12"/>
        <v>gift-codes.html?game=萌塔娘</v>
      </c>
      <c r="G272" s="36" t="s">
        <v>4942</v>
      </c>
      <c r="H272" s="36" t="str">
        <f t="shared" si="11"/>
        <v>https://www.ssbuy.tw/detail_giftcode/dist/gamedetail/萌塔娘.html</v>
      </c>
      <c r="I272" s="37" t="s">
        <v>4954</v>
      </c>
      <c r="J272" s="51" t="s">
        <v>4981</v>
      </c>
      <c r="K272" s="53">
        <v>2579</v>
      </c>
      <c r="L272" s="51" t="s">
        <v>4982</v>
      </c>
      <c r="M272" s="53">
        <v>1349</v>
      </c>
      <c r="N272" s="51" t="s">
        <v>4983</v>
      </c>
      <c r="O272" s="53">
        <v>798</v>
      </c>
      <c r="P272" s="51" t="s">
        <v>4984</v>
      </c>
      <c r="Q272" s="53">
        <v>395</v>
      </c>
      <c r="R272" s="51" t="s">
        <v>4985</v>
      </c>
      <c r="S272" s="53">
        <v>266</v>
      </c>
      <c r="T272" s="51" t="s">
        <v>4986</v>
      </c>
      <c r="U272" s="53">
        <v>143</v>
      </c>
      <c r="V272" s="51" t="s">
        <v>4987</v>
      </c>
      <c r="W272" s="53">
        <v>29</v>
      </c>
    </row>
    <row r="273" spans="1:29" ht="22.5" customHeight="1" thickBot="1">
      <c r="A273" s="53" t="s">
        <v>4931</v>
      </c>
      <c r="C273" s="35" t="s">
        <v>4945</v>
      </c>
      <c r="D273" s="36" t="s">
        <v>4946</v>
      </c>
      <c r="E273" s="36" t="s">
        <v>4947</v>
      </c>
      <c r="F273" s="35" t="str">
        <f t="shared" si="12"/>
        <v>gift-codes.html?game=盜夢英雄2：幻野</v>
      </c>
      <c r="G273" s="36" t="s">
        <v>4948</v>
      </c>
      <c r="H273" s="36" t="str">
        <f t="shared" si="11"/>
        <v>https://www.ssbuy.tw/detail_giftcode/dist/gamedetail/盜夢英雄2：幻野.html</v>
      </c>
      <c r="I273" s="37" t="s">
        <v>4955</v>
      </c>
      <c r="J273" s="51" t="s">
        <v>4988</v>
      </c>
      <c r="K273" s="53">
        <v>2579</v>
      </c>
      <c r="L273" s="51" t="s">
        <v>1675</v>
      </c>
      <c r="M273" s="53">
        <v>1828</v>
      </c>
      <c r="N273" s="51" t="s">
        <v>1676</v>
      </c>
      <c r="O273" s="53">
        <v>1349</v>
      </c>
      <c r="P273" s="51" t="s">
        <v>1678</v>
      </c>
      <c r="Q273" s="53">
        <v>950</v>
      </c>
      <c r="R273" s="51" t="s">
        <v>151</v>
      </c>
      <c r="S273" s="53">
        <v>798</v>
      </c>
      <c r="T273" s="51" t="s">
        <v>4989</v>
      </c>
      <c r="U273" s="53">
        <v>669</v>
      </c>
      <c r="V273" s="51" t="s">
        <v>1679</v>
      </c>
      <c r="W273" s="53">
        <v>540</v>
      </c>
      <c r="X273" s="51" t="s">
        <v>153</v>
      </c>
      <c r="Y273" s="53">
        <v>395</v>
      </c>
      <c r="Z273" s="51" t="s">
        <v>4990</v>
      </c>
      <c r="AA273" s="53">
        <v>314</v>
      </c>
      <c r="AB273" s="51" t="s">
        <v>154</v>
      </c>
      <c r="AC273" s="53">
        <v>160</v>
      </c>
    </row>
    <row r="274" spans="1:29" ht="22.5" customHeight="1" thickBot="1">
      <c r="A274" s="64" t="s">
        <v>5005</v>
      </c>
      <c r="C274" s="35" t="s">
        <v>5002</v>
      </c>
      <c r="D274" s="36" t="s">
        <v>5003</v>
      </c>
      <c r="E274" s="36" t="s">
        <v>5004</v>
      </c>
      <c r="F274" s="35" t="str">
        <f t="shared" si="12"/>
        <v>gift-codes.html?game=貪婪洞窟：重生</v>
      </c>
      <c r="G274" s="43" t="s">
        <v>5006</v>
      </c>
      <c r="H274" s="36" t="str">
        <f t="shared" si="11"/>
        <v>https://www.ssbuy.tw/detail_giftcode/dist/gamedetail/貪婪洞窟：重生.html</v>
      </c>
      <c r="I274" s="37" t="s">
        <v>5007</v>
      </c>
      <c r="J274" s="51" t="s">
        <v>5008</v>
      </c>
      <c r="K274" s="53">
        <v>2343</v>
      </c>
      <c r="L274" s="51" t="s">
        <v>5009</v>
      </c>
      <c r="M274" s="53">
        <v>1190</v>
      </c>
      <c r="N274" s="51" t="s">
        <v>5010</v>
      </c>
      <c r="O274" s="53">
        <v>556</v>
      </c>
      <c r="P274" s="51" t="s">
        <v>5011</v>
      </c>
      <c r="Q274" s="53">
        <v>258</v>
      </c>
      <c r="R274" s="51" t="s">
        <v>5012</v>
      </c>
      <c r="S274" s="53">
        <v>126</v>
      </c>
      <c r="T274" s="51" t="s">
        <v>1377</v>
      </c>
      <c r="U274" s="53">
        <v>26</v>
      </c>
      <c r="V274" s="51" t="s">
        <v>5013</v>
      </c>
      <c r="W274" s="53">
        <v>556</v>
      </c>
      <c r="X274" s="51" t="s">
        <v>5014</v>
      </c>
      <c r="Y274" s="53">
        <v>556</v>
      </c>
      <c r="Z274" s="51" t="s">
        <v>5015</v>
      </c>
      <c r="AA274" s="53">
        <v>1190</v>
      </c>
      <c r="AB274" s="51" t="s">
        <v>5016</v>
      </c>
      <c r="AC274" s="53">
        <v>2343</v>
      </c>
    </row>
    <row r="275" spans="1:29" ht="22.5" customHeight="1" thickBot="1">
      <c r="A275" s="64" t="s">
        <v>5057</v>
      </c>
      <c r="C275" s="35" t="s">
        <v>5051</v>
      </c>
      <c r="D275" s="36" t="s">
        <v>5054</v>
      </c>
      <c r="E275" s="36" t="s">
        <v>5055</v>
      </c>
      <c r="F275" s="35" t="str">
        <f t="shared" si="12"/>
        <v>gift-codes.html?game=小兵特攻隊</v>
      </c>
      <c r="G275" s="36" t="s">
        <v>5056</v>
      </c>
      <c r="H275" s="36" t="str">
        <f t="shared" si="11"/>
        <v>https://www.ssbuy.tw/detail_giftcode/dist/gamedetail/小兵特攻隊.html</v>
      </c>
      <c r="I275" s="37" t="s">
        <v>5059</v>
      </c>
      <c r="J275" s="51" t="s">
        <v>12</v>
      </c>
      <c r="K275" s="53">
        <v>2302</v>
      </c>
      <c r="L275" s="51" t="s">
        <v>13</v>
      </c>
      <c r="M275" s="53">
        <v>1168</v>
      </c>
      <c r="N275" s="51" t="s">
        <v>24</v>
      </c>
      <c r="O275" s="53">
        <v>783</v>
      </c>
      <c r="P275" s="51" t="s">
        <v>15</v>
      </c>
      <c r="Q275" s="53">
        <v>388</v>
      </c>
      <c r="R275" s="51" t="s">
        <v>16</v>
      </c>
      <c r="S275" s="53">
        <v>141</v>
      </c>
      <c r="T275" s="51" t="s">
        <v>7</v>
      </c>
      <c r="U275" s="53">
        <v>28</v>
      </c>
      <c r="V275" s="51" t="s">
        <v>178</v>
      </c>
      <c r="W275" s="53">
        <v>141</v>
      </c>
      <c r="X275" s="51" t="s">
        <v>5058</v>
      </c>
      <c r="Y275" s="53">
        <v>141</v>
      </c>
    </row>
    <row r="276" spans="1:29" ht="22.5" customHeight="1" thickBot="1">
      <c r="A276" s="53" t="s">
        <v>5068</v>
      </c>
      <c r="C276" s="35" t="s">
        <v>5071</v>
      </c>
      <c r="D276" s="36" t="s">
        <v>5084</v>
      </c>
      <c r="E276" s="36" t="s">
        <v>5085</v>
      </c>
      <c r="F276" s="35" t="str">
        <f t="shared" si="12"/>
        <v>gift-codes.html?game=星塔旅人</v>
      </c>
      <c r="G276" s="43" t="s">
        <v>5086</v>
      </c>
      <c r="H276" s="36" t="str">
        <f t="shared" si="11"/>
        <v>https://www.ssbuy.tw/detail_giftcode/dist/gamedetail/星塔旅人.html</v>
      </c>
      <c r="I276" s="37" t="s">
        <v>5087</v>
      </c>
      <c r="J276" s="51" t="s">
        <v>107</v>
      </c>
      <c r="K276" s="53">
        <v>124</v>
      </c>
      <c r="L276" s="51" t="s">
        <v>5108</v>
      </c>
      <c r="M276" s="53">
        <v>207</v>
      </c>
      <c r="N276" s="51" t="s">
        <v>5109</v>
      </c>
      <c r="O276" s="53">
        <v>475</v>
      </c>
      <c r="P276" s="51" t="s">
        <v>5110</v>
      </c>
      <c r="Q276" s="53">
        <v>475</v>
      </c>
      <c r="R276" s="51" t="s">
        <v>5111</v>
      </c>
      <c r="S276" s="53">
        <v>269</v>
      </c>
      <c r="T276" s="51" t="s">
        <v>5112</v>
      </c>
      <c r="U276" s="53">
        <v>388</v>
      </c>
    </row>
    <row r="277" spans="1:29" ht="22.5" customHeight="1" thickBot="1">
      <c r="A277" s="53" t="s">
        <v>4668</v>
      </c>
      <c r="C277" s="35" t="s">
        <v>5074</v>
      </c>
      <c r="D277" s="36" t="s">
        <v>5075</v>
      </c>
      <c r="E277" s="36" t="s">
        <v>5077</v>
      </c>
      <c r="F277" s="35" t="str">
        <f t="shared" si="12"/>
        <v>gift-codes.html?game=卡厄斯夢境</v>
      </c>
      <c r="G277" s="36" t="s">
        <v>5076</v>
      </c>
      <c r="H277" s="36" t="str">
        <f t="shared" si="11"/>
        <v>https://www.ssbuy.tw/detail_giftcode/dist/gamedetail/卡厄斯夢境.html</v>
      </c>
      <c r="I277" s="37" t="s">
        <v>5088</v>
      </c>
      <c r="J277" s="81" t="s">
        <v>5008</v>
      </c>
      <c r="K277" s="82">
        <v>2655</v>
      </c>
      <c r="L277" s="81" t="s">
        <v>5009</v>
      </c>
      <c r="M277" s="82">
        <v>1389</v>
      </c>
      <c r="N277" s="81" t="s">
        <v>5172</v>
      </c>
      <c r="O277" s="82">
        <v>821</v>
      </c>
      <c r="P277" s="81" t="s">
        <v>5173</v>
      </c>
      <c r="Q277" s="82">
        <v>407</v>
      </c>
      <c r="R277" s="81" t="s">
        <v>5012</v>
      </c>
      <c r="S277" s="82">
        <v>147</v>
      </c>
      <c r="T277" s="81" t="s">
        <v>1377</v>
      </c>
      <c r="U277" s="82">
        <v>29</v>
      </c>
      <c r="V277" s="81" t="s">
        <v>5174</v>
      </c>
      <c r="W277" s="82">
        <v>147</v>
      </c>
      <c r="X277" s="51"/>
      <c r="Y277" s="53"/>
    </row>
    <row r="278" spans="1:29" ht="22.5" customHeight="1" thickBot="1">
      <c r="A278" s="53" t="s">
        <v>5069</v>
      </c>
      <c r="C278" s="35" t="s">
        <v>5073</v>
      </c>
      <c r="D278" s="36" t="s">
        <v>5078</v>
      </c>
      <c r="E278" s="36" t="s">
        <v>5080</v>
      </c>
      <c r="F278" s="35" t="str">
        <f t="shared" si="12"/>
        <v>gift-codes.html?game=星痕共鳴</v>
      </c>
      <c r="G278" s="36" t="s">
        <v>5079</v>
      </c>
      <c r="H278" s="36" t="str">
        <f t="shared" si="11"/>
        <v>https://www.ssbuy.tw/detail_giftcode/dist/gamedetail/星痕共鳴.html</v>
      </c>
      <c r="I278" s="37" t="s">
        <v>5089</v>
      </c>
      <c r="J278" s="51" t="s">
        <v>5093</v>
      </c>
      <c r="K278" s="53">
        <v>2533</v>
      </c>
      <c r="L278" s="51" t="s">
        <v>5094</v>
      </c>
      <c r="M278" s="53">
        <v>1325</v>
      </c>
      <c r="N278" s="51" t="s">
        <v>3515</v>
      </c>
      <c r="O278" s="53">
        <v>783</v>
      </c>
      <c r="P278" s="51" t="s">
        <v>5095</v>
      </c>
      <c r="Q278" s="53">
        <v>388</v>
      </c>
      <c r="R278" s="51" t="s">
        <v>5096</v>
      </c>
      <c r="S278" s="53">
        <v>261</v>
      </c>
      <c r="T278" s="51" t="s">
        <v>28</v>
      </c>
      <c r="U278" s="53">
        <v>141</v>
      </c>
      <c r="V278" s="51" t="s">
        <v>4713</v>
      </c>
      <c r="W278" s="53">
        <v>28</v>
      </c>
      <c r="X278" s="51" t="s">
        <v>178</v>
      </c>
      <c r="Y278" s="53">
        <v>141</v>
      </c>
      <c r="Z278" s="51" t="s">
        <v>5097</v>
      </c>
      <c r="AA278" s="53">
        <v>522</v>
      </c>
      <c r="AB278" s="51" t="s">
        <v>5098</v>
      </c>
      <c r="AC278" s="53">
        <v>261</v>
      </c>
    </row>
    <row r="279" spans="1:29" ht="22.5" customHeight="1" thickBot="1">
      <c r="A279" s="53" t="s">
        <v>5070</v>
      </c>
      <c r="C279" s="35" t="s">
        <v>5072</v>
      </c>
      <c r="D279" s="36" t="s">
        <v>5081</v>
      </c>
      <c r="E279" s="36" t="s">
        <v>5083</v>
      </c>
      <c r="F279" s="35" t="str">
        <f t="shared" si="12"/>
        <v>gift-codes.html?game=二重螺旋</v>
      </c>
      <c r="G279" s="36" t="s">
        <v>5082</v>
      </c>
      <c r="H279" s="36" t="str">
        <f t="shared" si="11"/>
        <v>https://www.ssbuy.tw/detail_giftcode/dist/gamedetail/二重螺旋.html</v>
      </c>
      <c r="I279" s="37" t="s">
        <v>5090</v>
      </c>
      <c r="J279" s="51" t="s">
        <v>5099</v>
      </c>
      <c r="K279" s="53">
        <v>2533</v>
      </c>
      <c r="L279" s="51" t="s">
        <v>5100</v>
      </c>
      <c r="M279" s="53">
        <v>1325</v>
      </c>
      <c r="N279" s="51" t="s">
        <v>5101</v>
      </c>
      <c r="O279" s="53">
        <v>783</v>
      </c>
      <c r="P279" s="51" t="s">
        <v>5102</v>
      </c>
      <c r="Q279" s="53">
        <v>388</v>
      </c>
      <c r="R279" s="51" t="s">
        <v>5103</v>
      </c>
      <c r="S279" s="53">
        <v>261</v>
      </c>
      <c r="T279" s="51" t="s">
        <v>5104</v>
      </c>
      <c r="U279" s="53">
        <v>141</v>
      </c>
      <c r="V279" s="51" t="s">
        <v>5105</v>
      </c>
      <c r="W279" s="53">
        <v>28</v>
      </c>
      <c r="X279" s="51" t="s">
        <v>5106</v>
      </c>
      <c r="Y279" s="53">
        <v>261</v>
      </c>
      <c r="Z279" s="51" t="s">
        <v>5107</v>
      </c>
      <c r="AA279" s="53">
        <v>141</v>
      </c>
    </row>
    <row r="280" spans="1:29" ht="22.5" customHeight="1" thickBot="1">
      <c r="A280" s="53" t="s">
        <v>5131</v>
      </c>
      <c r="C280" s="35" t="s">
        <v>5128</v>
      </c>
      <c r="D280" s="36" t="s">
        <v>5129</v>
      </c>
      <c r="E280" s="36" t="s">
        <v>5127</v>
      </c>
      <c r="F280" s="35" t="str">
        <f t="shared" si="12"/>
        <v>gift-codes.html?game=電馭跑酷</v>
      </c>
      <c r="G280" s="43" t="s">
        <v>5132</v>
      </c>
      <c r="H280" s="36" t="str">
        <f t="shared" si="11"/>
        <v>https://www.ssbuy.tw/detail_giftcode/dist/gamedetail/電馭跑酷.html</v>
      </c>
      <c r="I280" s="64" t="s">
        <v>5170</v>
      </c>
      <c r="J280" s="81" t="s">
        <v>5153</v>
      </c>
      <c r="K280" s="82">
        <v>2302</v>
      </c>
      <c r="L280" s="81" t="s">
        <v>5154</v>
      </c>
      <c r="M280" s="82">
        <v>1168</v>
      </c>
      <c r="N280" s="81" t="s">
        <v>5155</v>
      </c>
      <c r="O280" s="82">
        <v>467</v>
      </c>
      <c r="P280" s="81" t="s">
        <v>5156</v>
      </c>
      <c r="Q280" s="82">
        <v>248</v>
      </c>
      <c r="R280" s="81" t="s">
        <v>5157</v>
      </c>
      <c r="S280" s="82">
        <v>124</v>
      </c>
      <c r="T280" s="81" t="s">
        <v>5158</v>
      </c>
      <c r="U280" s="82">
        <v>51</v>
      </c>
      <c r="V280" s="81" t="s">
        <v>5159</v>
      </c>
      <c r="W280" s="82">
        <v>248</v>
      </c>
      <c r="X280" s="80" t="s">
        <v>5169</v>
      </c>
      <c r="Y280" s="36">
        <v>666</v>
      </c>
    </row>
    <row r="281" spans="1:29" ht="22.5" customHeight="1" thickBot="1">
      <c r="A281" s="53" t="s">
        <v>5141</v>
      </c>
      <c r="C281" s="35" t="s">
        <v>5130</v>
      </c>
      <c r="D281" s="36" t="s">
        <v>5126</v>
      </c>
      <c r="E281" s="36" t="s">
        <v>5125</v>
      </c>
      <c r="F281" s="35" t="str">
        <f t="shared" si="12"/>
        <v>gift-codes.html?game=火焰紋章Shadows</v>
      </c>
      <c r="G281" s="43" t="s">
        <v>5133</v>
      </c>
      <c r="H281" s="36" t="str">
        <f t="shared" si="11"/>
        <v>https://www.ssbuy.tw/detail_giftcode/dist/gamedetail/火焰紋章Shadows.html</v>
      </c>
      <c r="I281" s="64" t="s">
        <v>5171</v>
      </c>
      <c r="J281" s="81" t="s">
        <v>5160</v>
      </c>
      <c r="K281" s="82">
        <v>1549</v>
      </c>
      <c r="L281" s="81" t="s">
        <v>5161</v>
      </c>
      <c r="M281" s="82">
        <v>1030</v>
      </c>
      <c r="N281" s="81" t="s">
        <v>5162</v>
      </c>
      <c r="O281" s="82">
        <v>673</v>
      </c>
      <c r="P281" s="81" t="s">
        <v>5163</v>
      </c>
      <c r="Q281" s="82">
        <v>344</v>
      </c>
      <c r="R281" s="81" t="s">
        <v>5164</v>
      </c>
      <c r="S281" s="82">
        <v>157</v>
      </c>
      <c r="T281" s="81" t="s">
        <v>5165</v>
      </c>
      <c r="U281" s="82">
        <v>81</v>
      </c>
      <c r="V281" s="81" t="s">
        <v>5166</v>
      </c>
      <c r="W281" s="82">
        <v>17</v>
      </c>
      <c r="X281" s="81" t="s">
        <v>5167</v>
      </c>
      <c r="Y281" s="82">
        <v>244</v>
      </c>
      <c r="Z281" s="81" t="s">
        <v>5168</v>
      </c>
      <c r="AA281" s="82">
        <v>139</v>
      </c>
      <c r="AB281" s="80" t="s">
        <v>5169</v>
      </c>
      <c r="AC281" s="36">
        <v>666</v>
      </c>
    </row>
    <row r="282" spans="1:29" ht="22.5" customHeight="1" thickBot="1">
      <c r="A282" s="82" t="s">
        <v>5224</v>
      </c>
      <c r="C282" s="35" t="s">
        <v>5175</v>
      </c>
      <c r="D282" s="36" t="s">
        <v>5176</v>
      </c>
      <c r="E282" s="36" t="s">
        <v>5177</v>
      </c>
      <c r="F282" s="35" t="str">
        <f t="shared" si="12"/>
        <v>gift-codes.html?game=石器時代：寵物世界</v>
      </c>
      <c r="G282" s="80" t="s">
        <v>5199</v>
      </c>
      <c r="H282" s="36" t="str">
        <f t="shared" si="11"/>
        <v>https://www.ssbuy.tw/detail_giftcode/dist/gamedetail/石器時代：寵物世界.html</v>
      </c>
      <c r="I282" s="37" t="s">
        <v>5202</v>
      </c>
      <c r="J282" s="81" t="s">
        <v>4988</v>
      </c>
      <c r="K282" s="82">
        <v>2655</v>
      </c>
      <c r="L282" s="81" t="s">
        <v>1674</v>
      </c>
      <c r="M282" s="82">
        <v>2047</v>
      </c>
      <c r="N282" s="81" t="s">
        <v>5184</v>
      </c>
      <c r="O282" s="82">
        <v>1357</v>
      </c>
      <c r="P282" s="81" t="s">
        <v>5185</v>
      </c>
      <c r="Q282" s="82">
        <v>1085</v>
      </c>
      <c r="R282" s="81" t="s">
        <v>5186</v>
      </c>
      <c r="S282" s="82">
        <v>822</v>
      </c>
      <c r="T282" s="81" t="s">
        <v>5187</v>
      </c>
      <c r="U282" s="82">
        <v>680</v>
      </c>
      <c r="V282" s="81" t="s">
        <v>152</v>
      </c>
      <c r="W282" s="82">
        <v>572</v>
      </c>
      <c r="X282" s="81" t="s">
        <v>153</v>
      </c>
      <c r="Y282" s="82">
        <v>407</v>
      </c>
      <c r="Z282" s="81" t="s">
        <v>5188</v>
      </c>
      <c r="AA282" s="82">
        <v>357</v>
      </c>
      <c r="AB282" s="81" t="s">
        <v>1680</v>
      </c>
      <c r="AC282" s="82">
        <v>274</v>
      </c>
    </row>
    <row r="283" spans="1:29" ht="22.5" customHeight="1" thickBot="1">
      <c r="A283" s="82" t="s">
        <v>5197</v>
      </c>
      <c r="C283" s="35" t="s">
        <v>5178</v>
      </c>
      <c r="D283" s="36" t="s">
        <v>5179</v>
      </c>
      <c r="E283" s="36" t="s">
        <v>5180</v>
      </c>
      <c r="F283" s="35" t="str">
        <f t="shared" si="12"/>
        <v>gift-codes.html?game=蔚藍星球：國王很忙</v>
      </c>
      <c r="G283" s="80" t="s">
        <v>5200</v>
      </c>
      <c r="H283" s="36" t="str">
        <f t="shared" si="11"/>
        <v>https://www.ssbuy.tw/detail_giftcode/dist/gamedetail/蔚藍星球：國王很忙.html</v>
      </c>
      <c r="I283" s="37" t="s">
        <v>5203</v>
      </c>
      <c r="J283" s="81" t="s">
        <v>5189</v>
      </c>
      <c r="K283" s="82">
        <v>2655</v>
      </c>
      <c r="L283" s="81" t="s">
        <v>5190</v>
      </c>
      <c r="M283" s="82">
        <v>1644</v>
      </c>
      <c r="N283" s="81" t="s">
        <v>5191</v>
      </c>
      <c r="O283" s="82">
        <v>1389</v>
      </c>
      <c r="P283" s="81" t="s">
        <v>5192</v>
      </c>
      <c r="Q283" s="82">
        <v>821</v>
      </c>
      <c r="R283" s="81" t="s">
        <v>5193</v>
      </c>
      <c r="S283" s="82">
        <v>655</v>
      </c>
      <c r="T283" s="81" t="s">
        <v>5194</v>
      </c>
      <c r="U283" s="82">
        <v>407</v>
      </c>
      <c r="V283" s="81" t="s">
        <v>5195</v>
      </c>
      <c r="W283" s="82">
        <v>274</v>
      </c>
      <c r="X283" s="81" t="s">
        <v>5196</v>
      </c>
      <c r="Y283" s="82">
        <v>147</v>
      </c>
    </row>
    <row r="284" spans="1:29" ht="22.5" customHeight="1" thickBot="1">
      <c r="A284" s="82" t="s">
        <v>5198</v>
      </c>
      <c r="C284" s="35" t="s">
        <v>5181</v>
      </c>
      <c r="D284" s="36" t="s">
        <v>5182</v>
      </c>
      <c r="E284" s="36" t="s">
        <v>5183</v>
      </c>
      <c r="F284" s="35" t="str">
        <f t="shared" si="12"/>
        <v>gift-codes.html?game=胸懷三國：美人計</v>
      </c>
      <c r="G284" s="80" t="s">
        <v>5201</v>
      </c>
      <c r="H284" s="36" t="str">
        <f t="shared" ref="H284:H312" si="13">IF(A284="", "", "https://www.ssbuy.tw/game-detail.html?game="&amp;A284)</f>
        <v>https://www.ssbuy.tw/game-detail.html?game=胸懷三國：美人計</v>
      </c>
      <c r="I284" s="37" t="s">
        <v>5204</v>
      </c>
      <c r="J284" s="81" t="s">
        <v>4988</v>
      </c>
      <c r="K284" s="82">
        <v>2655</v>
      </c>
      <c r="L284" s="81" t="s">
        <v>1674</v>
      </c>
      <c r="M284" s="82">
        <v>2047</v>
      </c>
      <c r="N284" s="81" t="s">
        <v>5184</v>
      </c>
      <c r="O284" s="82">
        <v>1357</v>
      </c>
      <c r="P284" s="81" t="s">
        <v>5185</v>
      </c>
      <c r="Q284" s="82">
        <v>1085</v>
      </c>
      <c r="R284" s="81" t="s">
        <v>5186</v>
      </c>
      <c r="S284" s="82">
        <v>822</v>
      </c>
      <c r="T284" s="81" t="s">
        <v>5187</v>
      </c>
      <c r="U284" s="82">
        <v>680</v>
      </c>
      <c r="V284" s="81" t="s">
        <v>152</v>
      </c>
      <c r="W284" s="82">
        <v>572</v>
      </c>
      <c r="X284" s="81" t="s">
        <v>153</v>
      </c>
      <c r="Y284" s="82">
        <v>407</v>
      </c>
      <c r="Z284" s="81" t="s">
        <v>5188</v>
      </c>
      <c r="AA284" s="82">
        <v>357</v>
      </c>
      <c r="AB284" s="81" t="s">
        <v>1680</v>
      </c>
      <c r="AC284" s="82">
        <v>274</v>
      </c>
    </row>
    <row r="285" spans="1:29" ht="22.5" customHeight="1" thickBot="1">
      <c r="A285" s="82" t="s">
        <v>5251</v>
      </c>
      <c r="C285" s="35" t="s">
        <v>5249</v>
      </c>
      <c r="D285" s="36" t="s">
        <v>5250</v>
      </c>
      <c r="E285" s="36" t="s">
        <v>5239</v>
      </c>
      <c r="F285" s="35" t="str">
        <f t="shared" si="12"/>
        <v>gift-codes.html?game=弓箭英雄：塔防</v>
      </c>
      <c r="G285" s="80" t="s">
        <v>5252</v>
      </c>
      <c r="H285" s="36" t="str">
        <f t="shared" si="13"/>
        <v>https://www.ssbuy.tw/game-detail.html?game=弓箭英雄：塔防</v>
      </c>
      <c r="I285" s="37" t="s">
        <v>5260</v>
      </c>
    </row>
    <row r="286" spans="1:29" ht="22.5" customHeight="1" thickBot="1">
      <c r="A286" s="82" t="s">
        <v>5258</v>
      </c>
      <c r="C286" s="35" t="s">
        <v>5241</v>
      </c>
      <c r="D286" s="36" t="s">
        <v>5240</v>
      </c>
      <c r="E286" s="36" t="s">
        <v>5242</v>
      </c>
      <c r="F286" s="35" t="str">
        <f t="shared" si="12"/>
        <v>gift-codes.html?game=十二之天M</v>
      </c>
      <c r="G286" s="80" t="s">
        <v>5253</v>
      </c>
      <c r="H286" s="36" t="str">
        <f t="shared" si="13"/>
        <v>https://www.ssbuy.tw/game-detail.html?game=十二之天M</v>
      </c>
      <c r="I286" s="64" t="s">
        <v>5257</v>
      </c>
    </row>
    <row r="287" spans="1:29" ht="22.5" customHeight="1" thickBot="1">
      <c r="A287" s="82" t="s">
        <v>5259</v>
      </c>
      <c r="C287" s="35" t="s">
        <v>5245</v>
      </c>
      <c r="D287" s="36" t="s">
        <v>5244</v>
      </c>
      <c r="E287" s="36" t="s">
        <v>5243</v>
      </c>
      <c r="F287" s="35" t="str">
        <f t="shared" si="12"/>
        <v>gift-codes.html?game=NBA巔峰對決</v>
      </c>
      <c r="G287" s="80" t="s">
        <v>5254</v>
      </c>
      <c r="H287" s="36" t="str">
        <f t="shared" si="13"/>
        <v>https://www.ssbuy.tw/game-detail.html?game=NBA巔峰對決</v>
      </c>
      <c r="I287" s="37" t="s">
        <v>5261</v>
      </c>
    </row>
    <row r="288" spans="1:29" ht="22.5" customHeight="1" thickBot="1">
      <c r="A288" s="82" t="s">
        <v>5255</v>
      </c>
      <c r="C288" s="35" t="s">
        <v>5248</v>
      </c>
      <c r="D288" s="36" t="s">
        <v>5247</v>
      </c>
      <c r="E288" s="36" t="s">
        <v>5246</v>
      </c>
      <c r="F288" s="35" t="str">
        <f t="shared" si="12"/>
        <v>gift-codes.html?game=三國志：王戰</v>
      </c>
      <c r="G288" s="80" t="s">
        <v>5256</v>
      </c>
      <c r="H288" s="36" t="str">
        <f t="shared" si="13"/>
        <v>https://www.ssbuy.tw/game-detail.html?game=三國志：王戰</v>
      </c>
      <c r="I288" s="37" t="s">
        <v>5262</v>
      </c>
    </row>
    <row r="289" spans="6:8" ht="22.5" customHeight="1">
      <c r="F289" s="35" t="str">
        <f t="shared" si="12"/>
        <v/>
      </c>
      <c r="H289" s="36" t="str">
        <f t="shared" si="13"/>
        <v/>
      </c>
    </row>
    <row r="290" spans="6:8" ht="22.5" customHeight="1">
      <c r="F290" s="35" t="str">
        <f t="shared" si="12"/>
        <v/>
      </c>
      <c r="H290" s="36" t="str">
        <f t="shared" si="13"/>
        <v/>
      </c>
    </row>
    <row r="291" spans="6:8" ht="22.5" customHeight="1">
      <c r="F291" s="35" t="str">
        <f t="shared" si="12"/>
        <v/>
      </c>
      <c r="H291" s="36" t="str">
        <f t="shared" si="13"/>
        <v/>
      </c>
    </row>
    <row r="292" spans="6:8" ht="22.5" customHeight="1">
      <c r="F292" s="35" t="str">
        <f t="shared" si="12"/>
        <v/>
      </c>
      <c r="H292" s="36" t="str">
        <f t="shared" si="13"/>
        <v/>
      </c>
    </row>
    <row r="293" spans="6:8" ht="22.5" customHeight="1">
      <c r="F293" s="35" t="str">
        <f t="shared" si="12"/>
        <v/>
      </c>
      <c r="H293" s="36" t="str">
        <f t="shared" si="13"/>
        <v/>
      </c>
    </row>
    <row r="294" spans="6:8" ht="22.5" customHeight="1">
      <c r="F294" s="35" t="str">
        <f t="shared" si="12"/>
        <v/>
      </c>
      <c r="H294" s="36" t="str">
        <f t="shared" si="13"/>
        <v/>
      </c>
    </row>
    <row r="295" spans="6:8" ht="22.5" customHeight="1">
      <c r="F295" s="35" t="str">
        <f t="shared" si="12"/>
        <v/>
      </c>
      <c r="H295" s="36" t="str">
        <f t="shared" si="13"/>
        <v/>
      </c>
    </row>
    <row r="296" spans="6:8" ht="22.5" customHeight="1">
      <c r="F296" s="35" t="str">
        <f t="shared" si="12"/>
        <v/>
      </c>
      <c r="H296" s="36" t="str">
        <f t="shared" si="13"/>
        <v/>
      </c>
    </row>
    <row r="297" spans="6:8" ht="22.5" customHeight="1">
      <c r="F297" s="35" t="str">
        <f t="shared" si="12"/>
        <v/>
      </c>
      <c r="H297" s="36" t="str">
        <f t="shared" si="13"/>
        <v/>
      </c>
    </row>
    <row r="298" spans="6:8" ht="22.5" customHeight="1">
      <c r="F298" s="35" t="str">
        <f t="shared" si="12"/>
        <v/>
      </c>
      <c r="H298" s="36" t="str">
        <f t="shared" si="13"/>
        <v/>
      </c>
    </row>
    <row r="299" spans="6:8" ht="22.5" customHeight="1">
      <c r="F299" s="35" t="str">
        <f t="shared" si="12"/>
        <v/>
      </c>
      <c r="H299" s="36" t="str">
        <f t="shared" si="13"/>
        <v/>
      </c>
    </row>
    <row r="300" spans="6:8" ht="22.5" customHeight="1">
      <c r="F300" s="35" t="str">
        <f t="shared" si="12"/>
        <v/>
      </c>
      <c r="H300" s="36" t="str">
        <f t="shared" si="13"/>
        <v/>
      </c>
    </row>
    <row r="301" spans="6:8" ht="22.5" customHeight="1">
      <c r="F301" s="35" t="str">
        <f t="shared" si="12"/>
        <v/>
      </c>
      <c r="H301" s="36" t="str">
        <f t="shared" si="13"/>
        <v/>
      </c>
    </row>
    <row r="302" spans="6:8" ht="22.5" customHeight="1">
      <c r="F302" s="35" t="str">
        <f t="shared" si="12"/>
        <v/>
      </c>
      <c r="H302" s="36" t="str">
        <f t="shared" si="13"/>
        <v/>
      </c>
    </row>
    <row r="303" spans="6:8" ht="22.5" customHeight="1">
      <c r="F303" s="35" t="str">
        <f t="shared" si="12"/>
        <v/>
      </c>
      <c r="H303" s="36" t="str">
        <f t="shared" si="13"/>
        <v/>
      </c>
    </row>
    <row r="304" spans="6:8" ht="22.5" customHeight="1">
      <c r="F304" s="35" t="str">
        <f t="shared" si="12"/>
        <v/>
      </c>
      <c r="H304" s="36" t="str">
        <f t="shared" si="13"/>
        <v/>
      </c>
    </row>
    <row r="305" spans="6:8" ht="22.5" customHeight="1">
      <c r="F305" s="35" t="str">
        <f t="shared" si="12"/>
        <v/>
      </c>
      <c r="H305" s="36" t="str">
        <f t="shared" si="13"/>
        <v/>
      </c>
    </row>
    <row r="306" spans="6:8" ht="22.5" customHeight="1">
      <c r="F306" s="35" t="str">
        <f t="shared" si="12"/>
        <v/>
      </c>
      <c r="H306" s="36" t="str">
        <f t="shared" si="13"/>
        <v/>
      </c>
    </row>
    <row r="307" spans="6:8" ht="22.5" customHeight="1">
      <c r="F307" s="35" t="str">
        <f t="shared" si="12"/>
        <v/>
      </c>
      <c r="H307" s="36" t="str">
        <f t="shared" si="13"/>
        <v/>
      </c>
    </row>
    <row r="308" spans="6:8" ht="22.5" customHeight="1">
      <c r="F308" s="35" t="str">
        <f t="shared" si="12"/>
        <v/>
      </c>
      <c r="H308" s="36" t="str">
        <f t="shared" si="13"/>
        <v/>
      </c>
    </row>
    <row r="309" spans="6:8" ht="22.5" customHeight="1">
      <c r="F309" s="35" t="str">
        <f t="shared" si="12"/>
        <v/>
      </c>
      <c r="H309" s="36" t="str">
        <f t="shared" si="13"/>
        <v/>
      </c>
    </row>
    <row r="310" spans="6:8" ht="22.5" customHeight="1">
      <c r="F310" s="35" t="str">
        <f t="shared" si="12"/>
        <v/>
      </c>
      <c r="H310" s="36" t="str">
        <f t="shared" si="13"/>
        <v/>
      </c>
    </row>
    <row r="311" spans="6:8" ht="22.5" customHeight="1">
      <c r="F311" s="35" t="str">
        <f t="shared" si="12"/>
        <v/>
      </c>
      <c r="H311" s="36" t="str">
        <f t="shared" si="13"/>
        <v/>
      </c>
    </row>
    <row r="312" spans="6:8" ht="22.5" customHeight="1">
      <c r="F312" s="35" t="str">
        <f t="shared" si="12"/>
        <v/>
      </c>
      <c r="H312" s="36" t="str">
        <f t="shared" si="13"/>
        <v/>
      </c>
    </row>
    <row r="313" spans="6:8" ht="22.5" customHeight="1">
      <c r="F313" s="35" t="str">
        <f t="shared" ref="F313:F376" si="14">IF(A313="", "", "gift-codes.html?game=" &amp; A313)</f>
        <v/>
      </c>
      <c r="H313" s="36" t="str">
        <f t="shared" ref="H313:H376" si="15">IF(A313="", "", "https://www.ssbuy.tw/game-detail.html?game="&amp;A313)</f>
        <v/>
      </c>
    </row>
    <row r="314" spans="6:8" ht="22.5" customHeight="1">
      <c r="F314" s="35" t="str">
        <f t="shared" si="14"/>
        <v/>
      </c>
      <c r="H314" s="36" t="str">
        <f t="shared" si="15"/>
        <v/>
      </c>
    </row>
    <row r="315" spans="6:8" ht="22.5" customHeight="1">
      <c r="F315" s="35" t="str">
        <f t="shared" si="14"/>
        <v/>
      </c>
      <c r="H315" s="36" t="str">
        <f t="shared" si="15"/>
        <v/>
      </c>
    </row>
    <row r="316" spans="6:8" ht="22.5" customHeight="1">
      <c r="F316" s="35" t="str">
        <f t="shared" si="14"/>
        <v/>
      </c>
      <c r="H316" s="36" t="str">
        <f t="shared" si="15"/>
        <v/>
      </c>
    </row>
    <row r="317" spans="6:8" ht="22.5" customHeight="1">
      <c r="F317" s="35" t="str">
        <f t="shared" si="14"/>
        <v/>
      </c>
      <c r="H317" s="36" t="str">
        <f t="shared" si="15"/>
        <v/>
      </c>
    </row>
    <row r="318" spans="6:8" ht="22.5" customHeight="1">
      <c r="F318" s="35" t="str">
        <f t="shared" si="14"/>
        <v/>
      </c>
      <c r="H318" s="36" t="str">
        <f t="shared" si="15"/>
        <v/>
      </c>
    </row>
    <row r="319" spans="6:8" ht="22.5" customHeight="1">
      <c r="F319" s="35" t="str">
        <f t="shared" si="14"/>
        <v/>
      </c>
      <c r="H319" s="36" t="str">
        <f t="shared" si="15"/>
        <v/>
      </c>
    </row>
    <row r="320" spans="6:8" ht="22.5" customHeight="1">
      <c r="F320" s="35" t="str">
        <f t="shared" si="14"/>
        <v/>
      </c>
      <c r="H320" s="36" t="str">
        <f t="shared" si="15"/>
        <v/>
      </c>
    </row>
    <row r="321" spans="6:8" ht="22.5" customHeight="1">
      <c r="F321" s="35" t="str">
        <f t="shared" si="14"/>
        <v/>
      </c>
      <c r="H321" s="36" t="str">
        <f t="shared" si="15"/>
        <v/>
      </c>
    </row>
    <row r="322" spans="6:8" ht="22.5" customHeight="1">
      <c r="F322" s="35" t="str">
        <f t="shared" si="14"/>
        <v/>
      </c>
      <c r="H322" s="36" t="str">
        <f t="shared" si="15"/>
        <v/>
      </c>
    </row>
    <row r="323" spans="6:8" ht="22.5" customHeight="1">
      <c r="F323" s="35" t="str">
        <f t="shared" si="14"/>
        <v/>
      </c>
      <c r="H323" s="36" t="str">
        <f t="shared" si="15"/>
        <v/>
      </c>
    </row>
    <row r="324" spans="6:8" ht="22.5" customHeight="1">
      <c r="F324" s="35" t="str">
        <f t="shared" si="14"/>
        <v/>
      </c>
      <c r="H324" s="36" t="str">
        <f t="shared" si="15"/>
        <v/>
      </c>
    </row>
    <row r="325" spans="6:8" ht="22.5" customHeight="1">
      <c r="F325" s="35" t="str">
        <f t="shared" si="14"/>
        <v/>
      </c>
      <c r="H325" s="36" t="str">
        <f t="shared" si="15"/>
        <v/>
      </c>
    </row>
    <row r="326" spans="6:8" ht="22.5" customHeight="1">
      <c r="F326" s="35" t="str">
        <f t="shared" si="14"/>
        <v/>
      </c>
      <c r="H326" s="36" t="str">
        <f t="shared" si="15"/>
        <v/>
      </c>
    </row>
    <row r="327" spans="6:8" ht="22.5" customHeight="1">
      <c r="F327" s="35" t="str">
        <f t="shared" si="14"/>
        <v/>
      </c>
      <c r="H327" s="36" t="str">
        <f t="shared" si="15"/>
        <v/>
      </c>
    </row>
    <row r="328" spans="6:8" ht="22.5" customHeight="1">
      <c r="F328" s="35" t="str">
        <f t="shared" si="14"/>
        <v/>
      </c>
      <c r="H328" s="36" t="str">
        <f t="shared" si="15"/>
        <v/>
      </c>
    </row>
    <row r="329" spans="6:8" ht="22.5" customHeight="1">
      <c r="F329" s="35" t="str">
        <f t="shared" si="14"/>
        <v/>
      </c>
      <c r="H329" s="36" t="str">
        <f t="shared" si="15"/>
        <v/>
      </c>
    </row>
    <row r="330" spans="6:8" ht="22.5" customHeight="1">
      <c r="F330" s="35" t="str">
        <f t="shared" si="14"/>
        <v/>
      </c>
      <c r="H330" s="36" t="str">
        <f t="shared" si="15"/>
        <v/>
      </c>
    </row>
    <row r="331" spans="6:8" ht="22.5" customHeight="1">
      <c r="F331" s="35" t="str">
        <f t="shared" si="14"/>
        <v/>
      </c>
      <c r="H331" s="36" t="str">
        <f t="shared" si="15"/>
        <v/>
      </c>
    </row>
    <row r="332" spans="6:8" ht="22.5" customHeight="1">
      <c r="F332" s="35" t="str">
        <f t="shared" si="14"/>
        <v/>
      </c>
      <c r="H332" s="36" t="str">
        <f t="shared" si="15"/>
        <v/>
      </c>
    </row>
    <row r="333" spans="6:8" ht="22.5" customHeight="1">
      <c r="F333" s="35" t="str">
        <f t="shared" si="14"/>
        <v/>
      </c>
      <c r="H333" s="36" t="str">
        <f t="shared" si="15"/>
        <v/>
      </c>
    </row>
    <row r="334" spans="6:8" ht="22.5" customHeight="1">
      <c r="F334" s="35" t="str">
        <f t="shared" si="14"/>
        <v/>
      </c>
      <c r="H334" s="36" t="str">
        <f t="shared" si="15"/>
        <v/>
      </c>
    </row>
    <row r="335" spans="6:8" ht="22.5" customHeight="1">
      <c r="F335" s="35" t="str">
        <f t="shared" si="14"/>
        <v/>
      </c>
      <c r="H335" s="36" t="str">
        <f t="shared" si="15"/>
        <v/>
      </c>
    </row>
    <row r="336" spans="6:8" ht="22.5" customHeight="1">
      <c r="F336" s="35" t="str">
        <f t="shared" si="14"/>
        <v/>
      </c>
      <c r="H336" s="36" t="str">
        <f t="shared" si="15"/>
        <v/>
      </c>
    </row>
    <row r="337" spans="6:8" ht="22.5" customHeight="1">
      <c r="F337" s="35" t="str">
        <f t="shared" si="14"/>
        <v/>
      </c>
      <c r="H337" s="36" t="str">
        <f t="shared" si="15"/>
        <v/>
      </c>
    </row>
    <row r="338" spans="6:8" ht="22.5" customHeight="1">
      <c r="F338" s="35" t="str">
        <f t="shared" si="14"/>
        <v/>
      </c>
      <c r="H338" s="36" t="str">
        <f t="shared" si="15"/>
        <v/>
      </c>
    </row>
    <row r="339" spans="6:8" ht="22.5" customHeight="1">
      <c r="F339" s="35" t="str">
        <f t="shared" si="14"/>
        <v/>
      </c>
      <c r="H339" s="36" t="str">
        <f t="shared" si="15"/>
        <v/>
      </c>
    </row>
    <row r="340" spans="6:8" ht="22.5" customHeight="1">
      <c r="F340" s="35" t="str">
        <f t="shared" si="14"/>
        <v/>
      </c>
      <c r="H340" s="36" t="str">
        <f t="shared" si="15"/>
        <v/>
      </c>
    </row>
    <row r="341" spans="6:8" ht="22.5" customHeight="1">
      <c r="F341" s="35" t="str">
        <f t="shared" si="14"/>
        <v/>
      </c>
      <c r="H341" s="36" t="str">
        <f t="shared" si="15"/>
        <v/>
      </c>
    </row>
    <row r="342" spans="6:8" ht="22.5" customHeight="1">
      <c r="F342" s="35" t="str">
        <f t="shared" si="14"/>
        <v/>
      </c>
      <c r="H342" s="36" t="str">
        <f t="shared" si="15"/>
        <v/>
      </c>
    </row>
    <row r="343" spans="6:8" ht="22.5" customHeight="1">
      <c r="F343" s="35" t="str">
        <f t="shared" si="14"/>
        <v/>
      </c>
      <c r="H343" s="36" t="str">
        <f t="shared" si="15"/>
        <v/>
      </c>
    </row>
    <row r="344" spans="6:8" ht="22.5" customHeight="1">
      <c r="F344" s="35" t="str">
        <f t="shared" si="14"/>
        <v/>
      </c>
      <c r="H344" s="36" t="str">
        <f t="shared" si="15"/>
        <v/>
      </c>
    </row>
    <row r="345" spans="6:8" ht="22.5" customHeight="1">
      <c r="F345" s="35" t="str">
        <f t="shared" si="14"/>
        <v/>
      </c>
      <c r="H345" s="36" t="str">
        <f t="shared" si="15"/>
        <v/>
      </c>
    </row>
    <row r="346" spans="6:8" ht="22.5" customHeight="1">
      <c r="F346" s="35" t="str">
        <f t="shared" si="14"/>
        <v/>
      </c>
      <c r="H346" s="36" t="str">
        <f t="shared" si="15"/>
        <v/>
      </c>
    </row>
    <row r="347" spans="6:8" ht="22.5" customHeight="1">
      <c r="F347" s="35" t="str">
        <f t="shared" si="14"/>
        <v/>
      </c>
      <c r="H347" s="36" t="str">
        <f t="shared" si="15"/>
        <v/>
      </c>
    </row>
    <row r="348" spans="6:8" ht="22.5" customHeight="1">
      <c r="F348" s="35" t="str">
        <f t="shared" si="14"/>
        <v/>
      </c>
      <c r="H348" s="36" t="str">
        <f t="shared" si="15"/>
        <v/>
      </c>
    </row>
    <row r="349" spans="6:8" ht="22.5" customHeight="1">
      <c r="F349" s="35" t="str">
        <f t="shared" si="14"/>
        <v/>
      </c>
      <c r="H349" s="36" t="str">
        <f t="shared" si="15"/>
        <v/>
      </c>
    </row>
    <row r="350" spans="6:8" ht="22.5" customHeight="1">
      <c r="F350" s="35" t="str">
        <f t="shared" si="14"/>
        <v/>
      </c>
      <c r="H350" s="36" t="str">
        <f t="shared" si="15"/>
        <v/>
      </c>
    </row>
    <row r="351" spans="6:8" ht="22.5" customHeight="1">
      <c r="F351" s="35" t="str">
        <f t="shared" si="14"/>
        <v/>
      </c>
      <c r="H351" s="36" t="str">
        <f t="shared" si="15"/>
        <v/>
      </c>
    </row>
    <row r="352" spans="6:8" ht="22.5" customHeight="1">
      <c r="F352" s="35" t="str">
        <f t="shared" si="14"/>
        <v/>
      </c>
      <c r="H352" s="36" t="str">
        <f t="shared" si="15"/>
        <v/>
      </c>
    </row>
    <row r="353" spans="6:8" ht="22.5" customHeight="1">
      <c r="F353" s="35" t="str">
        <f t="shared" si="14"/>
        <v/>
      </c>
      <c r="H353" s="36" t="str">
        <f t="shared" si="15"/>
        <v/>
      </c>
    </row>
    <row r="354" spans="6:8" ht="22.5" customHeight="1">
      <c r="F354" s="35" t="str">
        <f t="shared" si="14"/>
        <v/>
      </c>
      <c r="H354" s="36" t="str">
        <f t="shared" si="15"/>
        <v/>
      </c>
    </row>
    <row r="355" spans="6:8" ht="22.5" customHeight="1">
      <c r="F355" s="35" t="str">
        <f t="shared" si="14"/>
        <v/>
      </c>
      <c r="H355" s="36" t="str">
        <f t="shared" si="15"/>
        <v/>
      </c>
    </row>
    <row r="356" spans="6:8" ht="22.5" customHeight="1">
      <c r="F356" s="35" t="str">
        <f t="shared" si="14"/>
        <v/>
      </c>
      <c r="H356" s="36" t="str">
        <f t="shared" si="15"/>
        <v/>
      </c>
    </row>
    <row r="357" spans="6:8" ht="22.5" customHeight="1">
      <c r="F357" s="35" t="str">
        <f t="shared" si="14"/>
        <v/>
      </c>
      <c r="H357" s="36" t="str">
        <f t="shared" si="15"/>
        <v/>
      </c>
    </row>
    <row r="358" spans="6:8" ht="22.5" customHeight="1">
      <c r="F358" s="35" t="str">
        <f t="shared" si="14"/>
        <v/>
      </c>
      <c r="H358" s="36" t="str">
        <f t="shared" si="15"/>
        <v/>
      </c>
    </row>
    <row r="359" spans="6:8" ht="22.5" customHeight="1">
      <c r="F359" s="35" t="str">
        <f t="shared" si="14"/>
        <v/>
      </c>
      <c r="H359" s="36" t="str">
        <f t="shared" si="15"/>
        <v/>
      </c>
    </row>
    <row r="360" spans="6:8" ht="22.5" customHeight="1">
      <c r="F360" s="35" t="str">
        <f t="shared" si="14"/>
        <v/>
      </c>
      <c r="H360" s="36" t="str">
        <f t="shared" si="15"/>
        <v/>
      </c>
    </row>
    <row r="361" spans="6:8" ht="22.5" customHeight="1">
      <c r="F361" s="35" t="str">
        <f t="shared" si="14"/>
        <v/>
      </c>
      <c r="H361" s="36" t="str">
        <f t="shared" si="15"/>
        <v/>
      </c>
    </row>
    <row r="362" spans="6:8" ht="22.5" customHeight="1">
      <c r="F362" s="35" t="str">
        <f t="shared" si="14"/>
        <v/>
      </c>
      <c r="H362" s="36" t="str">
        <f t="shared" si="15"/>
        <v/>
      </c>
    </row>
    <row r="363" spans="6:8" ht="22.5" customHeight="1">
      <c r="F363" s="35" t="str">
        <f t="shared" si="14"/>
        <v/>
      </c>
      <c r="H363" s="36" t="str">
        <f t="shared" si="15"/>
        <v/>
      </c>
    </row>
    <row r="364" spans="6:8" ht="22.5" customHeight="1">
      <c r="F364" s="35" t="str">
        <f t="shared" si="14"/>
        <v/>
      </c>
      <c r="H364" s="36" t="str">
        <f t="shared" si="15"/>
        <v/>
      </c>
    </row>
    <row r="365" spans="6:8" ht="22.5" customHeight="1">
      <c r="F365" s="35" t="str">
        <f t="shared" si="14"/>
        <v/>
      </c>
      <c r="H365" s="36" t="str">
        <f t="shared" si="15"/>
        <v/>
      </c>
    </row>
    <row r="366" spans="6:8" ht="22.5" customHeight="1">
      <c r="F366" s="35" t="str">
        <f t="shared" si="14"/>
        <v/>
      </c>
      <c r="H366" s="36" t="str">
        <f t="shared" si="15"/>
        <v/>
      </c>
    </row>
    <row r="367" spans="6:8" ht="22.5" customHeight="1">
      <c r="F367" s="35" t="str">
        <f t="shared" si="14"/>
        <v/>
      </c>
      <c r="H367" s="36" t="str">
        <f t="shared" si="15"/>
        <v/>
      </c>
    </row>
    <row r="368" spans="6:8" ht="22.5" customHeight="1">
      <c r="F368" s="35" t="str">
        <f t="shared" si="14"/>
        <v/>
      </c>
      <c r="H368" s="36" t="str">
        <f t="shared" si="15"/>
        <v/>
      </c>
    </row>
    <row r="369" spans="6:8" ht="22.5" customHeight="1">
      <c r="F369" s="35" t="str">
        <f t="shared" si="14"/>
        <v/>
      </c>
      <c r="H369" s="36" t="str">
        <f t="shared" si="15"/>
        <v/>
      </c>
    </row>
    <row r="370" spans="6:8" ht="22.5" customHeight="1">
      <c r="F370" s="35" t="str">
        <f t="shared" si="14"/>
        <v/>
      </c>
      <c r="H370" s="36" t="str">
        <f t="shared" si="15"/>
        <v/>
      </c>
    </row>
    <row r="371" spans="6:8" ht="22.5" customHeight="1">
      <c r="F371" s="35" t="str">
        <f t="shared" si="14"/>
        <v/>
      </c>
      <c r="H371" s="36" t="str">
        <f t="shared" si="15"/>
        <v/>
      </c>
    </row>
    <row r="372" spans="6:8" ht="22.5" customHeight="1">
      <c r="F372" s="35" t="str">
        <f t="shared" si="14"/>
        <v/>
      </c>
      <c r="H372" s="36" t="str">
        <f t="shared" si="15"/>
        <v/>
      </c>
    </row>
    <row r="373" spans="6:8" ht="22.5" customHeight="1">
      <c r="F373" s="35" t="str">
        <f t="shared" si="14"/>
        <v/>
      </c>
      <c r="H373" s="36" t="str">
        <f t="shared" si="15"/>
        <v/>
      </c>
    </row>
    <row r="374" spans="6:8" ht="22.5" customHeight="1">
      <c r="F374" s="35" t="str">
        <f t="shared" si="14"/>
        <v/>
      </c>
      <c r="H374" s="36" t="str">
        <f t="shared" si="15"/>
        <v/>
      </c>
    </row>
    <row r="375" spans="6:8" ht="22.5" customHeight="1">
      <c r="F375" s="35" t="str">
        <f t="shared" si="14"/>
        <v/>
      </c>
      <c r="H375" s="36" t="str">
        <f t="shared" si="15"/>
        <v/>
      </c>
    </row>
    <row r="376" spans="6:8" ht="22.5" customHeight="1">
      <c r="F376" s="35" t="str">
        <f t="shared" si="14"/>
        <v/>
      </c>
      <c r="H376" s="36" t="str">
        <f t="shared" si="15"/>
        <v/>
      </c>
    </row>
    <row r="377" spans="6:8" ht="22.5" customHeight="1">
      <c r="F377" s="35" t="str">
        <f t="shared" ref="F377:F440" si="16">IF(A377="", "", "gift-codes.html?game=" &amp; A377)</f>
        <v/>
      </c>
      <c r="H377" s="36" t="str">
        <f t="shared" ref="H377:H440" si="17">IF(A377="", "", "https://www.ssbuy.tw/game-detail.html?game="&amp;A377)</f>
        <v/>
      </c>
    </row>
    <row r="378" spans="6:8" ht="22.5" customHeight="1">
      <c r="F378" s="35" t="str">
        <f t="shared" si="16"/>
        <v/>
      </c>
      <c r="H378" s="36" t="str">
        <f t="shared" si="17"/>
        <v/>
      </c>
    </row>
    <row r="379" spans="6:8" ht="22.5" customHeight="1">
      <c r="F379" s="35" t="str">
        <f t="shared" si="16"/>
        <v/>
      </c>
      <c r="H379" s="36" t="str">
        <f t="shared" si="17"/>
        <v/>
      </c>
    </row>
    <row r="380" spans="6:8" ht="22.5" customHeight="1">
      <c r="F380" s="35" t="str">
        <f t="shared" si="16"/>
        <v/>
      </c>
      <c r="H380" s="36" t="str">
        <f t="shared" si="17"/>
        <v/>
      </c>
    </row>
    <row r="381" spans="6:8" ht="22.5" customHeight="1">
      <c r="F381" s="35" t="str">
        <f t="shared" si="16"/>
        <v/>
      </c>
      <c r="H381" s="36" t="str">
        <f t="shared" si="17"/>
        <v/>
      </c>
    </row>
    <row r="382" spans="6:8" ht="22.5" customHeight="1">
      <c r="F382" s="35" t="str">
        <f t="shared" si="16"/>
        <v/>
      </c>
      <c r="H382" s="36" t="str">
        <f t="shared" si="17"/>
        <v/>
      </c>
    </row>
    <row r="383" spans="6:8" ht="22.5" customHeight="1">
      <c r="F383" s="35" t="str">
        <f t="shared" si="16"/>
        <v/>
      </c>
      <c r="H383" s="36" t="str">
        <f t="shared" si="17"/>
        <v/>
      </c>
    </row>
    <row r="384" spans="6:8" ht="22.5" customHeight="1">
      <c r="F384" s="35" t="str">
        <f t="shared" si="16"/>
        <v/>
      </c>
      <c r="H384" s="36" t="str">
        <f t="shared" si="17"/>
        <v/>
      </c>
    </row>
    <row r="385" spans="6:8" ht="22.5" customHeight="1">
      <c r="F385" s="35" t="str">
        <f t="shared" si="16"/>
        <v/>
      </c>
      <c r="H385" s="36" t="str">
        <f t="shared" si="17"/>
        <v/>
      </c>
    </row>
    <row r="386" spans="6:8" ht="22.5" customHeight="1">
      <c r="F386" s="35" t="str">
        <f t="shared" si="16"/>
        <v/>
      </c>
      <c r="H386" s="36" t="str">
        <f t="shared" si="17"/>
        <v/>
      </c>
    </row>
    <row r="387" spans="6:8" ht="22.5" customHeight="1">
      <c r="F387" s="35" t="str">
        <f t="shared" si="16"/>
        <v/>
      </c>
      <c r="H387" s="36" t="str">
        <f t="shared" si="17"/>
        <v/>
      </c>
    </row>
    <row r="388" spans="6:8" ht="22.5" customHeight="1">
      <c r="F388" s="35" t="str">
        <f t="shared" si="16"/>
        <v/>
      </c>
      <c r="H388" s="36" t="str">
        <f t="shared" si="17"/>
        <v/>
      </c>
    </row>
    <row r="389" spans="6:8" ht="22.5" customHeight="1">
      <c r="F389" s="35" t="str">
        <f t="shared" si="16"/>
        <v/>
      </c>
      <c r="H389" s="36" t="str">
        <f t="shared" si="17"/>
        <v/>
      </c>
    </row>
    <row r="390" spans="6:8" ht="22.5" customHeight="1">
      <c r="F390" s="35" t="str">
        <f t="shared" si="16"/>
        <v/>
      </c>
      <c r="H390" s="36" t="str">
        <f t="shared" si="17"/>
        <v/>
      </c>
    </row>
    <row r="391" spans="6:8" ht="22.5" customHeight="1">
      <c r="F391" s="35" t="str">
        <f t="shared" si="16"/>
        <v/>
      </c>
      <c r="H391" s="36" t="str">
        <f t="shared" si="17"/>
        <v/>
      </c>
    </row>
    <row r="392" spans="6:8" ht="22.5" customHeight="1">
      <c r="F392" s="35" t="str">
        <f t="shared" si="16"/>
        <v/>
      </c>
      <c r="H392" s="36" t="str">
        <f t="shared" si="17"/>
        <v/>
      </c>
    </row>
    <row r="393" spans="6:8" ht="22.5" customHeight="1">
      <c r="F393" s="35" t="str">
        <f t="shared" si="16"/>
        <v/>
      </c>
      <c r="H393" s="36" t="str">
        <f t="shared" si="17"/>
        <v/>
      </c>
    </row>
    <row r="394" spans="6:8" ht="22.5" customHeight="1">
      <c r="F394" s="35" t="str">
        <f t="shared" si="16"/>
        <v/>
      </c>
      <c r="H394" s="36" t="str">
        <f t="shared" si="17"/>
        <v/>
      </c>
    </row>
    <row r="395" spans="6:8" ht="22.5" customHeight="1">
      <c r="F395" s="35" t="str">
        <f t="shared" si="16"/>
        <v/>
      </c>
      <c r="H395" s="36" t="str">
        <f t="shared" si="17"/>
        <v/>
      </c>
    </row>
    <row r="396" spans="6:8" ht="22.5" customHeight="1">
      <c r="F396" s="35" t="str">
        <f t="shared" si="16"/>
        <v/>
      </c>
      <c r="H396" s="36" t="str">
        <f t="shared" si="17"/>
        <v/>
      </c>
    </row>
    <row r="397" spans="6:8" ht="22.5" customHeight="1">
      <c r="F397" s="35" t="str">
        <f t="shared" si="16"/>
        <v/>
      </c>
      <c r="H397" s="36" t="str">
        <f t="shared" si="17"/>
        <v/>
      </c>
    </row>
    <row r="398" spans="6:8" ht="22.5" customHeight="1">
      <c r="F398" s="35" t="str">
        <f t="shared" si="16"/>
        <v/>
      </c>
      <c r="H398" s="36" t="str">
        <f t="shared" si="17"/>
        <v/>
      </c>
    </row>
    <row r="399" spans="6:8" ht="22.5" customHeight="1">
      <c r="F399" s="35" t="str">
        <f t="shared" si="16"/>
        <v/>
      </c>
      <c r="H399" s="36" t="str">
        <f t="shared" si="17"/>
        <v/>
      </c>
    </row>
    <row r="400" spans="6:8" ht="22.5" customHeight="1">
      <c r="F400" s="35" t="str">
        <f t="shared" si="16"/>
        <v/>
      </c>
      <c r="H400" s="36" t="str">
        <f t="shared" si="17"/>
        <v/>
      </c>
    </row>
    <row r="401" spans="6:8" ht="22.5" customHeight="1">
      <c r="F401" s="35" t="str">
        <f t="shared" si="16"/>
        <v/>
      </c>
      <c r="H401" s="36" t="str">
        <f t="shared" si="17"/>
        <v/>
      </c>
    </row>
    <row r="402" spans="6:8" ht="22.5" customHeight="1">
      <c r="F402" s="35" t="str">
        <f t="shared" si="16"/>
        <v/>
      </c>
      <c r="H402" s="36" t="str">
        <f t="shared" si="17"/>
        <v/>
      </c>
    </row>
    <row r="403" spans="6:8" ht="22.5" customHeight="1">
      <c r="F403" s="35" t="str">
        <f t="shared" si="16"/>
        <v/>
      </c>
      <c r="H403" s="36" t="str">
        <f t="shared" si="17"/>
        <v/>
      </c>
    </row>
    <row r="404" spans="6:8" ht="22.5" customHeight="1">
      <c r="F404" s="35" t="str">
        <f t="shared" si="16"/>
        <v/>
      </c>
      <c r="H404" s="36" t="str">
        <f t="shared" si="17"/>
        <v/>
      </c>
    </row>
    <row r="405" spans="6:8" ht="22.5" customHeight="1">
      <c r="F405" s="35" t="str">
        <f t="shared" si="16"/>
        <v/>
      </c>
      <c r="H405" s="36" t="str">
        <f t="shared" si="17"/>
        <v/>
      </c>
    </row>
    <row r="406" spans="6:8" ht="22.5" customHeight="1">
      <c r="F406" s="35" t="str">
        <f t="shared" si="16"/>
        <v/>
      </c>
      <c r="H406" s="36" t="str">
        <f t="shared" si="17"/>
        <v/>
      </c>
    </row>
    <row r="407" spans="6:8" ht="22.5" customHeight="1">
      <c r="F407" s="35" t="str">
        <f t="shared" si="16"/>
        <v/>
      </c>
      <c r="H407" s="36" t="str">
        <f t="shared" si="17"/>
        <v/>
      </c>
    </row>
    <row r="408" spans="6:8" ht="22.5" customHeight="1">
      <c r="F408" s="35" t="str">
        <f t="shared" si="16"/>
        <v/>
      </c>
      <c r="H408" s="36" t="str">
        <f t="shared" si="17"/>
        <v/>
      </c>
    </row>
    <row r="409" spans="6:8" ht="22.5" customHeight="1">
      <c r="F409" s="35" t="str">
        <f t="shared" si="16"/>
        <v/>
      </c>
      <c r="H409" s="36" t="str">
        <f t="shared" si="17"/>
        <v/>
      </c>
    </row>
    <row r="410" spans="6:8" ht="22.5" customHeight="1">
      <c r="F410" s="35" t="str">
        <f t="shared" si="16"/>
        <v/>
      </c>
      <c r="H410" s="36" t="str">
        <f t="shared" si="17"/>
        <v/>
      </c>
    </row>
    <row r="411" spans="6:8" ht="22.5" customHeight="1">
      <c r="F411" s="35" t="str">
        <f t="shared" si="16"/>
        <v/>
      </c>
      <c r="H411" s="36" t="str">
        <f t="shared" si="17"/>
        <v/>
      </c>
    </row>
    <row r="412" spans="6:8" ht="22.5" customHeight="1">
      <c r="F412" s="35" t="str">
        <f t="shared" si="16"/>
        <v/>
      </c>
      <c r="H412" s="36" t="str">
        <f t="shared" si="17"/>
        <v/>
      </c>
    </row>
    <row r="413" spans="6:8" ht="22.5" customHeight="1">
      <c r="F413" s="35" t="str">
        <f t="shared" si="16"/>
        <v/>
      </c>
      <c r="H413" s="36" t="str">
        <f t="shared" si="17"/>
        <v/>
      </c>
    </row>
    <row r="414" spans="6:8" ht="22.5" customHeight="1">
      <c r="F414" s="35" t="str">
        <f t="shared" si="16"/>
        <v/>
      </c>
      <c r="H414" s="36" t="str">
        <f t="shared" si="17"/>
        <v/>
      </c>
    </row>
    <row r="415" spans="6:8" ht="22.5" customHeight="1">
      <c r="F415" s="35" t="str">
        <f t="shared" si="16"/>
        <v/>
      </c>
      <c r="H415" s="36" t="str">
        <f t="shared" si="17"/>
        <v/>
      </c>
    </row>
    <row r="416" spans="6:8" ht="22.5" customHeight="1">
      <c r="F416" s="35" t="str">
        <f t="shared" si="16"/>
        <v/>
      </c>
      <c r="H416" s="36" t="str">
        <f t="shared" si="17"/>
        <v/>
      </c>
    </row>
    <row r="417" spans="6:8" ht="22.5" customHeight="1">
      <c r="F417" s="35" t="str">
        <f t="shared" si="16"/>
        <v/>
      </c>
      <c r="H417" s="36" t="str">
        <f t="shared" si="17"/>
        <v/>
      </c>
    </row>
    <row r="418" spans="6:8" ht="22.5" customHeight="1">
      <c r="F418" s="35" t="str">
        <f t="shared" si="16"/>
        <v/>
      </c>
      <c r="H418" s="36" t="str">
        <f t="shared" si="17"/>
        <v/>
      </c>
    </row>
    <row r="419" spans="6:8" ht="22.5" customHeight="1">
      <c r="F419" s="35" t="str">
        <f t="shared" si="16"/>
        <v/>
      </c>
      <c r="H419" s="36" t="str">
        <f t="shared" si="17"/>
        <v/>
      </c>
    </row>
    <row r="420" spans="6:8" ht="22.5" customHeight="1">
      <c r="F420" s="35" t="str">
        <f t="shared" si="16"/>
        <v/>
      </c>
      <c r="H420" s="36" t="str">
        <f t="shared" si="17"/>
        <v/>
      </c>
    </row>
    <row r="421" spans="6:8" ht="22.5" customHeight="1">
      <c r="F421" s="35" t="str">
        <f t="shared" si="16"/>
        <v/>
      </c>
      <c r="H421" s="36" t="str">
        <f t="shared" si="17"/>
        <v/>
      </c>
    </row>
    <row r="422" spans="6:8" ht="22.5" customHeight="1">
      <c r="F422" s="35" t="str">
        <f t="shared" si="16"/>
        <v/>
      </c>
      <c r="H422" s="36" t="str">
        <f t="shared" si="17"/>
        <v/>
      </c>
    </row>
    <row r="423" spans="6:8" ht="22.5" customHeight="1">
      <c r="F423" s="35" t="str">
        <f t="shared" si="16"/>
        <v/>
      </c>
      <c r="H423" s="36" t="str">
        <f t="shared" si="17"/>
        <v/>
      </c>
    </row>
    <row r="424" spans="6:8" ht="22.5" customHeight="1">
      <c r="F424" s="35" t="str">
        <f t="shared" si="16"/>
        <v/>
      </c>
      <c r="H424" s="36" t="str">
        <f t="shared" si="17"/>
        <v/>
      </c>
    </row>
    <row r="425" spans="6:8" ht="22.5" customHeight="1">
      <c r="F425" s="35" t="str">
        <f t="shared" si="16"/>
        <v/>
      </c>
      <c r="H425" s="36" t="str">
        <f t="shared" si="17"/>
        <v/>
      </c>
    </row>
    <row r="426" spans="6:8" ht="22.5" customHeight="1">
      <c r="F426" s="35" t="str">
        <f t="shared" si="16"/>
        <v/>
      </c>
      <c r="H426" s="36" t="str">
        <f t="shared" si="17"/>
        <v/>
      </c>
    </row>
    <row r="427" spans="6:8" ht="22.5" customHeight="1">
      <c r="F427" s="35" t="str">
        <f t="shared" si="16"/>
        <v/>
      </c>
      <c r="H427" s="36" t="str">
        <f t="shared" si="17"/>
        <v/>
      </c>
    </row>
    <row r="428" spans="6:8" ht="22.5" customHeight="1">
      <c r="F428" s="35" t="str">
        <f t="shared" si="16"/>
        <v/>
      </c>
      <c r="H428" s="36" t="str">
        <f t="shared" si="17"/>
        <v/>
      </c>
    </row>
    <row r="429" spans="6:8" ht="22.5" customHeight="1">
      <c r="F429" s="35" t="str">
        <f t="shared" si="16"/>
        <v/>
      </c>
      <c r="H429" s="36" t="str">
        <f t="shared" si="17"/>
        <v/>
      </c>
    </row>
    <row r="430" spans="6:8" ht="22.5" customHeight="1">
      <c r="F430" s="35" t="str">
        <f t="shared" si="16"/>
        <v/>
      </c>
      <c r="H430" s="36" t="str">
        <f t="shared" si="17"/>
        <v/>
      </c>
    </row>
    <row r="431" spans="6:8" ht="22.5" customHeight="1">
      <c r="F431" s="35" t="str">
        <f t="shared" si="16"/>
        <v/>
      </c>
      <c r="H431" s="36" t="str">
        <f t="shared" si="17"/>
        <v/>
      </c>
    </row>
    <row r="432" spans="6:8" ht="22.5" customHeight="1">
      <c r="F432" s="35" t="str">
        <f t="shared" si="16"/>
        <v/>
      </c>
      <c r="H432" s="36" t="str">
        <f t="shared" si="17"/>
        <v/>
      </c>
    </row>
    <row r="433" spans="6:8">
      <c r="F433" s="35" t="str">
        <f t="shared" si="16"/>
        <v/>
      </c>
      <c r="H433" s="36" t="str">
        <f t="shared" si="17"/>
        <v/>
      </c>
    </row>
    <row r="434" spans="6:8">
      <c r="F434" s="35" t="str">
        <f t="shared" si="16"/>
        <v/>
      </c>
      <c r="H434" s="36" t="str">
        <f t="shared" si="17"/>
        <v/>
      </c>
    </row>
    <row r="435" spans="6:8">
      <c r="F435" s="35" t="str">
        <f t="shared" si="16"/>
        <v/>
      </c>
      <c r="H435" s="36" t="str">
        <f t="shared" si="17"/>
        <v/>
      </c>
    </row>
    <row r="436" spans="6:8">
      <c r="F436" s="35" t="str">
        <f t="shared" si="16"/>
        <v/>
      </c>
      <c r="H436" s="36" t="str">
        <f t="shared" si="17"/>
        <v/>
      </c>
    </row>
    <row r="437" spans="6:8">
      <c r="F437" s="35" t="str">
        <f t="shared" si="16"/>
        <v/>
      </c>
      <c r="H437" s="36" t="str">
        <f t="shared" si="17"/>
        <v/>
      </c>
    </row>
    <row r="438" spans="6:8">
      <c r="F438" s="35" t="str">
        <f t="shared" si="16"/>
        <v/>
      </c>
      <c r="H438" s="36" t="str">
        <f t="shared" si="17"/>
        <v/>
      </c>
    </row>
    <row r="439" spans="6:8">
      <c r="F439" s="35" t="str">
        <f t="shared" si="16"/>
        <v/>
      </c>
      <c r="H439" s="36" t="str">
        <f t="shared" si="17"/>
        <v/>
      </c>
    </row>
    <row r="440" spans="6:8">
      <c r="F440" s="35" t="str">
        <f t="shared" si="16"/>
        <v/>
      </c>
      <c r="H440" s="36" t="str">
        <f t="shared" si="17"/>
        <v/>
      </c>
    </row>
    <row r="441" spans="6:8">
      <c r="F441" s="35" t="str">
        <f t="shared" ref="F441:F504" si="18">IF(A441="", "", "gift-codes.html?game=" &amp; A441)</f>
        <v/>
      </c>
      <c r="H441" s="36" t="str">
        <f t="shared" ref="H441:H504" si="19">IF(A441="", "", "https://www.ssbuy.tw/game-detail.html?game="&amp;A441)</f>
        <v/>
      </c>
    </row>
    <row r="442" spans="6:8">
      <c r="F442" s="35" t="str">
        <f t="shared" si="18"/>
        <v/>
      </c>
      <c r="H442" s="36" t="str">
        <f t="shared" si="19"/>
        <v/>
      </c>
    </row>
    <row r="443" spans="6:8">
      <c r="F443" s="35" t="str">
        <f t="shared" si="18"/>
        <v/>
      </c>
      <c r="H443" s="36" t="str">
        <f t="shared" si="19"/>
        <v/>
      </c>
    </row>
    <row r="444" spans="6:8">
      <c r="F444" s="35" t="str">
        <f t="shared" si="18"/>
        <v/>
      </c>
      <c r="H444" s="36" t="str">
        <f t="shared" si="19"/>
        <v/>
      </c>
    </row>
    <row r="445" spans="6:8">
      <c r="F445" s="35" t="str">
        <f t="shared" si="18"/>
        <v/>
      </c>
      <c r="H445" s="36" t="str">
        <f t="shared" si="19"/>
        <v/>
      </c>
    </row>
    <row r="446" spans="6:8">
      <c r="F446" s="35" t="str">
        <f t="shared" si="18"/>
        <v/>
      </c>
      <c r="H446" s="36" t="str">
        <f t="shared" si="19"/>
        <v/>
      </c>
    </row>
    <row r="447" spans="6:8">
      <c r="F447" s="35" t="str">
        <f t="shared" si="18"/>
        <v/>
      </c>
      <c r="H447" s="36" t="str">
        <f t="shared" si="19"/>
        <v/>
      </c>
    </row>
    <row r="448" spans="6:8">
      <c r="F448" s="35" t="str">
        <f t="shared" si="18"/>
        <v/>
      </c>
      <c r="H448" s="36" t="str">
        <f t="shared" si="19"/>
        <v/>
      </c>
    </row>
    <row r="449" spans="6:8">
      <c r="F449" s="35" t="str">
        <f t="shared" si="18"/>
        <v/>
      </c>
      <c r="H449" s="36" t="str">
        <f t="shared" si="19"/>
        <v/>
      </c>
    </row>
    <row r="450" spans="6:8">
      <c r="F450" s="35" t="str">
        <f t="shared" si="18"/>
        <v/>
      </c>
      <c r="H450" s="36" t="str">
        <f t="shared" si="19"/>
        <v/>
      </c>
    </row>
    <row r="451" spans="6:8">
      <c r="F451" s="35" t="str">
        <f t="shared" si="18"/>
        <v/>
      </c>
      <c r="H451" s="36" t="str">
        <f t="shared" si="19"/>
        <v/>
      </c>
    </row>
    <row r="452" spans="6:8">
      <c r="F452" s="35" t="str">
        <f t="shared" si="18"/>
        <v/>
      </c>
      <c r="H452" s="36" t="str">
        <f t="shared" si="19"/>
        <v/>
      </c>
    </row>
    <row r="453" spans="6:8">
      <c r="F453" s="35" t="str">
        <f t="shared" si="18"/>
        <v/>
      </c>
      <c r="H453" s="36" t="str">
        <f t="shared" si="19"/>
        <v/>
      </c>
    </row>
    <row r="454" spans="6:8">
      <c r="F454" s="35" t="str">
        <f t="shared" si="18"/>
        <v/>
      </c>
      <c r="H454" s="36" t="str">
        <f t="shared" si="19"/>
        <v/>
      </c>
    </row>
    <row r="455" spans="6:8">
      <c r="F455" s="35" t="str">
        <f t="shared" si="18"/>
        <v/>
      </c>
      <c r="H455" s="36" t="str">
        <f t="shared" si="19"/>
        <v/>
      </c>
    </row>
    <row r="456" spans="6:8">
      <c r="F456" s="35" t="str">
        <f t="shared" si="18"/>
        <v/>
      </c>
      <c r="H456" s="36" t="str">
        <f t="shared" si="19"/>
        <v/>
      </c>
    </row>
    <row r="457" spans="6:8">
      <c r="F457" s="35" t="str">
        <f t="shared" si="18"/>
        <v/>
      </c>
      <c r="H457" s="36" t="str">
        <f t="shared" si="19"/>
        <v/>
      </c>
    </row>
    <row r="458" spans="6:8">
      <c r="F458" s="35" t="str">
        <f t="shared" si="18"/>
        <v/>
      </c>
      <c r="H458" s="36" t="str">
        <f t="shared" si="19"/>
        <v/>
      </c>
    </row>
    <row r="459" spans="6:8">
      <c r="F459" s="35" t="str">
        <f t="shared" si="18"/>
        <v/>
      </c>
      <c r="H459" s="36" t="str">
        <f t="shared" si="19"/>
        <v/>
      </c>
    </row>
    <row r="460" spans="6:8">
      <c r="F460" s="35" t="str">
        <f t="shared" si="18"/>
        <v/>
      </c>
      <c r="H460" s="36" t="str">
        <f t="shared" si="19"/>
        <v/>
      </c>
    </row>
    <row r="461" spans="6:8">
      <c r="F461" s="35" t="str">
        <f t="shared" si="18"/>
        <v/>
      </c>
      <c r="H461" s="36" t="str">
        <f t="shared" si="19"/>
        <v/>
      </c>
    </row>
    <row r="462" spans="6:8">
      <c r="F462" s="35" t="str">
        <f t="shared" si="18"/>
        <v/>
      </c>
      <c r="H462" s="36" t="str">
        <f t="shared" si="19"/>
        <v/>
      </c>
    </row>
    <row r="463" spans="6:8">
      <c r="F463" s="35" t="str">
        <f t="shared" si="18"/>
        <v/>
      </c>
      <c r="H463" s="36" t="str">
        <f t="shared" si="19"/>
        <v/>
      </c>
    </row>
    <row r="464" spans="6:8">
      <c r="F464" s="35" t="str">
        <f t="shared" si="18"/>
        <v/>
      </c>
      <c r="H464" s="36" t="str">
        <f t="shared" si="19"/>
        <v/>
      </c>
    </row>
    <row r="465" spans="6:8">
      <c r="F465" s="35" t="str">
        <f t="shared" si="18"/>
        <v/>
      </c>
      <c r="H465" s="36" t="str">
        <f t="shared" si="19"/>
        <v/>
      </c>
    </row>
    <row r="466" spans="6:8">
      <c r="F466" s="35" t="str">
        <f t="shared" si="18"/>
        <v/>
      </c>
      <c r="H466" s="36" t="str">
        <f t="shared" si="19"/>
        <v/>
      </c>
    </row>
    <row r="467" spans="6:8">
      <c r="F467" s="35" t="str">
        <f t="shared" si="18"/>
        <v/>
      </c>
      <c r="H467" s="36" t="str">
        <f t="shared" si="19"/>
        <v/>
      </c>
    </row>
    <row r="468" spans="6:8">
      <c r="F468" s="35" t="str">
        <f t="shared" si="18"/>
        <v/>
      </c>
      <c r="H468" s="36" t="str">
        <f t="shared" si="19"/>
        <v/>
      </c>
    </row>
    <row r="469" spans="6:8">
      <c r="F469" s="35" t="str">
        <f t="shared" si="18"/>
        <v/>
      </c>
      <c r="H469" s="36" t="str">
        <f t="shared" si="19"/>
        <v/>
      </c>
    </row>
    <row r="470" spans="6:8">
      <c r="F470" s="35" t="str">
        <f t="shared" si="18"/>
        <v/>
      </c>
      <c r="H470" s="36" t="str">
        <f t="shared" si="19"/>
        <v/>
      </c>
    </row>
    <row r="471" spans="6:8">
      <c r="F471" s="35" t="str">
        <f t="shared" si="18"/>
        <v/>
      </c>
      <c r="H471" s="36" t="str">
        <f t="shared" si="19"/>
        <v/>
      </c>
    </row>
    <row r="472" spans="6:8">
      <c r="F472" s="35" t="str">
        <f t="shared" si="18"/>
        <v/>
      </c>
      <c r="H472" s="36" t="str">
        <f t="shared" si="19"/>
        <v/>
      </c>
    </row>
    <row r="473" spans="6:8">
      <c r="F473" s="35" t="str">
        <f t="shared" si="18"/>
        <v/>
      </c>
      <c r="H473" s="36" t="str">
        <f t="shared" si="19"/>
        <v/>
      </c>
    </row>
    <row r="474" spans="6:8">
      <c r="F474" s="35" t="str">
        <f t="shared" si="18"/>
        <v/>
      </c>
      <c r="H474" s="36" t="str">
        <f t="shared" si="19"/>
        <v/>
      </c>
    </row>
    <row r="475" spans="6:8">
      <c r="F475" s="35" t="str">
        <f t="shared" si="18"/>
        <v/>
      </c>
      <c r="H475" s="36" t="str">
        <f t="shared" si="19"/>
        <v/>
      </c>
    </row>
    <row r="476" spans="6:8">
      <c r="F476" s="35" t="str">
        <f t="shared" si="18"/>
        <v/>
      </c>
      <c r="H476" s="36" t="str">
        <f t="shared" si="19"/>
        <v/>
      </c>
    </row>
    <row r="477" spans="6:8">
      <c r="F477" s="35" t="str">
        <f t="shared" si="18"/>
        <v/>
      </c>
      <c r="H477" s="36" t="str">
        <f t="shared" si="19"/>
        <v/>
      </c>
    </row>
    <row r="478" spans="6:8">
      <c r="F478" s="35" t="str">
        <f t="shared" si="18"/>
        <v/>
      </c>
      <c r="H478" s="36" t="str">
        <f t="shared" si="19"/>
        <v/>
      </c>
    </row>
    <row r="479" spans="6:8">
      <c r="F479" s="35" t="str">
        <f t="shared" si="18"/>
        <v/>
      </c>
      <c r="H479" s="36" t="str">
        <f t="shared" si="19"/>
        <v/>
      </c>
    </row>
    <row r="480" spans="6:8">
      <c r="F480" s="35" t="str">
        <f t="shared" si="18"/>
        <v/>
      </c>
      <c r="H480" s="36" t="str">
        <f t="shared" si="19"/>
        <v/>
      </c>
    </row>
    <row r="481" spans="6:8">
      <c r="F481" s="35" t="str">
        <f t="shared" si="18"/>
        <v/>
      </c>
      <c r="H481" s="36" t="str">
        <f t="shared" si="19"/>
        <v/>
      </c>
    </row>
    <row r="482" spans="6:8">
      <c r="F482" s="35" t="str">
        <f t="shared" si="18"/>
        <v/>
      </c>
      <c r="H482" s="36" t="str">
        <f t="shared" si="19"/>
        <v/>
      </c>
    </row>
    <row r="483" spans="6:8">
      <c r="F483" s="35" t="str">
        <f t="shared" si="18"/>
        <v/>
      </c>
      <c r="H483" s="36" t="str">
        <f t="shared" si="19"/>
        <v/>
      </c>
    </row>
    <row r="484" spans="6:8">
      <c r="F484" s="35" t="str">
        <f t="shared" si="18"/>
        <v/>
      </c>
      <c r="H484" s="36" t="str">
        <f t="shared" si="19"/>
        <v/>
      </c>
    </row>
    <row r="485" spans="6:8">
      <c r="F485" s="35" t="str">
        <f t="shared" si="18"/>
        <v/>
      </c>
      <c r="H485" s="36" t="str">
        <f t="shared" si="19"/>
        <v/>
      </c>
    </row>
    <row r="486" spans="6:8">
      <c r="F486" s="35" t="str">
        <f t="shared" si="18"/>
        <v/>
      </c>
      <c r="H486" s="36" t="str">
        <f t="shared" si="19"/>
        <v/>
      </c>
    </row>
    <row r="487" spans="6:8">
      <c r="F487" s="35" t="str">
        <f t="shared" si="18"/>
        <v/>
      </c>
      <c r="H487" s="36" t="str">
        <f t="shared" si="19"/>
        <v/>
      </c>
    </row>
    <row r="488" spans="6:8">
      <c r="F488" s="35" t="str">
        <f t="shared" si="18"/>
        <v/>
      </c>
      <c r="H488" s="36" t="str">
        <f t="shared" si="19"/>
        <v/>
      </c>
    </row>
    <row r="489" spans="6:8">
      <c r="F489" s="35" t="str">
        <f t="shared" si="18"/>
        <v/>
      </c>
      <c r="H489" s="36" t="str">
        <f t="shared" si="19"/>
        <v/>
      </c>
    </row>
    <row r="490" spans="6:8">
      <c r="F490" s="35" t="str">
        <f t="shared" si="18"/>
        <v/>
      </c>
      <c r="H490" s="36" t="str">
        <f t="shared" si="19"/>
        <v/>
      </c>
    </row>
    <row r="491" spans="6:8">
      <c r="F491" s="35" t="str">
        <f t="shared" si="18"/>
        <v/>
      </c>
      <c r="H491" s="36" t="str">
        <f t="shared" si="19"/>
        <v/>
      </c>
    </row>
    <row r="492" spans="6:8">
      <c r="F492" s="35" t="str">
        <f t="shared" si="18"/>
        <v/>
      </c>
      <c r="H492" s="36" t="str">
        <f t="shared" si="19"/>
        <v/>
      </c>
    </row>
    <row r="493" spans="6:8">
      <c r="F493" s="35" t="str">
        <f t="shared" si="18"/>
        <v/>
      </c>
      <c r="H493" s="36" t="str">
        <f t="shared" si="19"/>
        <v/>
      </c>
    </row>
    <row r="494" spans="6:8">
      <c r="F494" s="35" t="str">
        <f t="shared" si="18"/>
        <v/>
      </c>
      <c r="H494" s="36" t="str">
        <f t="shared" si="19"/>
        <v/>
      </c>
    </row>
    <row r="495" spans="6:8">
      <c r="F495" s="35" t="str">
        <f t="shared" si="18"/>
        <v/>
      </c>
      <c r="H495" s="36" t="str">
        <f t="shared" si="19"/>
        <v/>
      </c>
    </row>
    <row r="496" spans="6:8">
      <c r="F496" s="35" t="str">
        <f t="shared" si="18"/>
        <v/>
      </c>
      <c r="H496" s="36" t="str">
        <f t="shared" si="19"/>
        <v/>
      </c>
    </row>
    <row r="497" spans="6:8">
      <c r="F497" s="35" t="str">
        <f t="shared" si="18"/>
        <v/>
      </c>
      <c r="H497" s="36" t="str">
        <f t="shared" si="19"/>
        <v/>
      </c>
    </row>
    <row r="498" spans="6:8">
      <c r="F498" s="35" t="str">
        <f t="shared" si="18"/>
        <v/>
      </c>
      <c r="H498" s="36" t="str">
        <f t="shared" si="19"/>
        <v/>
      </c>
    </row>
    <row r="499" spans="6:8">
      <c r="F499" s="35" t="str">
        <f t="shared" si="18"/>
        <v/>
      </c>
      <c r="H499" s="36" t="str">
        <f t="shared" si="19"/>
        <v/>
      </c>
    </row>
    <row r="500" spans="6:8">
      <c r="F500" s="35" t="str">
        <f t="shared" si="18"/>
        <v/>
      </c>
      <c r="H500" s="36" t="str">
        <f t="shared" si="19"/>
        <v/>
      </c>
    </row>
    <row r="501" spans="6:8">
      <c r="F501" s="35" t="str">
        <f t="shared" si="18"/>
        <v/>
      </c>
      <c r="H501" s="36" t="str">
        <f t="shared" si="19"/>
        <v/>
      </c>
    </row>
    <row r="502" spans="6:8">
      <c r="F502" s="35" t="str">
        <f t="shared" si="18"/>
        <v/>
      </c>
      <c r="H502" s="36" t="str">
        <f t="shared" si="19"/>
        <v/>
      </c>
    </row>
    <row r="503" spans="6:8">
      <c r="F503" s="35" t="str">
        <f t="shared" si="18"/>
        <v/>
      </c>
      <c r="H503" s="36" t="str">
        <f t="shared" si="19"/>
        <v/>
      </c>
    </row>
    <row r="504" spans="6:8">
      <c r="F504" s="35" t="str">
        <f t="shared" si="18"/>
        <v/>
      </c>
      <c r="H504" s="36" t="str">
        <f t="shared" si="19"/>
        <v/>
      </c>
    </row>
    <row r="505" spans="6:8">
      <c r="F505" s="35" t="str">
        <f t="shared" ref="F505:F568" si="20">IF(A505="", "", "gift-codes.html?game=" &amp; A505)</f>
        <v/>
      </c>
      <c r="H505" s="36" t="str">
        <f t="shared" ref="H505:H568" si="21">IF(A505="", "", "https://www.ssbuy.tw/game-detail.html?game="&amp;A505)</f>
        <v/>
      </c>
    </row>
    <row r="506" spans="6:8">
      <c r="F506" s="35" t="str">
        <f t="shared" si="20"/>
        <v/>
      </c>
      <c r="H506" s="36" t="str">
        <f t="shared" si="21"/>
        <v/>
      </c>
    </row>
    <row r="507" spans="6:8">
      <c r="F507" s="35" t="str">
        <f t="shared" si="20"/>
        <v/>
      </c>
      <c r="H507" s="36" t="str">
        <f t="shared" si="21"/>
        <v/>
      </c>
    </row>
    <row r="508" spans="6:8">
      <c r="F508" s="35" t="str">
        <f t="shared" si="20"/>
        <v/>
      </c>
      <c r="H508" s="36" t="str">
        <f t="shared" si="21"/>
        <v/>
      </c>
    </row>
    <row r="509" spans="6:8">
      <c r="F509" s="35" t="str">
        <f t="shared" si="20"/>
        <v/>
      </c>
      <c r="H509" s="36" t="str">
        <f t="shared" si="21"/>
        <v/>
      </c>
    </row>
    <row r="510" spans="6:8">
      <c r="F510" s="35" t="str">
        <f t="shared" si="20"/>
        <v/>
      </c>
      <c r="H510" s="36" t="str">
        <f t="shared" si="21"/>
        <v/>
      </c>
    </row>
    <row r="511" spans="6:8">
      <c r="F511" s="35" t="str">
        <f t="shared" si="20"/>
        <v/>
      </c>
      <c r="H511" s="36" t="str">
        <f t="shared" si="21"/>
        <v/>
      </c>
    </row>
    <row r="512" spans="6:8">
      <c r="F512" s="35" t="str">
        <f t="shared" si="20"/>
        <v/>
      </c>
      <c r="H512" s="36" t="str">
        <f t="shared" si="21"/>
        <v/>
      </c>
    </row>
    <row r="513" spans="6:8">
      <c r="F513" s="35" t="str">
        <f t="shared" si="20"/>
        <v/>
      </c>
      <c r="H513" s="36" t="str">
        <f t="shared" si="21"/>
        <v/>
      </c>
    </row>
    <row r="514" spans="6:8">
      <c r="F514" s="35" t="str">
        <f t="shared" si="20"/>
        <v/>
      </c>
      <c r="H514" s="36" t="str">
        <f t="shared" si="21"/>
        <v/>
      </c>
    </row>
    <row r="515" spans="6:8">
      <c r="F515" s="35" t="str">
        <f t="shared" si="20"/>
        <v/>
      </c>
      <c r="H515" s="36" t="str">
        <f t="shared" si="21"/>
        <v/>
      </c>
    </row>
    <row r="516" spans="6:8">
      <c r="F516" s="35" t="str">
        <f t="shared" si="20"/>
        <v/>
      </c>
      <c r="H516" s="36" t="str">
        <f t="shared" si="21"/>
        <v/>
      </c>
    </row>
    <row r="517" spans="6:8">
      <c r="F517" s="35" t="str">
        <f t="shared" si="20"/>
        <v/>
      </c>
      <c r="H517" s="36" t="str">
        <f t="shared" si="21"/>
        <v/>
      </c>
    </row>
    <row r="518" spans="6:8">
      <c r="F518" s="35" t="str">
        <f t="shared" si="20"/>
        <v/>
      </c>
      <c r="H518" s="36" t="str">
        <f t="shared" si="21"/>
        <v/>
      </c>
    </row>
    <row r="519" spans="6:8">
      <c r="F519" s="35" t="str">
        <f t="shared" si="20"/>
        <v/>
      </c>
      <c r="H519" s="36" t="str">
        <f t="shared" si="21"/>
        <v/>
      </c>
    </row>
    <row r="520" spans="6:8">
      <c r="F520" s="35" t="str">
        <f t="shared" si="20"/>
        <v/>
      </c>
      <c r="H520" s="36" t="str">
        <f t="shared" si="21"/>
        <v/>
      </c>
    </row>
    <row r="521" spans="6:8">
      <c r="F521" s="35" t="str">
        <f t="shared" si="20"/>
        <v/>
      </c>
      <c r="H521" s="36" t="str">
        <f t="shared" si="21"/>
        <v/>
      </c>
    </row>
    <row r="522" spans="6:8">
      <c r="F522" s="35" t="str">
        <f t="shared" si="20"/>
        <v/>
      </c>
      <c r="H522" s="36" t="str">
        <f t="shared" si="21"/>
        <v/>
      </c>
    </row>
    <row r="523" spans="6:8">
      <c r="F523" s="35" t="str">
        <f t="shared" si="20"/>
        <v/>
      </c>
      <c r="H523" s="36" t="str">
        <f t="shared" si="21"/>
        <v/>
      </c>
    </row>
    <row r="524" spans="6:8">
      <c r="F524" s="35" t="str">
        <f t="shared" si="20"/>
        <v/>
      </c>
      <c r="H524" s="36" t="str">
        <f t="shared" si="21"/>
        <v/>
      </c>
    </row>
    <row r="525" spans="6:8">
      <c r="F525" s="35" t="str">
        <f t="shared" si="20"/>
        <v/>
      </c>
      <c r="H525" s="36" t="str">
        <f t="shared" si="21"/>
        <v/>
      </c>
    </row>
    <row r="526" spans="6:8">
      <c r="F526" s="35" t="str">
        <f t="shared" si="20"/>
        <v/>
      </c>
      <c r="H526" s="36" t="str">
        <f t="shared" si="21"/>
        <v/>
      </c>
    </row>
    <row r="527" spans="6:8">
      <c r="F527" s="35" t="str">
        <f t="shared" si="20"/>
        <v/>
      </c>
      <c r="H527" s="36" t="str">
        <f t="shared" si="21"/>
        <v/>
      </c>
    </row>
    <row r="528" spans="6:8">
      <c r="F528" s="35" t="str">
        <f t="shared" si="20"/>
        <v/>
      </c>
      <c r="H528" s="36" t="str">
        <f t="shared" si="21"/>
        <v/>
      </c>
    </row>
    <row r="529" spans="6:8">
      <c r="F529" s="35" t="str">
        <f t="shared" si="20"/>
        <v/>
      </c>
      <c r="H529" s="36" t="str">
        <f t="shared" si="21"/>
        <v/>
      </c>
    </row>
    <row r="530" spans="6:8">
      <c r="F530" s="35" t="str">
        <f t="shared" si="20"/>
        <v/>
      </c>
      <c r="H530" s="36" t="str">
        <f t="shared" si="21"/>
        <v/>
      </c>
    </row>
    <row r="531" spans="6:8">
      <c r="F531" s="35" t="str">
        <f t="shared" si="20"/>
        <v/>
      </c>
      <c r="H531" s="36" t="str">
        <f t="shared" si="21"/>
        <v/>
      </c>
    </row>
    <row r="532" spans="6:8">
      <c r="F532" s="35" t="str">
        <f t="shared" si="20"/>
        <v/>
      </c>
      <c r="H532" s="36" t="str">
        <f t="shared" si="21"/>
        <v/>
      </c>
    </row>
    <row r="533" spans="6:8">
      <c r="F533" s="35" t="str">
        <f t="shared" si="20"/>
        <v/>
      </c>
      <c r="H533" s="36" t="str">
        <f t="shared" si="21"/>
        <v/>
      </c>
    </row>
    <row r="534" spans="6:8">
      <c r="F534" s="35" t="str">
        <f t="shared" si="20"/>
        <v/>
      </c>
      <c r="H534" s="36" t="str">
        <f t="shared" si="21"/>
        <v/>
      </c>
    </row>
    <row r="535" spans="6:8">
      <c r="F535" s="35" t="str">
        <f t="shared" si="20"/>
        <v/>
      </c>
      <c r="H535" s="36" t="str">
        <f t="shared" si="21"/>
        <v/>
      </c>
    </row>
    <row r="536" spans="6:8">
      <c r="F536" s="35" t="str">
        <f t="shared" si="20"/>
        <v/>
      </c>
      <c r="H536" s="36" t="str">
        <f t="shared" si="21"/>
        <v/>
      </c>
    </row>
    <row r="537" spans="6:8">
      <c r="F537" s="35" t="str">
        <f t="shared" si="20"/>
        <v/>
      </c>
      <c r="H537" s="36" t="str">
        <f t="shared" si="21"/>
        <v/>
      </c>
    </row>
    <row r="538" spans="6:8">
      <c r="F538" s="35" t="str">
        <f t="shared" si="20"/>
        <v/>
      </c>
      <c r="H538" s="36" t="str">
        <f t="shared" si="21"/>
        <v/>
      </c>
    </row>
    <row r="539" spans="6:8">
      <c r="F539" s="35" t="str">
        <f t="shared" si="20"/>
        <v/>
      </c>
      <c r="H539" s="36" t="str">
        <f t="shared" si="21"/>
        <v/>
      </c>
    </row>
    <row r="540" spans="6:8">
      <c r="F540" s="35" t="str">
        <f t="shared" si="20"/>
        <v/>
      </c>
      <c r="H540" s="36" t="str">
        <f t="shared" si="21"/>
        <v/>
      </c>
    </row>
    <row r="541" spans="6:8">
      <c r="F541" s="35" t="str">
        <f t="shared" si="20"/>
        <v/>
      </c>
      <c r="H541" s="36" t="str">
        <f t="shared" si="21"/>
        <v/>
      </c>
    </row>
    <row r="542" spans="6:8">
      <c r="F542" s="35" t="str">
        <f t="shared" si="20"/>
        <v/>
      </c>
      <c r="H542" s="36" t="str">
        <f t="shared" si="21"/>
        <v/>
      </c>
    </row>
    <row r="543" spans="6:8">
      <c r="F543" s="35" t="str">
        <f t="shared" si="20"/>
        <v/>
      </c>
      <c r="H543" s="36" t="str">
        <f t="shared" si="21"/>
        <v/>
      </c>
    </row>
    <row r="544" spans="6:8">
      <c r="F544" s="35" t="str">
        <f t="shared" si="20"/>
        <v/>
      </c>
      <c r="H544" s="36" t="str">
        <f t="shared" si="21"/>
        <v/>
      </c>
    </row>
    <row r="545" spans="6:8">
      <c r="F545" s="35" t="str">
        <f t="shared" si="20"/>
        <v/>
      </c>
      <c r="H545" s="36" t="str">
        <f t="shared" si="21"/>
        <v/>
      </c>
    </row>
    <row r="546" spans="6:8">
      <c r="F546" s="35" t="str">
        <f t="shared" si="20"/>
        <v/>
      </c>
      <c r="H546" s="36" t="str">
        <f t="shared" si="21"/>
        <v/>
      </c>
    </row>
    <row r="547" spans="6:8">
      <c r="F547" s="35" t="str">
        <f t="shared" si="20"/>
        <v/>
      </c>
      <c r="H547" s="36" t="str">
        <f t="shared" si="21"/>
        <v/>
      </c>
    </row>
    <row r="548" spans="6:8">
      <c r="F548" s="35" t="str">
        <f t="shared" si="20"/>
        <v/>
      </c>
      <c r="H548" s="36" t="str">
        <f t="shared" si="21"/>
        <v/>
      </c>
    </row>
    <row r="549" spans="6:8">
      <c r="F549" s="35" t="str">
        <f t="shared" si="20"/>
        <v/>
      </c>
      <c r="H549" s="36" t="str">
        <f t="shared" si="21"/>
        <v/>
      </c>
    </row>
    <row r="550" spans="6:8">
      <c r="F550" s="35" t="str">
        <f t="shared" si="20"/>
        <v/>
      </c>
      <c r="H550" s="36" t="str">
        <f t="shared" si="21"/>
        <v/>
      </c>
    </row>
    <row r="551" spans="6:8">
      <c r="F551" s="35" t="str">
        <f t="shared" si="20"/>
        <v/>
      </c>
      <c r="H551" s="36" t="str">
        <f t="shared" si="21"/>
        <v/>
      </c>
    </row>
    <row r="552" spans="6:8">
      <c r="F552" s="35" t="str">
        <f t="shared" si="20"/>
        <v/>
      </c>
      <c r="H552" s="36" t="str">
        <f t="shared" si="21"/>
        <v/>
      </c>
    </row>
    <row r="553" spans="6:8">
      <c r="F553" s="35" t="str">
        <f t="shared" si="20"/>
        <v/>
      </c>
      <c r="H553" s="36" t="str">
        <f t="shared" si="21"/>
        <v/>
      </c>
    </row>
    <row r="554" spans="6:8">
      <c r="F554" s="35" t="str">
        <f t="shared" si="20"/>
        <v/>
      </c>
      <c r="H554" s="36" t="str">
        <f t="shared" si="21"/>
        <v/>
      </c>
    </row>
    <row r="555" spans="6:8">
      <c r="F555" s="35" t="str">
        <f t="shared" si="20"/>
        <v/>
      </c>
      <c r="H555" s="36" t="str">
        <f t="shared" si="21"/>
        <v/>
      </c>
    </row>
    <row r="556" spans="6:8">
      <c r="F556" s="35" t="str">
        <f t="shared" si="20"/>
        <v/>
      </c>
      <c r="H556" s="36" t="str">
        <f t="shared" si="21"/>
        <v/>
      </c>
    </row>
    <row r="557" spans="6:8">
      <c r="F557" s="35" t="str">
        <f t="shared" si="20"/>
        <v/>
      </c>
      <c r="H557" s="36" t="str">
        <f t="shared" si="21"/>
        <v/>
      </c>
    </row>
    <row r="558" spans="6:8">
      <c r="F558" s="35" t="str">
        <f t="shared" si="20"/>
        <v/>
      </c>
      <c r="H558" s="36" t="str">
        <f t="shared" si="21"/>
        <v/>
      </c>
    </row>
    <row r="559" spans="6:8">
      <c r="F559" s="35" t="str">
        <f t="shared" si="20"/>
        <v/>
      </c>
      <c r="H559" s="36" t="str">
        <f t="shared" si="21"/>
        <v/>
      </c>
    </row>
    <row r="560" spans="6:8">
      <c r="F560" s="35" t="str">
        <f t="shared" si="20"/>
        <v/>
      </c>
      <c r="H560" s="36" t="str">
        <f t="shared" si="21"/>
        <v/>
      </c>
    </row>
    <row r="561" spans="6:8">
      <c r="F561" s="35" t="str">
        <f t="shared" si="20"/>
        <v/>
      </c>
      <c r="H561" s="36" t="str">
        <f t="shared" si="21"/>
        <v/>
      </c>
    </row>
    <row r="562" spans="6:8">
      <c r="F562" s="35" t="str">
        <f t="shared" si="20"/>
        <v/>
      </c>
      <c r="H562" s="36" t="str">
        <f t="shared" si="21"/>
        <v/>
      </c>
    </row>
    <row r="563" spans="6:8">
      <c r="F563" s="35" t="str">
        <f t="shared" si="20"/>
        <v/>
      </c>
      <c r="H563" s="36" t="str">
        <f t="shared" si="21"/>
        <v/>
      </c>
    </row>
    <row r="564" spans="6:8">
      <c r="F564" s="35" t="str">
        <f t="shared" si="20"/>
        <v/>
      </c>
      <c r="H564" s="36" t="str">
        <f t="shared" si="21"/>
        <v/>
      </c>
    </row>
    <row r="565" spans="6:8">
      <c r="F565" s="35" t="str">
        <f t="shared" si="20"/>
        <v/>
      </c>
      <c r="H565" s="36" t="str">
        <f t="shared" si="21"/>
        <v/>
      </c>
    </row>
    <row r="566" spans="6:8">
      <c r="F566" s="35" t="str">
        <f t="shared" si="20"/>
        <v/>
      </c>
      <c r="H566" s="36" t="str">
        <f t="shared" si="21"/>
        <v/>
      </c>
    </row>
    <row r="567" spans="6:8">
      <c r="F567" s="35" t="str">
        <f t="shared" si="20"/>
        <v/>
      </c>
      <c r="H567" s="36" t="str">
        <f t="shared" si="21"/>
        <v/>
      </c>
    </row>
    <row r="568" spans="6:8">
      <c r="F568" s="35" t="str">
        <f t="shared" si="20"/>
        <v/>
      </c>
      <c r="H568" s="36" t="str">
        <f t="shared" si="21"/>
        <v/>
      </c>
    </row>
    <row r="569" spans="6:8">
      <c r="F569" s="35" t="str">
        <f>IF(A569="", "", "gift-codes.html?game=" &amp; A569)</f>
        <v/>
      </c>
      <c r="H569" s="36" t="str">
        <f t="shared" ref="H569:H627" si="22">IF(A569="", "", "https://www.ssbuy.tw/game-detail.html?game="&amp;A569)</f>
        <v/>
      </c>
    </row>
    <row r="570" spans="6:8">
      <c r="F570" s="35" t="str">
        <f>IF(A570="", "", "gift-codes.html?game=" &amp; A570)</f>
        <v/>
      </c>
      <c r="H570" s="36" t="str">
        <f t="shared" si="22"/>
        <v/>
      </c>
    </row>
    <row r="571" spans="6:8">
      <c r="F571" s="35" t="str">
        <f>IF(A571="", "", "gift-codes.html?game=" &amp; A571)</f>
        <v/>
      </c>
      <c r="H571" s="36" t="str">
        <f t="shared" si="22"/>
        <v/>
      </c>
    </row>
    <row r="572" spans="6:8">
      <c r="H572" s="36" t="str">
        <f t="shared" si="22"/>
        <v/>
      </c>
    </row>
    <row r="573" spans="6:8">
      <c r="H573" s="36" t="str">
        <f t="shared" si="22"/>
        <v/>
      </c>
    </row>
    <row r="574" spans="6:8">
      <c r="H574" s="36" t="str">
        <f t="shared" si="22"/>
        <v/>
      </c>
    </row>
    <row r="575" spans="6:8">
      <c r="H575" s="36" t="str">
        <f t="shared" si="22"/>
        <v/>
      </c>
    </row>
    <row r="576" spans="6:8">
      <c r="H576" s="36" t="str">
        <f t="shared" si="22"/>
        <v/>
      </c>
    </row>
    <row r="577" spans="8:8">
      <c r="H577" s="36" t="str">
        <f t="shared" si="22"/>
        <v/>
      </c>
    </row>
    <row r="578" spans="8:8">
      <c r="H578" s="36" t="str">
        <f t="shared" si="22"/>
        <v/>
      </c>
    </row>
    <row r="579" spans="8:8">
      <c r="H579" s="36" t="str">
        <f t="shared" si="22"/>
        <v/>
      </c>
    </row>
    <row r="580" spans="8:8">
      <c r="H580" s="36" t="str">
        <f t="shared" si="22"/>
        <v/>
      </c>
    </row>
    <row r="581" spans="8:8">
      <c r="H581" s="36" t="str">
        <f t="shared" si="22"/>
        <v/>
      </c>
    </row>
    <row r="582" spans="8:8">
      <c r="H582" s="36" t="str">
        <f t="shared" si="22"/>
        <v/>
      </c>
    </row>
    <row r="583" spans="8:8">
      <c r="H583" s="36" t="str">
        <f t="shared" si="22"/>
        <v/>
      </c>
    </row>
    <row r="584" spans="8:8">
      <c r="H584" s="36" t="str">
        <f t="shared" si="22"/>
        <v/>
      </c>
    </row>
    <row r="585" spans="8:8">
      <c r="H585" s="36" t="str">
        <f t="shared" si="22"/>
        <v/>
      </c>
    </row>
    <row r="586" spans="8:8">
      <c r="H586" s="36" t="str">
        <f t="shared" si="22"/>
        <v/>
      </c>
    </row>
    <row r="587" spans="8:8">
      <c r="H587" s="36" t="str">
        <f t="shared" si="22"/>
        <v/>
      </c>
    </row>
    <row r="588" spans="8:8">
      <c r="H588" s="36" t="str">
        <f t="shared" si="22"/>
        <v/>
      </c>
    </row>
    <row r="589" spans="8:8">
      <c r="H589" s="36" t="str">
        <f t="shared" si="22"/>
        <v/>
      </c>
    </row>
    <row r="590" spans="8:8">
      <c r="H590" s="36" t="str">
        <f t="shared" si="22"/>
        <v/>
      </c>
    </row>
    <row r="591" spans="8:8">
      <c r="H591" s="36" t="str">
        <f t="shared" si="22"/>
        <v/>
      </c>
    </row>
    <row r="592" spans="8:8">
      <c r="H592" s="36" t="str">
        <f t="shared" si="22"/>
        <v/>
      </c>
    </row>
    <row r="593" spans="8:8">
      <c r="H593" s="36" t="str">
        <f t="shared" si="22"/>
        <v/>
      </c>
    </row>
    <row r="594" spans="8:8">
      <c r="H594" s="36" t="str">
        <f t="shared" si="22"/>
        <v/>
      </c>
    </row>
    <row r="595" spans="8:8">
      <c r="H595" s="36" t="str">
        <f t="shared" si="22"/>
        <v/>
      </c>
    </row>
    <row r="596" spans="8:8">
      <c r="H596" s="36" t="str">
        <f t="shared" si="22"/>
        <v/>
      </c>
    </row>
    <row r="597" spans="8:8">
      <c r="H597" s="36" t="str">
        <f t="shared" si="22"/>
        <v/>
      </c>
    </row>
    <row r="598" spans="8:8">
      <c r="H598" s="36" t="str">
        <f t="shared" si="22"/>
        <v/>
      </c>
    </row>
    <row r="599" spans="8:8">
      <c r="H599" s="36" t="str">
        <f t="shared" si="22"/>
        <v/>
      </c>
    </row>
    <row r="600" spans="8:8">
      <c r="H600" s="36" t="str">
        <f t="shared" si="22"/>
        <v/>
      </c>
    </row>
    <row r="601" spans="8:8">
      <c r="H601" s="36" t="str">
        <f t="shared" si="22"/>
        <v/>
      </c>
    </row>
    <row r="602" spans="8:8">
      <c r="H602" s="36" t="str">
        <f t="shared" si="22"/>
        <v/>
      </c>
    </row>
    <row r="603" spans="8:8">
      <c r="H603" s="36" t="str">
        <f t="shared" si="22"/>
        <v/>
      </c>
    </row>
    <row r="604" spans="8:8">
      <c r="H604" s="36" t="str">
        <f t="shared" si="22"/>
        <v/>
      </c>
    </row>
    <row r="605" spans="8:8">
      <c r="H605" s="36" t="str">
        <f t="shared" si="22"/>
        <v/>
      </c>
    </row>
    <row r="606" spans="8:8">
      <c r="H606" s="36" t="str">
        <f t="shared" si="22"/>
        <v/>
      </c>
    </row>
    <row r="607" spans="8:8">
      <c r="H607" s="36" t="str">
        <f t="shared" si="22"/>
        <v/>
      </c>
    </row>
    <row r="608" spans="8:8">
      <c r="H608" s="36" t="str">
        <f t="shared" si="22"/>
        <v/>
      </c>
    </row>
    <row r="609" spans="8:8">
      <c r="H609" s="36" t="str">
        <f t="shared" si="22"/>
        <v/>
      </c>
    </row>
    <row r="610" spans="8:8">
      <c r="H610" s="36" t="str">
        <f t="shared" si="22"/>
        <v/>
      </c>
    </row>
    <row r="611" spans="8:8">
      <c r="H611" s="36" t="str">
        <f t="shared" si="22"/>
        <v/>
      </c>
    </row>
    <row r="612" spans="8:8">
      <c r="H612" s="36" t="str">
        <f t="shared" si="22"/>
        <v/>
      </c>
    </row>
    <row r="613" spans="8:8">
      <c r="H613" s="36" t="str">
        <f t="shared" si="22"/>
        <v/>
      </c>
    </row>
    <row r="614" spans="8:8">
      <c r="H614" s="36" t="str">
        <f t="shared" si="22"/>
        <v/>
      </c>
    </row>
    <row r="615" spans="8:8">
      <c r="H615" s="36" t="str">
        <f t="shared" si="22"/>
        <v/>
      </c>
    </row>
    <row r="616" spans="8:8">
      <c r="H616" s="36" t="str">
        <f t="shared" si="22"/>
        <v/>
      </c>
    </row>
    <row r="617" spans="8:8">
      <c r="H617" s="36" t="str">
        <f t="shared" si="22"/>
        <v/>
      </c>
    </row>
    <row r="618" spans="8:8">
      <c r="H618" s="36" t="str">
        <f t="shared" si="22"/>
        <v/>
      </c>
    </row>
    <row r="619" spans="8:8">
      <c r="H619" s="36" t="str">
        <f t="shared" si="22"/>
        <v/>
      </c>
    </row>
    <row r="620" spans="8:8">
      <c r="H620" s="36" t="str">
        <f t="shared" si="22"/>
        <v/>
      </c>
    </row>
    <row r="621" spans="8:8">
      <c r="H621" s="36" t="str">
        <f t="shared" si="22"/>
        <v/>
      </c>
    </row>
    <row r="622" spans="8:8">
      <c r="H622" s="36" t="str">
        <f t="shared" si="22"/>
        <v/>
      </c>
    </row>
    <row r="623" spans="8:8">
      <c r="H623" s="36" t="str">
        <f t="shared" si="22"/>
        <v/>
      </c>
    </row>
    <row r="624" spans="8:8">
      <c r="H624" s="36" t="str">
        <f t="shared" si="22"/>
        <v/>
      </c>
    </row>
    <row r="625" spans="8:8">
      <c r="H625" s="36" t="str">
        <f t="shared" si="22"/>
        <v/>
      </c>
    </row>
    <row r="626" spans="8:8">
      <c r="H626" s="36" t="str">
        <f t="shared" si="22"/>
        <v/>
      </c>
    </row>
    <row r="627" spans="8:8">
      <c r="H627" s="36" t="str">
        <f t="shared" si="22"/>
        <v/>
      </c>
    </row>
  </sheetData>
  <phoneticPr fontId="2" type="noConversion"/>
  <hyperlinks>
    <hyperlink ref="E178" r:id="rId1"/>
    <hyperlink ref="D178" r:id="rId2"/>
    <hyperlink ref="G178" r:id="rId3"/>
    <hyperlink ref="C179" r:id="rId4"/>
    <hyperlink ref="D179" r:id="rId5"/>
    <hyperlink ref="E179" r:id="rId6"/>
    <hyperlink ref="G179" r:id="rId7"/>
    <hyperlink ref="D180" r:id="rId8"/>
    <hyperlink ref="E180" r:id="rId9"/>
    <hyperlink ref="C180" r:id="rId10"/>
    <hyperlink ref="D181" r:id="rId11"/>
    <hyperlink ref="G182" r:id="rId12"/>
    <hyperlink ref="C182" r:id="rId13"/>
    <hyperlink ref="D182" r:id="rId14"/>
    <hyperlink ref="E182" r:id="rId15"/>
    <hyperlink ref="C183" r:id="rId16"/>
    <hyperlink ref="G183" r:id="rId17"/>
    <hyperlink ref="E184" r:id="rId18"/>
    <hyperlink ref="D184" r:id="rId19"/>
    <hyperlink ref="C184" r:id="rId20"/>
    <hyperlink ref="G184" r:id="rId21"/>
    <hyperlink ref="G185" r:id="rId22"/>
    <hyperlink ref="D185" r:id="rId23"/>
    <hyperlink ref="C185" r:id="rId24"/>
    <hyperlink ref="E185" r:id="rId25"/>
    <hyperlink ref="D186" r:id="rId26"/>
    <hyperlink ref="E186" r:id="rId27"/>
    <hyperlink ref="C186" r:id="rId28"/>
    <hyperlink ref="G186" r:id="rId29"/>
    <hyperlink ref="E188" r:id="rId30"/>
    <hyperlink ref="C188" r:id="rId31"/>
    <hyperlink ref="G188" r:id="rId32"/>
    <hyperlink ref="G189" r:id="rId33"/>
    <hyperlink ref="E189" r:id="rId34"/>
    <hyperlink ref="D190" r:id="rId35"/>
    <hyperlink ref="C190" r:id="rId36"/>
    <hyperlink ref="G190" r:id="rId37"/>
    <hyperlink ref="E190" r:id="rId38"/>
    <hyperlink ref="D191" r:id="rId39"/>
    <hyperlink ref="C191" r:id="rId40"/>
    <hyperlink ref="D192" r:id="rId41"/>
    <hyperlink ref="C192" r:id="rId42"/>
    <hyperlink ref="E192" r:id="rId43"/>
    <hyperlink ref="G192" r:id="rId44"/>
    <hyperlink ref="G194" r:id="rId45"/>
    <hyperlink ref="E193" r:id="rId46"/>
    <hyperlink ref="D193" r:id="rId47"/>
    <hyperlink ref="C193" r:id="rId48"/>
    <hyperlink ref="G193" r:id="rId49"/>
    <hyperlink ref="C194" r:id="rId50"/>
    <hyperlink ref="D194" r:id="rId51"/>
    <hyperlink ref="E194" r:id="rId52"/>
    <hyperlink ref="E195" r:id="rId53"/>
    <hyperlink ref="G195" r:id="rId54"/>
    <hyperlink ref="D196" r:id="rId55"/>
    <hyperlink ref="G197" r:id="rId56"/>
    <hyperlink ref="E198" r:id="rId57"/>
    <hyperlink ref="G198" r:id="rId58"/>
    <hyperlink ref="D198" r:id="rId59"/>
    <hyperlink ref="G199" display="https://play.google.com/store/apps/details?id=com.gamania.tosm&amp;is_retargeting=true&amp;source_caller=ui&amp;shortlink=tr8m0yil&amp;c=0715preregister&amp;pid=pre-eventpage_registernowbtn&amp;af_xp=custom&amp;fbclid=IwY2xjawMat9dleHRuA2FlbQIxMABicmlkETFQdUxnS1dmdVZuODkyZWp0AR6xAzl"/>
    <hyperlink ref="E199" r:id="rId60"/>
    <hyperlink ref="D199" r:id="rId61"/>
    <hyperlink ref="C199" r:id="rId62"/>
    <hyperlink ref="E203" r:id="rId63"/>
    <hyperlink ref="G204" r:id="rId64" display="https://xbdzz-happytime.onelink.me/Qmv0/u7g0i82n?fbclid=IwZXh0bgNhZW0CMTAAYnJpZBExS3hBdXl3bUJJUUtVZ2xsSwEeUs-bWAhlY_UCiRiKxe1XXAQMZW7G7ZLu6k4Nz3va8Qwuburf2qH8D17Nxw4_aem_m3uaLESoBQce2a_nJHdw8Q"/>
    <hyperlink ref="C204" r:id="rId65"/>
    <hyperlink ref="D204" r:id="rId66"/>
    <hyperlink ref="C207" r:id="rId67"/>
    <hyperlink ref="D205" r:id="rId68"/>
    <hyperlink ref="D211" r:id="rId69"/>
    <hyperlink ref="C211" r:id="rId70"/>
    <hyperlink ref="G211" r:id="rId71"/>
    <hyperlink ref="E211" r:id="rId72"/>
    <hyperlink ref="E212" r:id="rId73"/>
    <hyperlink ref="G212" r:id="rId74"/>
    <hyperlink ref="D213" r:id="rId75"/>
    <hyperlink ref="E213" r:id="rId76"/>
    <hyperlink ref="C213" r:id="rId77"/>
    <hyperlink ref="C216" r:id="rId78"/>
    <hyperlink ref="D216" r:id="rId79"/>
    <hyperlink ref="E216" r:id="rId80"/>
    <hyperlink ref="C217" r:id="rId81"/>
    <hyperlink ref="E217" r:id="rId82"/>
    <hyperlink ref="G218" r:id="rId83"/>
    <hyperlink ref="G219" r:id="rId84"/>
    <hyperlink ref="G220" r:id="rId85"/>
    <hyperlink ref="C218" r:id="rId86"/>
    <hyperlink ref="D218" r:id="rId87"/>
    <hyperlink ref="C219" r:id="rId88"/>
    <hyperlink ref="D219" r:id="rId89"/>
    <hyperlink ref="C220" r:id="rId90"/>
    <hyperlink ref="D220" r:id="rId91"/>
    <hyperlink ref="D212" r:id="rId92"/>
    <hyperlink ref="C214" r:id="rId93"/>
    <hyperlink ref="C212" r:id="rId94"/>
    <hyperlink ref="C215" r:id="rId95"/>
    <hyperlink ref="C221" r:id="rId96"/>
    <hyperlink ref="G221" r:id="rId97"/>
    <hyperlink ref="D221" r:id="rId98"/>
    <hyperlink ref="E221" r:id="rId99"/>
    <hyperlink ref="E222" r:id="rId100"/>
    <hyperlink ref="C222" r:id="rId101"/>
    <hyperlink ref="D222" r:id="rId102"/>
    <hyperlink ref="G222" r:id="rId103"/>
    <hyperlink ref="C223" r:id="rId104"/>
    <hyperlink ref="D223" r:id="rId105"/>
    <hyperlink ref="G223" r:id="rId106"/>
    <hyperlink ref="E223" r:id="rId107"/>
    <hyperlink ref="C224" r:id="rId108"/>
    <hyperlink ref="D224" r:id="rId109"/>
    <hyperlink ref="E224" r:id="rId110"/>
    <hyperlink ref="C225" r:id="rId111"/>
    <hyperlink ref="D225" r:id="rId112"/>
    <hyperlink ref="E225" r:id="rId113"/>
    <hyperlink ref="G225" r:id="rId114"/>
    <hyperlink ref="E226" r:id="rId115"/>
    <hyperlink ref="G226" r:id="rId116"/>
    <hyperlink ref="D226" r:id="rId117"/>
    <hyperlink ref="C226" r:id="rId118"/>
    <hyperlink ref="G227" r:id="rId119"/>
    <hyperlink ref="D227" r:id="rId120"/>
    <hyperlink ref="C227" r:id="rId121"/>
    <hyperlink ref="E227" r:id="rId122"/>
    <hyperlink ref="G228" r:id="rId123"/>
    <hyperlink ref="E228" r:id="rId124"/>
    <hyperlink ref="D228" r:id="rId125"/>
    <hyperlink ref="C228" r:id="rId126"/>
    <hyperlink ref="G229" r:id="rId127"/>
    <hyperlink ref="C229" r:id="rId128"/>
    <hyperlink ref="D229" r:id="rId129"/>
    <hyperlink ref="D230" r:id="rId130"/>
    <hyperlink ref="G231" r:id="rId131"/>
    <hyperlink ref="D231" r:id="rId132"/>
    <hyperlink ref="E231" r:id="rId133"/>
    <hyperlink ref="G232" r:id="rId134"/>
    <hyperlink ref="D232" r:id="rId135"/>
    <hyperlink ref="E232" r:id="rId136"/>
    <hyperlink ref="C232" r:id="rId137"/>
    <hyperlink ref="C231" r:id="rId138"/>
    <hyperlink ref="E233" r:id="rId139"/>
    <hyperlink ref="G233" r:id="rId140"/>
    <hyperlink ref="C233" r:id="rId141"/>
    <hyperlink ref="G230" r:id="rId142"/>
    <hyperlink ref="C234" r:id="rId143"/>
    <hyperlink ref="E246" r:id="rId144"/>
    <hyperlink ref="D245" r:id="rId145"/>
    <hyperlink ref="D248" r:id="rId146"/>
    <hyperlink ref="G249" r:id="rId147"/>
    <hyperlink ref="E250" r:id="rId148"/>
    <hyperlink ref="C250" r:id="rId149"/>
    <hyperlink ref="D250" r:id="rId150"/>
    <hyperlink ref="G251" r:id="rId151"/>
    <hyperlink ref="C251" r:id="rId152"/>
    <hyperlink ref="E251" r:id="rId153"/>
    <hyperlink ref="D251" r:id="rId154"/>
    <hyperlink ref="C252" r:id="rId155"/>
    <hyperlink ref="D252" r:id="rId156"/>
    <hyperlink ref="G253" r:id="rId157"/>
    <hyperlink ref="E253" r:id="rId158"/>
    <hyperlink ref="C253" r:id="rId159"/>
    <hyperlink ref="D253" r:id="rId160"/>
    <hyperlink ref="G254" r:id="rId161"/>
    <hyperlink ref="E254" r:id="rId162"/>
    <hyperlink ref="C254" r:id="rId163"/>
    <hyperlink ref="D254" r:id="rId164"/>
    <hyperlink ref="E255" r:id="rId165"/>
    <hyperlink ref="G255" r:id="rId166"/>
    <hyperlink ref="C255" r:id="rId167"/>
    <hyperlink ref="D255" r:id="rId168"/>
    <hyperlink ref="C256" r:id="rId169"/>
    <hyperlink ref="C257" r:id="rId170"/>
    <hyperlink ref="C258" r:id="rId171"/>
    <hyperlink ref="G256" r:id="rId172"/>
    <hyperlink ref="E256" r:id="rId173"/>
    <hyperlink ref="D256" r:id="rId174"/>
    <hyperlink ref="D257" r:id="rId175"/>
    <hyperlink ref="G257" r:id="rId176"/>
    <hyperlink ref="E257" r:id="rId177"/>
    <hyperlink ref="G258" r:id="rId178"/>
    <hyperlink ref="C259" r:id="rId179"/>
    <hyperlink ref="G259" r:id="rId180"/>
    <hyperlink ref="G260" r:id="rId181"/>
    <hyperlink ref="G261" r:id="rId182"/>
    <hyperlink ref="G262" r:id="rId183"/>
    <hyperlink ref="E260" r:id="rId184"/>
    <hyperlink ref="D260" r:id="rId185"/>
    <hyperlink ref="C261" r:id="rId186"/>
    <hyperlink ref="D261" r:id="rId187"/>
    <hyperlink ref="E261" r:id="rId188"/>
    <hyperlink ref="E262" r:id="rId189"/>
    <hyperlink ref="D262" r:id="rId190"/>
    <hyperlink ref="G263" r:id="rId191"/>
    <hyperlink ref="D263" r:id="rId192"/>
    <hyperlink ref="E263" r:id="rId193"/>
    <hyperlink ref="C263" r:id="rId194"/>
    <hyperlink ref="G264" r:id="rId195"/>
    <hyperlink ref="E264" r:id="rId196"/>
    <hyperlink ref="C265" r:id="rId197"/>
    <hyperlink ref="C267" r:id="rId198"/>
    <hyperlink ref="D265" r:id="rId199"/>
    <hyperlink ref="E265" r:id="rId200"/>
    <hyperlink ref="G265" r:id="rId201"/>
    <hyperlink ref="C266" r:id="rId202"/>
    <hyperlink ref="G266" display="https://play.google.com/store/apps/details?id=com.ironhidegames.kingdomrush.mp&amp;referrer=utm_source%3Dyoutube_trailer%26utm_medium%3Dvideo_description%26utm_campaign%3Dpreregister&amp;fbclid=IwY2xjawNQd0VleHRuA2FlbQIxMABicmlkETFXVWp5cHFhSmxFZG90ekszAR4uAZJuIjB"/>
    <hyperlink ref="E266" display="https://apps.apple.com/us/app/kingdom-rush-battles-td-game/id6746510979?utm_source=youtube_announcement&amp;utm_medium=video_description&amp;utm_campaign=preregister&amp;fbclid=IwY2xjawNQd0VleHRuA2FlbQIxMABicmlkETFXVWp5cHFhSmxFZG90ekszAR7_UANYOjn8d8HOJwOwxa2wTJ0TEl4P"/>
    <hyperlink ref="D266" r:id="rId203"/>
    <hyperlink ref="E267" r:id="rId204"/>
    <hyperlink ref="C268" r:id="rId205"/>
    <hyperlink ref="D268" r:id="rId206" location="s1"/>
    <hyperlink ref="G268" r:id="rId207"/>
    <hyperlink ref="E268" r:id="rId208"/>
    <hyperlink ref="C269" r:id="rId209"/>
    <hyperlink ref="G274" r:id="rId210"/>
    <hyperlink ref="G276" r:id="rId211"/>
    <hyperlink ref="G280" r:id="rId212"/>
    <hyperlink ref="G281" r:id="rId213"/>
    <hyperlink ref="AB281" r:id="rId214"/>
    <hyperlink ref="X280" r:id="rId215"/>
    <hyperlink ref="G282" r:id="rId216"/>
    <hyperlink ref="G283" r:id="rId217"/>
    <hyperlink ref="G284" r:id="rId218"/>
    <hyperlink ref="G285" r:id="rId219"/>
    <hyperlink ref="G286" r:id="rId220"/>
    <hyperlink ref="G287" r:id="rId221"/>
    <hyperlink ref="G288" r:id="rId222"/>
  </hyperlinks>
  <pageMargins left="0.7" right="0.7" top="0.75" bottom="0.75" header="0.3" footer="0.3"/>
  <pageSetup paperSize="9" orientation="portrait" r:id="rId22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X435"/>
  <sheetViews>
    <sheetView workbookViewId="0">
      <pane xSplit="1" ySplit="1" topLeftCell="E268" activePane="bottomRight" state="frozen"/>
      <selection pane="topRight" activeCell="B1" sqref="B1"/>
      <selection pane="bottomLeft" activeCell="A2" sqref="A2"/>
      <selection pane="bottomRight" activeCell="F236" sqref="F236"/>
    </sheetView>
  </sheetViews>
  <sheetFormatPr defaultColWidth="7.875" defaultRowHeight="19.5"/>
  <cols>
    <col min="1" max="1" width="24.375" style="8" customWidth="1"/>
    <col min="2" max="4" width="19.75" style="8" customWidth="1"/>
    <col min="5" max="5" width="69.25" style="9" customWidth="1"/>
    <col min="6" max="6" width="16" style="29" customWidth="1"/>
    <col min="7" max="9" width="16" style="8" customWidth="1"/>
    <col min="10" max="10" width="16" style="9" customWidth="1"/>
    <col min="11" max="11" width="10.625" style="12" customWidth="1"/>
    <col min="12" max="12" width="10.625" style="8" customWidth="1"/>
    <col min="13" max="13" width="10.625" style="13" customWidth="1"/>
    <col min="14" max="14" width="10.625" style="8" customWidth="1"/>
    <col min="15" max="15" width="10.625" style="13" customWidth="1"/>
    <col min="16" max="16" width="10.625" style="8" customWidth="1"/>
    <col min="17" max="17" width="10.625" style="13" customWidth="1"/>
    <col min="18" max="18" width="10.625" style="8" customWidth="1"/>
    <col min="19" max="19" width="10.625" style="13" customWidth="1"/>
    <col min="20" max="20" width="10.625" style="8" customWidth="1"/>
    <col min="21" max="21" width="10.625" style="13" customWidth="1"/>
    <col min="22" max="22" width="10.625" style="8" customWidth="1"/>
    <col min="23" max="23" width="10.625" style="13" customWidth="1"/>
    <col min="24" max="24" width="10.625" style="8" customWidth="1"/>
    <col min="25" max="25" width="10.625" style="13" customWidth="1"/>
    <col min="26" max="26" width="10.625" style="8" customWidth="1"/>
    <col min="27" max="27" width="10.625" style="13" customWidth="1"/>
    <col min="28" max="28" width="10.625" style="8" customWidth="1"/>
    <col min="29" max="29" width="10.625" style="13" customWidth="1"/>
    <col min="30" max="30" width="10.625" style="8" customWidth="1"/>
    <col min="31" max="31" width="10.625" style="13" customWidth="1"/>
    <col min="32" max="32" width="10.625" style="8" customWidth="1"/>
    <col min="33" max="33" width="10.625" style="13" customWidth="1"/>
    <col min="34" max="34" width="10.625" style="8" customWidth="1"/>
    <col min="35" max="35" width="10.625" style="13" customWidth="1"/>
    <col min="36" max="36" width="7.875" style="8"/>
    <col min="37" max="37" width="7.875" style="13"/>
    <col min="38" max="38" width="7.875" style="8"/>
    <col min="39" max="39" width="7.875" style="13"/>
    <col min="40" max="40" width="7.875" style="8"/>
    <col min="41" max="41" width="7.875" style="13"/>
    <col min="42" max="42" width="7.875" style="8"/>
    <col min="43" max="43" width="7.875" style="13"/>
    <col min="44" max="44" width="7.875" style="8"/>
    <col min="45" max="45" width="7.875" style="13"/>
    <col min="46" max="46" width="7.875" style="8"/>
    <col min="47" max="47" width="7.875" style="13"/>
    <col min="48" max="48" width="7.875" style="8"/>
    <col min="49" max="49" width="7.875" style="13"/>
    <col min="50" max="16384" width="7.875" style="8"/>
  </cols>
  <sheetData>
    <row r="1" spans="1:50" s="2" customFormat="1" ht="22.5" customHeight="1">
      <c r="A1" s="1" t="s">
        <v>327</v>
      </c>
      <c r="B1" s="1" t="s">
        <v>1686</v>
      </c>
      <c r="C1" s="1" t="s">
        <v>2643</v>
      </c>
      <c r="D1" s="2" t="s">
        <v>2644</v>
      </c>
      <c r="E1" s="3" t="s">
        <v>1687</v>
      </c>
      <c r="F1" s="4" t="s">
        <v>1688</v>
      </c>
      <c r="G1" s="1" t="s">
        <v>1689</v>
      </c>
      <c r="H1" s="1" t="s">
        <v>1690</v>
      </c>
      <c r="I1" s="1" t="s">
        <v>1691</v>
      </c>
      <c r="J1" s="3" t="s">
        <v>1692</v>
      </c>
      <c r="K1" s="5" t="s">
        <v>1693</v>
      </c>
      <c r="L1" s="1" t="s">
        <v>1694</v>
      </c>
      <c r="M1" s="6" t="s">
        <v>1695</v>
      </c>
      <c r="N1" s="1" t="s">
        <v>1696</v>
      </c>
      <c r="O1" s="6" t="s">
        <v>1697</v>
      </c>
      <c r="P1" s="1" t="s">
        <v>1698</v>
      </c>
      <c r="Q1" s="6" t="s">
        <v>1699</v>
      </c>
      <c r="R1" s="1" t="s">
        <v>1700</v>
      </c>
      <c r="S1" s="6" t="s">
        <v>1701</v>
      </c>
      <c r="T1" s="1" t="s">
        <v>1702</v>
      </c>
      <c r="U1" s="6" t="s">
        <v>1703</v>
      </c>
      <c r="V1" s="1" t="s">
        <v>1704</v>
      </c>
      <c r="W1" s="6" t="s">
        <v>2645</v>
      </c>
      <c r="X1" s="1" t="s">
        <v>2646</v>
      </c>
      <c r="Y1" s="6" t="s">
        <v>2647</v>
      </c>
      <c r="Z1" s="1" t="s">
        <v>2648</v>
      </c>
      <c r="AA1" s="6" t="s">
        <v>2649</v>
      </c>
      <c r="AB1" s="1" t="s">
        <v>2650</v>
      </c>
      <c r="AC1" s="6" t="s">
        <v>2651</v>
      </c>
      <c r="AD1" s="1" t="s">
        <v>1705</v>
      </c>
      <c r="AE1" s="6" t="s">
        <v>2652</v>
      </c>
      <c r="AF1" s="1" t="s">
        <v>2653</v>
      </c>
      <c r="AG1" s="6" t="s">
        <v>2654</v>
      </c>
      <c r="AH1" s="1" t="s">
        <v>1706</v>
      </c>
      <c r="AI1" s="6" t="s">
        <v>2655</v>
      </c>
      <c r="AJ1" s="1" t="s">
        <v>2656</v>
      </c>
      <c r="AK1" s="6" t="s">
        <v>2657</v>
      </c>
      <c r="AL1" s="1" t="s">
        <v>2658</v>
      </c>
      <c r="AM1" s="6" t="s">
        <v>2659</v>
      </c>
      <c r="AN1" s="1" t="s">
        <v>1707</v>
      </c>
      <c r="AO1" s="6" t="s">
        <v>2660</v>
      </c>
      <c r="AP1" s="1" t="s">
        <v>2661</v>
      </c>
      <c r="AQ1" s="6" t="s">
        <v>2662</v>
      </c>
      <c r="AR1" s="1" t="s">
        <v>2663</v>
      </c>
      <c r="AS1" s="6" t="s">
        <v>2664</v>
      </c>
      <c r="AT1" s="1" t="s">
        <v>2665</v>
      </c>
      <c r="AU1" s="6" t="s">
        <v>2666</v>
      </c>
      <c r="AV1" s="1" t="s">
        <v>2667</v>
      </c>
      <c r="AW1" s="6" t="s">
        <v>1708</v>
      </c>
      <c r="AX1" s="1" t="s">
        <v>1709</v>
      </c>
    </row>
    <row r="2" spans="1:50" ht="22.5" customHeight="1">
      <c r="A2" s="7" t="s">
        <v>361</v>
      </c>
      <c r="B2" s="8" t="str">
        <f>"giftcodesbanner/" &amp; A2 &amp; "-bar.jpg"</f>
        <v>giftcodesbanner/巔峰極速-bar.jpg</v>
      </c>
      <c r="D2" s="8" t="str">
        <f>IF(A2="","", "https://www.ssbuy.tw/detail_giftcode/dist/giftcodes/" &amp; IF(ISNUMBER(LEFT(A2,1)*1), "game-", "") &amp; A2 &amp; ".html")</f>
        <v>https://www.ssbuy.tw/detail_giftcode/dist/giftcodes/巔峰極速.html</v>
      </c>
      <c r="E2" s="9" t="s">
        <v>2668</v>
      </c>
      <c r="F2" s="10" t="s">
        <v>2669</v>
      </c>
      <c r="G2" s="11" t="s">
        <v>1711</v>
      </c>
      <c r="H2" s="11" t="s">
        <v>2670</v>
      </c>
      <c r="K2" s="12" t="s">
        <v>1712</v>
      </c>
      <c r="L2" s="8" t="s">
        <v>1713</v>
      </c>
      <c r="M2" s="13" t="s">
        <v>1714</v>
      </c>
      <c r="N2" s="8" t="s">
        <v>1713</v>
      </c>
      <c r="O2" s="13" t="s">
        <v>1715</v>
      </c>
      <c r="P2" s="8" t="s">
        <v>1713</v>
      </c>
      <c r="Q2" s="13" t="s">
        <v>1716</v>
      </c>
      <c r="R2" s="8" t="s">
        <v>1713</v>
      </c>
      <c r="S2" s="13" t="s">
        <v>1717</v>
      </c>
      <c r="T2" s="8" t="s">
        <v>1713</v>
      </c>
      <c r="U2" s="13" t="s">
        <v>1718</v>
      </c>
      <c r="V2" s="8" t="s">
        <v>1713</v>
      </c>
      <c r="W2" s="13" t="s">
        <v>1719</v>
      </c>
      <c r="X2" s="8" t="s">
        <v>1713</v>
      </c>
      <c r="Y2" s="13" t="s">
        <v>1720</v>
      </c>
      <c r="Z2" s="8" t="s">
        <v>1713</v>
      </c>
      <c r="AA2" s="13" t="s">
        <v>1721</v>
      </c>
      <c r="AB2" s="8" t="s">
        <v>1713</v>
      </c>
      <c r="AC2" s="13" t="s">
        <v>1722</v>
      </c>
      <c r="AD2" s="8" t="s">
        <v>1713</v>
      </c>
      <c r="AE2" s="13" t="s">
        <v>1723</v>
      </c>
      <c r="AF2" s="8" t="s">
        <v>1713</v>
      </c>
      <c r="AG2" s="13" t="s">
        <v>1724</v>
      </c>
      <c r="AH2" s="8" t="s">
        <v>1713</v>
      </c>
      <c r="AI2" s="13" t="s">
        <v>1725</v>
      </c>
      <c r="AJ2" s="8" t="s">
        <v>1713</v>
      </c>
      <c r="AK2" s="13" t="s">
        <v>1726</v>
      </c>
      <c r="AL2" s="8" t="s">
        <v>1713</v>
      </c>
      <c r="AM2" s="13" t="s">
        <v>1727</v>
      </c>
      <c r="AN2" s="8" t="s">
        <v>1713</v>
      </c>
      <c r="AO2" s="13" t="s">
        <v>1728</v>
      </c>
      <c r="AP2" s="8" t="s">
        <v>1713</v>
      </c>
      <c r="AQ2" s="13" t="s">
        <v>1729</v>
      </c>
      <c r="AR2" s="8" t="s">
        <v>1713</v>
      </c>
      <c r="AS2" s="13" t="s">
        <v>1730</v>
      </c>
      <c r="AT2" s="8" t="s">
        <v>1713</v>
      </c>
      <c r="AU2" s="13" t="s">
        <v>1731</v>
      </c>
      <c r="AV2" s="8" t="s">
        <v>1713</v>
      </c>
    </row>
    <row r="3" spans="1:50" ht="22.5" customHeight="1">
      <c r="A3" s="7" t="s">
        <v>376</v>
      </c>
      <c r="B3" s="8" t="str">
        <f t="shared" ref="B3:B66" si="0">"giftcodesbanner/" &amp; A3 &amp; "-bar.jpg"</f>
        <v>giftcodesbanner/原神-bar.jpg</v>
      </c>
      <c r="D3" s="8" t="str">
        <f t="shared" ref="D3:D66" si="1">IF(A3="","", "https://www.ssbuy.tw/detail_giftcode/dist/giftcodes/" &amp; IF(ISNUMBER(LEFT(A3,1)*1), "game-", "") &amp; A3 &amp; ".html")</f>
        <v>https://www.ssbuy.tw/detail_giftcode/dist/giftcodes/原神.html</v>
      </c>
      <c r="E3" s="9" t="s">
        <v>2671</v>
      </c>
      <c r="F3" s="10" t="s">
        <v>2669</v>
      </c>
      <c r="G3" s="11" t="s">
        <v>1711</v>
      </c>
      <c r="H3" s="11" t="s">
        <v>2672</v>
      </c>
      <c r="K3" s="12" t="s">
        <v>1732</v>
      </c>
      <c r="L3" s="8" t="s">
        <v>1733</v>
      </c>
      <c r="M3" s="13" t="s">
        <v>1734</v>
      </c>
      <c r="N3" s="8" t="s">
        <v>1735</v>
      </c>
      <c r="O3" s="13" t="s">
        <v>1736</v>
      </c>
      <c r="P3" s="8" t="s">
        <v>1737</v>
      </c>
      <c r="Q3" s="13" t="s">
        <v>1738</v>
      </c>
      <c r="R3" s="8" t="s">
        <v>1739</v>
      </c>
    </row>
    <row r="4" spans="1:50" ht="22.5" customHeight="1">
      <c r="A4" s="7" t="s">
        <v>2673</v>
      </c>
      <c r="B4" s="8" t="str">
        <f t="shared" si="0"/>
        <v>giftcodesbanner/極速快感-bar.jpg</v>
      </c>
      <c r="D4" s="8" t="str">
        <f t="shared" si="1"/>
        <v>https://www.ssbuy.tw/detail_giftcode/dist/giftcodes/極速快感.html</v>
      </c>
      <c r="F4" s="10" t="s">
        <v>2674</v>
      </c>
      <c r="G4" s="11" t="s">
        <v>1711</v>
      </c>
      <c r="H4" s="11" t="s">
        <v>2675</v>
      </c>
      <c r="K4" s="12" t="s">
        <v>1741</v>
      </c>
      <c r="L4" s="8" t="s">
        <v>1742</v>
      </c>
      <c r="M4" s="13" t="s">
        <v>1743</v>
      </c>
      <c r="N4" s="8" t="s">
        <v>1744</v>
      </c>
      <c r="O4" s="13" t="s">
        <v>1745</v>
      </c>
      <c r="P4" s="8" t="s">
        <v>1713</v>
      </c>
      <c r="Q4" s="13" t="s">
        <v>1746</v>
      </c>
      <c r="R4" s="8" t="s">
        <v>1713</v>
      </c>
    </row>
    <row r="5" spans="1:50" ht="22.5" customHeight="1">
      <c r="A5" s="14" t="s">
        <v>401</v>
      </c>
      <c r="B5" s="8" t="str">
        <f t="shared" si="0"/>
        <v>giftcodesbanner/俠客傳說：小小英雄-bar.jpg</v>
      </c>
      <c r="D5" s="8" t="str">
        <f t="shared" si="1"/>
        <v>https://www.ssbuy.tw/detail_giftcode/dist/giftcodes/俠客傳說：小小英雄.html</v>
      </c>
      <c r="E5" s="9" t="s">
        <v>402</v>
      </c>
      <c r="F5" s="10" t="s">
        <v>1740</v>
      </c>
      <c r="G5" s="11" t="s">
        <v>1711</v>
      </c>
      <c r="H5" s="11" t="s">
        <v>1840</v>
      </c>
      <c r="K5" s="12" t="s">
        <v>1747</v>
      </c>
      <c r="L5" s="8" t="s">
        <v>1713</v>
      </c>
      <c r="M5" s="13" t="s">
        <v>1748</v>
      </c>
      <c r="N5" s="8" t="s">
        <v>1713</v>
      </c>
      <c r="O5" s="13" t="s">
        <v>1749</v>
      </c>
      <c r="P5" s="8" t="s">
        <v>1713</v>
      </c>
      <c r="Q5" s="13" t="s">
        <v>1750</v>
      </c>
      <c r="R5" s="8" t="s">
        <v>1713</v>
      </c>
      <c r="S5" s="13" t="s">
        <v>1751</v>
      </c>
      <c r="T5" s="8" t="s">
        <v>1713</v>
      </c>
      <c r="U5" s="13" t="s">
        <v>1752</v>
      </c>
      <c r="V5" s="8" t="s">
        <v>1713</v>
      </c>
      <c r="W5" s="13" t="s">
        <v>1753</v>
      </c>
      <c r="X5" s="8" t="s">
        <v>1713</v>
      </c>
      <c r="Y5" s="15" t="s">
        <v>1754</v>
      </c>
      <c r="Z5" s="8" t="s">
        <v>1713</v>
      </c>
      <c r="AA5" s="13" t="s">
        <v>1755</v>
      </c>
      <c r="AB5" s="8" t="s">
        <v>1713</v>
      </c>
      <c r="AC5" s="13" t="s">
        <v>1756</v>
      </c>
      <c r="AD5" s="8" t="s">
        <v>1713</v>
      </c>
      <c r="AE5" s="13" t="s">
        <v>1757</v>
      </c>
      <c r="AF5" s="8" t="s">
        <v>1713</v>
      </c>
      <c r="AG5" s="13" t="s">
        <v>1758</v>
      </c>
      <c r="AH5" s="8" t="s">
        <v>1713</v>
      </c>
      <c r="AI5" s="13" t="s">
        <v>1759</v>
      </c>
      <c r="AJ5" s="8" t="s">
        <v>1713</v>
      </c>
    </row>
    <row r="6" spans="1:50" ht="22.5" customHeight="1">
      <c r="A6" s="14" t="s">
        <v>2676</v>
      </c>
      <c r="B6" s="8" t="str">
        <f t="shared" si="0"/>
        <v>giftcodesbanner/逆水寒-bar.jpg</v>
      </c>
      <c r="D6" s="8" t="str">
        <f t="shared" si="1"/>
        <v>https://www.ssbuy.tw/detail_giftcode/dist/giftcodes/逆水寒.html</v>
      </c>
      <c r="E6" s="9" t="s">
        <v>411</v>
      </c>
      <c r="F6" s="10" t="s">
        <v>2674</v>
      </c>
      <c r="G6" s="11" t="s">
        <v>1711</v>
      </c>
      <c r="H6" s="11" t="s">
        <v>2675</v>
      </c>
      <c r="K6" s="12" t="s">
        <v>1760</v>
      </c>
      <c r="L6" s="8" t="s">
        <v>1761</v>
      </c>
    </row>
    <row r="7" spans="1:50" ht="22.5" customHeight="1">
      <c r="A7" s="14" t="s">
        <v>418</v>
      </c>
      <c r="B7" s="8" t="str">
        <f t="shared" si="0"/>
        <v>giftcodesbanner/RO仙境傳說：一定要可愛-bar.jpg</v>
      </c>
      <c r="D7" s="8" t="str">
        <f t="shared" si="1"/>
        <v>https://www.ssbuy.tw/detail_giftcode/dist/giftcodes/RO仙境傳說：一定要可愛.html</v>
      </c>
      <c r="E7" s="9" t="s">
        <v>2677</v>
      </c>
      <c r="F7" s="10" t="s">
        <v>1710</v>
      </c>
      <c r="G7" s="11" t="s">
        <v>1711</v>
      </c>
      <c r="H7" s="11" t="s">
        <v>2675</v>
      </c>
      <c r="K7" s="12" t="s">
        <v>1762</v>
      </c>
      <c r="L7" s="8" t="s">
        <v>1763</v>
      </c>
      <c r="M7" s="13" t="s">
        <v>1764</v>
      </c>
      <c r="N7" s="8" t="s">
        <v>1765</v>
      </c>
      <c r="O7" s="13" t="s">
        <v>1766</v>
      </c>
      <c r="P7" s="8" t="s">
        <v>1767</v>
      </c>
      <c r="Q7" s="13" t="s">
        <v>1768</v>
      </c>
      <c r="R7" s="8" t="s">
        <v>1767</v>
      </c>
      <c r="S7" s="13" t="s">
        <v>1762</v>
      </c>
      <c r="T7" s="8" t="s">
        <v>1769</v>
      </c>
      <c r="U7" s="13" t="s">
        <v>1770</v>
      </c>
      <c r="V7" s="8" t="s">
        <v>1771</v>
      </c>
      <c r="W7" s="13" t="s">
        <v>1772</v>
      </c>
      <c r="X7" s="8" t="s">
        <v>2678</v>
      </c>
    </row>
    <row r="8" spans="1:50" ht="22.5" customHeight="1">
      <c r="A8" s="14" t="s">
        <v>427</v>
      </c>
      <c r="B8" s="8" t="str">
        <f t="shared" si="0"/>
        <v>giftcodesbanner/RO新世代-bar.jpg</v>
      </c>
      <c r="D8" s="8" t="str">
        <f t="shared" si="1"/>
        <v>https://www.ssbuy.tw/detail_giftcode/dist/giftcodes/RO新世代.html</v>
      </c>
      <c r="E8" s="9" t="s">
        <v>428</v>
      </c>
      <c r="F8" s="10" t="s">
        <v>2669</v>
      </c>
      <c r="G8" s="11" t="s">
        <v>1711</v>
      </c>
      <c r="H8" s="11" t="s">
        <v>2675</v>
      </c>
      <c r="K8" s="12" t="s">
        <v>1773</v>
      </c>
      <c r="L8" s="8" t="s">
        <v>1713</v>
      </c>
      <c r="M8" s="13" t="s">
        <v>1774</v>
      </c>
      <c r="N8" s="8" t="s">
        <v>1713</v>
      </c>
      <c r="O8" s="13" t="s">
        <v>1775</v>
      </c>
      <c r="P8" s="8" t="s">
        <v>1713</v>
      </c>
      <c r="Q8" s="13" t="s">
        <v>1776</v>
      </c>
      <c r="R8" s="8" t="s">
        <v>1713</v>
      </c>
      <c r="S8" s="13" t="s">
        <v>1777</v>
      </c>
      <c r="T8" s="8" t="s">
        <v>1713</v>
      </c>
      <c r="U8" s="13" t="s">
        <v>1778</v>
      </c>
      <c r="V8" s="8" t="s">
        <v>1713</v>
      </c>
    </row>
    <row r="9" spans="1:50" ht="22.5" customHeight="1">
      <c r="A9" s="14" t="s">
        <v>436</v>
      </c>
      <c r="B9" s="8" t="str">
        <f t="shared" si="0"/>
        <v>giftcodesbanner/上古：龍神覺醒-bar.jpg</v>
      </c>
      <c r="D9" s="8" t="str">
        <f t="shared" si="1"/>
        <v>https://www.ssbuy.tw/detail_giftcode/dist/giftcodes/上古：龍神覺醒.html</v>
      </c>
      <c r="E9" s="9" t="s">
        <v>437</v>
      </c>
      <c r="F9" s="10" t="s">
        <v>1740</v>
      </c>
      <c r="G9" s="11" t="s">
        <v>1711</v>
      </c>
      <c r="H9" s="11" t="s">
        <v>2675</v>
      </c>
      <c r="K9" s="12" t="s">
        <v>1779</v>
      </c>
      <c r="L9" s="8" t="s">
        <v>1713</v>
      </c>
      <c r="M9" s="13" t="s">
        <v>1780</v>
      </c>
      <c r="N9" s="8" t="s">
        <v>1713</v>
      </c>
      <c r="O9" s="13" t="s">
        <v>1781</v>
      </c>
      <c r="P9" s="8" t="s">
        <v>1713</v>
      </c>
      <c r="Q9" s="13" t="s">
        <v>1782</v>
      </c>
      <c r="R9" s="8" t="s">
        <v>1713</v>
      </c>
      <c r="S9" s="13" t="s">
        <v>1714</v>
      </c>
      <c r="T9" s="8" t="s">
        <v>1713</v>
      </c>
      <c r="U9" s="13" t="s">
        <v>1715</v>
      </c>
      <c r="V9" s="8" t="s">
        <v>1713</v>
      </c>
      <c r="W9" s="13" t="s">
        <v>1783</v>
      </c>
      <c r="X9" s="8" t="s">
        <v>1713</v>
      </c>
      <c r="Y9" s="13" t="s">
        <v>1784</v>
      </c>
      <c r="Z9" s="8" t="s">
        <v>1713</v>
      </c>
      <c r="AA9" s="13" t="s">
        <v>1785</v>
      </c>
      <c r="AB9" s="8" t="s">
        <v>1713</v>
      </c>
      <c r="AC9" s="13" t="s">
        <v>1786</v>
      </c>
      <c r="AD9" s="8" t="s">
        <v>1713</v>
      </c>
      <c r="AE9" s="13" t="s">
        <v>1787</v>
      </c>
      <c r="AF9" s="8" t="s">
        <v>1713</v>
      </c>
      <c r="AG9" s="13" t="s">
        <v>1788</v>
      </c>
      <c r="AH9" s="8" t="s">
        <v>1713</v>
      </c>
    </row>
    <row r="10" spans="1:50" ht="22.5" customHeight="1">
      <c r="A10" s="14" t="s">
        <v>446</v>
      </c>
      <c r="B10" s="8" t="str">
        <f t="shared" si="0"/>
        <v>giftcodesbanner/小艦艦超勇-bar.jpg</v>
      </c>
      <c r="D10" s="8" t="str">
        <f t="shared" si="1"/>
        <v>https://www.ssbuy.tw/detail_giftcode/dist/giftcodes/小艦艦超勇.html</v>
      </c>
      <c r="E10" s="9" t="s">
        <v>447</v>
      </c>
      <c r="F10" s="10" t="s">
        <v>2674</v>
      </c>
      <c r="G10" s="11" t="s">
        <v>1711</v>
      </c>
      <c r="H10" s="11" t="s">
        <v>2675</v>
      </c>
      <c r="K10" s="12" t="s">
        <v>1789</v>
      </c>
      <c r="L10" s="8" t="s">
        <v>1713</v>
      </c>
      <c r="M10" s="13" t="s">
        <v>1790</v>
      </c>
      <c r="N10" s="8" t="s">
        <v>1713</v>
      </c>
      <c r="O10" s="13" t="s">
        <v>1791</v>
      </c>
      <c r="P10" s="8" t="s">
        <v>1713</v>
      </c>
      <c r="Q10" s="13" t="s">
        <v>1792</v>
      </c>
      <c r="R10" s="8" t="s">
        <v>1713</v>
      </c>
      <c r="S10" s="13" t="s">
        <v>1793</v>
      </c>
      <c r="T10" s="8" t="s">
        <v>1713</v>
      </c>
      <c r="U10" s="13" t="s">
        <v>1714</v>
      </c>
      <c r="V10" s="8" t="s">
        <v>1713</v>
      </c>
      <c r="W10" s="13" t="s">
        <v>1715</v>
      </c>
      <c r="X10" s="8" t="s">
        <v>1713</v>
      </c>
      <c r="Y10" s="13" t="s">
        <v>1794</v>
      </c>
      <c r="Z10" s="8" t="s">
        <v>1713</v>
      </c>
    </row>
    <row r="11" spans="1:50" ht="22.5" customHeight="1">
      <c r="A11" s="14" t="s">
        <v>454</v>
      </c>
      <c r="B11" s="8" t="str">
        <f t="shared" si="0"/>
        <v>giftcodesbanner/天使軍團-bar.jpg</v>
      </c>
      <c r="D11" s="8" t="str">
        <f t="shared" si="1"/>
        <v>https://www.ssbuy.tw/detail_giftcode/dist/giftcodes/天使軍團.html</v>
      </c>
      <c r="E11" s="9" t="s">
        <v>455</v>
      </c>
      <c r="F11" s="10" t="s">
        <v>2674</v>
      </c>
      <c r="G11" s="11" t="s">
        <v>1711</v>
      </c>
      <c r="H11" s="11" t="s">
        <v>2675</v>
      </c>
      <c r="K11" s="12" t="s">
        <v>1795</v>
      </c>
      <c r="L11" s="8" t="s">
        <v>1713</v>
      </c>
      <c r="M11" s="13" t="s">
        <v>1796</v>
      </c>
      <c r="N11" s="8" t="s">
        <v>1713</v>
      </c>
      <c r="O11" s="13" t="s">
        <v>1797</v>
      </c>
      <c r="P11" s="8" t="s">
        <v>1713</v>
      </c>
    </row>
    <row r="12" spans="1:50" ht="22.5" customHeight="1">
      <c r="A12" s="14" t="s">
        <v>462</v>
      </c>
      <c r="B12" s="8" t="str">
        <f t="shared" si="0"/>
        <v>giftcodesbanner/天堂W-bar.jpg</v>
      </c>
      <c r="D12" s="8" t="str">
        <f t="shared" si="1"/>
        <v>https://www.ssbuy.tw/detail_giftcode/dist/giftcodes/天堂W.html</v>
      </c>
      <c r="E12" s="9" t="s">
        <v>463</v>
      </c>
      <c r="F12" s="10" t="s">
        <v>1740</v>
      </c>
      <c r="G12" s="11" t="s">
        <v>1711</v>
      </c>
      <c r="H12" s="11" t="s">
        <v>1840</v>
      </c>
      <c r="K12" s="12" t="s">
        <v>1798</v>
      </c>
      <c r="L12" s="8" t="s">
        <v>1713</v>
      </c>
      <c r="M12" s="13" t="s">
        <v>1799</v>
      </c>
      <c r="N12" s="8" t="s">
        <v>1713</v>
      </c>
    </row>
    <row r="13" spans="1:50" ht="22.5" customHeight="1">
      <c r="A13" s="14" t="s">
        <v>469</v>
      </c>
      <c r="B13" s="8" t="str">
        <f t="shared" si="0"/>
        <v>giftcodesbanner/少女前線2：追放-bar.jpg</v>
      </c>
      <c r="D13" s="8" t="str">
        <f t="shared" si="1"/>
        <v>https://www.ssbuy.tw/detail_giftcode/dist/giftcodes/少女前線2：追放.html</v>
      </c>
      <c r="E13" s="9" t="s">
        <v>470</v>
      </c>
      <c r="F13" s="10" t="s">
        <v>2674</v>
      </c>
      <c r="G13" s="11" t="s">
        <v>1711</v>
      </c>
      <c r="H13" s="11" t="s">
        <v>2675</v>
      </c>
      <c r="K13" s="12" t="s">
        <v>1800</v>
      </c>
      <c r="L13" s="8" t="s">
        <v>1801</v>
      </c>
      <c r="M13" s="13" t="s">
        <v>1802</v>
      </c>
      <c r="N13" s="8" t="s">
        <v>1801</v>
      </c>
      <c r="O13" s="13" t="s">
        <v>1803</v>
      </c>
      <c r="P13" s="8" t="s">
        <v>1804</v>
      </c>
      <c r="Q13" s="13" t="s">
        <v>1805</v>
      </c>
      <c r="R13" s="8" t="s">
        <v>1801</v>
      </c>
      <c r="S13" s="13" t="s">
        <v>1806</v>
      </c>
      <c r="T13" s="8" t="s">
        <v>1713</v>
      </c>
      <c r="U13" s="13" t="s">
        <v>1807</v>
      </c>
      <c r="V13" s="8" t="s">
        <v>1808</v>
      </c>
      <c r="W13" s="13" t="s">
        <v>1809</v>
      </c>
      <c r="X13" s="8" t="s">
        <v>1810</v>
      </c>
      <c r="Y13" s="13" t="s">
        <v>1811</v>
      </c>
      <c r="Z13" s="8" t="s">
        <v>1812</v>
      </c>
    </row>
    <row r="14" spans="1:50" ht="22.5" customHeight="1">
      <c r="A14" s="14" t="s">
        <v>2679</v>
      </c>
      <c r="B14" s="8" t="str">
        <f t="shared" si="0"/>
        <v>giftcodesbanner/幻獸傳說Ｍ-bar.jpg</v>
      </c>
      <c r="D14" s="8" t="str">
        <f t="shared" si="1"/>
        <v>https://www.ssbuy.tw/detail_giftcode/dist/giftcodes/幻獸傳說Ｍ.html</v>
      </c>
      <c r="E14" s="9" t="s">
        <v>2680</v>
      </c>
      <c r="F14" s="10" t="s">
        <v>2674</v>
      </c>
      <c r="G14" s="11" t="s">
        <v>1711</v>
      </c>
      <c r="H14" s="11" t="s">
        <v>2675</v>
      </c>
      <c r="K14" s="12" t="s">
        <v>1813</v>
      </c>
      <c r="L14" s="8" t="s">
        <v>1713</v>
      </c>
      <c r="M14" s="13" t="s">
        <v>1814</v>
      </c>
      <c r="N14" s="8" t="s">
        <v>1713</v>
      </c>
      <c r="O14" s="13" t="s">
        <v>1815</v>
      </c>
      <c r="P14" s="8" t="s">
        <v>1713</v>
      </c>
      <c r="Q14" s="13" t="s">
        <v>1816</v>
      </c>
      <c r="R14" s="8" t="s">
        <v>1713</v>
      </c>
      <c r="S14" s="13" t="s">
        <v>1817</v>
      </c>
      <c r="T14" s="8" t="s">
        <v>1713</v>
      </c>
      <c r="U14" s="13" t="s">
        <v>1818</v>
      </c>
      <c r="V14" s="8" t="s">
        <v>1713</v>
      </c>
      <c r="W14" s="13" t="s">
        <v>1819</v>
      </c>
      <c r="X14" s="8" t="s">
        <v>1713</v>
      </c>
      <c r="Y14" s="13" t="s">
        <v>1782</v>
      </c>
      <c r="Z14" s="8" t="s">
        <v>1713</v>
      </c>
      <c r="AA14" s="13" t="s">
        <v>1714</v>
      </c>
      <c r="AB14" s="8" t="s">
        <v>1713</v>
      </c>
      <c r="AC14" s="13" t="s">
        <v>1715</v>
      </c>
      <c r="AD14" s="8" t="s">
        <v>1713</v>
      </c>
      <c r="AE14" s="13" t="s">
        <v>1820</v>
      </c>
      <c r="AF14" s="8" t="s">
        <v>1713</v>
      </c>
      <c r="AG14" s="13" t="s">
        <v>1821</v>
      </c>
      <c r="AH14" s="8" t="s">
        <v>1713</v>
      </c>
    </row>
    <row r="15" spans="1:50" ht="22.5" customHeight="1">
      <c r="A15" s="14" t="s">
        <v>2681</v>
      </c>
      <c r="B15" s="8" t="str">
        <f t="shared" si="0"/>
        <v>giftcodesbanner/未定事件簿-bar.jpg</v>
      </c>
      <c r="D15" s="8" t="str">
        <f t="shared" si="1"/>
        <v>https://www.ssbuy.tw/detail_giftcode/dist/giftcodes/未定事件簿.html</v>
      </c>
      <c r="E15" s="9" t="s">
        <v>2682</v>
      </c>
      <c r="F15" s="10" t="s">
        <v>2674</v>
      </c>
      <c r="G15" s="11" t="s">
        <v>1711</v>
      </c>
      <c r="H15" s="11" t="s">
        <v>2675</v>
      </c>
      <c r="K15" s="12" t="s">
        <v>1822</v>
      </c>
      <c r="L15" s="8" t="s">
        <v>1823</v>
      </c>
      <c r="M15" s="13" t="s">
        <v>1824</v>
      </c>
      <c r="N15" s="8" t="s">
        <v>1825</v>
      </c>
      <c r="O15" s="13" t="s">
        <v>1826</v>
      </c>
      <c r="P15" s="8" t="s">
        <v>1827</v>
      </c>
      <c r="Q15" s="13" t="s">
        <v>1828</v>
      </c>
      <c r="R15" s="8" t="s">
        <v>1829</v>
      </c>
      <c r="S15" s="13" t="s">
        <v>1830</v>
      </c>
      <c r="T15" s="8" t="s">
        <v>1831</v>
      </c>
    </row>
    <row r="16" spans="1:50" ht="22.5" customHeight="1">
      <c r="A16" s="14" t="s">
        <v>496</v>
      </c>
      <c r="B16" s="8" t="str">
        <f t="shared" si="0"/>
        <v>giftcodesbanner/永恆靈魂-bar.jpg</v>
      </c>
      <c r="D16" s="8" t="str">
        <f t="shared" si="1"/>
        <v>https://www.ssbuy.tw/detail_giftcode/dist/giftcodes/永恆靈魂.html</v>
      </c>
      <c r="E16" s="16" t="s">
        <v>2683</v>
      </c>
      <c r="F16" s="10" t="s">
        <v>2674</v>
      </c>
      <c r="G16" s="11" t="s">
        <v>1711</v>
      </c>
      <c r="H16" s="11" t="s">
        <v>2675</v>
      </c>
      <c r="K16" s="12" t="s">
        <v>1832</v>
      </c>
      <c r="L16" s="8" t="s">
        <v>1833</v>
      </c>
    </row>
    <row r="17" spans="1:32" ht="22.5" customHeight="1">
      <c r="A17" s="14" t="s">
        <v>503</v>
      </c>
      <c r="B17" s="8" t="str">
        <f t="shared" si="0"/>
        <v>giftcodesbanner/守住呀主公-bar.jpg</v>
      </c>
      <c r="D17" s="8" t="str">
        <f t="shared" si="1"/>
        <v>https://www.ssbuy.tw/detail_giftcode/dist/giftcodes/守住呀主公.html</v>
      </c>
      <c r="E17" s="9" t="s">
        <v>2684</v>
      </c>
      <c r="F17" s="10" t="s">
        <v>2685</v>
      </c>
      <c r="G17" s="11" t="s">
        <v>1711</v>
      </c>
      <c r="H17" s="11" t="s">
        <v>2675</v>
      </c>
      <c r="K17" s="12" t="s">
        <v>1782</v>
      </c>
      <c r="L17" s="8" t="s">
        <v>1713</v>
      </c>
      <c r="M17" s="13" t="s">
        <v>1715</v>
      </c>
      <c r="N17" s="8" t="s">
        <v>1713</v>
      </c>
      <c r="O17" s="13" t="s">
        <v>1834</v>
      </c>
      <c r="P17" s="8" t="s">
        <v>1713</v>
      </c>
      <c r="Q17" s="13" t="s">
        <v>1835</v>
      </c>
      <c r="R17" s="8" t="s">
        <v>1713</v>
      </c>
      <c r="S17" s="13" t="s">
        <v>1836</v>
      </c>
      <c r="T17" s="8" t="s">
        <v>1713</v>
      </c>
      <c r="U17" s="13" t="s">
        <v>1837</v>
      </c>
      <c r="V17" s="8" t="s">
        <v>1713</v>
      </c>
      <c r="W17" s="13" t="s">
        <v>1838</v>
      </c>
      <c r="X17" s="8" t="s">
        <v>1713</v>
      </c>
    </row>
    <row r="18" spans="1:32" ht="22.5" customHeight="1">
      <c r="A18" s="14" t="s">
        <v>1839</v>
      </c>
      <c r="B18" s="8" t="str">
        <f t="shared" si="0"/>
        <v>giftcodesbanner/吟遊戰記-bar.jpg</v>
      </c>
      <c r="D18" s="8" t="str">
        <f t="shared" si="1"/>
        <v>https://www.ssbuy.tw/detail_giftcode/dist/giftcodes/吟遊戰記.html</v>
      </c>
      <c r="E18" s="17" t="s">
        <v>514</v>
      </c>
      <c r="F18" s="10" t="s">
        <v>2674</v>
      </c>
      <c r="G18" s="11" t="s">
        <v>1711</v>
      </c>
      <c r="H18" s="11" t="s">
        <v>2670</v>
      </c>
      <c r="K18" s="12" t="s">
        <v>1782</v>
      </c>
      <c r="L18" s="8" t="s">
        <v>1713</v>
      </c>
      <c r="M18" s="13" t="s">
        <v>1714</v>
      </c>
      <c r="N18" s="8" t="s">
        <v>1713</v>
      </c>
      <c r="O18" s="13" t="s">
        <v>1841</v>
      </c>
      <c r="P18" s="8" t="s">
        <v>1713</v>
      </c>
      <c r="Q18" s="13" t="s">
        <v>1820</v>
      </c>
      <c r="R18" s="8" t="s">
        <v>1713</v>
      </c>
    </row>
    <row r="19" spans="1:32" ht="22.5" customHeight="1">
      <c r="A19" s="14" t="s">
        <v>2686</v>
      </c>
      <c r="B19" s="8" t="str">
        <f t="shared" si="0"/>
        <v>giftcodesbanner/我獨自升級：ARISE-bar.jpg</v>
      </c>
      <c r="D19" s="8" t="str">
        <f t="shared" si="1"/>
        <v>https://www.ssbuy.tw/detail_giftcode/dist/giftcodes/我獨自升級：ARISE.html</v>
      </c>
      <c r="E19" s="9" t="s">
        <v>524</v>
      </c>
      <c r="F19" s="10" t="s">
        <v>1740</v>
      </c>
      <c r="G19" s="11" t="s">
        <v>1711</v>
      </c>
      <c r="H19" s="11" t="s">
        <v>2675</v>
      </c>
      <c r="K19" s="18" t="s">
        <v>2687</v>
      </c>
      <c r="L19" s="8" t="s">
        <v>1713</v>
      </c>
      <c r="M19" s="13" t="s">
        <v>2688</v>
      </c>
      <c r="N19" s="8" t="s">
        <v>1713</v>
      </c>
      <c r="O19" s="19" t="s">
        <v>2689</v>
      </c>
      <c r="P19" s="8" t="s">
        <v>1713</v>
      </c>
      <c r="Q19" s="13" t="s">
        <v>2690</v>
      </c>
      <c r="R19" s="8" t="s">
        <v>1713</v>
      </c>
      <c r="S19" s="13" t="s">
        <v>2691</v>
      </c>
      <c r="T19" s="8" t="s">
        <v>1713</v>
      </c>
      <c r="U19" s="13" t="s">
        <v>2692</v>
      </c>
      <c r="V19" s="8" t="s">
        <v>1713</v>
      </c>
      <c r="W19" s="13" t="s">
        <v>1842</v>
      </c>
      <c r="X19" s="8" t="s">
        <v>1713</v>
      </c>
      <c r="Y19" s="13" t="s">
        <v>2693</v>
      </c>
      <c r="Z19" s="8" t="s">
        <v>1713</v>
      </c>
    </row>
    <row r="20" spans="1:32" ht="22.5" customHeight="1">
      <c r="A20" s="14" t="s">
        <v>2694</v>
      </c>
      <c r="B20" s="8" t="str">
        <f t="shared" si="0"/>
        <v>giftcodesbanner/命運聖契：少女的羈絆-bar.jpg</v>
      </c>
      <c r="D20" s="8" t="str">
        <f t="shared" si="1"/>
        <v>https://www.ssbuy.tw/detail_giftcode/dist/giftcodes/命運聖契：少女的羈絆.html</v>
      </c>
      <c r="E20" s="9" t="s">
        <v>2695</v>
      </c>
      <c r="F20" s="10" t="s">
        <v>1710</v>
      </c>
      <c r="G20" s="11" t="s">
        <v>1711</v>
      </c>
      <c r="H20" s="11" t="s">
        <v>2675</v>
      </c>
      <c r="K20" s="12" t="s">
        <v>2696</v>
      </c>
      <c r="L20" s="8" t="s">
        <v>1713</v>
      </c>
      <c r="M20" s="13" t="s">
        <v>2697</v>
      </c>
      <c r="N20" s="8" t="s">
        <v>1713</v>
      </c>
      <c r="O20" s="13" t="s">
        <v>2698</v>
      </c>
      <c r="P20" s="8" t="s">
        <v>1713</v>
      </c>
      <c r="Q20" s="13" t="s">
        <v>2699</v>
      </c>
      <c r="R20" s="8" t="s">
        <v>1713</v>
      </c>
      <c r="S20" s="13" t="s">
        <v>2700</v>
      </c>
      <c r="T20" s="8" t="s">
        <v>1713</v>
      </c>
      <c r="U20" s="13" t="s">
        <v>2701</v>
      </c>
      <c r="V20" s="8" t="s">
        <v>1713</v>
      </c>
      <c r="W20" s="13" t="s">
        <v>2702</v>
      </c>
      <c r="X20" s="8" t="s">
        <v>1713</v>
      </c>
      <c r="Y20" s="13" t="s">
        <v>1843</v>
      </c>
      <c r="Z20" s="8" t="s">
        <v>1713</v>
      </c>
      <c r="AA20" s="13" t="s">
        <v>2703</v>
      </c>
      <c r="AB20" s="8" t="s">
        <v>1713</v>
      </c>
      <c r="AC20" s="13" t="s">
        <v>2704</v>
      </c>
      <c r="AD20" s="8" t="s">
        <v>1713</v>
      </c>
      <c r="AE20" s="13" t="s">
        <v>2705</v>
      </c>
      <c r="AF20" s="8" t="s">
        <v>1713</v>
      </c>
    </row>
    <row r="21" spans="1:32" ht="22.5" customHeight="1">
      <c r="A21" s="14" t="s">
        <v>539</v>
      </c>
      <c r="B21" s="8" t="str">
        <f t="shared" si="0"/>
        <v>giftcodesbanner/放置軍團-bar.jpg</v>
      </c>
      <c r="D21" s="8" t="str">
        <f t="shared" si="1"/>
        <v>https://www.ssbuy.tw/detail_giftcode/dist/giftcodes/放置軍團.html</v>
      </c>
      <c r="E21" s="9" t="s">
        <v>2706</v>
      </c>
      <c r="F21" s="10" t="s">
        <v>1710</v>
      </c>
      <c r="G21" s="11" t="s">
        <v>1711</v>
      </c>
      <c r="H21" s="11" t="s">
        <v>2675</v>
      </c>
      <c r="K21" s="12" t="s">
        <v>2707</v>
      </c>
      <c r="L21" s="8" t="s">
        <v>2708</v>
      </c>
      <c r="M21" s="13" t="s">
        <v>2709</v>
      </c>
      <c r="N21" s="8" t="s">
        <v>2710</v>
      </c>
      <c r="O21" s="13" t="s">
        <v>2711</v>
      </c>
      <c r="P21" s="8" t="s">
        <v>2712</v>
      </c>
      <c r="Q21" s="13" t="s">
        <v>2713</v>
      </c>
      <c r="R21" s="8" t="s">
        <v>2714</v>
      </c>
      <c r="S21" s="13" t="s">
        <v>2715</v>
      </c>
      <c r="T21" s="8" t="s">
        <v>2716</v>
      </c>
    </row>
    <row r="22" spans="1:32" ht="22.5" customHeight="1">
      <c r="A22" s="14" t="s">
        <v>2717</v>
      </c>
      <c r="B22" s="8" t="str">
        <f t="shared" si="0"/>
        <v>giftcodesbanner/明日方舟-bar.jpg</v>
      </c>
      <c r="D22" s="8" t="str">
        <f t="shared" si="1"/>
        <v>https://www.ssbuy.tw/detail_giftcode/dist/giftcodes/明日方舟.html</v>
      </c>
      <c r="E22" s="9" t="s">
        <v>2718</v>
      </c>
      <c r="F22" s="10" t="s">
        <v>2674</v>
      </c>
      <c r="G22" s="11" t="s">
        <v>1711</v>
      </c>
      <c r="H22" s="11" t="s">
        <v>2670</v>
      </c>
      <c r="K22" s="12" t="s">
        <v>2719</v>
      </c>
      <c r="L22" s="8" t="s">
        <v>2720</v>
      </c>
    </row>
    <row r="23" spans="1:32" ht="22.5" customHeight="1">
      <c r="A23" s="14" t="s">
        <v>2721</v>
      </c>
      <c r="B23" s="8" t="str">
        <f t="shared" si="0"/>
        <v>giftcodesbanner/屍鬼三國-bar.jpg</v>
      </c>
      <c r="D23" s="8" t="str">
        <f t="shared" si="1"/>
        <v>https://www.ssbuy.tw/detail_giftcode/dist/giftcodes/屍鬼三國.html</v>
      </c>
      <c r="E23" s="9" t="s">
        <v>2722</v>
      </c>
      <c r="F23" s="10" t="s">
        <v>2674</v>
      </c>
      <c r="G23" s="11" t="s">
        <v>1711</v>
      </c>
      <c r="H23" s="11" t="s">
        <v>2675</v>
      </c>
      <c r="K23" s="12" t="s">
        <v>1932</v>
      </c>
      <c r="L23" s="8" t="s">
        <v>1713</v>
      </c>
      <c r="M23" s="13" t="s">
        <v>2723</v>
      </c>
      <c r="N23" s="8" t="s">
        <v>1713</v>
      </c>
      <c r="O23" s="13" t="s">
        <v>1841</v>
      </c>
      <c r="P23" s="8" t="s">
        <v>1713</v>
      </c>
      <c r="Q23" s="13" t="s">
        <v>2724</v>
      </c>
      <c r="R23" s="8" t="s">
        <v>1713</v>
      </c>
      <c r="S23" s="13" t="s">
        <v>2725</v>
      </c>
      <c r="T23" s="8" t="s">
        <v>1713</v>
      </c>
      <c r="U23" s="13" t="s">
        <v>2726</v>
      </c>
      <c r="V23" s="8" t="s">
        <v>1713</v>
      </c>
      <c r="W23" s="13" t="s">
        <v>2727</v>
      </c>
      <c r="X23" s="8" t="s">
        <v>1713</v>
      </c>
      <c r="Y23" s="13" t="s">
        <v>2728</v>
      </c>
      <c r="Z23" s="8" t="s">
        <v>1713</v>
      </c>
      <c r="AA23" s="13" t="s">
        <v>2729</v>
      </c>
      <c r="AB23" s="8" t="s">
        <v>1713</v>
      </c>
      <c r="AC23" s="13" t="s">
        <v>2730</v>
      </c>
      <c r="AD23" s="8" t="s">
        <v>1713</v>
      </c>
    </row>
    <row r="24" spans="1:32" ht="22.5" customHeight="1">
      <c r="A24" s="14" t="s">
        <v>2731</v>
      </c>
      <c r="B24" s="8" t="str">
        <f t="shared" si="0"/>
        <v>giftcodesbanner/星鏈計畫：未來少女-bar.jpg</v>
      </c>
      <c r="D24" s="8" t="str">
        <f t="shared" si="1"/>
        <v>https://www.ssbuy.tw/detail_giftcode/dist/giftcodes/星鏈計畫：未來少女.html</v>
      </c>
      <c r="E24" s="9" t="s">
        <v>2732</v>
      </c>
      <c r="F24" s="10" t="s">
        <v>1710</v>
      </c>
      <c r="G24" s="11" t="s">
        <v>1711</v>
      </c>
      <c r="H24" s="11" t="s">
        <v>2675</v>
      </c>
      <c r="K24" s="12" t="s">
        <v>2733</v>
      </c>
      <c r="L24" s="8" t="s">
        <v>2734</v>
      </c>
      <c r="M24" s="13" t="s">
        <v>2735</v>
      </c>
      <c r="N24" s="8" t="s">
        <v>2736</v>
      </c>
      <c r="O24" s="13" t="s">
        <v>2737</v>
      </c>
      <c r="P24" s="8" t="s">
        <v>2738</v>
      </c>
      <c r="Q24" s="13" t="s">
        <v>2739</v>
      </c>
      <c r="R24" s="8" t="s">
        <v>2740</v>
      </c>
      <c r="S24" s="13" t="s">
        <v>2741</v>
      </c>
      <c r="T24" s="8" t="s">
        <v>2742</v>
      </c>
      <c r="U24" s="13" t="s">
        <v>1844</v>
      </c>
      <c r="V24" s="8" t="s">
        <v>2740</v>
      </c>
    </row>
    <row r="25" spans="1:32" ht="22.5" customHeight="1">
      <c r="A25" s="14" t="s">
        <v>569</v>
      </c>
      <c r="B25" s="8" t="str">
        <f t="shared" si="0"/>
        <v>giftcodesbanner/英雄之王-bar.jpg</v>
      </c>
      <c r="D25" s="8" t="str">
        <f t="shared" si="1"/>
        <v>https://www.ssbuy.tw/detail_giftcode/dist/giftcodes/英雄之王.html</v>
      </c>
      <c r="E25" s="17" t="s">
        <v>2743</v>
      </c>
      <c r="F25" s="10" t="s">
        <v>1710</v>
      </c>
      <c r="G25" s="11" t="s">
        <v>1711</v>
      </c>
      <c r="H25" s="11" t="s">
        <v>2675</v>
      </c>
      <c r="K25" s="12" t="s">
        <v>2744</v>
      </c>
      <c r="L25" s="8" t="s">
        <v>1713</v>
      </c>
      <c r="M25" s="13" t="s">
        <v>2745</v>
      </c>
      <c r="N25" s="8" t="s">
        <v>1713</v>
      </c>
      <c r="O25" s="13" t="s">
        <v>2746</v>
      </c>
      <c r="P25" s="8" t="s">
        <v>1713</v>
      </c>
      <c r="Q25" s="13" t="s">
        <v>2747</v>
      </c>
      <c r="R25" s="8" t="s">
        <v>1713</v>
      </c>
      <c r="S25" s="13" t="s">
        <v>2748</v>
      </c>
      <c r="T25" s="8" t="s">
        <v>1713</v>
      </c>
      <c r="U25" s="13" t="s">
        <v>2749</v>
      </c>
      <c r="V25" s="8" t="s">
        <v>1713</v>
      </c>
      <c r="W25" s="13" t="s">
        <v>2750</v>
      </c>
      <c r="X25" s="8" t="s">
        <v>1713</v>
      </c>
      <c r="Y25" s="13" t="s">
        <v>2751</v>
      </c>
      <c r="Z25" s="8" t="s">
        <v>1713</v>
      </c>
      <c r="AA25" s="13" t="s">
        <v>2752</v>
      </c>
      <c r="AB25" s="8" t="s">
        <v>1713</v>
      </c>
    </row>
    <row r="26" spans="1:32" ht="22.5" customHeight="1">
      <c r="A26" s="14" t="s">
        <v>576</v>
      </c>
      <c r="B26" s="8" t="str">
        <f t="shared" si="0"/>
        <v>giftcodesbanner/英雄聯盟-bar.jpg</v>
      </c>
      <c r="D26" s="8" t="str">
        <f t="shared" si="1"/>
        <v>https://www.ssbuy.tw/detail_giftcode/dist/giftcodes/英雄聯盟.html</v>
      </c>
      <c r="F26" s="10" t="s">
        <v>2674</v>
      </c>
      <c r="G26" s="11" t="s">
        <v>1711</v>
      </c>
      <c r="H26" s="11" t="s">
        <v>1840</v>
      </c>
      <c r="K26" s="12" t="s">
        <v>2753</v>
      </c>
      <c r="L26" s="8" t="s">
        <v>2754</v>
      </c>
      <c r="M26" s="13" t="s">
        <v>2755</v>
      </c>
      <c r="N26" s="8" t="s">
        <v>2756</v>
      </c>
    </row>
    <row r="27" spans="1:32" ht="22.5" customHeight="1">
      <c r="A27" s="14" t="s">
        <v>582</v>
      </c>
      <c r="B27" s="8" t="str">
        <f t="shared" si="0"/>
        <v>giftcodesbanner/恐龍突變-bar.jpg</v>
      </c>
      <c r="D27" s="8" t="str">
        <f t="shared" si="1"/>
        <v>https://www.ssbuy.tw/detail_giftcode/dist/giftcodes/恐龍突變.html</v>
      </c>
      <c r="E27" s="17" t="s">
        <v>2757</v>
      </c>
      <c r="F27" s="10" t="s">
        <v>2674</v>
      </c>
      <c r="G27" s="11" t="s">
        <v>1711</v>
      </c>
      <c r="H27" s="11" t="s">
        <v>2675</v>
      </c>
    </row>
    <row r="28" spans="1:32" ht="22.5" customHeight="1">
      <c r="A28" s="14" t="s">
        <v>592</v>
      </c>
      <c r="B28" s="8" t="str">
        <f t="shared" si="0"/>
        <v>giftcodesbanner/神域-bar.jpg</v>
      </c>
      <c r="D28" s="8" t="str">
        <f t="shared" si="1"/>
        <v>https://www.ssbuy.tw/detail_giftcode/dist/giftcodes/神域.html</v>
      </c>
      <c r="E28" s="9" t="s">
        <v>2758</v>
      </c>
      <c r="F28" s="10" t="s">
        <v>2674</v>
      </c>
      <c r="G28" s="11" t="s">
        <v>1711</v>
      </c>
      <c r="H28" s="11" t="s">
        <v>2675</v>
      </c>
      <c r="K28" s="12" t="s">
        <v>2759</v>
      </c>
      <c r="L28" s="8" t="s">
        <v>2760</v>
      </c>
      <c r="M28" s="13" t="s">
        <v>2761</v>
      </c>
      <c r="N28" s="8" t="s">
        <v>2760</v>
      </c>
    </row>
    <row r="29" spans="1:32" ht="22.5" customHeight="1">
      <c r="A29" s="14" t="s">
        <v>2762</v>
      </c>
      <c r="B29" s="8" t="str">
        <f t="shared" si="0"/>
        <v>giftcodesbanner/崩壞：星穹鐵道-bar.jpg</v>
      </c>
      <c r="D29" s="8" t="str">
        <f t="shared" si="1"/>
        <v>https://www.ssbuy.tw/detail_giftcode/dist/giftcodes/崩壞：星穹鐵道.html</v>
      </c>
      <c r="E29" s="17" t="s">
        <v>2763</v>
      </c>
      <c r="F29" s="10" t="s">
        <v>2674</v>
      </c>
      <c r="G29" s="11" t="s">
        <v>1711</v>
      </c>
      <c r="H29" s="11" t="s">
        <v>1840</v>
      </c>
      <c r="K29" s="12" t="s">
        <v>2764</v>
      </c>
      <c r="L29" s="8" t="s">
        <v>2765</v>
      </c>
    </row>
    <row r="30" spans="1:32" ht="22.5" customHeight="1">
      <c r="A30" s="14" t="s">
        <v>610</v>
      </c>
      <c r="B30" s="8" t="str">
        <f t="shared" si="0"/>
        <v>giftcodesbanner/救世者之樹：新世界-bar.jpg</v>
      </c>
      <c r="D30" s="8" t="str">
        <f t="shared" si="1"/>
        <v>https://www.ssbuy.tw/detail_giftcode/dist/giftcodes/救世者之樹：新世界.html</v>
      </c>
      <c r="E30" s="17" t="s">
        <v>2766</v>
      </c>
      <c r="F30" s="10" t="s">
        <v>2674</v>
      </c>
      <c r="G30" s="11" t="s">
        <v>1711</v>
      </c>
      <c r="H30" s="11" t="s">
        <v>2675</v>
      </c>
      <c r="K30" s="12" t="s">
        <v>2767</v>
      </c>
      <c r="L30" s="8" t="s">
        <v>2768</v>
      </c>
      <c r="M30" s="13" t="s">
        <v>2769</v>
      </c>
      <c r="N30" s="8" t="s">
        <v>1845</v>
      </c>
      <c r="O30" s="13" t="s">
        <v>2770</v>
      </c>
      <c r="P30" s="8" t="s">
        <v>2771</v>
      </c>
      <c r="Q30" s="13" t="s">
        <v>2772</v>
      </c>
      <c r="R30" s="8" t="s">
        <v>1713</v>
      </c>
      <c r="S30" s="13" t="s">
        <v>2773</v>
      </c>
      <c r="T30" s="8" t="s">
        <v>1713</v>
      </c>
      <c r="U30" s="13" t="s">
        <v>2774</v>
      </c>
      <c r="V30" s="8" t="s">
        <v>1713</v>
      </c>
      <c r="W30" s="13" t="s">
        <v>1846</v>
      </c>
      <c r="X30" s="8" t="s">
        <v>1713</v>
      </c>
      <c r="Y30" s="13" t="s">
        <v>2775</v>
      </c>
      <c r="Z30" s="8" t="s">
        <v>1713</v>
      </c>
    </row>
    <row r="31" spans="1:32" ht="22.5" customHeight="1">
      <c r="A31" s="14" t="s">
        <v>618</v>
      </c>
      <c r="B31" s="8" t="str">
        <f t="shared" si="0"/>
        <v>giftcodesbanner/球球英雄-bar.jpg</v>
      </c>
      <c r="D31" s="8" t="str">
        <f t="shared" si="1"/>
        <v>https://www.ssbuy.tw/detail_giftcode/dist/giftcodes/球球英雄.html</v>
      </c>
      <c r="E31" s="17" t="s">
        <v>2776</v>
      </c>
      <c r="F31" s="10" t="s">
        <v>2674</v>
      </c>
      <c r="G31" s="11" t="s">
        <v>1711</v>
      </c>
      <c r="H31" s="11" t="s">
        <v>2675</v>
      </c>
      <c r="K31" s="12" t="s">
        <v>2777</v>
      </c>
      <c r="L31" s="8" t="s">
        <v>1713</v>
      </c>
      <c r="M31" s="13" t="s">
        <v>2778</v>
      </c>
      <c r="N31" s="8" t="s">
        <v>1713</v>
      </c>
      <c r="O31" s="13" t="s">
        <v>2779</v>
      </c>
      <c r="P31" s="8" t="s">
        <v>1713</v>
      </c>
    </row>
    <row r="32" spans="1:32" ht="22.5" customHeight="1">
      <c r="A32" s="14" t="s">
        <v>626</v>
      </c>
      <c r="B32" s="8" t="str">
        <f t="shared" si="0"/>
        <v>giftcodesbanner/第七史詩-bar.jpg</v>
      </c>
      <c r="D32" s="8" t="str">
        <f t="shared" si="1"/>
        <v>https://www.ssbuy.tw/detail_giftcode/dist/giftcodes/第七史詩.html</v>
      </c>
      <c r="E32" s="9" t="s">
        <v>2780</v>
      </c>
      <c r="F32" s="10" t="s">
        <v>2685</v>
      </c>
      <c r="G32" s="11" t="s">
        <v>1711</v>
      </c>
      <c r="H32" s="11" t="s">
        <v>2670</v>
      </c>
      <c r="K32" s="12" t="s">
        <v>2781</v>
      </c>
      <c r="L32" s="8" t="s">
        <v>2782</v>
      </c>
    </row>
    <row r="33" spans="1:42" ht="22.5" customHeight="1">
      <c r="A33" s="14" t="s">
        <v>2783</v>
      </c>
      <c r="B33" s="8" t="str">
        <f t="shared" si="0"/>
        <v>giftcodesbanner/創世紀戰M：阿修羅計畫-bar.jpg</v>
      </c>
      <c r="D33" s="8" t="str">
        <f t="shared" si="1"/>
        <v>https://www.ssbuy.tw/detail_giftcode/dist/giftcodes/創世紀戰M：阿修羅計畫.html</v>
      </c>
      <c r="E33" s="17" t="s">
        <v>2784</v>
      </c>
      <c r="F33" s="10" t="s">
        <v>2674</v>
      </c>
      <c r="G33" s="11" t="s">
        <v>1711</v>
      </c>
      <c r="H33" s="11" t="s">
        <v>2670</v>
      </c>
      <c r="K33" s="12" t="s">
        <v>2785</v>
      </c>
      <c r="L33" s="8" t="s">
        <v>1713</v>
      </c>
      <c r="M33" s="13" t="s">
        <v>2786</v>
      </c>
      <c r="N33" s="8" t="s">
        <v>1713</v>
      </c>
      <c r="O33" s="13" t="s">
        <v>2787</v>
      </c>
      <c r="P33" s="8" t="s">
        <v>1713</v>
      </c>
      <c r="Q33" s="13" t="s">
        <v>2788</v>
      </c>
      <c r="R33" s="8" t="s">
        <v>1713</v>
      </c>
      <c r="S33" s="13" t="s">
        <v>2789</v>
      </c>
      <c r="T33" s="8" t="s">
        <v>1713</v>
      </c>
      <c r="U33" s="13" t="s">
        <v>2790</v>
      </c>
      <c r="V33" s="8" t="s">
        <v>1713</v>
      </c>
      <c r="W33" s="13" t="s">
        <v>2791</v>
      </c>
      <c r="X33" s="8" t="s">
        <v>1713</v>
      </c>
      <c r="Y33" s="13" t="s">
        <v>2792</v>
      </c>
      <c r="Z33" s="8" t="s">
        <v>1713</v>
      </c>
      <c r="AA33" s="13" t="s">
        <v>2793</v>
      </c>
      <c r="AB33" s="8" t="s">
        <v>1713</v>
      </c>
      <c r="AC33" s="13" t="s">
        <v>2794</v>
      </c>
      <c r="AD33" s="8" t="s">
        <v>1713</v>
      </c>
      <c r="AE33" s="13" t="s">
        <v>2795</v>
      </c>
      <c r="AF33" s="8" t="s">
        <v>1713</v>
      </c>
    </row>
    <row r="34" spans="1:42" ht="22.5" customHeight="1">
      <c r="A34" s="14" t="s">
        <v>2796</v>
      </c>
      <c r="B34" s="8" t="str">
        <f t="shared" si="0"/>
        <v>giftcodesbanner/最強宗師-bar.jpg</v>
      </c>
      <c r="D34" s="8" t="str">
        <f t="shared" si="1"/>
        <v>https://www.ssbuy.tw/detail_giftcode/dist/giftcodes/最強宗師.html</v>
      </c>
      <c r="E34" s="9" t="s">
        <v>2797</v>
      </c>
      <c r="F34" s="10" t="s">
        <v>2674</v>
      </c>
      <c r="G34" s="11" t="s">
        <v>1711</v>
      </c>
      <c r="H34" s="11" t="s">
        <v>2675</v>
      </c>
      <c r="K34" s="12" t="s">
        <v>2798</v>
      </c>
      <c r="L34" s="8" t="s">
        <v>1713</v>
      </c>
      <c r="M34" s="13" t="s">
        <v>2799</v>
      </c>
      <c r="N34" s="8" t="s">
        <v>1713</v>
      </c>
      <c r="O34" s="13" t="s">
        <v>2800</v>
      </c>
      <c r="P34" s="8" t="s">
        <v>1713</v>
      </c>
      <c r="Q34" s="13" t="s">
        <v>2801</v>
      </c>
      <c r="R34" s="8" t="s">
        <v>1713</v>
      </c>
      <c r="S34" s="13" t="s">
        <v>2802</v>
      </c>
      <c r="T34" s="8" t="s">
        <v>1713</v>
      </c>
      <c r="U34" s="13" t="s">
        <v>2803</v>
      </c>
      <c r="V34" s="8" t="s">
        <v>1713</v>
      </c>
      <c r="W34" s="13" t="s">
        <v>2804</v>
      </c>
      <c r="X34" s="8" t="s">
        <v>1713</v>
      </c>
      <c r="Y34" s="13" t="s">
        <v>2805</v>
      </c>
      <c r="Z34" s="8" t="s">
        <v>1713</v>
      </c>
      <c r="AA34" s="13" t="s">
        <v>2806</v>
      </c>
      <c r="AB34" s="8" t="s">
        <v>1713</v>
      </c>
      <c r="AC34" s="13" t="s">
        <v>2807</v>
      </c>
      <c r="AD34" s="8" t="s">
        <v>1713</v>
      </c>
      <c r="AE34" s="13" t="s">
        <v>2808</v>
      </c>
      <c r="AF34" s="8" t="s">
        <v>1713</v>
      </c>
      <c r="AG34" s="13" t="s">
        <v>2809</v>
      </c>
      <c r="AH34" s="8" t="s">
        <v>1713</v>
      </c>
    </row>
    <row r="35" spans="1:42" ht="22.5" customHeight="1">
      <c r="A35" s="14" t="s">
        <v>655</v>
      </c>
      <c r="B35" s="8" t="str">
        <f t="shared" si="0"/>
        <v>giftcodesbanner/無期迷途-bar.jpg</v>
      </c>
      <c r="D35" s="8" t="str">
        <f t="shared" si="1"/>
        <v>https://www.ssbuy.tw/detail_giftcode/dist/giftcodes/無期迷途.html</v>
      </c>
      <c r="E35" s="17" t="s">
        <v>2810</v>
      </c>
      <c r="F35" s="10" t="s">
        <v>2674</v>
      </c>
      <c r="G35" s="11" t="s">
        <v>1711</v>
      </c>
      <c r="H35" s="11" t="s">
        <v>2675</v>
      </c>
      <c r="K35" s="12" t="s">
        <v>2811</v>
      </c>
      <c r="L35" s="8" t="s">
        <v>1713</v>
      </c>
      <c r="M35" s="13" t="s">
        <v>2812</v>
      </c>
      <c r="N35" s="8" t="s">
        <v>1713</v>
      </c>
      <c r="O35" s="13" t="s">
        <v>2813</v>
      </c>
      <c r="P35" s="8" t="s">
        <v>1713</v>
      </c>
      <c r="Q35" s="13" t="s">
        <v>2814</v>
      </c>
      <c r="R35" s="8" t="s">
        <v>1713</v>
      </c>
    </row>
    <row r="36" spans="1:42" ht="22.5" customHeight="1">
      <c r="A36" s="14" t="s">
        <v>663</v>
      </c>
      <c r="B36" s="8" t="str">
        <f t="shared" si="0"/>
        <v>giftcodesbanner/絕區零-bar.jpg</v>
      </c>
      <c r="D36" s="8" t="str">
        <f t="shared" si="1"/>
        <v>https://www.ssbuy.tw/detail_giftcode/dist/giftcodes/絕區零.html</v>
      </c>
      <c r="E36" s="9" t="s">
        <v>2815</v>
      </c>
      <c r="F36" s="10" t="s">
        <v>2674</v>
      </c>
      <c r="G36" s="11" t="s">
        <v>1711</v>
      </c>
      <c r="H36" s="11" t="s">
        <v>2675</v>
      </c>
      <c r="K36" s="12" t="s">
        <v>2816</v>
      </c>
      <c r="L36" s="8" t="s">
        <v>2817</v>
      </c>
      <c r="M36" s="13" t="s">
        <v>2818</v>
      </c>
      <c r="N36" s="8" t="s">
        <v>2819</v>
      </c>
      <c r="O36" s="13" t="s">
        <v>2820</v>
      </c>
      <c r="P36" s="8" t="s">
        <v>2821</v>
      </c>
      <c r="Q36" s="13" t="s">
        <v>2822</v>
      </c>
      <c r="R36" s="8" t="s">
        <v>2823</v>
      </c>
      <c r="S36" s="13" t="s">
        <v>2824</v>
      </c>
      <c r="T36" s="8" t="s">
        <v>2825</v>
      </c>
      <c r="U36" s="13" t="s">
        <v>2826</v>
      </c>
      <c r="V36" s="8" t="s">
        <v>2825</v>
      </c>
      <c r="W36" s="13" t="s">
        <v>2827</v>
      </c>
      <c r="X36" s="8" t="s">
        <v>2828</v>
      </c>
    </row>
    <row r="37" spans="1:42" ht="22.5" customHeight="1">
      <c r="A37" s="14" t="s">
        <v>674</v>
      </c>
      <c r="B37" s="8" t="str">
        <f t="shared" si="0"/>
        <v>giftcodesbanner/傳說對決-bar.jpg</v>
      </c>
      <c r="D37" s="8" t="str">
        <f t="shared" si="1"/>
        <v>https://www.ssbuy.tw/detail_giftcode/dist/giftcodes/傳說對決.html</v>
      </c>
      <c r="E37" s="9" t="s">
        <v>2829</v>
      </c>
      <c r="F37" s="10" t="s">
        <v>2674</v>
      </c>
      <c r="G37" s="11" t="s">
        <v>1711</v>
      </c>
      <c r="H37" s="11" t="s">
        <v>1840</v>
      </c>
      <c r="K37" s="12" t="s">
        <v>2160</v>
      </c>
      <c r="L37" s="8" t="s">
        <v>1847</v>
      </c>
      <c r="M37" s="13" t="s">
        <v>2830</v>
      </c>
      <c r="N37" s="8" t="s">
        <v>2831</v>
      </c>
    </row>
    <row r="38" spans="1:42" ht="22.5" customHeight="1">
      <c r="A38" s="14" t="s">
        <v>2832</v>
      </c>
      <c r="B38" s="8" t="str">
        <f t="shared" si="0"/>
        <v>giftcodesbanner/楓之谷M-bar.jpg</v>
      </c>
      <c r="D38" s="8" t="str">
        <f t="shared" si="1"/>
        <v>https://www.ssbuy.tw/detail_giftcode/dist/giftcodes/楓之谷M.html</v>
      </c>
      <c r="E38" s="9" t="s">
        <v>2833</v>
      </c>
      <c r="F38" s="10" t="s">
        <v>2674</v>
      </c>
      <c r="G38" s="11" t="s">
        <v>1711</v>
      </c>
      <c r="H38" s="11" t="s">
        <v>2675</v>
      </c>
      <c r="K38" s="12" t="s">
        <v>2834</v>
      </c>
      <c r="L38" s="8" t="s">
        <v>2835</v>
      </c>
      <c r="M38" s="13" t="s">
        <v>1848</v>
      </c>
      <c r="N38" s="8" t="s">
        <v>2836</v>
      </c>
      <c r="O38" s="13" t="s">
        <v>2837</v>
      </c>
      <c r="P38" s="8" t="s">
        <v>1713</v>
      </c>
      <c r="Q38" s="13" t="s">
        <v>2838</v>
      </c>
      <c r="R38" s="8" t="s">
        <v>1713</v>
      </c>
    </row>
    <row r="39" spans="1:42" ht="22.5" customHeight="1">
      <c r="A39" s="14" t="s">
        <v>692</v>
      </c>
      <c r="B39" s="8" t="str">
        <f t="shared" si="0"/>
        <v>giftcodesbanner/鳴潮-bar.jpg</v>
      </c>
      <c r="D39" s="8" t="str">
        <f t="shared" si="1"/>
        <v>https://www.ssbuy.tw/detail_giftcode/dist/giftcodes/鳴潮.html</v>
      </c>
      <c r="E39" s="9" t="s">
        <v>2839</v>
      </c>
      <c r="F39" s="10" t="s">
        <v>2674</v>
      </c>
      <c r="G39" s="11" t="s">
        <v>1711</v>
      </c>
      <c r="H39" s="11" t="s">
        <v>1840</v>
      </c>
      <c r="K39" s="12" t="s">
        <v>2840</v>
      </c>
      <c r="L39" s="8" t="s">
        <v>2841</v>
      </c>
      <c r="M39" s="13" t="s">
        <v>1849</v>
      </c>
      <c r="N39" s="8" t="s">
        <v>2842</v>
      </c>
      <c r="O39" s="13" t="s">
        <v>2843</v>
      </c>
      <c r="P39" s="8" t="s">
        <v>2844</v>
      </c>
      <c r="Q39" s="13" t="s">
        <v>2845</v>
      </c>
      <c r="R39" s="8" t="s">
        <v>2846</v>
      </c>
    </row>
    <row r="40" spans="1:42" ht="22.5" customHeight="1">
      <c r="A40" s="14" t="s">
        <v>2847</v>
      </c>
      <c r="B40" s="8" t="str">
        <f t="shared" si="0"/>
        <v>giftcodesbanner/劍與遠征：啟程-bar.jpg</v>
      </c>
      <c r="D40" s="8" t="str">
        <f t="shared" si="1"/>
        <v>https://www.ssbuy.tw/detail_giftcode/dist/giftcodes/劍與遠征：啟程.html</v>
      </c>
      <c r="E40" s="9" t="s">
        <v>1850</v>
      </c>
      <c r="F40" s="10" t="s">
        <v>1740</v>
      </c>
      <c r="G40" s="11" t="s">
        <v>1711</v>
      </c>
      <c r="H40" s="11" t="s">
        <v>2675</v>
      </c>
      <c r="K40" s="12" t="s">
        <v>2848</v>
      </c>
      <c r="L40" s="8" t="s">
        <v>2849</v>
      </c>
      <c r="M40" s="13" t="s">
        <v>2850</v>
      </c>
      <c r="N40" s="20" t="s">
        <v>2851</v>
      </c>
      <c r="O40" s="13" t="s">
        <v>2852</v>
      </c>
      <c r="P40" s="8" t="s">
        <v>2853</v>
      </c>
      <c r="Q40" s="13" t="s">
        <v>2854</v>
      </c>
      <c r="R40" s="8" t="s">
        <v>2855</v>
      </c>
      <c r="S40" s="13" t="s">
        <v>2856</v>
      </c>
      <c r="T40" s="8" t="s">
        <v>2857</v>
      </c>
    </row>
    <row r="41" spans="1:42" ht="22.5" customHeight="1">
      <c r="A41" s="14" t="s">
        <v>710</v>
      </c>
      <c r="B41" s="8" t="str">
        <f t="shared" si="0"/>
        <v>giftcodesbanner/熱血大作戰-bar.jpg</v>
      </c>
      <c r="D41" s="8" t="str">
        <f t="shared" si="1"/>
        <v>https://www.ssbuy.tw/detail_giftcode/dist/giftcodes/熱血大作戰.html</v>
      </c>
      <c r="E41" s="9" t="s">
        <v>1851</v>
      </c>
      <c r="F41" s="10" t="s">
        <v>2674</v>
      </c>
      <c r="G41" s="11" t="s">
        <v>1711</v>
      </c>
      <c r="H41" s="11" t="s">
        <v>1840</v>
      </c>
      <c r="K41" s="12" t="s">
        <v>2858</v>
      </c>
      <c r="L41" s="8" t="s">
        <v>2859</v>
      </c>
      <c r="M41" s="13" t="s">
        <v>1852</v>
      </c>
      <c r="N41" s="7" t="s">
        <v>1853</v>
      </c>
      <c r="O41" s="13" t="s">
        <v>1854</v>
      </c>
      <c r="P41" s="8" t="s">
        <v>1855</v>
      </c>
      <c r="Q41" s="13" t="s">
        <v>1856</v>
      </c>
      <c r="R41" s="8" t="s">
        <v>1857</v>
      </c>
      <c r="S41" s="13" t="s">
        <v>1858</v>
      </c>
      <c r="T41" s="8" t="s">
        <v>1859</v>
      </c>
      <c r="U41" s="13" t="s">
        <v>1860</v>
      </c>
      <c r="V41" s="8" t="s">
        <v>1713</v>
      </c>
      <c r="W41" s="13" t="s">
        <v>1861</v>
      </c>
      <c r="X41" s="8" t="s">
        <v>1862</v>
      </c>
    </row>
    <row r="42" spans="1:42" ht="22.5" customHeight="1">
      <c r="A42" s="14" t="s">
        <v>2860</v>
      </c>
      <c r="B42" s="8" t="str">
        <f t="shared" si="0"/>
        <v>giftcodesbanner/骷髏傳說：戰神崛起-bar.jpg</v>
      </c>
      <c r="D42" s="8" t="str">
        <f t="shared" si="1"/>
        <v>https://www.ssbuy.tw/detail_giftcode/dist/giftcodes/骷髏傳說：戰神崛起.html</v>
      </c>
      <c r="E42" s="9" t="s">
        <v>2861</v>
      </c>
      <c r="F42" s="10" t="s">
        <v>1710</v>
      </c>
      <c r="G42" s="11" t="s">
        <v>1711</v>
      </c>
      <c r="H42" s="11" t="s">
        <v>1840</v>
      </c>
      <c r="K42" s="12" t="s">
        <v>1782</v>
      </c>
      <c r="L42" s="8" t="s">
        <v>1713</v>
      </c>
      <c r="M42" s="13" t="s">
        <v>1714</v>
      </c>
      <c r="N42" s="8" t="s">
        <v>1713</v>
      </c>
      <c r="O42" s="13" t="s">
        <v>1715</v>
      </c>
      <c r="P42" s="8" t="s">
        <v>1713</v>
      </c>
      <c r="Q42" s="13" t="s">
        <v>1863</v>
      </c>
      <c r="R42" s="8" t="s">
        <v>1713</v>
      </c>
      <c r="S42" s="13" t="s">
        <v>1864</v>
      </c>
      <c r="T42" s="8" t="s">
        <v>1713</v>
      </c>
      <c r="U42" s="13" t="s">
        <v>1865</v>
      </c>
      <c r="V42" s="8" t="s">
        <v>1713</v>
      </c>
      <c r="W42" s="13" t="s">
        <v>1866</v>
      </c>
      <c r="X42" s="8" t="s">
        <v>1713</v>
      </c>
      <c r="Y42" s="13" t="s">
        <v>1867</v>
      </c>
      <c r="Z42" s="8" t="s">
        <v>1713</v>
      </c>
      <c r="AA42" s="13" t="s">
        <v>1868</v>
      </c>
      <c r="AB42" s="8" t="s">
        <v>1713</v>
      </c>
      <c r="AC42" s="13" t="s">
        <v>1869</v>
      </c>
      <c r="AD42" s="8" t="s">
        <v>1713</v>
      </c>
      <c r="AE42" s="13" t="s">
        <v>1870</v>
      </c>
      <c r="AF42" s="8" t="s">
        <v>1713</v>
      </c>
      <c r="AG42" s="13" t="s">
        <v>1871</v>
      </c>
      <c r="AH42" s="8" t="s">
        <v>1713</v>
      </c>
      <c r="AI42" s="13" t="s">
        <v>1872</v>
      </c>
      <c r="AJ42" s="8" t="s">
        <v>1713</v>
      </c>
    </row>
    <row r="43" spans="1:42" ht="22.5" customHeight="1">
      <c r="A43" s="14" t="s">
        <v>2862</v>
      </c>
      <c r="B43" s="8" t="str">
        <f t="shared" si="0"/>
        <v>giftcodesbanner/黎明：血色魔女-bar.jpg</v>
      </c>
      <c r="D43" s="8" t="str">
        <f t="shared" si="1"/>
        <v>https://www.ssbuy.tw/detail_giftcode/dist/giftcodes/黎明：血色魔女.html</v>
      </c>
      <c r="E43" s="9" t="s">
        <v>2863</v>
      </c>
      <c r="F43" s="10" t="s">
        <v>1710</v>
      </c>
      <c r="G43" s="11" t="s">
        <v>1711</v>
      </c>
      <c r="H43" s="11" t="s">
        <v>1840</v>
      </c>
      <c r="K43" s="12" t="s">
        <v>1873</v>
      </c>
      <c r="L43" s="8" t="s">
        <v>1713</v>
      </c>
      <c r="M43" s="13" t="s">
        <v>1874</v>
      </c>
      <c r="N43" s="8" t="s">
        <v>1713</v>
      </c>
      <c r="O43" s="13" t="s">
        <v>1875</v>
      </c>
      <c r="P43" s="8" t="s">
        <v>1713</v>
      </c>
      <c r="Q43" s="13" t="s">
        <v>1876</v>
      </c>
      <c r="R43" s="8" t="s">
        <v>1713</v>
      </c>
      <c r="S43" s="13" t="s">
        <v>1877</v>
      </c>
      <c r="T43" s="8" t="s">
        <v>1713</v>
      </c>
      <c r="U43" s="13" t="s">
        <v>1878</v>
      </c>
      <c r="V43" s="8" t="s">
        <v>1713</v>
      </c>
      <c r="W43" s="13" t="s">
        <v>1879</v>
      </c>
      <c r="X43" s="8" t="s">
        <v>1713</v>
      </c>
      <c r="Y43" s="13" t="s">
        <v>1880</v>
      </c>
      <c r="Z43" s="8" t="s">
        <v>1713</v>
      </c>
      <c r="AA43" s="13" t="s">
        <v>1881</v>
      </c>
      <c r="AB43" s="8" t="s">
        <v>1713</v>
      </c>
      <c r="AC43" s="13" t="s">
        <v>1882</v>
      </c>
      <c r="AD43" s="8" t="s">
        <v>1713</v>
      </c>
      <c r="AE43" s="13" t="s">
        <v>1883</v>
      </c>
      <c r="AF43" s="8" t="s">
        <v>1713</v>
      </c>
      <c r="AG43" s="13" t="s">
        <v>1884</v>
      </c>
      <c r="AH43" s="8" t="s">
        <v>1713</v>
      </c>
      <c r="AI43" s="13" t="s">
        <v>1885</v>
      </c>
      <c r="AJ43" s="8" t="s">
        <v>1713</v>
      </c>
    </row>
    <row r="44" spans="1:42" ht="22.5" customHeight="1">
      <c r="A44" s="14" t="s">
        <v>735</v>
      </c>
      <c r="B44" s="8" t="str">
        <f t="shared" si="0"/>
        <v>giftcodesbanner/黎明啟示錄-bar.jpg</v>
      </c>
      <c r="D44" s="8" t="str">
        <f t="shared" si="1"/>
        <v>https://www.ssbuy.tw/detail_giftcode/dist/giftcodes/黎明啟示錄.html</v>
      </c>
      <c r="E44" s="9" t="s">
        <v>2864</v>
      </c>
      <c r="F44" s="10" t="s">
        <v>1710</v>
      </c>
      <c r="G44" s="11" t="s">
        <v>1711</v>
      </c>
      <c r="H44" s="11" t="s">
        <v>1840</v>
      </c>
      <c r="K44" s="12">
        <v>888888</v>
      </c>
      <c r="L44" s="8" t="s">
        <v>1713</v>
      </c>
      <c r="M44" s="13" t="s">
        <v>1886</v>
      </c>
      <c r="N44" s="8" t="s">
        <v>1713</v>
      </c>
      <c r="O44" s="13" t="s">
        <v>1887</v>
      </c>
      <c r="P44" s="8" t="s">
        <v>1713</v>
      </c>
      <c r="Q44" s="13" t="s">
        <v>1888</v>
      </c>
      <c r="R44" s="8" t="s">
        <v>1713</v>
      </c>
      <c r="S44" s="13" t="s">
        <v>1889</v>
      </c>
      <c r="T44" s="8" t="s">
        <v>1713</v>
      </c>
      <c r="U44" s="13" t="s">
        <v>1890</v>
      </c>
      <c r="V44" s="8" t="s">
        <v>1713</v>
      </c>
      <c r="W44" s="13" t="s">
        <v>1891</v>
      </c>
      <c r="X44" s="8" t="s">
        <v>1713</v>
      </c>
      <c r="Y44" s="13" t="s">
        <v>1892</v>
      </c>
      <c r="Z44" s="8" t="s">
        <v>1713</v>
      </c>
      <c r="AA44" s="13" t="s">
        <v>1893</v>
      </c>
      <c r="AB44" s="8" t="s">
        <v>1713</v>
      </c>
    </row>
    <row r="45" spans="1:42" ht="22.5" customHeight="1">
      <c r="A45" s="14" t="s">
        <v>741</v>
      </c>
      <c r="B45" s="8" t="str">
        <f t="shared" si="0"/>
        <v>giftcodesbanner/龍魂旅人-bar.jpg</v>
      </c>
      <c r="D45" s="8" t="str">
        <f t="shared" si="1"/>
        <v>https://www.ssbuy.tw/detail_giftcode/dist/giftcodes/龍魂旅人.html</v>
      </c>
      <c r="E45" s="9" t="s">
        <v>2865</v>
      </c>
      <c r="F45" s="10" t="s">
        <v>1710</v>
      </c>
      <c r="G45" s="11" t="s">
        <v>1711</v>
      </c>
      <c r="H45" s="11" t="s">
        <v>1840</v>
      </c>
      <c r="K45" s="12" t="s">
        <v>1894</v>
      </c>
      <c r="L45" s="8" t="s">
        <v>1713</v>
      </c>
      <c r="M45" s="13" t="s">
        <v>1895</v>
      </c>
      <c r="N45" s="8" t="s">
        <v>1713</v>
      </c>
      <c r="O45" s="13" t="s">
        <v>1896</v>
      </c>
      <c r="P45" s="8" t="s">
        <v>1713</v>
      </c>
      <c r="Q45" s="13" t="s">
        <v>1897</v>
      </c>
      <c r="R45" s="8" t="s">
        <v>1713</v>
      </c>
      <c r="S45" s="13" t="s">
        <v>1898</v>
      </c>
      <c r="T45" s="8" t="s">
        <v>1713</v>
      </c>
      <c r="U45" s="13" t="s">
        <v>1899</v>
      </c>
      <c r="V45" s="8" t="s">
        <v>1713</v>
      </c>
      <c r="W45" s="13" t="s">
        <v>1900</v>
      </c>
      <c r="X45" s="8" t="s">
        <v>1713</v>
      </c>
      <c r="Y45" s="13" t="s">
        <v>1901</v>
      </c>
      <c r="Z45" s="8" t="s">
        <v>1713</v>
      </c>
      <c r="AA45" s="13" t="s">
        <v>1902</v>
      </c>
      <c r="AB45" s="8" t="s">
        <v>1713</v>
      </c>
      <c r="AC45" s="13" t="s">
        <v>1903</v>
      </c>
      <c r="AD45" s="8" t="s">
        <v>1713</v>
      </c>
      <c r="AE45" s="13" t="s">
        <v>1904</v>
      </c>
      <c r="AF45" s="8" t="s">
        <v>1713</v>
      </c>
      <c r="AG45" s="13" t="s">
        <v>1905</v>
      </c>
      <c r="AH45" s="8" t="s">
        <v>1713</v>
      </c>
      <c r="AI45" s="13" t="s">
        <v>1906</v>
      </c>
      <c r="AJ45" s="8" t="s">
        <v>1713</v>
      </c>
    </row>
    <row r="46" spans="1:42" ht="22.5" customHeight="1">
      <c r="A46" s="14" t="s">
        <v>749</v>
      </c>
      <c r="B46" s="8" t="str">
        <f t="shared" si="0"/>
        <v>giftcodesbanner/戀與深空-bar.jpg</v>
      </c>
      <c r="D46" s="8" t="str">
        <f t="shared" si="1"/>
        <v>https://www.ssbuy.tw/detail_giftcode/dist/giftcodes/戀與深空.html</v>
      </c>
      <c r="E46" s="9" t="s">
        <v>1907</v>
      </c>
      <c r="F46" s="10" t="s">
        <v>1710</v>
      </c>
      <c r="G46" s="11" t="s">
        <v>1711</v>
      </c>
      <c r="H46" s="11" t="s">
        <v>1840</v>
      </c>
      <c r="K46" s="12" t="s">
        <v>1908</v>
      </c>
      <c r="L46" s="8" t="s">
        <v>1912</v>
      </c>
      <c r="M46" s="13" t="s">
        <v>1909</v>
      </c>
      <c r="N46" s="8" t="s">
        <v>1713</v>
      </c>
      <c r="O46" s="13" t="s">
        <v>1917</v>
      </c>
      <c r="P46" s="8" t="s">
        <v>1713</v>
      </c>
      <c r="Q46" s="13" t="s">
        <v>1914</v>
      </c>
      <c r="R46" s="8" t="s">
        <v>1713</v>
      </c>
      <c r="S46" s="13" t="s">
        <v>1910</v>
      </c>
      <c r="T46" s="8" t="s">
        <v>1713</v>
      </c>
      <c r="U46" s="13" t="s">
        <v>2866</v>
      </c>
      <c r="V46" s="8" t="s">
        <v>1713</v>
      </c>
      <c r="W46" s="13" t="s">
        <v>2867</v>
      </c>
      <c r="X46" s="8" t="s">
        <v>2868</v>
      </c>
      <c r="Y46" s="13" t="s">
        <v>1911</v>
      </c>
      <c r="Z46" s="8" t="s">
        <v>2869</v>
      </c>
      <c r="AA46" s="13" t="s">
        <v>1908</v>
      </c>
      <c r="AB46" s="8" t="s">
        <v>1912</v>
      </c>
      <c r="AC46" s="13" t="s">
        <v>1909</v>
      </c>
      <c r="AD46" s="8" t="s">
        <v>1913</v>
      </c>
      <c r="AE46" s="13" t="s">
        <v>1914</v>
      </c>
      <c r="AF46" s="8" t="s">
        <v>1915</v>
      </c>
      <c r="AG46" s="13" t="s">
        <v>1916</v>
      </c>
      <c r="AH46" s="8" t="s">
        <v>1915</v>
      </c>
      <c r="AI46" s="13" t="s">
        <v>1917</v>
      </c>
      <c r="AJ46" s="8" t="s">
        <v>1915</v>
      </c>
      <c r="AK46" s="13" t="s">
        <v>1918</v>
      </c>
      <c r="AL46" s="8" t="s">
        <v>1915</v>
      </c>
      <c r="AM46" s="13" t="s">
        <v>1919</v>
      </c>
      <c r="AN46" s="8" t="s">
        <v>1920</v>
      </c>
      <c r="AO46" s="13" t="s">
        <v>2870</v>
      </c>
      <c r="AP46" s="8" t="s">
        <v>1920</v>
      </c>
    </row>
    <row r="47" spans="1:42" ht="22.5" customHeight="1">
      <c r="A47" s="14" t="s">
        <v>757</v>
      </c>
      <c r="B47" s="8" t="str">
        <f t="shared" si="0"/>
        <v>giftcodesbanner/靈魂衝擊：無限放置-bar.jpg</v>
      </c>
      <c r="D47" s="8" t="str">
        <f t="shared" si="1"/>
        <v>https://www.ssbuy.tw/detail_giftcode/dist/giftcodes/靈魂衝擊：無限放置.html</v>
      </c>
      <c r="E47" s="9" t="s">
        <v>1921</v>
      </c>
      <c r="F47" s="10" t="s">
        <v>1710</v>
      </c>
      <c r="G47" s="11" t="s">
        <v>1711</v>
      </c>
      <c r="H47" s="11" t="s">
        <v>1840</v>
      </c>
      <c r="K47" s="12" t="s">
        <v>2871</v>
      </c>
      <c r="L47" s="8" t="s">
        <v>1713</v>
      </c>
      <c r="M47" s="13" t="s">
        <v>1922</v>
      </c>
      <c r="N47" s="8" t="s">
        <v>1713</v>
      </c>
      <c r="O47" s="13" t="s">
        <v>1923</v>
      </c>
      <c r="P47" s="8" t="s">
        <v>1713</v>
      </c>
      <c r="Q47" s="13" t="s">
        <v>2872</v>
      </c>
      <c r="R47" s="8" t="s">
        <v>1713</v>
      </c>
      <c r="S47" s="13" t="s">
        <v>1924</v>
      </c>
      <c r="T47" s="8" t="s">
        <v>1713</v>
      </c>
    </row>
    <row r="48" spans="1:42" ht="22.5" customHeight="1">
      <c r="A48" s="14" t="s">
        <v>2873</v>
      </c>
      <c r="B48" s="8" t="str">
        <f t="shared" si="0"/>
        <v>giftcodesbanner/楓葉島-bar.jpg</v>
      </c>
      <c r="D48" s="8" t="str">
        <f t="shared" si="1"/>
        <v>https://www.ssbuy.tw/detail_giftcode/dist/giftcodes/楓葉島.html</v>
      </c>
      <c r="E48" s="9" t="s">
        <v>2874</v>
      </c>
      <c r="F48" s="10" t="s">
        <v>1710</v>
      </c>
      <c r="G48" s="11" t="s">
        <v>1711</v>
      </c>
      <c r="H48" s="11" t="s">
        <v>1840</v>
      </c>
      <c r="K48" s="12" t="s">
        <v>1925</v>
      </c>
      <c r="L48" s="8" t="s">
        <v>1713</v>
      </c>
      <c r="M48" s="13" t="s">
        <v>2875</v>
      </c>
      <c r="N48" s="8" t="s">
        <v>1713</v>
      </c>
      <c r="O48" s="13" t="s">
        <v>1926</v>
      </c>
      <c r="P48" s="8" t="s">
        <v>1713</v>
      </c>
      <c r="Q48" s="13" t="s">
        <v>2876</v>
      </c>
      <c r="R48" s="8" t="s">
        <v>1713</v>
      </c>
      <c r="S48" s="13" t="s">
        <v>2877</v>
      </c>
      <c r="T48" s="8" t="s">
        <v>1713</v>
      </c>
      <c r="U48" s="13" t="s">
        <v>2878</v>
      </c>
      <c r="V48" s="8" t="s">
        <v>1713</v>
      </c>
      <c r="W48" s="13" t="s">
        <v>2879</v>
      </c>
      <c r="X48" s="8" t="s">
        <v>1713</v>
      </c>
      <c r="Y48" s="13" t="s">
        <v>1927</v>
      </c>
      <c r="Z48" s="8" t="s">
        <v>1713</v>
      </c>
      <c r="AA48" s="13" t="s">
        <v>2880</v>
      </c>
      <c r="AB48" s="8" t="s">
        <v>1713</v>
      </c>
      <c r="AC48" s="13" t="s">
        <v>1928</v>
      </c>
      <c r="AD48" s="8" t="s">
        <v>1713</v>
      </c>
    </row>
    <row r="49" spans="1:50" ht="22.5" customHeight="1">
      <c r="A49" s="14" t="s">
        <v>774</v>
      </c>
      <c r="B49" s="8" t="str">
        <f t="shared" si="0"/>
        <v>giftcodesbanner/無名江湖-bar.jpg</v>
      </c>
      <c r="D49" s="8" t="str">
        <f t="shared" si="1"/>
        <v>https://www.ssbuy.tw/detail_giftcode/dist/giftcodes/無名江湖.html</v>
      </c>
      <c r="E49" s="9" t="s">
        <v>1929</v>
      </c>
      <c r="F49" s="10" t="s">
        <v>1710</v>
      </c>
      <c r="G49" s="11" t="s">
        <v>1711</v>
      </c>
      <c r="H49" s="11" t="s">
        <v>1840</v>
      </c>
      <c r="K49" s="12" t="s">
        <v>1930</v>
      </c>
      <c r="L49" s="8" t="s">
        <v>2881</v>
      </c>
      <c r="M49" s="13" t="s">
        <v>1931</v>
      </c>
      <c r="N49" s="8" t="s">
        <v>2882</v>
      </c>
      <c r="O49" s="13" t="s">
        <v>2883</v>
      </c>
      <c r="P49" s="8" t="s">
        <v>2884</v>
      </c>
      <c r="Q49" s="13" t="s">
        <v>2885</v>
      </c>
      <c r="R49" s="8" t="s">
        <v>2882</v>
      </c>
    </row>
    <row r="50" spans="1:50" ht="22.5" customHeight="1">
      <c r="A50" s="14" t="s">
        <v>782</v>
      </c>
      <c r="B50" s="8" t="str">
        <f t="shared" si="0"/>
        <v>giftcodesbanner/萬妖領域-bar.jpg</v>
      </c>
      <c r="D50" s="8" t="str">
        <f t="shared" si="1"/>
        <v>https://www.ssbuy.tw/detail_giftcode/dist/giftcodes/萬妖領域.html</v>
      </c>
      <c r="E50" s="9" t="s">
        <v>2886</v>
      </c>
      <c r="F50" s="10" t="s">
        <v>1710</v>
      </c>
      <c r="G50" s="11" t="s">
        <v>1711</v>
      </c>
      <c r="H50" s="11" t="s">
        <v>1840</v>
      </c>
      <c r="K50" s="12" t="s">
        <v>1932</v>
      </c>
      <c r="L50" s="8" t="s">
        <v>1713</v>
      </c>
      <c r="M50" s="13" t="s">
        <v>2056</v>
      </c>
      <c r="N50" s="8" t="s">
        <v>1713</v>
      </c>
      <c r="O50" s="13" t="s">
        <v>1841</v>
      </c>
      <c r="P50" s="8" t="s">
        <v>1713</v>
      </c>
      <c r="Q50" s="13" t="s">
        <v>1933</v>
      </c>
      <c r="R50" s="8" t="s">
        <v>1713</v>
      </c>
      <c r="S50" s="13" t="s">
        <v>2887</v>
      </c>
      <c r="T50" s="8" t="s">
        <v>1713</v>
      </c>
      <c r="U50" s="13" t="s">
        <v>1934</v>
      </c>
      <c r="V50" s="8" t="s">
        <v>1713</v>
      </c>
      <c r="W50" s="13" t="s">
        <v>2888</v>
      </c>
      <c r="X50" s="8" t="s">
        <v>1713</v>
      </c>
      <c r="Y50" s="13" t="s">
        <v>2889</v>
      </c>
      <c r="Z50" s="8" t="s">
        <v>1713</v>
      </c>
    </row>
    <row r="51" spans="1:50" ht="22.5" customHeight="1">
      <c r="A51" s="14" t="s">
        <v>790</v>
      </c>
      <c r="B51" s="8" t="str">
        <f t="shared" si="0"/>
        <v>giftcodesbanner/一姬當千TD-bar.jpg</v>
      </c>
      <c r="D51" s="8" t="str">
        <f t="shared" si="1"/>
        <v>https://www.ssbuy.tw/detail_giftcode/dist/giftcodes/一姬當千TD.html</v>
      </c>
      <c r="E51" s="9" t="s">
        <v>1935</v>
      </c>
      <c r="F51" s="10" t="s">
        <v>1710</v>
      </c>
      <c r="G51" s="11" t="s">
        <v>1711</v>
      </c>
      <c r="H51" s="11" t="s">
        <v>1840</v>
      </c>
      <c r="K51" s="12" t="s">
        <v>1932</v>
      </c>
      <c r="L51" s="8" t="s">
        <v>1713</v>
      </c>
      <c r="M51" s="13" t="s">
        <v>1841</v>
      </c>
      <c r="N51" s="8" t="s">
        <v>1713</v>
      </c>
      <c r="O51" s="13" t="s">
        <v>1936</v>
      </c>
      <c r="P51" s="8" t="s">
        <v>1713</v>
      </c>
      <c r="Q51" s="13" t="s">
        <v>1937</v>
      </c>
      <c r="R51" s="8" t="s">
        <v>1713</v>
      </c>
    </row>
    <row r="52" spans="1:50" ht="22.5" customHeight="1">
      <c r="A52" s="14" t="s">
        <v>797</v>
      </c>
      <c r="B52" s="8" t="str">
        <f t="shared" si="0"/>
        <v>giftcodesbanner/劍客行-bar.jpg</v>
      </c>
      <c r="D52" s="8" t="str">
        <f t="shared" si="1"/>
        <v>https://www.ssbuy.tw/detail_giftcode/dist/giftcodes/劍客行.html</v>
      </c>
      <c r="E52" s="9" t="s">
        <v>1938</v>
      </c>
      <c r="F52" s="10" t="s">
        <v>1710</v>
      </c>
      <c r="G52" s="11" t="s">
        <v>1711</v>
      </c>
      <c r="H52" s="11" t="s">
        <v>1840</v>
      </c>
      <c r="K52" s="12" t="s">
        <v>1939</v>
      </c>
      <c r="L52" s="8" t="s">
        <v>1940</v>
      </c>
      <c r="M52" s="13" t="s">
        <v>2890</v>
      </c>
      <c r="N52" s="8" t="s">
        <v>1940</v>
      </c>
    </row>
    <row r="53" spans="1:50" ht="22.5" customHeight="1">
      <c r="A53" s="14" t="s">
        <v>806</v>
      </c>
      <c r="B53" s="8" t="str">
        <f t="shared" si="0"/>
        <v>giftcodesbanner/時之樹少女-bar.jpg</v>
      </c>
      <c r="D53" s="8" t="str">
        <f t="shared" si="1"/>
        <v>https://www.ssbuy.tw/detail_giftcode/dist/giftcodes/時之樹少女.html</v>
      </c>
      <c r="E53" s="9" t="s">
        <v>2891</v>
      </c>
      <c r="F53" s="10" t="s">
        <v>1710</v>
      </c>
      <c r="G53" s="11" t="s">
        <v>1711</v>
      </c>
      <c r="H53" s="11" t="s">
        <v>1840</v>
      </c>
      <c r="K53" s="12" t="s">
        <v>2892</v>
      </c>
      <c r="L53" s="8" t="s">
        <v>2893</v>
      </c>
      <c r="M53" s="13" t="s">
        <v>1941</v>
      </c>
      <c r="N53" s="8" t="s">
        <v>1942</v>
      </c>
      <c r="O53" s="13" t="s">
        <v>2894</v>
      </c>
      <c r="P53" s="8" t="s">
        <v>1943</v>
      </c>
      <c r="Q53" s="13" t="s">
        <v>1944</v>
      </c>
      <c r="R53" s="8" t="s">
        <v>1945</v>
      </c>
    </row>
    <row r="54" spans="1:50" ht="22.5" customHeight="1">
      <c r="A54" s="14" t="s">
        <v>2895</v>
      </c>
      <c r="B54" s="8" t="str">
        <f t="shared" si="0"/>
        <v>giftcodesbanner/錨點降臨Re：Code-bar.jpg</v>
      </c>
      <c r="D54" s="8" t="str">
        <f t="shared" si="1"/>
        <v>https://www.ssbuy.tw/detail_giftcode/dist/giftcodes/錨點降臨Re：Code.html</v>
      </c>
      <c r="E54" s="9" t="s">
        <v>1946</v>
      </c>
      <c r="F54" s="10" t="s">
        <v>1710</v>
      </c>
      <c r="G54" s="11" t="s">
        <v>1711</v>
      </c>
      <c r="H54" s="11" t="s">
        <v>1840</v>
      </c>
      <c r="K54" s="18" t="s">
        <v>1947</v>
      </c>
      <c r="L54" s="11" t="s">
        <v>1948</v>
      </c>
      <c r="M54" s="19" t="s">
        <v>1949</v>
      </c>
      <c r="N54" s="11" t="s">
        <v>1950</v>
      </c>
      <c r="O54" s="19" t="s">
        <v>1951</v>
      </c>
      <c r="P54" s="11" t="s">
        <v>1948</v>
      </c>
      <c r="Q54" s="19" t="s">
        <v>1952</v>
      </c>
      <c r="R54" s="11" t="s">
        <v>1948</v>
      </c>
      <c r="S54" s="19" t="s">
        <v>1953</v>
      </c>
      <c r="T54" s="11" t="s">
        <v>1954</v>
      </c>
      <c r="U54" s="19" t="s">
        <v>1955</v>
      </c>
      <c r="V54" s="11" t="s">
        <v>1956</v>
      </c>
      <c r="W54" s="19" t="s">
        <v>1957</v>
      </c>
      <c r="X54" s="11" t="s">
        <v>1948</v>
      </c>
      <c r="Y54" s="19" t="s">
        <v>1958</v>
      </c>
      <c r="Z54" s="11" t="s">
        <v>1948</v>
      </c>
      <c r="AA54" s="19" t="s">
        <v>1959</v>
      </c>
      <c r="AB54" s="11" t="s">
        <v>1954</v>
      </c>
      <c r="AC54" s="19" t="s">
        <v>1960</v>
      </c>
      <c r="AD54" s="11" t="s">
        <v>1961</v>
      </c>
      <c r="AE54" s="19" t="s">
        <v>1962</v>
      </c>
      <c r="AF54" s="11" t="s">
        <v>1961</v>
      </c>
      <c r="AG54" s="19" t="s">
        <v>1963</v>
      </c>
      <c r="AH54" s="11" t="s">
        <v>1961</v>
      </c>
      <c r="AI54" s="19" t="s">
        <v>1964</v>
      </c>
      <c r="AJ54" s="11" t="s">
        <v>1961</v>
      </c>
      <c r="AK54" s="19" t="s">
        <v>1965</v>
      </c>
      <c r="AL54" s="11" t="s">
        <v>1961</v>
      </c>
      <c r="AM54" s="19" t="s">
        <v>1966</v>
      </c>
      <c r="AN54" s="11" t="s">
        <v>1961</v>
      </c>
      <c r="AO54" s="19" t="s">
        <v>1967</v>
      </c>
      <c r="AP54" s="11" t="s">
        <v>1961</v>
      </c>
      <c r="AQ54" s="19" t="s">
        <v>1968</v>
      </c>
      <c r="AR54" s="11" t="s">
        <v>1961</v>
      </c>
      <c r="AS54" s="19" t="s">
        <v>1969</v>
      </c>
      <c r="AT54" s="11" t="s">
        <v>1961</v>
      </c>
    </row>
    <row r="55" spans="1:50" ht="22.5" customHeight="1">
      <c r="A55" s="14" t="s">
        <v>2896</v>
      </c>
      <c r="B55" s="8" t="str">
        <f t="shared" si="0"/>
        <v>giftcodesbanner/神契氣靈師-bar.jpg</v>
      </c>
      <c r="D55" s="8" t="str">
        <f t="shared" si="1"/>
        <v>https://www.ssbuy.tw/detail_giftcode/dist/giftcodes/神契氣靈師.html</v>
      </c>
      <c r="E55" s="9" t="s">
        <v>1970</v>
      </c>
      <c r="F55" s="10" t="s">
        <v>1710</v>
      </c>
      <c r="G55" s="11" t="s">
        <v>1711</v>
      </c>
      <c r="H55" s="11" t="s">
        <v>1840</v>
      </c>
      <c r="K55" s="18" t="s">
        <v>1782</v>
      </c>
      <c r="L55" s="11" t="s">
        <v>1971</v>
      </c>
      <c r="M55" s="19" t="s">
        <v>1714</v>
      </c>
      <c r="N55" s="11" t="s">
        <v>1972</v>
      </c>
      <c r="O55" s="19" t="s">
        <v>1715</v>
      </c>
      <c r="P55" s="11" t="s">
        <v>1973</v>
      </c>
      <c r="Q55" s="19" t="s">
        <v>1783</v>
      </c>
      <c r="R55" s="11" t="s">
        <v>1974</v>
      </c>
      <c r="S55" s="19" t="s">
        <v>1784</v>
      </c>
      <c r="T55" s="11" t="s">
        <v>1975</v>
      </c>
      <c r="U55" s="19" t="s">
        <v>1785</v>
      </c>
      <c r="V55" s="11" t="s">
        <v>1976</v>
      </c>
      <c r="W55" s="19" t="s">
        <v>1977</v>
      </c>
      <c r="X55" s="11" t="s">
        <v>1976</v>
      </c>
      <c r="Y55" s="19" t="s">
        <v>1978</v>
      </c>
      <c r="Z55" s="11" t="s">
        <v>1979</v>
      </c>
      <c r="AA55" s="19" t="s">
        <v>1980</v>
      </c>
      <c r="AB55" s="11" t="s">
        <v>1981</v>
      </c>
      <c r="AC55" s="19" t="s">
        <v>1982</v>
      </c>
      <c r="AD55" s="11" t="s">
        <v>1983</v>
      </c>
      <c r="AE55" s="19" t="s">
        <v>1984</v>
      </c>
      <c r="AF55" s="11" t="s">
        <v>1985</v>
      </c>
      <c r="AG55" s="19" t="s">
        <v>1986</v>
      </c>
      <c r="AH55" s="11" t="s">
        <v>1987</v>
      </c>
      <c r="AI55" s="19" t="s">
        <v>1988</v>
      </c>
      <c r="AJ55" s="11" t="s">
        <v>1989</v>
      </c>
      <c r="AK55" s="19" t="s">
        <v>1990</v>
      </c>
      <c r="AL55" s="11" t="s">
        <v>1991</v>
      </c>
      <c r="AM55" s="19" t="s">
        <v>1992</v>
      </c>
      <c r="AN55" s="11" t="s">
        <v>1993</v>
      </c>
      <c r="AO55" s="19" t="s">
        <v>1994</v>
      </c>
      <c r="AP55" s="11" t="s">
        <v>1995</v>
      </c>
    </row>
    <row r="56" spans="1:50" ht="22.5" customHeight="1">
      <c r="A56" s="14" t="s">
        <v>2897</v>
      </c>
      <c r="B56" s="8" t="str">
        <f t="shared" si="0"/>
        <v>giftcodesbanner/不休旅途：繪卷世界-bar.jpg</v>
      </c>
      <c r="D56" s="8" t="str">
        <f t="shared" si="1"/>
        <v>https://www.ssbuy.tw/detail_giftcode/dist/giftcodes/不休旅途：繪卷世界.html</v>
      </c>
      <c r="E56" s="9" t="s">
        <v>1996</v>
      </c>
      <c r="F56" s="10" t="s">
        <v>1710</v>
      </c>
      <c r="G56" s="11" t="s">
        <v>1711</v>
      </c>
      <c r="H56" s="11" t="s">
        <v>1840</v>
      </c>
      <c r="K56" s="18" t="s">
        <v>1997</v>
      </c>
      <c r="L56" s="11" t="s">
        <v>1998</v>
      </c>
      <c r="M56" s="21" t="s">
        <v>1999</v>
      </c>
      <c r="N56" s="7"/>
      <c r="O56" s="13" t="s">
        <v>2898</v>
      </c>
      <c r="P56" s="7"/>
      <c r="Q56" s="13" t="s">
        <v>2000</v>
      </c>
      <c r="R56" s="8" t="s">
        <v>1713</v>
      </c>
      <c r="S56" s="19" t="s">
        <v>2001</v>
      </c>
      <c r="T56" s="11" t="s">
        <v>2002</v>
      </c>
      <c r="U56" s="19" t="s">
        <v>2003</v>
      </c>
      <c r="V56" s="11" t="s">
        <v>2004</v>
      </c>
      <c r="W56" s="19" t="s">
        <v>2005</v>
      </c>
      <c r="X56" s="11" t="s">
        <v>2004</v>
      </c>
      <c r="Y56" s="19" t="s">
        <v>2006</v>
      </c>
      <c r="Z56" s="11" t="s">
        <v>2004</v>
      </c>
      <c r="AA56" s="19" t="s">
        <v>2007</v>
      </c>
      <c r="AB56" s="11" t="s">
        <v>2008</v>
      </c>
      <c r="AC56" s="19" t="s">
        <v>2009</v>
      </c>
      <c r="AD56" s="11" t="s">
        <v>2004</v>
      </c>
    </row>
    <row r="57" spans="1:50" ht="22.5" customHeight="1">
      <c r="A57" s="14" t="s">
        <v>2010</v>
      </c>
      <c r="B57" s="8" t="str">
        <f t="shared" si="0"/>
        <v>giftcodesbanner/別破防鴨-bar.jpg</v>
      </c>
      <c r="D57" s="8" t="str">
        <f t="shared" si="1"/>
        <v>https://www.ssbuy.tw/detail_giftcode/dist/giftcodes/別破防鴨.html</v>
      </c>
      <c r="E57" s="17" t="s">
        <v>2011</v>
      </c>
      <c r="F57" s="10" t="s">
        <v>1710</v>
      </c>
      <c r="G57" s="11" t="s">
        <v>1711</v>
      </c>
      <c r="H57" s="11" t="s">
        <v>1840</v>
      </c>
      <c r="K57" s="18" t="s">
        <v>2012</v>
      </c>
      <c r="L57" s="11" t="s">
        <v>2013</v>
      </c>
      <c r="M57" s="21" t="s">
        <v>2014</v>
      </c>
      <c r="N57" s="22" t="s">
        <v>2015</v>
      </c>
      <c r="O57" s="23" t="s">
        <v>2016</v>
      </c>
      <c r="P57" s="22" t="s">
        <v>2013</v>
      </c>
      <c r="Q57" s="23" t="s">
        <v>2017</v>
      </c>
      <c r="R57" s="22" t="s">
        <v>2013</v>
      </c>
      <c r="S57" s="23" t="s">
        <v>2018</v>
      </c>
      <c r="T57" s="22" t="s">
        <v>2019</v>
      </c>
      <c r="U57" s="23" t="s">
        <v>2020</v>
      </c>
      <c r="V57" s="22" t="s">
        <v>2021</v>
      </c>
      <c r="W57" s="23" t="s">
        <v>2022</v>
      </c>
      <c r="X57" s="22" t="s">
        <v>2023</v>
      </c>
      <c r="Y57" s="23" t="s">
        <v>2024</v>
      </c>
      <c r="Z57" s="22" t="s">
        <v>2025</v>
      </c>
      <c r="AA57" s="23" t="s">
        <v>2026</v>
      </c>
      <c r="AB57" s="22" t="s">
        <v>2025</v>
      </c>
      <c r="AC57" s="23" t="s">
        <v>2027</v>
      </c>
      <c r="AD57" s="22" t="s">
        <v>2025</v>
      </c>
      <c r="AE57" s="23" t="s">
        <v>2028</v>
      </c>
      <c r="AF57" s="22" t="s">
        <v>2021</v>
      </c>
      <c r="AG57" s="23" t="s">
        <v>2029</v>
      </c>
      <c r="AH57" s="22" t="s">
        <v>2023</v>
      </c>
    </row>
    <row r="58" spans="1:50" ht="22.5" customHeight="1">
      <c r="A58" s="14" t="s">
        <v>846</v>
      </c>
      <c r="B58" s="8" t="str">
        <f t="shared" si="0"/>
        <v>giftcodesbanner/超派救星幫幫忙-bar.jpg</v>
      </c>
      <c r="D58" s="8" t="str">
        <f t="shared" si="1"/>
        <v>https://www.ssbuy.tw/detail_giftcode/dist/giftcodes/超派救星幫幫忙.html</v>
      </c>
      <c r="E58" s="9" t="s">
        <v>2030</v>
      </c>
      <c r="F58" s="10" t="s">
        <v>1710</v>
      </c>
      <c r="G58" s="11" t="s">
        <v>1711</v>
      </c>
      <c r="H58" s="11" t="s">
        <v>1840</v>
      </c>
      <c r="K58" s="24" t="s">
        <v>1782</v>
      </c>
      <c r="L58" s="22" t="s">
        <v>2031</v>
      </c>
      <c r="M58" s="23" t="s">
        <v>1714</v>
      </c>
      <c r="N58" s="22" t="s">
        <v>2031</v>
      </c>
      <c r="O58" s="23" t="s">
        <v>1715</v>
      </c>
      <c r="P58" s="22" t="s">
        <v>2031</v>
      </c>
    </row>
    <row r="59" spans="1:50" ht="22.5" customHeight="1">
      <c r="A59" s="14" t="s">
        <v>857</v>
      </c>
      <c r="B59" s="8" t="str">
        <f t="shared" si="0"/>
        <v>giftcodesbanner/時光大爆炸-bar.jpg</v>
      </c>
      <c r="D59" s="8" t="str">
        <f t="shared" si="1"/>
        <v>https://www.ssbuy.tw/detail_giftcode/dist/giftcodes/時光大爆炸.html</v>
      </c>
      <c r="E59" s="9" t="s">
        <v>2899</v>
      </c>
      <c r="F59" s="10" t="s">
        <v>1710</v>
      </c>
      <c r="G59" s="11" t="s">
        <v>1711</v>
      </c>
      <c r="H59" s="11" t="s">
        <v>1840</v>
      </c>
      <c r="K59" s="12" t="s">
        <v>2032</v>
      </c>
      <c r="L59" s="8" t="s">
        <v>1713</v>
      </c>
      <c r="M59" s="13" t="s">
        <v>2033</v>
      </c>
      <c r="N59" s="8" t="s">
        <v>1713</v>
      </c>
      <c r="O59" s="13" t="s">
        <v>2034</v>
      </c>
      <c r="P59" s="8" t="s">
        <v>1713</v>
      </c>
      <c r="Q59" s="13" t="s">
        <v>2035</v>
      </c>
      <c r="R59" s="8" t="s">
        <v>1713</v>
      </c>
      <c r="S59" s="13" t="s">
        <v>2036</v>
      </c>
      <c r="T59" s="8" t="s">
        <v>1713</v>
      </c>
      <c r="U59" s="13" t="s">
        <v>2037</v>
      </c>
      <c r="V59" s="8" t="s">
        <v>1713</v>
      </c>
      <c r="W59" s="13" t="s">
        <v>2038</v>
      </c>
      <c r="X59" s="8" t="s">
        <v>1713</v>
      </c>
      <c r="Y59" s="13" t="s">
        <v>2039</v>
      </c>
      <c r="Z59" s="8" t="s">
        <v>1713</v>
      </c>
      <c r="AA59" s="13" t="s">
        <v>2040</v>
      </c>
      <c r="AB59" s="8" t="s">
        <v>1713</v>
      </c>
    </row>
    <row r="60" spans="1:50" ht="22.5" customHeight="1">
      <c r="A60" s="14" t="s">
        <v>866</v>
      </c>
      <c r="B60" s="8" t="str">
        <f t="shared" si="0"/>
        <v>giftcodesbanner/深淵：不滅者-bar.jpg</v>
      </c>
      <c r="D60" s="8" t="str">
        <f t="shared" si="1"/>
        <v>https://www.ssbuy.tw/detail_giftcode/dist/giftcodes/深淵：不滅者.html</v>
      </c>
      <c r="E60" s="9" t="s">
        <v>2900</v>
      </c>
      <c r="F60" s="10" t="s">
        <v>1710</v>
      </c>
      <c r="G60" s="11" t="s">
        <v>1711</v>
      </c>
      <c r="H60" s="11" t="s">
        <v>1840</v>
      </c>
      <c r="K60" s="18" t="s">
        <v>2041</v>
      </c>
      <c r="L60" s="11" t="s">
        <v>2042</v>
      </c>
      <c r="M60" s="19" t="s">
        <v>2043</v>
      </c>
      <c r="N60" s="11" t="s">
        <v>2044</v>
      </c>
      <c r="O60" s="19" t="s">
        <v>2045</v>
      </c>
      <c r="P60" s="11" t="s">
        <v>2046</v>
      </c>
      <c r="Q60" s="19" t="s">
        <v>2047</v>
      </c>
      <c r="R60" s="11" t="s">
        <v>2048</v>
      </c>
      <c r="S60" s="19" t="s">
        <v>1819</v>
      </c>
      <c r="T60" s="11" t="s">
        <v>2049</v>
      </c>
      <c r="U60" s="19" t="s">
        <v>1782</v>
      </c>
      <c r="V60" s="11" t="s">
        <v>2049</v>
      </c>
      <c r="W60" s="19" t="s">
        <v>1714</v>
      </c>
      <c r="X60" s="11" t="s">
        <v>2050</v>
      </c>
      <c r="Y60" s="19" t="s">
        <v>1715</v>
      </c>
      <c r="Z60" s="11" t="s">
        <v>2050</v>
      </c>
      <c r="AA60" s="19" t="s">
        <v>1820</v>
      </c>
      <c r="AB60" s="11" t="s">
        <v>2050</v>
      </c>
      <c r="AC60" s="19" t="s">
        <v>1783</v>
      </c>
      <c r="AD60" s="11" t="s">
        <v>2050</v>
      </c>
      <c r="AE60" s="19" t="s">
        <v>1784</v>
      </c>
      <c r="AF60" s="11" t="s">
        <v>2050</v>
      </c>
      <c r="AG60" s="19" t="s">
        <v>1785</v>
      </c>
      <c r="AH60" s="11" t="s">
        <v>2050</v>
      </c>
      <c r="AI60" s="19" t="s">
        <v>2051</v>
      </c>
      <c r="AJ60" s="11" t="s">
        <v>2050</v>
      </c>
    </row>
    <row r="61" spans="1:50" ht="22.5" customHeight="1">
      <c r="A61" s="14" t="s">
        <v>2</v>
      </c>
      <c r="B61" s="8" t="str">
        <f t="shared" si="0"/>
        <v>giftcodesbanner/Last War-bar.jpg</v>
      </c>
      <c r="D61" s="8" t="str">
        <f t="shared" si="1"/>
        <v>https://www.ssbuy.tw/detail_giftcode/dist/giftcodes/Last War.html</v>
      </c>
      <c r="E61" s="9" t="s">
        <v>2901</v>
      </c>
      <c r="F61" s="10" t="s">
        <v>1710</v>
      </c>
      <c r="G61" s="11" t="s">
        <v>1711</v>
      </c>
      <c r="H61" s="11" t="s">
        <v>1840</v>
      </c>
      <c r="K61" s="12" t="s">
        <v>2052</v>
      </c>
      <c r="L61" s="8" t="s">
        <v>1920</v>
      </c>
    </row>
    <row r="62" spans="1:50" ht="22.5" customHeight="1">
      <c r="A62" s="14" t="s">
        <v>883</v>
      </c>
      <c r="B62" s="8" t="str">
        <f t="shared" si="0"/>
        <v>giftcodesbanner/勇士不要停-bar.jpg</v>
      </c>
      <c r="D62" s="8" t="str">
        <f t="shared" si="1"/>
        <v>https://www.ssbuy.tw/detail_giftcode/dist/giftcodes/勇士不要停.html</v>
      </c>
      <c r="E62" s="9" t="s">
        <v>2053</v>
      </c>
      <c r="F62" s="10" t="s">
        <v>1710</v>
      </c>
      <c r="G62" s="11" t="s">
        <v>1711</v>
      </c>
      <c r="H62" s="11" t="s">
        <v>1840</v>
      </c>
      <c r="K62" s="12" t="s">
        <v>2054</v>
      </c>
      <c r="L62" s="8" t="s">
        <v>1920</v>
      </c>
      <c r="M62" s="13" t="s">
        <v>2902</v>
      </c>
      <c r="N62" s="8" t="s">
        <v>1920</v>
      </c>
      <c r="O62" s="13" t="s">
        <v>2903</v>
      </c>
      <c r="P62" s="8" t="s">
        <v>1920</v>
      </c>
      <c r="Q62" s="13" t="s">
        <v>2055</v>
      </c>
      <c r="R62" s="8" t="s">
        <v>1920</v>
      </c>
      <c r="S62" s="13" t="s">
        <v>2904</v>
      </c>
      <c r="T62" s="8" t="s">
        <v>1920</v>
      </c>
      <c r="U62" s="13" t="s">
        <v>2905</v>
      </c>
      <c r="V62" s="8" t="s">
        <v>1920</v>
      </c>
      <c r="W62" s="13" t="s">
        <v>2906</v>
      </c>
      <c r="X62" s="8" t="s">
        <v>1920</v>
      </c>
      <c r="Y62" s="13" t="s">
        <v>1932</v>
      </c>
      <c r="Z62" s="8" t="s">
        <v>1920</v>
      </c>
      <c r="AA62" s="13" t="s">
        <v>2056</v>
      </c>
      <c r="AB62" s="8" t="s">
        <v>1920</v>
      </c>
      <c r="AC62" s="13" t="s">
        <v>1841</v>
      </c>
      <c r="AD62" s="8" t="s">
        <v>1920</v>
      </c>
      <c r="AE62" s="13" t="s">
        <v>2422</v>
      </c>
      <c r="AF62" s="8" t="s">
        <v>1920</v>
      </c>
      <c r="AG62" s="13" t="s">
        <v>2907</v>
      </c>
      <c r="AH62" s="8" t="s">
        <v>1920</v>
      </c>
      <c r="AI62" s="13" t="s">
        <v>2057</v>
      </c>
      <c r="AJ62" s="8" t="s">
        <v>1920</v>
      </c>
      <c r="AK62" s="13" t="s">
        <v>2908</v>
      </c>
      <c r="AL62" s="8" t="s">
        <v>1920</v>
      </c>
      <c r="AM62" s="13" t="s">
        <v>2909</v>
      </c>
      <c r="AN62" s="8" t="s">
        <v>1920</v>
      </c>
    </row>
    <row r="63" spans="1:50" ht="22.5" customHeight="1">
      <c r="A63" s="14" t="s">
        <v>890</v>
      </c>
      <c r="B63" s="8" t="str">
        <f t="shared" si="0"/>
        <v>giftcodesbanner/元氣火柴人-bar.jpg</v>
      </c>
      <c r="D63" s="8" t="str">
        <f t="shared" si="1"/>
        <v>https://www.ssbuy.tw/detail_giftcode/dist/giftcodes/元氣火柴人.html</v>
      </c>
      <c r="E63" s="17" t="s">
        <v>2910</v>
      </c>
      <c r="F63" s="10" t="s">
        <v>1710</v>
      </c>
      <c r="G63" s="11" t="s">
        <v>1711</v>
      </c>
      <c r="H63" s="11" t="s">
        <v>1840</v>
      </c>
      <c r="K63" s="12" t="s">
        <v>1932</v>
      </c>
      <c r="L63" s="8" t="s">
        <v>1920</v>
      </c>
      <c r="M63" s="13" t="s">
        <v>2056</v>
      </c>
      <c r="N63" s="8" t="s">
        <v>1920</v>
      </c>
      <c r="O63" s="13" t="s">
        <v>1841</v>
      </c>
      <c r="P63" s="8" t="s">
        <v>1920</v>
      </c>
      <c r="Q63" s="13" t="s">
        <v>1933</v>
      </c>
      <c r="R63" s="8" t="s">
        <v>1920</v>
      </c>
      <c r="S63" s="13" t="s">
        <v>2911</v>
      </c>
      <c r="T63" s="8" t="s">
        <v>1920</v>
      </c>
      <c r="U63" s="13" t="s">
        <v>2912</v>
      </c>
      <c r="V63" s="8" t="s">
        <v>1920</v>
      </c>
      <c r="W63" s="13" t="s">
        <v>2913</v>
      </c>
      <c r="X63" s="8" t="s">
        <v>1920</v>
      </c>
      <c r="Y63" s="13" t="s">
        <v>2058</v>
      </c>
      <c r="Z63" s="8" t="s">
        <v>1920</v>
      </c>
      <c r="AA63" s="13" t="s">
        <v>2914</v>
      </c>
      <c r="AB63" s="8" t="s">
        <v>1920</v>
      </c>
      <c r="AC63" s="13" t="s">
        <v>2915</v>
      </c>
      <c r="AD63" s="8" t="s">
        <v>1920</v>
      </c>
      <c r="AE63" s="13" t="s">
        <v>2059</v>
      </c>
      <c r="AF63" s="8" t="s">
        <v>1920</v>
      </c>
      <c r="AG63" s="13" t="s">
        <v>2907</v>
      </c>
      <c r="AH63" s="8" t="s">
        <v>1920</v>
      </c>
      <c r="AI63" s="13" t="s">
        <v>2908</v>
      </c>
      <c r="AJ63" s="8" t="s">
        <v>1920</v>
      </c>
      <c r="AK63" s="13" t="s">
        <v>2060</v>
      </c>
      <c r="AL63" s="8" t="s">
        <v>1920</v>
      </c>
      <c r="AM63" s="13" t="s">
        <v>2061</v>
      </c>
      <c r="AN63" s="8" t="s">
        <v>1920</v>
      </c>
      <c r="AO63" s="13" t="s">
        <v>2062</v>
      </c>
      <c r="AP63" s="8" t="s">
        <v>1920</v>
      </c>
      <c r="AQ63" s="13" t="s">
        <v>2063</v>
      </c>
      <c r="AR63" s="8" t="s">
        <v>1920</v>
      </c>
      <c r="AS63" s="13" t="s">
        <v>2064</v>
      </c>
      <c r="AT63" s="8" t="s">
        <v>1920</v>
      </c>
      <c r="AU63" s="13" t="s">
        <v>2065</v>
      </c>
      <c r="AV63" s="8" t="s">
        <v>1920</v>
      </c>
      <c r="AW63" s="13" t="s">
        <v>2066</v>
      </c>
      <c r="AX63" s="8" t="s">
        <v>1920</v>
      </c>
    </row>
    <row r="64" spans="1:50" ht="22.5" customHeight="1">
      <c r="A64" s="14" t="s">
        <v>899</v>
      </c>
      <c r="B64" s="8" t="str">
        <f t="shared" si="0"/>
        <v>giftcodesbanner/深淵之影-bar.jpg</v>
      </c>
      <c r="D64" s="8" t="str">
        <f t="shared" si="1"/>
        <v>https://www.ssbuy.tw/detail_giftcode/dist/giftcodes/深淵之影.html</v>
      </c>
      <c r="E64" s="9" t="s">
        <v>2916</v>
      </c>
      <c r="F64" s="10" t="s">
        <v>1710</v>
      </c>
      <c r="G64" s="11" t="s">
        <v>1711</v>
      </c>
      <c r="H64" s="11" t="s">
        <v>1840</v>
      </c>
      <c r="K64" s="12" t="s">
        <v>2917</v>
      </c>
      <c r="L64" s="8" t="s">
        <v>2918</v>
      </c>
      <c r="M64" s="13" t="s">
        <v>2919</v>
      </c>
      <c r="N64" s="8" t="s">
        <v>1920</v>
      </c>
    </row>
    <row r="65" spans="1:46" ht="22.5" customHeight="1">
      <c r="A65" s="14" t="s">
        <v>904</v>
      </c>
      <c r="B65" s="8" t="str">
        <f t="shared" si="0"/>
        <v>giftcodesbanner/玩星派對-bar.jpg</v>
      </c>
      <c r="D65" s="8" t="str">
        <f t="shared" si="1"/>
        <v>https://www.ssbuy.tw/detail_giftcode/dist/giftcodes/玩星派對.html</v>
      </c>
      <c r="E65" s="9" t="s">
        <v>2067</v>
      </c>
      <c r="F65" s="10" t="s">
        <v>1710</v>
      </c>
      <c r="G65" s="11" t="s">
        <v>1711</v>
      </c>
      <c r="H65" s="11" t="s">
        <v>1840</v>
      </c>
      <c r="K65" s="12" t="s">
        <v>2068</v>
      </c>
      <c r="L65" s="8" t="s">
        <v>1920</v>
      </c>
      <c r="M65" s="13" t="s">
        <v>2069</v>
      </c>
      <c r="N65" s="8" t="s">
        <v>1920</v>
      </c>
      <c r="O65" s="13" t="s">
        <v>2920</v>
      </c>
      <c r="P65" s="8" t="s">
        <v>1920</v>
      </c>
      <c r="Q65" s="13" t="s">
        <v>2070</v>
      </c>
      <c r="R65" s="8" t="s">
        <v>1920</v>
      </c>
      <c r="S65" s="13" t="s">
        <v>2921</v>
      </c>
      <c r="T65" s="8" t="s">
        <v>1920</v>
      </c>
      <c r="U65" s="13" t="s">
        <v>2071</v>
      </c>
      <c r="V65" s="8" t="s">
        <v>1920</v>
      </c>
    </row>
    <row r="66" spans="1:46" ht="22.5" customHeight="1">
      <c r="A66" s="14" t="s">
        <v>2072</v>
      </c>
      <c r="B66" s="8" t="str">
        <f t="shared" si="0"/>
        <v>giftcodesbanner/進化吧!我的人生-bar.jpg</v>
      </c>
      <c r="D66" s="8" t="str">
        <f t="shared" si="1"/>
        <v>https://www.ssbuy.tw/detail_giftcode/dist/giftcodes/進化吧!我的人生.html</v>
      </c>
      <c r="E66" s="9" t="s">
        <v>2073</v>
      </c>
      <c r="F66" s="10" t="s">
        <v>1710</v>
      </c>
      <c r="G66" s="11" t="s">
        <v>1711</v>
      </c>
      <c r="H66" s="11" t="s">
        <v>1840</v>
      </c>
      <c r="K66" s="12" t="s">
        <v>2074</v>
      </c>
      <c r="L66" s="8" t="s">
        <v>2075</v>
      </c>
      <c r="M66" s="13" t="s">
        <v>2922</v>
      </c>
      <c r="N66" s="8" t="s">
        <v>2076</v>
      </c>
      <c r="O66" s="13" t="s">
        <v>2077</v>
      </c>
      <c r="P66" s="8" t="s">
        <v>2078</v>
      </c>
      <c r="Q66" s="13" t="s">
        <v>2923</v>
      </c>
      <c r="R66" s="8" t="s">
        <v>2924</v>
      </c>
      <c r="S66" s="13" t="s">
        <v>2079</v>
      </c>
      <c r="T66" s="8" t="s">
        <v>2925</v>
      </c>
      <c r="U66" s="13" t="s">
        <v>1932</v>
      </c>
      <c r="V66" s="8" t="s">
        <v>1920</v>
      </c>
    </row>
    <row r="67" spans="1:46" ht="22.5" customHeight="1">
      <c r="A67" s="14" t="s">
        <v>920</v>
      </c>
      <c r="B67" s="8" t="str">
        <f t="shared" ref="B67:B125" si="2">"giftcodesbanner/" &amp; A67 &amp; "-bar.jpg"</f>
        <v>giftcodesbanner/星之夢幻島-bar.jpg</v>
      </c>
      <c r="D67" s="8" t="str">
        <f t="shared" ref="D67:D130" si="3">IF(A67="","", "https://www.ssbuy.tw/detail_giftcode/dist/giftcodes/" &amp; IF(ISNUMBER(LEFT(A67,1)*1), "game-", "") &amp; A67 &amp; ".html")</f>
        <v>https://www.ssbuy.tw/detail_giftcode/dist/giftcodes/星之夢幻島.html</v>
      </c>
      <c r="E67" s="9" t="s">
        <v>2080</v>
      </c>
      <c r="F67" s="10" t="s">
        <v>1710</v>
      </c>
      <c r="G67" s="11" t="s">
        <v>1711</v>
      </c>
      <c r="H67" s="11" t="s">
        <v>1840</v>
      </c>
      <c r="K67" s="12" t="s">
        <v>2081</v>
      </c>
      <c r="L67" s="8" t="s">
        <v>1920</v>
      </c>
      <c r="M67" s="13" t="s">
        <v>2082</v>
      </c>
      <c r="N67" s="8" t="s">
        <v>1920</v>
      </c>
      <c r="O67" s="13" t="s">
        <v>2083</v>
      </c>
      <c r="P67" s="8" t="s">
        <v>1920</v>
      </c>
      <c r="Q67" s="13" t="s">
        <v>2084</v>
      </c>
      <c r="R67" s="8" t="s">
        <v>1920</v>
      </c>
      <c r="S67" s="13" t="s">
        <v>2085</v>
      </c>
      <c r="T67" s="8" t="s">
        <v>1920</v>
      </c>
      <c r="U67" s="13" t="s">
        <v>2086</v>
      </c>
      <c r="V67" s="8" t="s">
        <v>1920</v>
      </c>
      <c r="W67" s="13" t="s">
        <v>2087</v>
      </c>
      <c r="X67" s="8" t="s">
        <v>1920</v>
      </c>
    </row>
    <row r="68" spans="1:46" ht="22.5" customHeight="1">
      <c r="A68" s="14" t="s">
        <v>2088</v>
      </c>
      <c r="B68" s="8" t="str">
        <f t="shared" si="2"/>
        <v>giftcodesbanner/小冰冰傳奇：回到最初-bar.jpg</v>
      </c>
      <c r="D68" s="8" t="str">
        <f t="shared" si="3"/>
        <v>https://www.ssbuy.tw/detail_giftcode/dist/giftcodes/小冰冰傳奇：回到最初.html</v>
      </c>
      <c r="E68" s="9" t="s">
        <v>2089</v>
      </c>
      <c r="F68" s="10" t="s">
        <v>1710</v>
      </c>
      <c r="G68" s="11" t="s">
        <v>1711</v>
      </c>
      <c r="H68" s="11" t="s">
        <v>1840</v>
      </c>
      <c r="K68" s="12" t="s">
        <v>2090</v>
      </c>
      <c r="L68" s="8" t="s">
        <v>1920</v>
      </c>
      <c r="M68" s="13" t="s">
        <v>2091</v>
      </c>
      <c r="N68" s="8" t="s">
        <v>1920</v>
      </c>
      <c r="O68" s="13" t="s">
        <v>2092</v>
      </c>
      <c r="P68" s="8" t="s">
        <v>1920</v>
      </c>
      <c r="Q68" s="13" t="s">
        <v>2926</v>
      </c>
      <c r="R68" s="8" t="s">
        <v>1920</v>
      </c>
      <c r="S68" s="13" t="s">
        <v>2927</v>
      </c>
      <c r="T68" s="8" t="s">
        <v>1920</v>
      </c>
      <c r="U68" s="13" t="s">
        <v>1932</v>
      </c>
      <c r="V68" s="8" t="s">
        <v>1920</v>
      </c>
      <c r="W68" s="13" t="s">
        <v>2056</v>
      </c>
      <c r="X68" s="8" t="s">
        <v>1920</v>
      </c>
      <c r="Y68" s="13" t="s">
        <v>1841</v>
      </c>
      <c r="Z68" s="8" t="s">
        <v>1920</v>
      </c>
      <c r="AA68" s="13" t="s">
        <v>2928</v>
      </c>
      <c r="AB68" s="8" t="s">
        <v>1920</v>
      </c>
    </row>
    <row r="69" spans="1:46" ht="22.5" customHeight="1">
      <c r="A69" s="14" t="s">
        <v>936</v>
      </c>
      <c r="B69" s="8" t="str">
        <f t="shared" si="2"/>
        <v>giftcodesbanner/江湖風雲傳-bar.jpg</v>
      </c>
      <c r="D69" s="8" t="str">
        <f t="shared" si="3"/>
        <v>https://www.ssbuy.tw/detail_giftcode/dist/giftcodes/江湖風雲傳.html</v>
      </c>
      <c r="E69" s="9" t="s">
        <v>2929</v>
      </c>
      <c r="F69" s="10" t="s">
        <v>1710</v>
      </c>
      <c r="G69" s="11" t="s">
        <v>1711</v>
      </c>
      <c r="H69" s="11" t="s">
        <v>1840</v>
      </c>
      <c r="K69" s="12" t="s">
        <v>2093</v>
      </c>
      <c r="L69" s="8" t="s">
        <v>2094</v>
      </c>
      <c r="M69" s="13" t="s">
        <v>2095</v>
      </c>
      <c r="N69" s="8" t="s">
        <v>2096</v>
      </c>
      <c r="O69" s="13" t="s">
        <v>2097</v>
      </c>
      <c r="P69" s="8" t="s">
        <v>2098</v>
      </c>
    </row>
    <row r="70" spans="1:46" ht="22.5" customHeight="1">
      <c r="A70" s="14" t="s">
        <v>2099</v>
      </c>
      <c r="B70" s="8" t="str">
        <f t="shared" si="2"/>
        <v>giftcodesbanner/星願之冠：狼少女物語-bar.jpg</v>
      </c>
      <c r="D70" s="8" t="str">
        <f t="shared" si="3"/>
        <v>https://www.ssbuy.tw/detail_giftcode/dist/giftcodes/星願之冠：狼少女物語.html</v>
      </c>
      <c r="E70" s="9" t="s">
        <v>2100</v>
      </c>
      <c r="F70" s="10" t="s">
        <v>1710</v>
      </c>
      <c r="G70" s="11" t="s">
        <v>1711</v>
      </c>
      <c r="H70" s="11" t="s">
        <v>1840</v>
      </c>
      <c r="K70" s="12" t="s">
        <v>2930</v>
      </c>
      <c r="L70" s="8" t="s">
        <v>2101</v>
      </c>
      <c r="M70" s="13" t="s">
        <v>2931</v>
      </c>
      <c r="N70" s="8" t="s">
        <v>2932</v>
      </c>
      <c r="O70" s="13" t="s">
        <v>2102</v>
      </c>
      <c r="P70" s="8" t="s">
        <v>2103</v>
      </c>
    </row>
    <row r="71" spans="1:46" ht="22.5" customHeight="1">
      <c r="A71" s="14" t="s">
        <v>955</v>
      </c>
      <c r="B71" s="8" t="str">
        <f t="shared" si="2"/>
        <v>giftcodesbanner/香蕉缺個芭樂-bar.jpg</v>
      </c>
      <c r="D71" s="8" t="str">
        <f t="shared" si="3"/>
        <v>https://www.ssbuy.tw/detail_giftcode/dist/giftcodes/香蕉缺個芭樂.html</v>
      </c>
      <c r="E71" s="9" t="s">
        <v>2933</v>
      </c>
      <c r="F71" s="10" t="s">
        <v>1710</v>
      </c>
      <c r="G71" s="11" t="s">
        <v>1711</v>
      </c>
      <c r="H71" s="11" t="s">
        <v>1840</v>
      </c>
      <c r="K71" s="12" t="s">
        <v>2934</v>
      </c>
      <c r="L71" s="8" t="s">
        <v>2935</v>
      </c>
      <c r="M71" s="13" t="s">
        <v>2104</v>
      </c>
      <c r="N71" s="8" t="s">
        <v>1920</v>
      </c>
      <c r="O71" s="13" t="s">
        <v>2936</v>
      </c>
      <c r="P71" s="8" t="s">
        <v>1920</v>
      </c>
      <c r="Q71" s="13" t="s">
        <v>2937</v>
      </c>
      <c r="R71" s="8" t="s">
        <v>1920</v>
      </c>
      <c r="S71" s="13" t="s">
        <v>2938</v>
      </c>
      <c r="T71" s="8" t="s">
        <v>2939</v>
      </c>
      <c r="U71" s="13" t="s">
        <v>2940</v>
      </c>
      <c r="V71" s="8" t="s">
        <v>1920</v>
      </c>
      <c r="W71" s="13" t="s">
        <v>2105</v>
      </c>
      <c r="X71" s="8" t="s">
        <v>1920</v>
      </c>
      <c r="Y71" s="13" t="s">
        <v>2941</v>
      </c>
      <c r="Z71" s="8" t="s">
        <v>1920</v>
      </c>
      <c r="AA71" s="13" t="s">
        <v>2942</v>
      </c>
      <c r="AB71" s="8" t="s">
        <v>1920</v>
      </c>
      <c r="AC71" s="13" t="s">
        <v>2943</v>
      </c>
      <c r="AD71" s="8" t="s">
        <v>1920</v>
      </c>
      <c r="AE71" s="13" t="s">
        <v>2106</v>
      </c>
      <c r="AF71" s="8" t="s">
        <v>1920</v>
      </c>
      <c r="AG71" s="13" t="s">
        <v>2944</v>
      </c>
      <c r="AH71" s="8" t="s">
        <v>1920</v>
      </c>
      <c r="AI71" s="13" t="s">
        <v>2107</v>
      </c>
      <c r="AJ71" s="8" t="s">
        <v>1920</v>
      </c>
      <c r="AK71" s="13" t="s">
        <v>2108</v>
      </c>
      <c r="AL71" s="8" t="s">
        <v>1920</v>
      </c>
      <c r="AM71" s="13" t="s">
        <v>2945</v>
      </c>
      <c r="AN71" s="8" t="s">
        <v>1920</v>
      </c>
      <c r="AO71" s="13" t="s">
        <v>2946</v>
      </c>
      <c r="AP71" s="8" t="s">
        <v>2947</v>
      </c>
      <c r="AQ71" s="13" t="s">
        <v>2948</v>
      </c>
      <c r="AR71" s="8" t="s">
        <v>1920</v>
      </c>
      <c r="AS71" s="13" t="s">
        <v>2109</v>
      </c>
      <c r="AT71" s="8" t="s">
        <v>1920</v>
      </c>
    </row>
    <row r="72" spans="1:46" ht="22.5" customHeight="1">
      <c r="A72" s="14" t="s">
        <v>962</v>
      </c>
      <c r="B72" s="8" t="str">
        <f t="shared" si="2"/>
        <v>giftcodesbanner/精靈塔塔開-bar.jpg</v>
      </c>
      <c r="D72" s="8" t="str">
        <f t="shared" si="3"/>
        <v>https://www.ssbuy.tw/detail_giftcode/dist/giftcodes/精靈塔塔開.html</v>
      </c>
      <c r="E72" s="9" t="s">
        <v>2110</v>
      </c>
      <c r="F72" s="10" t="s">
        <v>1710</v>
      </c>
      <c r="G72" s="11" t="s">
        <v>1711</v>
      </c>
      <c r="H72" s="11" t="s">
        <v>1840</v>
      </c>
      <c r="K72" s="12" t="s">
        <v>2111</v>
      </c>
      <c r="L72" s="8" t="s">
        <v>1920</v>
      </c>
    </row>
    <row r="73" spans="1:46" ht="22.5" customHeight="1">
      <c r="A73" s="14" t="s">
        <v>970</v>
      </c>
      <c r="B73" s="8" t="str">
        <f t="shared" si="2"/>
        <v>giftcodesbanner/終末之歌-bar.jpg</v>
      </c>
      <c r="D73" s="8" t="str">
        <f t="shared" si="3"/>
        <v>https://www.ssbuy.tw/detail_giftcode/dist/giftcodes/終末之歌.html</v>
      </c>
      <c r="E73" s="9" t="s">
        <v>2949</v>
      </c>
      <c r="F73" s="10" t="s">
        <v>1710</v>
      </c>
      <c r="G73" s="11" t="s">
        <v>1711</v>
      </c>
      <c r="H73" s="11" t="s">
        <v>1840</v>
      </c>
      <c r="K73" s="12" t="s">
        <v>2950</v>
      </c>
      <c r="L73" s="8" t="s">
        <v>2951</v>
      </c>
      <c r="M73" s="13" t="s">
        <v>2952</v>
      </c>
      <c r="N73" s="8" t="s">
        <v>2112</v>
      </c>
      <c r="O73" s="13" t="s">
        <v>2953</v>
      </c>
      <c r="P73" s="8" t="s">
        <v>1920</v>
      </c>
    </row>
    <row r="74" spans="1:46" ht="22.5" customHeight="1">
      <c r="A74" s="14" t="s">
        <v>978</v>
      </c>
      <c r="B74" s="8" t="str">
        <f t="shared" si="2"/>
        <v>giftcodesbanner/森靈奇境-bar.jpg</v>
      </c>
      <c r="D74" s="8" t="str">
        <f t="shared" si="3"/>
        <v>https://www.ssbuy.tw/detail_giftcode/dist/giftcodes/森靈奇境.html</v>
      </c>
      <c r="E74" s="9" t="s">
        <v>2113</v>
      </c>
      <c r="F74" s="10" t="s">
        <v>1710</v>
      </c>
      <c r="G74" s="11" t="s">
        <v>1711</v>
      </c>
      <c r="H74" s="11" t="s">
        <v>1840</v>
      </c>
      <c r="K74" s="12" t="s">
        <v>1932</v>
      </c>
      <c r="L74" s="8" t="s">
        <v>2114</v>
      </c>
      <c r="M74" s="13" t="s">
        <v>2056</v>
      </c>
      <c r="N74" s="8" t="s">
        <v>2954</v>
      </c>
      <c r="O74" s="13" t="s">
        <v>1841</v>
      </c>
      <c r="P74" s="8" t="s">
        <v>2115</v>
      </c>
      <c r="Q74" s="13" t="s">
        <v>2116</v>
      </c>
      <c r="R74" s="8" t="s">
        <v>2117</v>
      </c>
      <c r="S74" s="13" t="s">
        <v>2955</v>
      </c>
      <c r="T74" s="8" t="s">
        <v>2956</v>
      </c>
      <c r="U74" s="13" t="s">
        <v>2118</v>
      </c>
      <c r="V74" s="8" t="s">
        <v>2957</v>
      </c>
      <c r="W74" s="13" t="s">
        <v>2119</v>
      </c>
      <c r="X74" s="8" t="s">
        <v>2958</v>
      </c>
      <c r="Y74" s="13" t="s">
        <v>2120</v>
      </c>
      <c r="Z74" s="8" t="s">
        <v>1920</v>
      </c>
      <c r="AA74" s="13" t="s">
        <v>2959</v>
      </c>
      <c r="AB74" s="8" t="s">
        <v>1920</v>
      </c>
      <c r="AC74" s="13" t="s">
        <v>2960</v>
      </c>
      <c r="AD74" s="8" t="s">
        <v>1920</v>
      </c>
      <c r="AE74" s="13" t="s">
        <v>2121</v>
      </c>
      <c r="AF74" s="8" t="s">
        <v>1920</v>
      </c>
    </row>
    <row r="75" spans="1:46" ht="22.5" customHeight="1">
      <c r="A75" s="14" t="s">
        <v>2961</v>
      </c>
      <c r="B75" s="8" t="str">
        <f t="shared" si="2"/>
        <v>giftcodesbanner/鬥破蒼穹：蕭門篇-bar.jpg</v>
      </c>
      <c r="D75" s="8" t="str">
        <f t="shared" si="3"/>
        <v>https://www.ssbuy.tw/detail_giftcode/dist/giftcodes/鬥破蒼穹：蕭門篇.html</v>
      </c>
      <c r="E75" s="9" t="s">
        <v>2122</v>
      </c>
      <c r="F75" s="10" t="s">
        <v>1710</v>
      </c>
      <c r="G75" s="11" t="s">
        <v>1711</v>
      </c>
      <c r="H75" s="11" t="s">
        <v>1840</v>
      </c>
      <c r="K75" s="12" t="s">
        <v>2123</v>
      </c>
      <c r="L75" s="8" t="s">
        <v>1920</v>
      </c>
      <c r="M75" s="13" t="s">
        <v>2962</v>
      </c>
      <c r="N75" s="8" t="s">
        <v>1920</v>
      </c>
      <c r="O75" s="13" t="s">
        <v>2124</v>
      </c>
      <c r="P75" s="8" t="s">
        <v>1920</v>
      </c>
      <c r="Q75" s="13" t="s">
        <v>2125</v>
      </c>
      <c r="R75" s="8" t="s">
        <v>2126</v>
      </c>
      <c r="S75" s="13" t="s">
        <v>2127</v>
      </c>
      <c r="T75" s="8" t="s">
        <v>2963</v>
      </c>
      <c r="U75" s="13" t="s">
        <v>2964</v>
      </c>
      <c r="V75" s="8" t="s">
        <v>1920</v>
      </c>
      <c r="W75" s="13" t="s">
        <v>2965</v>
      </c>
      <c r="X75" s="8" t="s">
        <v>1920</v>
      </c>
      <c r="Y75" s="13" t="s">
        <v>2966</v>
      </c>
      <c r="Z75" s="8" t="s">
        <v>1920</v>
      </c>
      <c r="AA75" s="13" t="s">
        <v>2967</v>
      </c>
      <c r="AB75" s="8" t="s">
        <v>2968</v>
      </c>
      <c r="AC75" s="13" t="s">
        <v>2128</v>
      </c>
      <c r="AD75" s="8" t="s">
        <v>1920</v>
      </c>
      <c r="AE75" s="13" t="s">
        <v>2129</v>
      </c>
      <c r="AF75" s="8" t="s">
        <v>1920</v>
      </c>
    </row>
    <row r="76" spans="1:46" ht="22.5" customHeight="1">
      <c r="A76" s="14" t="s">
        <v>995</v>
      </c>
      <c r="B76" s="8" t="str">
        <f t="shared" si="2"/>
        <v>giftcodesbanner/無畏的狼煙-bar.jpg</v>
      </c>
      <c r="D76" s="8" t="str">
        <f t="shared" si="3"/>
        <v>https://www.ssbuy.tw/detail_giftcode/dist/giftcodes/無畏的狼煙.html</v>
      </c>
      <c r="E76" s="9" t="s">
        <v>2130</v>
      </c>
      <c r="F76" s="10" t="s">
        <v>1710</v>
      </c>
      <c r="G76" s="11" t="s">
        <v>1711</v>
      </c>
      <c r="H76" s="11" t="s">
        <v>1840</v>
      </c>
      <c r="K76" s="12" t="s">
        <v>2131</v>
      </c>
      <c r="L76" s="8" t="s">
        <v>2132</v>
      </c>
      <c r="M76" s="13" t="s">
        <v>2969</v>
      </c>
      <c r="N76" s="8" t="s">
        <v>2133</v>
      </c>
      <c r="O76" s="13" t="s">
        <v>2134</v>
      </c>
      <c r="P76" s="8" t="s">
        <v>2135</v>
      </c>
    </row>
    <row r="77" spans="1:46" ht="22.5" customHeight="1">
      <c r="A77" s="8" t="s">
        <v>2970</v>
      </c>
      <c r="B77" s="8" t="str">
        <f t="shared" si="2"/>
        <v>giftcodesbanner/代號：無頭-bar.jpg</v>
      </c>
      <c r="D77" s="8" t="str">
        <f t="shared" si="3"/>
        <v>https://www.ssbuy.tw/detail_giftcode/dist/giftcodes/代號：無頭.html</v>
      </c>
      <c r="E77" s="9" t="s">
        <v>2136</v>
      </c>
      <c r="F77" s="10" t="s">
        <v>1710</v>
      </c>
      <c r="G77" s="11" t="s">
        <v>1711</v>
      </c>
      <c r="H77" s="11" t="s">
        <v>1840</v>
      </c>
      <c r="K77" s="12" t="s">
        <v>2971</v>
      </c>
      <c r="L77" s="8" t="s">
        <v>2972</v>
      </c>
      <c r="M77" s="13" t="s">
        <v>2137</v>
      </c>
      <c r="N77" s="8" t="s">
        <v>2972</v>
      </c>
      <c r="O77" s="13" t="s">
        <v>2973</v>
      </c>
      <c r="P77" s="8" t="s">
        <v>2974</v>
      </c>
      <c r="Q77" s="13" t="s">
        <v>2975</v>
      </c>
      <c r="R77" s="8" t="s">
        <v>2138</v>
      </c>
      <c r="S77" s="13" t="s">
        <v>2139</v>
      </c>
      <c r="T77" s="8" t="s">
        <v>2140</v>
      </c>
      <c r="U77" s="13" t="s">
        <v>2976</v>
      </c>
      <c r="V77" s="8" t="s">
        <v>1920</v>
      </c>
      <c r="W77" s="13" t="s">
        <v>2056</v>
      </c>
      <c r="X77" s="8" t="s">
        <v>1920</v>
      </c>
      <c r="Y77" s="13" t="s">
        <v>1933</v>
      </c>
      <c r="Z77" s="8" t="s">
        <v>1920</v>
      </c>
    </row>
    <row r="78" spans="1:46" ht="22.5" customHeight="1">
      <c r="A78" s="14" t="s">
        <v>1012</v>
      </c>
      <c r="B78" s="8" t="str">
        <f t="shared" si="2"/>
        <v>giftcodesbanner/牛頭人GO-bar.jpg</v>
      </c>
      <c r="D78" s="8" t="str">
        <f t="shared" si="3"/>
        <v>https://www.ssbuy.tw/detail_giftcode/dist/giftcodes/牛頭人GO.html</v>
      </c>
      <c r="E78" s="9" t="s">
        <v>2977</v>
      </c>
      <c r="F78" s="10" t="s">
        <v>1710</v>
      </c>
      <c r="G78" s="11" t="s">
        <v>1711</v>
      </c>
      <c r="H78" s="11" t="s">
        <v>1840</v>
      </c>
      <c r="K78" s="12" t="s">
        <v>2141</v>
      </c>
      <c r="L78" s="8" t="s">
        <v>1920</v>
      </c>
      <c r="M78" s="13" t="s">
        <v>2142</v>
      </c>
      <c r="N78" s="8" t="s">
        <v>1920</v>
      </c>
      <c r="O78" s="13" t="s">
        <v>2978</v>
      </c>
      <c r="P78" s="8" t="s">
        <v>1920</v>
      </c>
      <c r="Q78" s="13" t="s">
        <v>2143</v>
      </c>
      <c r="R78" s="8" t="s">
        <v>1920</v>
      </c>
      <c r="S78" s="13" t="s">
        <v>2979</v>
      </c>
      <c r="T78" s="8" t="s">
        <v>1920</v>
      </c>
      <c r="U78" s="13" t="s">
        <v>2980</v>
      </c>
      <c r="V78" s="8" t="s">
        <v>1920</v>
      </c>
      <c r="W78" s="13" t="s">
        <v>2981</v>
      </c>
      <c r="X78" s="8" t="s">
        <v>1920</v>
      </c>
      <c r="Y78" s="13" t="s">
        <v>2144</v>
      </c>
      <c r="Z78" s="8" t="s">
        <v>1920</v>
      </c>
    </row>
    <row r="79" spans="1:46" ht="22.5" customHeight="1">
      <c r="A79" s="14" t="s">
        <v>1021</v>
      </c>
      <c r="B79" s="8" t="str">
        <f t="shared" si="2"/>
        <v>giftcodesbanner/派對吧三國-bar.jpg</v>
      </c>
      <c r="D79" s="8" t="str">
        <f t="shared" si="3"/>
        <v>https://www.ssbuy.tw/detail_giftcode/dist/giftcodes/派對吧三國.html</v>
      </c>
      <c r="E79" s="9" t="s">
        <v>2982</v>
      </c>
      <c r="F79" s="10" t="s">
        <v>1710</v>
      </c>
      <c r="G79" s="11" t="s">
        <v>1711</v>
      </c>
      <c r="H79" s="11" t="s">
        <v>1840</v>
      </c>
      <c r="K79" s="12" t="s">
        <v>2983</v>
      </c>
      <c r="L79" s="8" t="s">
        <v>1920</v>
      </c>
      <c r="M79" s="13" t="s">
        <v>2984</v>
      </c>
      <c r="N79" s="8" t="s">
        <v>1920</v>
      </c>
      <c r="O79" s="13" t="s">
        <v>2145</v>
      </c>
      <c r="P79" s="8" t="s">
        <v>1920</v>
      </c>
      <c r="Q79" s="13" t="s">
        <v>2146</v>
      </c>
      <c r="R79" s="8" t="s">
        <v>1920</v>
      </c>
      <c r="S79" s="13" t="s">
        <v>2985</v>
      </c>
      <c r="T79" s="8" t="s">
        <v>1920</v>
      </c>
      <c r="U79" s="13" t="s">
        <v>2147</v>
      </c>
      <c r="V79" s="8" t="s">
        <v>1920</v>
      </c>
      <c r="W79" s="13" t="s">
        <v>2148</v>
      </c>
      <c r="X79" s="8" t="s">
        <v>1920</v>
      </c>
      <c r="Y79" s="13" t="s">
        <v>2149</v>
      </c>
      <c r="Z79" s="8" t="s">
        <v>1920</v>
      </c>
      <c r="AA79" s="13" t="s">
        <v>2150</v>
      </c>
      <c r="AB79" s="8" t="s">
        <v>1920</v>
      </c>
      <c r="AC79" s="13" t="s">
        <v>2986</v>
      </c>
      <c r="AD79" s="8" t="s">
        <v>1920</v>
      </c>
    </row>
    <row r="80" spans="1:46" ht="22.5" customHeight="1">
      <c r="A80" s="14" t="s">
        <v>1035</v>
      </c>
      <c r="B80" s="8" t="str">
        <f t="shared" si="2"/>
        <v>giftcodesbanner/酒酒大俠-bar.jpg</v>
      </c>
      <c r="D80" s="8" t="str">
        <f t="shared" si="3"/>
        <v>https://www.ssbuy.tw/detail_giftcode/dist/giftcodes/酒酒大俠.html</v>
      </c>
      <c r="E80" s="9" t="s">
        <v>2987</v>
      </c>
      <c r="F80" s="10" t="s">
        <v>1710</v>
      </c>
      <c r="G80" s="11" t="s">
        <v>1711</v>
      </c>
      <c r="H80" s="11" t="s">
        <v>1840</v>
      </c>
      <c r="K80" s="12" t="s">
        <v>2988</v>
      </c>
      <c r="L80" s="8" t="s">
        <v>1920</v>
      </c>
      <c r="M80" s="13" t="s">
        <v>2989</v>
      </c>
      <c r="N80" s="8" t="s">
        <v>1920</v>
      </c>
      <c r="O80" s="13" t="s">
        <v>2151</v>
      </c>
      <c r="P80" s="8" t="s">
        <v>1920</v>
      </c>
      <c r="Q80" s="13" t="s">
        <v>2152</v>
      </c>
      <c r="R80" s="8" t="s">
        <v>1920</v>
      </c>
      <c r="S80" s="13" t="s">
        <v>2153</v>
      </c>
      <c r="T80" s="8" t="s">
        <v>1920</v>
      </c>
      <c r="U80" s="13" t="s">
        <v>2990</v>
      </c>
      <c r="V80" s="8" t="s">
        <v>1920</v>
      </c>
      <c r="W80" s="13" t="s">
        <v>2991</v>
      </c>
      <c r="X80" s="8" t="s">
        <v>1920</v>
      </c>
    </row>
    <row r="81" spans="1:42" ht="22.5" customHeight="1">
      <c r="A81" s="14" t="s">
        <v>1044</v>
      </c>
      <c r="B81" s="8" t="str">
        <f t="shared" si="2"/>
        <v>giftcodesbanner/鼠衛家園-bar.jpg</v>
      </c>
      <c r="D81" s="8" t="str">
        <f t="shared" si="3"/>
        <v>https://www.ssbuy.tw/detail_giftcode/dist/giftcodes/鼠衛家園.html</v>
      </c>
      <c r="E81" s="9" t="s">
        <v>2992</v>
      </c>
      <c r="F81" s="10" t="s">
        <v>1710</v>
      </c>
      <c r="G81" s="11" t="s">
        <v>1711</v>
      </c>
      <c r="H81" s="11" t="s">
        <v>1840</v>
      </c>
      <c r="K81" s="12" t="s">
        <v>2154</v>
      </c>
      <c r="L81" s="8" t="s">
        <v>1920</v>
      </c>
      <c r="M81" s="13" t="s">
        <v>2993</v>
      </c>
      <c r="N81" s="8" t="s">
        <v>1920</v>
      </c>
      <c r="O81" s="13" t="s">
        <v>2994</v>
      </c>
      <c r="P81" s="8" t="s">
        <v>1920</v>
      </c>
      <c r="Q81" s="13" t="s">
        <v>2995</v>
      </c>
      <c r="R81" s="8" t="s">
        <v>1920</v>
      </c>
      <c r="S81" s="13" t="s">
        <v>2996</v>
      </c>
      <c r="T81" s="8" t="s">
        <v>1920</v>
      </c>
    </row>
    <row r="82" spans="1:42" ht="22.5" customHeight="1">
      <c r="A82" s="14" t="s">
        <v>2997</v>
      </c>
      <c r="B82" s="8" t="str">
        <f t="shared" si="2"/>
        <v>giftcodesbanner/未頌者之歌：異世界冒險奇譚-bar.jpg</v>
      </c>
      <c r="D82" s="8" t="str">
        <f t="shared" si="3"/>
        <v>https://www.ssbuy.tw/detail_giftcode/dist/giftcodes/未頌者之歌：異世界冒險奇譚.html</v>
      </c>
      <c r="E82" s="9" t="s">
        <v>2998</v>
      </c>
      <c r="F82" s="10" t="s">
        <v>1710</v>
      </c>
      <c r="G82" s="11" t="s">
        <v>1711</v>
      </c>
      <c r="H82" s="11" t="s">
        <v>1840</v>
      </c>
      <c r="K82" s="12" t="s">
        <v>2999</v>
      </c>
      <c r="L82" s="8" t="s">
        <v>1920</v>
      </c>
      <c r="M82" s="13" t="s">
        <v>2155</v>
      </c>
      <c r="N82" s="8" t="s">
        <v>1920</v>
      </c>
      <c r="O82" s="13" t="s">
        <v>3000</v>
      </c>
      <c r="P82" s="8" t="s">
        <v>1920</v>
      </c>
      <c r="Q82" s="13" t="s">
        <v>2156</v>
      </c>
      <c r="R82" s="8" t="s">
        <v>1920</v>
      </c>
      <c r="S82" s="13" t="s">
        <v>3001</v>
      </c>
      <c r="T82" s="8" t="s">
        <v>1920</v>
      </c>
      <c r="U82" s="13" t="s">
        <v>3002</v>
      </c>
      <c r="V82" s="8" t="s">
        <v>1920</v>
      </c>
      <c r="X82" s="8" t="s">
        <v>1920</v>
      </c>
    </row>
    <row r="83" spans="1:42" ht="22.5" customHeight="1">
      <c r="A83" s="14" t="s">
        <v>1059</v>
      </c>
      <c r="B83" s="8" t="str">
        <f t="shared" si="2"/>
        <v>giftcodesbanner/熱練戰士-bar.jpg</v>
      </c>
      <c r="D83" s="8" t="str">
        <f t="shared" si="3"/>
        <v>https://www.ssbuy.tw/detail_giftcode/dist/giftcodes/熱練戰士.html</v>
      </c>
      <c r="E83" s="9" t="s">
        <v>3003</v>
      </c>
      <c r="F83" s="10" t="s">
        <v>1710</v>
      </c>
      <c r="G83" s="11" t="s">
        <v>1711</v>
      </c>
      <c r="H83" s="11" t="s">
        <v>1840</v>
      </c>
      <c r="K83" s="12" t="s">
        <v>3004</v>
      </c>
      <c r="L83" s="8" t="s">
        <v>3005</v>
      </c>
      <c r="M83" s="13" t="s">
        <v>3006</v>
      </c>
      <c r="N83" s="8" t="s">
        <v>3007</v>
      </c>
      <c r="O83" s="13" t="s">
        <v>3008</v>
      </c>
      <c r="P83" s="8" t="s">
        <v>2157</v>
      </c>
      <c r="Q83" s="13" t="s">
        <v>2158</v>
      </c>
      <c r="R83" s="8" t="s">
        <v>3009</v>
      </c>
      <c r="S83" s="13" t="s">
        <v>2159</v>
      </c>
      <c r="T83" s="20" t="s">
        <v>3010</v>
      </c>
      <c r="U83" s="13" t="s">
        <v>2160</v>
      </c>
      <c r="V83" s="8" t="s">
        <v>3011</v>
      </c>
    </row>
    <row r="84" spans="1:42" ht="22.5" customHeight="1">
      <c r="A84" s="14" t="s">
        <v>1064</v>
      </c>
      <c r="B84" s="8" t="str">
        <f t="shared" si="2"/>
        <v>giftcodesbanner/聯盟戰棋-bar.jpg</v>
      </c>
      <c r="D84" s="8" t="str">
        <f t="shared" si="3"/>
        <v>https://www.ssbuy.tw/detail_giftcode/dist/giftcodes/聯盟戰棋.html</v>
      </c>
      <c r="E84" s="9" t="s">
        <v>2161</v>
      </c>
      <c r="F84" s="10" t="s">
        <v>1710</v>
      </c>
      <c r="G84" s="11" t="s">
        <v>1711</v>
      </c>
      <c r="H84" s="11" t="s">
        <v>1840</v>
      </c>
      <c r="L84" s="8" t="s">
        <v>1920</v>
      </c>
      <c r="N84" s="8" t="s">
        <v>1920</v>
      </c>
      <c r="P84" s="8" t="s">
        <v>1920</v>
      </c>
      <c r="R84" s="8" t="s">
        <v>1920</v>
      </c>
      <c r="T84" s="8" t="s">
        <v>1920</v>
      </c>
      <c r="V84" s="8" t="s">
        <v>1920</v>
      </c>
      <c r="X84" s="8" t="s">
        <v>1920</v>
      </c>
    </row>
    <row r="85" spans="1:42" ht="22.5" customHeight="1">
      <c r="A85" s="14" t="s">
        <v>2162</v>
      </c>
      <c r="B85" s="8" t="str">
        <f t="shared" si="2"/>
        <v>giftcodesbanner/劍客物語-bar.jpg</v>
      </c>
      <c r="D85" s="8" t="str">
        <f t="shared" si="3"/>
        <v>https://www.ssbuy.tw/detail_giftcode/dist/giftcodes/劍客物語.html</v>
      </c>
      <c r="E85" s="9" t="s">
        <v>3012</v>
      </c>
      <c r="F85" s="10" t="s">
        <v>1710</v>
      </c>
      <c r="G85" s="11" t="s">
        <v>1711</v>
      </c>
      <c r="H85" s="11" t="s">
        <v>1840</v>
      </c>
      <c r="K85" s="12" t="s">
        <v>3013</v>
      </c>
      <c r="L85" s="8" t="s">
        <v>2163</v>
      </c>
      <c r="M85" s="13" t="s">
        <v>2164</v>
      </c>
      <c r="N85" s="8" t="s">
        <v>2165</v>
      </c>
      <c r="O85" s="13" t="s">
        <v>2166</v>
      </c>
      <c r="P85" s="8" t="s">
        <v>3014</v>
      </c>
      <c r="Q85" s="13" t="s">
        <v>3015</v>
      </c>
      <c r="R85" s="8" t="s">
        <v>3016</v>
      </c>
      <c r="S85" s="13" t="s">
        <v>3017</v>
      </c>
      <c r="T85" s="8" t="s">
        <v>3018</v>
      </c>
      <c r="U85" s="13" t="s">
        <v>2167</v>
      </c>
      <c r="V85" s="8" t="s">
        <v>2165</v>
      </c>
      <c r="W85" s="13" t="s">
        <v>3019</v>
      </c>
      <c r="X85" s="8" t="s">
        <v>3020</v>
      </c>
      <c r="Y85" s="13" t="s">
        <v>3021</v>
      </c>
      <c r="Z85" s="8" t="s">
        <v>3016</v>
      </c>
      <c r="AA85" s="13" t="s">
        <v>3022</v>
      </c>
      <c r="AB85" s="8" t="s">
        <v>3023</v>
      </c>
    </row>
    <row r="86" spans="1:42" ht="22.5" customHeight="1">
      <c r="A86" s="14" t="s">
        <v>2168</v>
      </c>
      <c r="B86" s="8" t="str">
        <f t="shared" si="2"/>
        <v>giftcodesbanner/人在塔在-bar.jpg</v>
      </c>
      <c r="D86" s="8" t="str">
        <f t="shared" si="3"/>
        <v>https://www.ssbuy.tw/detail_giftcode/dist/giftcodes/人在塔在.html</v>
      </c>
      <c r="E86" s="9" t="s">
        <v>3024</v>
      </c>
      <c r="F86" s="10" t="s">
        <v>1710</v>
      </c>
      <c r="G86" s="11" t="s">
        <v>1711</v>
      </c>
      <c r="H86" s="11" t="s">
        <v>1840</v>
      </c>
      <c r="K86" s="12" t="s">
        <v>3025</v>
      </c>
      <c r="L86" s="8" t="s">
        <v>1920</v>
      </c>
      <c r="M86" s="13" t="s">
        <v>2169</v>
      </c>
      <c r="N86" s="8" t="s">
        <v>1920</v>
      </c>
    </row>
    <row r="87" spans="1:42" ht="22.5" customHeight="1">
      <c r="A87" s="14" t="s">
        <v>2170</v>
      </c>
      <c r="B87" s="8" t="str">
        <f t="shared" si="2"/>
        <v>giftcodesbanner/龍語霜城-bar.jpg</v>
      </c>
      <c r="D87" s="8" t="str">
        <f t="shared" si="3"/>
        <v>https://www.ssbuy.tw/detail_giftcode/dist/giftcodes/龍語霜城.html</v>
      </c>
      <c r="E87" s="9" t="s">
        <v>3026</v>
      </c>
      <c r="F87" s="10" t="s">
        <v>1710</v>
      </c>
      <c r="G87" s="11" t="s">
        <v>1711</v>
      </c>
      <c r="H87" s="11" t="s">
        <v>1840</v>
      </c>
      <c r="K87" s="12" t="s">
        <v>2171</v>
      </c>
      <c r="L87" s="8" t="s">
        <v>1920</v>
      </c>
      <c r="M87" s="13" t="s">
        <v>2172</v>
      </c>
      <c r="N87" s="8" t="s">
        <v>1920</v>
      </c>
      <c r="O87" s="13" t="s">
        <v>3027</v>
      </c>
      <c r="P87" s="8" t="s">
        <v>1920</v>
      </c>
      <c r="Q87" s="13" t="s">
        <v>3028</v>
      </c>
      <c r="R87" s="8" t="s">
        <v>1920</v>
      </c>
      <c r="S87" s="13" t="s">
        <v>2173</v>
      </c>
      <c r="T87" s="8" t="s">
        <v>1920</v>
      </c>
      <c r="U87" s="13" t="s">
        <v>3029</v>
      </c>
      <c r="V87" s="8" t="s">
        <v>1920</v>
      </c>
      <c r="W87" s="13" t="s">
        <v>3030</v>
      </c>
      <c r="X87" s="8" t="s">
        <v>1920</v>
      </c>
      <c r="Y87" s="13" t="s">
        <v>2174</v>
      </c>
      <c r="Z87" s="8" t="s">
        <v>1920</v>
      </c>
      <c r="AA87" s="13" t="s">
        <v>3031</v>
      </c>
      <c r="AB87" s="8" t="s">
        <v>1920</v>
      </c>
      <c r="AC87" s="13" t="s">
        <v>2175</v>
      </c>
      <c r="AD87" s="8" t="s">
        <v>1920</v>
      </c>
      <c r="AE87" s="13" t="s">
        <v>3032</v>
      </c>
      <c r="AF87" s="8" t="s">
        <v>1920</v>
      </c>
      <c r="AG87" s="13" t="s">
        <v>3033</v>
      </c>
      <c r="AH87" s="8" t="s">
        <v>1920</v>
      </c>
      <c r="AI87" s="13" t="s">
        <v>3034</v>
      </c>
      <c r="AJ87" s="8" t="s">
        <v>1920</v>
      </c>
    </row>
    <row r="88" spans="1:42" ht="22.5" customHeight="1">
      <c r="A88" s="14" t="s">
        <v>2176</v>
      </c>
      <c r="B88" s="8" t="str">
        <f t="shared" si="2"/>
        <v>giftcodesbanner/洛伊的移動要塞-bar.jpg</v>
      </c>
      <c r="D88" s="8" t="str">
        <f t="shared" si="3"/>
        <v>https://www.ssbuy.tw/detail_giftcode/dist/giftcodes/洛伊的移動要塞.html</v>
      </c>
      <c r="E88" s="9" t="s">
        <v>2177</v>
      </c>
      <c r="F88" s="10" t="s">
        <v>1710</v>
      </c>
      <c r="G88" s="11" t="s">
        <v>1711</v>
      </c>
      <c r="H88" s="11" t="s">
        <v>1840</v>
      </c>
      <c r="K88" s="12" t="s">
        <v>3035</v>
      </c>
      <c r="L88" s="8" t="s">
        <v>3036</v>
      </c>
      <c r="M88" s="13" t="s">
        <v>2178</v>
      </c>
      <c r="N88" s="8" t="s">
        <v>3037</v>
      </c>
      <c r="O88" s="13" t="s">
        <v>3038</v>
      </c>
      <c r="P88" s="8" t="s">
        <v>2179</v>
      </c>
      <c r="Q88" s="13" t="s">
        <v>2180</v>
      </c>
      <c r="R88" s="8" t="s">
        <v>3039</v>
      </c>
      <c r="S88" s="13" t="s">
        <v>2181</v>
      </c>
      <c r="T88" s="8" t="s">
        <v>2179</v>
      </c>
      <c r="U88" s="13" t="s">
        <v>2182</v>
      </c>
      <c r="V88" s="8" t="s">
        <v>3040</v>
      </c>
      <c r="W88" s="13" t="s">
        <v>2183</v>
      </c>
      <c r="X88" s="8" t="s">
        <v>2184</v>
      </c>
      <c r="Y88" s="13" t="s">
        <v>3041</v>
      </c>
      <c r="Z88" s="8" t="s">
        <v>3042</v>
      </c>
    </row>
    <row r="89" spans="1:42" ht="22.5" customHeight="1">
      <c r="A89" s="14" t="s">
        <v>3043</v>
      </c>
      <c r="B89" s="8" t="str">
        <f t="shared" si="2"/>
        <v>giftcodesbanner/喵喵王國-bar.jpg</v>
      </c>
      <c r="D89" s="8" t="str">
        <f t="shared" si="3"/>
        <v>https://www.ssbuy.tw/detail_giftcode/dist/giftcodes/喵喵王國.html</v>
      </c>
      <c r="E89" s="9" t="s">
        <v>3044</v>
      </c>
      <c r="F89" s="10" t="s">
        <v>1710</v>
      </c>
      <c r="G89" s="11" t="s">
        <v>1711</v>
      </c>
      <c r="H89" s="11" t="s">
        <v>1840</v>
      </c>
      <c r="K89" s="12" t="s">
        <v>3045</v>
      </c>
      <c r="L89" s="8" t="s">
        <v>1920</v>
      </c>
    </row>
    <row r="90" spans="1:42" ht="22.5" customHeight="1">
      <c r="A90" s="14" t="s">
        <v>1121</v>
      </c>
      <c r="B90" s="8" t="str">
        <f t="shared" si="2"/>
        <v>giftcodesbanner/東京謎影者-bar.jpg</v>
      </c>
      <c r="D90" s="8" t="str">
        <f t="shared" si="3"/>
        <v>https://www.ssbuy.tw/detail_giftcode/dist/giftcodes/東京謎影者.html</v>
      </c>
      <c r="E90" s="9" t="s">
        <v>2185</v>
      </c>
      <c r="F90" s="10" t="s">
        <v>1710</v>
      </c>
      <c r="G90" s="11" t="s">
        <v>1711</v>
      </c>
      <c r="H90" s="11" t="s">
        <v>1840</v>
      </c>
      <c r="L90" s="8" t="s">
        <v>1920</v>
      </c>
      <c r="N90" s="8" t="s">
        <v>1920</v>
      </c>
      <c r="P90" s="8" t="s">
        <v>1920</v>
      </c>
      <c r="R90" s="8" t="s">
        <v>1920</v>
      </c>
      <c r="T90" s="8" t="s">
        <v>1920</v>
      </c>
      <c r="V90" s="8" t="s">
        <v>1920</v>
      </c>
      <c r="X90" s="8" t="s">
        <v>1920</v>
      </c>
    </row>
    <row r="91" spans="1:42" ht="22.5" customHeight="1">
      <c r="A91" s="14" t="s">
        <v>1129</v>
      </c>
      <c r="B91" s="8" t="str">
        <f t="shared" si="2"/>
        <v>giftcodesbanner/戰極死遊-bar.jpg</v>
      </c>
      <c r="D91" s="8" t="str">
        <f t="shared" si="3"/>
        <v>https://www.ssbuy.tw/detail_giftcode/dist/giftcodes/戰極死遊.html</v>
      </c>
      <c r="E91" s="9" t="s">
        <v>2186</v>
      </c>
      <c r="F91" s="10" t="s">
        <v>1710</v>
      </c>
      <c r="G91" s="11" t="s">
        <v>1711</v>
      </c>
      <c r="H91" s="11" t="s">
        <v>1840</v>
      </c>
      <c r="K91" s="12" t="s">
        <v>2187</v>
      </c>
      <c r="L91" s="8" t="s">
        <v>3046</v>
      </c>
      <c r="M91" s="13" t="s">
        <v>2188</v>
      </c>
      <c r="N91" s="8" t="s">
        <v>3046</v>
      </c>
      <c r="O91" s="13" t="s">
        <v>3047</v>
      </c>
      <c r="P91" s="8" t="s">
        <v>3046</v>
      </c>
    </row>
    <row r="92" spans="1:42" ht="22.5" customHeight="1">
      <c r="A92" s="14" t="s">
        <v>1137</v>
      </c>
      <c r="B92" s="8" t="str">
        <f t="shared" si="2"/>
        <v>giftcodesbanner/進擊的蝸牛-bar.jpg</v>
      </c>
      <c r="D92" s="8" t="str">
        <f t="shared" si="3"/>
        <v>https://www.ssbuy.tw/detail_giftcode/dist/giftcodes/進擊的蝸牛.html</v>
      </c>
      <c r="E92" s="9" t="s">
        <v>2189</v>
      </c>
      <c r="F92" s="10" t="s">
        <v>1710</v>
      </c>
      <c r="G92" s="11" t="s">
        <v>1711</v>
      </c>
      <c r="H92" s="11" t="s">
        <v>1840</v>
      </c>
      <c r="K92" s="12" t="s">
        <v>2190</v>
      </c>
      <c r="L92" s="8" t="s">
        <v>3048</v>
      </c>
      <c r="M92" s="13" t="s">
        <v>2191</v>
      </c>
      <c r="N92" s="8" t="s">
        <v>1920</v>
      </c>
      <c r="O92" s="13" t="s">
        <v>3049</v>
      </c>
      <c r="P92" s="8" t="s">
        <v>1920</v>
      </c>
      <c r="Q92" s="13" t="s">
        <v>2192</v>
      </c>
      <c r="R92" s="8" t="s">
        <v>1920</v>
      </c>
      <c r="S92" s="25" t="s">
        <v>2193</v>
      </c>
      <c r="T92" s="8" t="s">
        <v>1920</v>
      </c>
      <c r="U92" s="13" t="s">
        <v>2194</v>
      </c>
      <c r="V92" s="8" t="s">
        <v>1920</v>
      </c>
      <c r="W92" s="13" t="s">
        <v>2195</v>
      </c>
      <c r="X92" s="8" t="s">
        <v>1920</v>
      </c>
      <c r="Y92" s="13" t="s">
        <v>1932</v>
      </c>
      <c r="Z92" s="8" t="s">
        <v>1920</v>
      </c>
      <c r="AA92" s="13" t="s">
        <v>2056</v>
      </c>
      <c r="AB92" s="8" t="s">
        <v>1920</v>
      </c>
      <c r="AC92" s="13" t="s">
        <v>1841</v>
      </c>
      <c r="AD92" s="8" t="s">
        <v>1920</v>
      </c>
      <c r="AE92" s="13" t="s">
        <v>2196</v>
      </c>
      <c r="AF92" s="8" t="s">
        <v>1920</v>
      </c>
      <c r="AG92" s="13" t="s">
        <v>2197</v>
      </c>
      <c r="AH92" s="8" t="s">
        <v>1920</v>
      </c>
      <c r="AI92" s="13" t="s">
        <v>2198</v>
      </c>
      <c r="AJ92" s="8" t="s">
        <v>1920</v>
      </c>
      <c r="AK92" s="13" t="s">
        <v>2400</v>
      </c>
      <c r="AL92" s="8" t="s">
        <v>1920</v>
      </c>
      <c r="AM92" s="13" t="s">
        <v>2199</v>
      </c>
      <c r="AN92" s="8" t="s">
        <v>1920</v>
      </c>
      <c r="AO92" s="13" t="s">
        <v>2200</v>
      </c>
      <c r="AP92" s="8" t="s">
        <v>1920</v>
      </c>
    </row>
    <row r="93" spans="1:42" ht="22.5" customHeight="1">
      <c r="A93" s="14" t="s">
        <v>1145</v>
      </c>
      <c r="B93" s="8" t="str">
        <f t="shared" si="2"/>
        <v>giftcodesbanner/純白大作戰-bar.jpg</v>
      </c>
      <c r="D93" s="8" t="str">
        <f t="shared" si="3"/>
        <v>https://www.ssbuy.tw/detail_giftcode/dist/giftcodes/純白大作戰.html</v>
      </c>
      <c r="E93" s="9" t="s">
        <v>2201</v>
      </c>
      <c r="F93" s="10" t="s">
        <v>1710</v>
      </c>
      <c r="G93" s="11" t="s">
        <v>1711</v>
      </c>
      <c r="H93" s="11" t="s">
        <v>1840</v>
      </c>
      <c r="K93" s="12" t="s">
        <v>1932</v>
      </c>
      <c r="L93" s="8" t="s">
        <v>2202</v>
      </c>
      <c r="M93" s="13" t="s">
        <v>2056</v>
      </c>
      <c r="N93" s="8" t="s">
        <v>3050</v>
      </c>
      <c r="O93" s="13" t="s">
        <v>1841</v>
      </c>
      <c r="P93" s="8" t="s">
        <v>2203</v>
      </c>
      <c r="Q93" s="13" t="s">
        <v>3051</v>
      </c>
      <c r="R93" s="8" t="s">
        <v>3052</v>
      </c>
      <c r="S93" s="13" t="s">
        <v>3053</v>
      </c>
      <c r="T93" s="8" t="s">
        <v>2204</v>
      </c>
      <c r="U93" s="13" t="s">
        <v>3054</v>
      </c>
      <c r="V93" s="8" t="s">
        <v>2205</v>
      </c>
      <c r="X93" s="8" t="s">
        <v>1920</v>
      </c>
    </row>
    <row r="94" spans="1:42" ht="22.5" customHeight="1">
      <c r="A94" s="14" t="s">
        <v>1153</v>
      </c>
      <c r="B94" s="8" t="str">
        <f t="shared" si="2"/>
        <v>giftcodesbanner/黑星勇者-bar.jpg</v>
      </c>
      <c r="D94" s="8" t="str">
        <f t="shared" si="3"/>
        <v>https://www.ssbuy.tw/detail_giftcode/dist/giftcodes/黑星勇者.html</v>
      </c>
      <c r="E94" s="9" t="s">
        <v>2206</v>
      </c>
      <c r="F94" s="10" t="s">
        <v>1710</v>
      </c>
      <c r="G94" s="11" t="s">
        <v>1711</v>
      </c>
      <c r="H94" s="11" t="s">
        <v>1840</v>
      </c>
      <c r="K94" s="12" t="s">
        <v>3055</v>
      </c>
      <c r="L94" s="8" t="s">
        <v>2208</v>
      </c>
      <c r="M94" s="13" t="s">
        <v>2207</v>
      </c>
      <c r="N94" s="8" t="s">
        <v>2208</v>
      </c>
    </row>
    <row r="95" spans="1:42" ht="22.5" customHeight="1">
      <c r="A95" s="14" t="s">
        <v>2209</v>
      </c>
      <c r="B95" s="8" t="str">
        <f t="shared" si="2"/>
        <v>giftcodesbanner/龍之谷：經典再現-bar.jpg</v>
      </c>
      <c r="D95" s="8" t="str">
        <f t="shared" si="3"/>
        <v>https://www.ssbuy.tw/detail_giftcode/dist/giftcodes/龍之谷：經典再現.html</v>
      </c>
      <c r="E95" s="9" t="s">
        <v>2210</v>
      </c>
      <c r="F95" s="10" t="s">
        <v>1710</v>
      </c>
      <c r="G95" s="11" t="s">
        <v>1711</v>
      </c>
      <c r="H95" s="11" t="s">
        <v>1840</v>
      </c>
      <c r="K95" s="12" t="s">
        <v>2211</v>
      </c>
      <c r="L95" s="8" t="s">
        <v>1920</v>
      </c>
      <c r="M95" s="13" t="s">
        <v>3056</v>
      </c>
      <c r="N95" s="8" t="s">
        <v>1920</v>
      </c>
      <c r="O95" s="13" t="s">
        <v>3057</v>
      </c>
      <c r="P95" s="8" t="s">
        <v>1920</v>
      </c>
      <c r="Q95" s="13" t="s">
        <v>3058</v>
      </c>
      <c r="R95" s="8" t="s">
        <v>1920</v>
      </c>
      <c r="S95" s="13" t="s">
        <v>3059</v>
      </c>
      <c r="T95" s="8" t="s">
        <v>1920</v>
      </c>
      <c r="V95" s="8" t="s">
        <v>1920</v>
      </c>
      <c r="X95" s="8" t="s">
        <v>1920</v>
      </c>
    </row>
    <row r="96" spans="1:42" ht="22.5" customHeight="1">
      <c r="A96" s="14" t="s">
        <v>1170</v>
      </c>
      <c r="B96" s="8" t="str">
        <f t="shared" si="2"/>
        <v>giftcodesbanner/楓之谷Artale-bar.jpg</v>
      </c>
      <c r="D96" s="8" t="str">
        <f t="shared" si="3"/>
        <v>https://www.ssbuy.tw/detail_giftcode/dist/giftcodes/楓之谷Artale.html</v>
      </c>
      <c r="E96" s="9" t="s">
        <v>3060</v>
      </c>
      <c r="F96" s="10" t="s">
        <v>1710</v>
      </c>
      <c r="G96" s="11" t="s">
        <v>1711</v>
      </c>
      <c r="H96" s="11" t="s">
        <v>1840</v>
      </c>
      <c r="L96" s="8" t="s">
        <v>1920</v>
      </c>
      <c r="N96" s="8" t="s">
        <v>1920</v>
      </c>
      <c r="P96" s="8" t="s">
        <v>1920</v>
      </c>
      <c r="R96" s="8" t="s">
        <v>1920</v>
      </c>
      <c r="T96" s="8" t="s">
        <v>1920</v>
      </c>
      <c r="V96" s="8" t="s">
        <v>1920</v>
      </c>
      <c r="X96" s="8" t="s">
        <v>1920</v>
      </c>
    </row>
    <row r="97" spans="1:49" ht="22.5" customHeight="1">
      <c r="A97" s="14" t="s">
        <v>2212</v>
      </c>
      <c r="B97" s="8" t="str">
        <f t="shared" si="2"/>
        <v>giftcodesbanner/出發吧麥芬-bar.jpg</v>
      </c>
      <c r="D97" s="8" t="str">
        <f t="shared" si="3"/>
        <v>https://www.ssbuy.tw/detail_giftcode/dist/giftcodes/出發吧麥芬.html</v>
      </c>
      <c r="E97" s="9" t="s">
        <v>3061</v>
      </c>
      <c r="F97" s="10" t="s">
        <v>1710</v>
      </c>
      <c r="G97" s="11" t="s">
        <v>1711</v>
      </c>
      <c r="H97" s="11" t="s">
        <v>1840</v>
      </c>
      <c r="K97" s="12" t="s">
        <v>2213</v>
      </c>
      <c r="L97" s="8" t="s">
        <v>2214</v>
      </c>
    </row>
    <row r="98" spans="1:49" ht="22.5" customHeight="1">
      <c r="A98" s="14" t="s">
        <v>1181</v>
      </c>
      <c r="B98" s="8" t="str">
        <f t="shared" si="2"/>
        <v>giftcodesbanner/RO仙境傳說：守護永恆的愛 Classic-bar.jpg</v>
      </c>
      <c r="D98" s="8" t="str">
        <f t="shared" si="3"/>
        <v>https://www.ssbuy.tw/detail_giftcode/dist/giftcodes/RO仙境傳說：守護永恆的愛 Classic.html</v>
      </c>
      <c r="E98" s="9" t="s">
        <v>2215</v>
      </c>
      <c r="F98" s="10" t="s">
        <v>1710</v>
      </c>
      <c r="G98" s="11" t="s">
        <v>1711</v>
      </c>
      <c r="H98" s="11" t="s">
        <v>1840</v>
      </c>
      <c r="K98" s="12" t="s">
        <v>2216</v>
      </c>
      <c r="L98" s="8" t="s">
        <v>1920</v>
      </c>
      <c r="M98" s="13" t="s">
        <v>3062</v>
      </c>
      <c r="N98" s="8" t="s">
        <v>1920</v>
      </c>
      <c r="O98" s="13" t="s">
        <v>3063</v>
      </c>
      <c r="P98" s="8" t="s">
        <v>1920</v>
      </c>
      <c r="Q98" s="13" t="s">
        <v>3064</v>
      </c>
      <c r="R98" s="8" t="s">
        <v>1920</v>
      </c>
      <c r="S98" s="13" t="s">
        <v>2217</v>
      </c>
      <c r="T98" s="8" t="s">
        <v>1920</v>
      </c>
      <c r="U98" s="13" t="s">
        <v>3065</v>
      </c>
      <c r="V98" s="8" t="s">
        <v>1920</v>
      </c>
      <c r="W98" s="13" t="s">
        <v>3066</v>
      </c>
      <c r="X98" s="8" t="s">
        <v>1920</v>
      </c>
      <c r="Y98" s="13" t="s">
        <v>3067</v>
      </c>
      <c r="Z98" s="8" t="s">
        <v>1920</v>
      </c>
      <c r="AA98" s="13" t="s">
        <v>3068</v>
      </c>
      <c r="AB98" s="8" t="s">
        <v>1920</v>
      </c>
      <c r="AC98" s="13" t="s">
        <v>3069</v>
      </c>
      <c r="AD98" s="8" t="s">
        <v>1920</v>
      </c>
      <c r="AE98" s="13" t="s">
        <v>3070</v>
      </c>
      <c r="AF98" s="8" t="s">
        <v>1920</v>
      </c>
      <c r="AG98" s="13" t="s">
        <v>3071</v>
      </c>
      <c r="AH98" s="8" t="s">
        <v>1920</v>
      </c>
      <c r="AI98" s="13" t="s">
        <v>3072</v>
      </c>
      <c r="AJ98" s="8" t="s">
        <v>1920</v>
      </c>
      <c r="AK98" s="13" t="s">
        <v>2218</v>
      </c>
      <c r="AL98" s="8" t="s">
        <v>1920</v>
      </c>
      <c r="AM98" s="13" t="s">
        <v>3073</v>
      </c>
      <c r="AN98" s="8" t="s">
        <v>1920</v>
      </c>
      <c r="AO98" s="13" t="s">
        <v>3074</v>
      </c>
      <c r="AP98" s="8" t="s">
        <v>1920</v>
      </c>
      <c r="AQ98" s="13" t="s">
        <v>3075</v>
      </c>
      <c r="AR98" s="8" t="s">
        <v>1920</v>
      </c>
      <c r="AS98" s="13" t="s">
        <v>3076</v>
      </c>
      <c r="AT98" s="8" t="s">
        <v>1920</v>
      </c>
      <c r="AU98" s="13" t="s">
        <v>3077</v>
      </c>
      <c r="AV98" s="8" t="s">
        <v>1920</v>
      </c>
    </row>
    <row r="99" spans="1:49" ht="22.5" customHeight="1">
      <c r="A99" s="14" t="s">
        <v>2219</v>
      </c>
      <c r="B99" s="8" t="str">
        <f t="shared" si="2"/>
        <v>giftcodesbanner/魔力寶貝：復興-bar.jpg</v>
      </c>
      <c r="D99" s="8" t="str">
        <f t="shared" si="3"/>
        <v>https://www.ssbuy.tw/detail_giftcode/dist/giftcodes/魔力寶貝：復興.html</v>
      </c>
      <c r="E99" s="9" t="s">
        <v>3078</v>
      </c>
      <c r="F99" s="10" t="s">
        <v>1710</v>
      </c>
      <c r="G99" s="11" t="s">
        <v>1711</v>
      </c>
      <c r="H99" s="11" t="s">
        <v>1840</v>
      </c>
      <c r="K99" s="12" t="s">
        <v>3079</v>
      </c>
      <c r="L99" s="8" t="s">
        <v>2220</v>
      </c>
      <c r="M99" s="13" t="s">
        <v>1932</v>
      </c>
      <c r="N99" s="8" t="s">
        <v>2221</v>
      </c>
      <c r="O99" s="13" t="s">
        <v>2056</v>
      </c>
      <c r="P99" s="8" t="s">
        <v>3080</v>
      </c>
      <c r="Q99" s="13" t="s">
        <v>1841</v>
      </c>
      <c r="R99" s="8" t="s">
        <v>3081</v>
      </c>
      <c r="S99" s="13" t="s">
        <v>1933</v>
      </c>
      <c r="T99" s="8" t="s">
        <v>2222</v>
      </c>
      <c r="U99" s="13" t="s">
        <v>3082</v>
      </c>
      <c r="V99" s="8" t="s">
        <v>3083</v>
      </c>
      <c r="W99" s="13" t="s">
        <v>2223</v>
      </c>
      <c r="X99" s="8" t="s">
        <v>3084</v>
      </c>
      <c r="Y99" s="13" t="s">
        <v>2224</v>
      </c>
      <c r="Z99" s="8" t="s">
        <v>3085</v>
      </c>
    </row>
    <row r="100" spans="1:49" ht="22.5" customHeight="1">
      <c r="A100" s="14" t="s">
        <v>2225</v>
      </c>
      <c r="B100" s="8" t="str">
        <f t="shared" si="2"/>
        <v>giftcodesbanner/東京喰種Awakening-bar.jpg</v>
      </c>
      <c r="D100" s="8" t="str">
        <f t="shared" si="3"/>
        <v>https://www.ssbuy.tw/detail_giftcode/dist/giftcodes/東京喰種Awakening.html</v>
      </c>
      <c r="E100" s="9" t="s">
        <v>2226</v>
      </c>
      <c r="F100" s="10" t="s">
        <v>1710</v>
      </c>
      <c r="G100" s="11" t="s">
        <v>1711</v>
      </c>
      <c r="H100" s="11" t="s">
        <v>1840</v>
      </c>
      <c r="K100" s="12" t="s">
        <v>2227</v>
      </c>
      <c r="L100" s="8" t="s">
        <v>2228</v>
      </c>
      <c r="M100" s="13" t="s">
        <v>2229</v>
      </c>
      <c r="N100" s="8" t="s">
        <v>2230</v>
      </c>
      <c r="O100" s="13" t="s">
        <v>3086</v>
      </c>
      <c r="P100" s="8" t="s">
        <v>3087</v>
      </c>
      <c r="Q100" s="13" t="s">
        <v>3088</v>
      </c>
      <c r="R100" s="8" t="s">
        <v>3089</v>
      </c>
      <c r="S100" s="13" t="s">
        <v>2231</v>
      </c>
      <c r="T100" s="8" t="s">
        <v>3090</v>
      </c>
      <c r="U100" s="13" t="s">
        <v>3091</v>
      </c>
      <c r="V100" s="8" t="s">
        <v>2232</v>
      </c>
      <c r="W100" s="13" t="s">
        <v>2233</v>
      </c>
      <c r="X100" s="8" t="s">
        <v>3092</v>
      </c>
      <c r="Y100" s="13" t="s">
        <v>3093</v>
      </c>
      <c r="Z100" s="8" t="s">
        <v>3094</v>
      </c>
      <c r="AA100" s="13" t="s">
        <v>2234</v>
      </c>
      <c r="AB100" s="8" t="s">
        <v>3095</v>
      </c>
      <c r="AC100" s="13" t="s">
        <v>2235</v>
      </c>
      <c r="AD100" s="8" t="s">
        <v>3096</v>
      </c>
      <c r="AE100" s="13" t="s">
        <v>3097</v>
      </c>
      <c r="AF100" s="8" t="s">
        <v>2236</v>
      </c>
      <c r="AG100" s="13" t="s">
        <v>2237</v>
      </c>
      <c r="AH100" s="8" t="s">
        <v>2238</v>
      </c>
      <c r="AI100" s="13" t="s">
        <v>2239</v>
      </c>
      <c r="AJ100" s="8" t="s">
        <v>2240</v>
      </c>
    </row>
    <row r="101" spans="1:49" ht="22.5" customHeight="1">
      <c r="A101" s="14" t="s">
        <v>1207</v>
      </c>
      <c r="B101" s="8" t="str">
        <f t="shared" si="2"/>
        <v>giftcodesbanner/晶核-bar.jpg</v>
      </c>
      <c r="D101" s="8" t="str">
        <f t="shared" si="3"/>
        <v>https://www.ssbuy.tw/detail_giftcode/dist/giftcodes/晶核.html</v>
      </c>
      <c r="E101" s="9" t="s">
        <v>2241</v>
      </c>
      <c r="F101" s="10" t="s">
        <v>1710</v>
      </c>
      <c r="G101" s="11" t="s">
        <v>1711</v>
      </c>
      <c r="H101" s="11" t="s">
        <v>1840</v>
      </c>
      <c r="K101" s="12" t="s">
        <v>2242</v>
      </c>
      <c r="L101" s="8" t="s">
        <v>1920</v>
      </c>
      <c r="M101" s="13" t="s">
        <v>3098</v>
      </c>
      <c r="N101" s="8" t="s">
        <v>1920</v>
      </c>
      <c r="O101" s="13" t="s">
        <v>2243</v>
      </c>
      <c r="P101" s="8" t="s">
        <v>1920</v>
      </c>
      <c r="Q101" s="13" t="s">
        <v>3099</v>
      </c>
      <c r="R101" s="8" t="s">
        <v>1920</v>
      </c>
      <c r="S101" s="13" t="s">
        <v>3100</v>
      </c>
      <c r="T101" s="8" t="s">
        <v>1920</v>
      </c>
      <c r="U101" s="13" t="s">
        <v>2244</v>
      </c>
      <c r="V101" s="8" t="s">
        <v>1920</v>
      </c>
      <c r="W101" s="13" t="s">
        <v>2245</v>
      </c>
      <c r="X101" s="8" t="s">
        <v>1920</v>
      </c>
      <c r="Y101" s="13" t="s">
        <v>2246</v>
      </c>
      <c r="Z101" s="8" t="s">
        <v>1920</v>
      </c>
      <c r="AA101" s="13" t="s">
        <v>3101</v>
      </c>
      <c r="AB101" s="8" t="s">
        <v>1920</v>
      </c>
      <c r="AC101" s="13" t="s">
        <v>3102</v>
      </c>
      <c r="AD101" s="8" t="s">
        <v>1920</v>
      </c>
      <c r="AE101" s="13" t="s">
        <v>3103</v>
      </c>
      <c r="AF101" s="8" t="s">
        <v>1920</v>
      </c>
    </row>
    <row r="102" spans="1:49" ht="22.5" customHeight="1">
      <c r="A102" s="14" t="s">
        <v>1216</v>
      </c>
      <c r="B102" s="8" t="str">
        <f t="shared" si="2"/>
        <v>giftcodesbanner/無盡夢迴-bar.jpg</v>
      </c>
      <c r="D102" s="8" t="str">
        <f t="shared" si="3"/>
        <v>https://www.ssbuy.tw/detail_giftcode/dist/giftcodes/無盡夢迴.html</v>
      </c>
      <c r="E102" s="9" t="s">
        <v>3104</v>
      </c>
      <c r="F102" s="10" t="s">
        <v>1710</v>
      </c>
      <c r="G102" s="11" t="s">
        <v>1711</v>
      </c>
      <c r="H102" s="11" t="s">
        <v>1840</v>
      </c>
      <c r="K102" s="12" t="s">
        <v>2147</v>
      </c>
      <c r="L102" s="8" t="s">
        <v>3105</v>
      </c>
      <c r="M102" s="13" t="s">
        <v>2146</v>
      </c>
      <c r="N102" s="8" t="s">
        <v>2247</v>
      </c>
      <c r="O102" s="13" t="s">
        <v>3106</v>
      </c>
      <c r="P102" s="8" t="s">
        <v>3107</v>
      </c>
      <c r="Q102" s="13" t="s">
        <v>2248</v>
      </c>
      <c r="R102" s="8" t="s">
        <v>2249</v>
      </c>
      <c r="S102" s="13" t="s">
        <v>3108</v>
      </c>
      <c r="T102" s="8" t="s">
        <v>3107</v>
      </c>
      <c r="U102" s="13" t="s">
        <v>2250</v>
      </c>
      <c r="V102" s="8" t="s">
        <v>3109</v>
      </c>
    </row>
    <row r="103" spans="1:49" ht="22.5" customHeight="1">
      <c r="A103" s="8" t="s">
        <v>2251</v>
      </c>
      <c r="B103" s="8" t="str">
        <f t="shared" si="2"/>
        <v>giftcodesbanner/RO仙境傳說：放推冒險團-bar.jpg</v>
      </c>
      <c r="D103" s="8" t="str">
        <f t="shared" si="3"/>
        <v>https://www.ssbuy.tw/detail_giftcode/dist/giftcodes/RO仙境傳說：放推冒險團.html</v>
      </c>
      <c r="E103" s="9" t="s">
        <v>2252</v>
      </c>
      <c r="F103" s="10" t="s">
        <v>1710</v>
      </c>
      <c r="G103" s="11" t="s">
        <v>1711</v>
      </c>
      <c r="H103" s="11" t="s">
        <v>1840</v>
      </c>
      <c r="K103" s="12" t="s">
        <v>2253</v>
      </c>
      <c r="L103" s="8" t="s">
        <v>2254</v>
      </c>
      <c r="M103" s="13" t="s">
        <v>2255</v>
      </c>
      <c r="N103" s="8" t="s">
        <v>3110</v>
      </c>
      <c r="O103" s="13" t="s">
        <v>2256</v>
      </c>
      <c r="P103" s="8" t="s">
        <v>3111</v>
      </c>
      <c r="Q103" s="13" t="s">
        <v>3112</v>
      </c>
      <c r="R103" s="8" t="s">
        <v>2257</v>
      </c>
      <c r="S103" s="13" t="s">
        <v>3113</v>
      </c>
      <c r="T103" s="8" t="s">
        <v>2258</v>
      </c>
      <c r="U103" s="13" t="s">
        <v>2259</v>
      </c>
      <c r="V103" s="8" t="s">
        <v>2260</v>
      </c>
      <c r="W103" s="13" t="s">
        <v>2261</v>
      </c>
      <c r="X103" s="8" t="s">
        <v>3114</v>
      </c>
      <c r="Y103" s="13" t="s">
        <v>3115</v>
      </c>
      <c r="Z103" s="8" t="s">
        <v>2262</v>
      </c>
    </row>
    <row r="104" spans="1:49" ht="22.5" customHeight="1">
      <c r="A104" s="8" t="s">
        <v>1233</v>
      </c>
      <c r="B104" s="8" t="str">
        <f t="shared" si="2"/>
        <v>giftcodesbanner/英雄刷刷刷-bar.jpg</v>
      </c>
      <c r="D104" s="8" t="str">
        <f t="shared" si="3"/>
        <v>https://www.ssbuy.tw/detail_giftcode/dist/giftcodes/英雄刷刷刷.html</v>
      </c>
      <c r="E104" s="9" t="s">
        <v>2263</v>
      </c>
      <c r="F104" s="10" t="s">
        <v>1710</v>
      </c>
      <c r="G104" s="11" t="s">
        <v>1711</v>
      </c>
      <c r="H104" s="11" t="s">
        <v>1840</v>
      </c>
      <c r="K104" s="12" t="s">
        <v>3116</v>
      </c>
      <c r="L104" s="8" t="s">
        <v>1920</v>
      </c>
      <c r="M104" s="13" t="s">
        <v>2264</v>
      </c>
      <c r="N104" s="8" t="s">
        <v>1920</v>
      </c>
      <c r="O104" s="13" t="s">
        <v>2265</v>
      </c>
      <c r="P104" s="8" t="s">
        <v>1920</v>
      </c>
      <c r="Q104" s="13" t="s">
        <v>3117</v>
      </c>
      <c r="R104" s="8" t="s">
        <v>1920</v>
      </c>
      <c r="S104" s="13" t="s">
        <v>2266</v>
      </c>
      <c r="T104" s="8" t="s">
        <v>1920</v>
      </c>
      <c r="U104" s="13" t="s">
        <v>2267</v>
      </c>
      <c r="V104" s="8" t="s">
        <v>1920</v>
      </c>
      <c r="W104" s="13" t="s">
        <v>2268</v>
      </c>
      <c r="X104" s="8" t="s">
        <v>1920</v>
      </c>
      <c r="Y104" s="13" t="s">
        <v>2269</v>
      </c>
      <c r="AA104" s="13" t="s">
        <v>2270</v>
      </c>
      <c r="AC104" s="13" t="s">
        <v>2271</v>
      </c>
      <c r="AE104" s="13" t="s">
        <v>2272</v>
      </c>
      <c r="AG104" s="13" t="s">
        <v>2273</v>
      </c>
      <c r="AI104" s="13" t="s">
        <v>2274</v>
      </c>
      <c r="AK104" s="13" t="s">
        <v>2275</v>
      </c>
      <c r="AM104" s="13" t="s">
        <v>2276</v>
      </c>
      <c r="AO104" s="13" t="s">
        <v>2277</v>
      </c>
      <c r="AQ104" s="13" t="s">
        <v>2278</v>
      </c>
      <c r="AS104" s="13" t="s">
        <v>2279</v>
      </c>
      <c r="AU104" s="13" t="s">
        <v>2280</v>
      </c>
      <c r="AW104" s="13" t="s">
        <v>2281</v>
      </c>
    </row>
    <row r="105" spans="1:49" ht="22.5" customHeight="1">
      <c r="A105" s="20" t="s">
        <v>1245</v>
      </c>
      <c r="B105" s="8" t="str">
        <f t="shared" si="2"/>
        <v>giftcodesbanner/萬靈物語-bar.jpg</v>
      </c>
      <c r="D105" s="8" t="str">
        <f t="shared" si="3"/>
        <v>https://www.ssbuy.tw/detail_giftcode/dist/giftcodes/萬靈物語.html</v>
      </c>
      <c r="E105" s="9" t="s">
        <v>3118</v>
      </c>
      <c r="F105" s="10" t="s">
        <v>1710</v>
      </c>
      <c r="G105" s="11" t="s">
        <v>1711</v>
      </c>
      <c r="H105" s="11" t="s">
        <v>1840</v>
      </c>
      <c r="K105" s="12" t="s">
        <v>2282</v>
      </c>
      <c r="L105" s="8" t="s">
        <v>1920</v>
      </c>
      <c r="M105" s="13" t="s">
        <v>2283</v>
      </c>
      <c r="N105" s="8" t="s">
        <v>1920</v>
      </c>
      <c r="O105" s="13" t="s">
        <v>2284</v>
      </c>
      <c r="P105" s="8" t="s">
        <v>1920</v>
      </c>
      <c r="Q105" s="13" t="s">
        <v>2285</v>
      </c>
      <c r="R105" s="8" t="s">
        <v>1920</v>
      </c>
      <c r="S105" s="13" t="s">
        <v>2286</v>
      </c>
      <c r="T105" s="8" t="s">
        <v>1920</v>
      </c>
      <c r="U105" s="13" t="s">
        <v>2287</v>
      </c>
      <c r="V105" s="8" t="s">
        <v>1920</v>
      </c>
      <c r="W105" s="13" t="s">
        <v>2288</v>
      </c>
      <c r="X105" s="8" t="s">
        <v>1920</v>
      </c>
      <c r="Y105" s="13" t="s">
        <v>2289</v>
      </c>
      <c r="AA105" s="13" t="s">
        <v>2290</v>
      </c>
      <c r="AC105" s="13" t="s">
        <v>2291</v>
      </c>
      <c r="AE105" s="13" t="s">
        <v>2292</v>
      </c>
      <c r="AG105" s="13" t="s">
        <v>2293</v>
      </c>
      <c r="AI105" s="13" t="s">
        <v>2294</v>
      </c>
      <c r="AK105" s="13" t="s">
        <v>2295</v>
      </c>
      <c r="AM105" s="13" t="s">
        <v>2296</v>
      </c>
      <c r="AO105" s="13" t="s">
        <v>2297</v>
      </c>
      <c r="AQ105" s="13" t="s">
        <v>1715</v>
      </c>
      <c r="AS105" s="13" t="s">
        <v>1782</v>
      </c>
      <c r="AU105" s="13" t="s">
        <v>2298</v>
      </c>
      <c r="AW105" s="13" t="s">
        <v>2299</v>
      </c>
    </row>
    <row r="106" spans="1:49" ht="22.5" customHeight="1">
      <c r="A106" s="20" t="s">
        <v>2300</v>
      </c>
      <c r="B106" s="8" t="str">
        <f t="shared" si="2"/>
        <v>giftcodesbanner/斗羅大陸：逆轉時空-bar.jpg</v>
      </c>
      <c r="D106" s="8" t="str">
        <f t="shared" si="3"/>
        <v>https://www.ssbuy.tw/detail_giftcode/dist/giftcodes/斗羅大陸：逆轉時空.html</v>
      </c>
      <c r="E106" s="9" t="s">
        <v>3119</v>
      </c>
      <c r="F106" s="10" t="s">
        <v>1710</v>
      </c>
      <c r="G106" s="11" t="s">
        <v>1711</v>
      </c>
      <c r="H106" s="11" t="s">
        <v>1840</v>
      </c>
      <c r="K106" s="12" t="s">
        <v>3120</v>
      </c>
      <c r="L106" s="8" t="s">
        <v>1920</v>
      </c>
      <c r="M106" s="13" t="s">
        <v>3121</v>
      </c>
      <c r="N106" s="8" t="s">
        <v>1920</v>
      </c>
      <c r="O106" s="13" t="s">
        <v>2301</v>
      </c>
      <c r="P106" s="8" t="s">
        <v>1920</v>
      </c>
      <c r="Q106" s="13" t="s">
        <v>2302</v>
      </c>
      <c r="R106" s="8" t="s">
        <v>1920</v>
      </c>
      <c r="S106" s="13" t="s">
        <v>2303</v>
      </c>
      <c r="T106" s="8" t="s">
        <v>1920</v>
      </c>
      <c r="U106" s="13" t="s">
        <v>2304</v>
      </c>
      <c r="V106" s="8" t="s">
        <v>1920</v>
      </c>
      <c r="W106" s="13" t="s">
        <v>2305</v>
      </c>
      <c r="X106" s="8" t="s">
        <v>1920</v>
      </c>
      <c r="Y106" s="13" t="s">
        <v>3122</v>
      </c>
      <c r="AA106" s="13" t="s">
        <v>3123</v>
      </c>
      <c r="AC106" s="13" t="s">
        <v>2306</v>
      </c>
      <c r="AE106" s="13" t="s">
        <v>3124</v>
      </c>
    </row>
    <row r="107" spans="1:49" ht="22.5" customHeight="1">
      <c r="A107" s="20" t="s">
        <v>2307</v>
      </c>
      <c r="B107" s="8" t="str">
        <f t="shared" si="2"/>
        <v>giftcodesbanner/魔靈召喚：保衛戰-bar.jpg</v>
      </c>
      <c r="D107" s="8" t="str">
        <f t="shared" si="3"/>
        <v>https://www.ssbuy.tw/detail_giftcode/dist/giftcodes/魔靈召喚：保衛戰.html</v>
      </c>
      <c r="E107" s="9" t="s">
        <v>3125</v>
      </c>
      <c r="F107" s="10" t="s">
        <v>1710</v>
      </c>
      <c r="G107" s="11" t="s">
        <v>1711</v>
      </c>
      <c r="H107" s="11" t="s">
        <v>1840</v>
      </c>
    </row>
    <row r="108" spans="1:49" ht="22.5" customHeight="1">
      <c r="A108" s="20" t="s">
        <v>1265</v>
      </c>
      <c r="B108" s="8" t="str">
        <f t="shared" si="2"/>
        <v>giftcodesbanner/潘多蘭島-bar.jpg</v>
      </c>
      <c r="D108" s="8" t="str">
        <f t="shared" si="3"/>
        <v>https://www.ssbuy.tw/detail_giftcode/dist/giftcodes/潘多蘭島.html</v>
      </c>
      <c r="E108" s="9" t="s">
        <v>3126</v>
      </c>
      <c r="F108" s="10" t="s">
        <v>1710</v>
      </c>
      <c r="G108" s="11" t="s">
        <v>1711</v>
      </c>
      <c r="H108" s="11" t="s">
        <v>1840</v>
      </c>
      <c r="K108" s="12" t="s">
        <v>2308</v>
      </c>
      <c r="L108" s="8" t="s">
        <v>1920</v>
      </c>
    </row>
    <row r="109" spans="1:49" ht="22.5" customHeight="1">
      <c r="A109" s="20" t="s">
        <v>1274</v>
      </c>
      <c r="B109" s="8" t="str">
        <f t="shared" si="2"/>
        <v>giftcodesbanner/電鋸果汁大亂鬥-bar.jpg</v>
      </c>
      <c r="D109" s="8" t="str">
        <f t="shared" si="3"/>
        <v>https://www.ssbuy.tw/detail_giftcode/dist/giftcodes/電鋸果汁大亂鬥.html</v>
      </c>
      <c r="E109" s="9" t="s">
        <v>4591</v>
      </c>
      <c r="F109" s="10" t="s">
        <v>1710</v>
      </c>
      <c r="G109" s="11" t="s">
        <v>1711</v>
      </c>
      <c r="H109" s="11" t="s">
        <v>1840</v>
      </c>
      <c r="K109" s="12" t="s">
        <v>2309</v>
      </c>
      <c r="L109" s="8" t="s">
        <v>1920</v>
      </c>
    </row>
    <row r="110" spans="1:49" ht="22.5" customHeight="1">
      <c r="A110" s="20" t="s">
        <v>1280</v>
      </c>
      <c r="B110" s="8" t="str">
        <f t="shared" si="2"/>
        <v>giftcodesbanner/風色幻想NeXus-bar.jpg</v>
      </c>
      <c r="D110" s="8" t="str">
        <f t="shared" si="3"/>
        <v>https://www.ssbuy.tw/detail_giftcode/dist/giftcodes/風色幻想NeXus.html</v>
      </c>
      <c r="E110" s="9" t="s">
        <v>3127</v>
      </c>
      <c r="F110" s="10" t="s">
        <v>1710</v>
      </c>
      <c r="G110" s="11" t="s">
        <v>1711</v>
      </c>
      <c r="H110" s="11" t="s">
        <v>1840</v>
      </c>
      <c r="K110" s="12" t="s">
        <v>3128</v>
      </c>
      <c r="L110" s="8" t="s">
        <v>2310</v>
      </c>
      <c r="M110" s="13" t="s">
        <v>2311</v>
      </c>
      <c r="N110" s="8" t="s">
        <v>2312</v>
      </c>
      <c r="O110" s="13" t="s">
        <v>2313</v>
      </c>
      <c r="P110" s="8" t="s">
        <v>2312</v>
      </c>
    </row>
    <row r="111" spans="1:49" ht="22.5" customHeight="1">
      <c r="A111" s="20" t="s">
        <v>1290</v>
      </c>
      <c r="B111" s="8" t="str">
        <f t="shared" si="2"/>
        <v>giftcodesbanner/星河訣愛-bar.jpg</v>
      </c>
      <c r="D111" s="8" t="str">
        <f t="shared" si="3"/>
        <v>https://www.ssbuy.tw/detail_giftcode/dist/giftcodes/星河訣愛.html</v>
      </c>
      <c r="E111" s="9" t="s">
        <v>2314</v>
      </c>
      <c r="F111" s="10" t="s">
        <v>1710</v>
      </c>
      <c r="G111" s="11" t="s">
        <v>1711</v>
      </c>
      <c r="H111" s="11" t="s">
        <v>1840</v>
      </c>
      <c r="K111" s="12" t="s">
        <v>3129</v>
      </c>
      <c r="L111" s="8" t="s">
        <v>2315</v>
      </c>
      <c r="M111" s="13" t="s">
        <v>3130</v>
      </c>
      <c r="N111" s="8" t="s">
        <v>3131</v>
      </c>
      <c r="O111" s="13" t="s">
        <v>3132</v>
      </c>
      <c r="P111" s="8" t="s">
        <v>2316</v>
      </c>
      <c r="Q111" s="13" t="s">
        <v>3133</v>
      </c>
      <c r="R111" s="8" t="s">
        <v>2317</v>
      </c>
      <c r="S111" s="13" t="s">
        <v>3134</v>
      </c>
      <c r="T111" s="8" t="s">
        <v>3135</v>
      </c>
      <c r="U111" s="13" t="s">
        <v>2141</v>
      </c>
      <c r="V111" s="8" t="s">
        <v>3136</v>
      </c>
      <c r="W111" s="13" t="s">
        <v>2318</v>
      </c>
      <c r="X111" s="8" t="s">
        <v>2319</v>
      </c>
      <c r="Y111" s="13" t="s">
        <v>2308</v>
      </c>
      <c r="Z111" s="8" t="s">
        <v>3137</v>
      </c>
    </row>
    <row r="112" spans="1:49" ht="22.5" customHeight="1">
      <c r="A112" s="20" t="s">
        <v>3</v>
      </c>
      <c r="B112" s="8" t="str">
        <f t="shared" si="2"/>
        <v>giftcodesbanner/kingshot-bar.jpg</v>
      </c>
      <c r="D112" s="8" t="str">
        <f t="shared" si="3"/>
        <v>https://www.ssbuy.tw/detail_giftcode/dist/giftcodes/kingshot.html</v>
      </c>
      <c r="E112" s="9" t="s">
        <v>2320</v>
      </c>
      <c r="F112" s="10" t="s">
        <v>1710</v>
      </c>
      <c r="G112" s="11" t="s">
        <v>1711</v>
      </c>
      <c r="H112" s="11" t="s">
        <v>1840</v>
      </c>
      <c r="K112" s="12" t="s">
        <v>2321</v>
      </c>
      <c r="L112" s="8" t="s">
        <v>1920</v>
      </c>
      <c r="M112" s="13" t="s">
        <v>2322</v>
      </c>
      <c r="N112" s="8" t="s">
        <v>1920</v>
      </c>
      <c r="O112" s="13" t="s">
        <v>3138</v>
      </c>
      <c r="P112" s="8" t="s">
        <v>1920</v>
      </c>
      <c r="Q112" s="13" t="s">
        <v>2323</v>
      </c>
      <c r="R112" s="8" t="s">
        <v>1920</v>
      </c>
      <c r="S112" s="13" t="s">
        <v>3139</v>
      </c>
      <c r="T112" s="8" t="s">
        <v>1920</v>
      </c>
    </row>
    <row r="113" spans="1:50" ht="22.5" customHeight="1">
      <c r="A113" s="20" t="s">
        <v>1297</v>
      </c>
      <c r="B113" s="8" t="str">
        <f t="shared" si="2"/>
        <v>giftcodesbanner/胡鬧地牢-bar.jpg</v>
      </c>
      <c r="D113" s="8" t="str">
        <f t="shared" si="3"/>
        <v>https://www.ssbuy.tw/detail_giftcode/dist/giftcodes/胡鬧地牢.html</v>
      </c>
      <c r="E113" s="9" t="s">
        <v>3140</v>
      </c>
      <c r="F113" s="10" t="s">
        <v>1710</v>
      </c>
      <c r="G113" s="11" t="s">
        <v>1711</v>
      </c>
      <c r="H113" s="11" t="s">
        <v>1840</v>
      </c>
      <c r="K113" s="12" t="s">
        <v>2324</v>
      </c>
      <c r="L113" s="8" t="s">
        <v>1920</v>
      </c>
      <c r="M113" s="13" t="s">
        <v>2325</v>
      </c>
      <c r="N113" s="8" t="s">
        <v>2326</v>
      </c>
      <c r="O113" s="13" t="s">
        <v>2327</v>
      </c>
      <c r="P113" s="8" t="s">
        <v>2328</v>
      </c>
      <c r="Q113" s="13" t="s">
        <v>2329</v>
      </c>
      <c r="R113" s="22" t="s">
        <v>2330</v>
      </c>
      <c r="S113" s="13" t="s">
        <v>3141</v>
      </c>
      <c r="T113" s="8" t="s">
        <v>2331</v>
      </c>
      <c r="U113" s="13" t="s">
        <v>2332</v>
      </c>
      <c r="V113" s="8" t="s">
        <v>2333</v>
      </c>
      <c r="W113" s="13" t="s">
        <v>3142</v>
      </c>
      <c r="X113" s="8" t="s">
        <v>1920</v>
      </c>
      <c r="Y113" s="13" t="s">
        <v>2334</v>
      </c>
      <c r="Z113" s="8" t="s">
        <v>1920</v>
      </c>
      <c r="AA113" s="13" t="s">
        <v>2335</v>
      </c>
      <c r="AB113" s="8" t="s">
        <v>1920</v>
      </c>
      <c r="AC113" s="13" t="s">
        <v>2336</v>
      </c>
      <c r="AD113" s="8" t="s">
        <v>1920</v>
      </c>
      <c r="AE113" s="13" t="s">
        <v>2337</v>
      </c>
      <c r="AF113" s="8" t="s">
        <v>1920</v>
      </c>
      <c r="AG113" s="13" t="s">
        <v>2338</v>
      </c>
      <c r="AH113" s="8" t="s">
        <v>1920</v>
      </c>
    </row>
    <row r="114" spans="1:50" ht="22.5" customHeight="1">
      <c r="A114" s="20" t="s">
        <v>1303</v>
      </c>
      <c r="B114" s="8" t="str">
        <f t="shared" si="2"/>
        <v>giftcodesbanner/小小軍團-重生-bar.jpg</v>
      </c>
      <c r="D114" s="8" t="str">
        <f t="shared" si="3"/>
        <v>https://www.ssbuy.tw/detail_giftcode/dist/giftcodes/小小軍團-重生.html</v>
      </c>
      <c r="E114" s="9" t="s">
        <v>3143</v>
      </c>
      <c r="F114" s="10" t="s">
        <v>1710</v>
      </c>
      <c r="G114" s="11" t="s">
        <v>1711</v>
      </c>
      <c r="H114" s="11" t="s">
        <v>1840</v>
      </c>
      <c r="K114" s="12" t="s">
        <v>2339</v>
      </c>
      <c r="L114" s="8" t="s">
        <v>1920</v>
      </c>
      <c r="M114" s="13" t="s">
        <v>3144</v>
      </c>
      <c r="N114" s="8" t="s">
        <v>2340</v>
      </c>
      <c r="O114" s="13" t="s">
        <v>2341</v>
      </c>
      <c r="P114" s="8" t="s">
        <v>3145</v>
      </c>
      <c r="Q114" s="13" t="s">
        <v>2342</v>
      </c>
      <c r="R114" s="8" t="s">
        <v>2345</v>
      </c>
      <c r="S114" s="13" t="s">
        <v>2343</v>
      </c>
      <c r="T114" s="8" t="s">
        <v>2345</v>
      </c>
      <c r="U114" s="13" t="s">
        <v>2344</v>
      </c>
      <c r="V114" s="8" t="s">
        <v>2345</v>
      </c>
      <c r="W114" s="13" t="s">
        <v>2346</v>
      </c>
      <c r="X114" s="8" t="s">
        <v>2345</v>
      </c>
      <c r="Y114" s="13" t="s">
        <v>2347</v>
      </c>
      <c r="Z114" s="8" t="s">
        <v>2350</v>
      </c>
      <c r="AA114" s="13" t="s">
        <v>2348</v>
      </c>
      <c r="AB114" s="8" t="s">
        <v>2345</v>
      </c>
      <c r="AC114" s="13" t="s">
        <v>2349</v>
      </c>
      <c r="AD114" s="8" t="s">
        <v>2350</v>
      </c>
      <c r="AE114" s="13" t="s">
        <v>2351</v>
      </c>
      <c r="AF114" s="8" t="s">
        <v>2350</v>
      </c>
      <c r="AG114" s="13" t="s">
        <v>2352</v>
      </c>
      <c r="AH114" s="8" t="s">
        <v>2350</v>
      </c>
      <c r="AI114" s="13" t="s">
        <v>2353</v>
      </c>
      <c r="AJ114" s="8" t="s">
        <v>2350</v>
      </c>
    </row>
    <row r="115" spans="1:50" ht="22.5" customHeight="1">
      <c r="A115" s="20" t="s">
        <v>1314</v>
      </c>
      <c r="B115" s="8" t="str">
        <f t="shared" si="2"/>
        <v>giftcodesbanner/爪爪遠征-bar.jpg</v>
      </c>
      <c r="D115" s="8" t="str">
        <f t="shared" si="3"/>
        <v>https://www.ssbuy.tw/detail_giftcode/dist/giftcodes/爪爪遠征.html</v>
      </c>
      <c r="E115" s="9" t="s">
        <v>2354</v>
      </c>
      <c r="F115" s="10" t="s">
        <v>1710</v>
      </c>
      <c r="G115" s="11" t="s">
        <v>1711</v>
      </c>
      <c r="H115" s="11" t="s">
        <v>1840</v>
      </c>
      <c r="K115" s="12" t="s">
        <v>2355</v>
      </c>
      <c r="L115" s="8" t="s">
        <v>2355</v>
      </c>
    </row>
    <row r="116" spans="1:50" ht="22.5" customHeight="1">
      <c r="A116" s="20" t="s">
        <v>1324</v>
      </c>
      <c r="B116" s="8" t="str">
        <f t="shared" si="2"/>
        <v>giftcodesbanner/勇士團團轉-bar.jpg</v>
      </c>
      <c r="D116" s="8" t="str">
        <f t="shared" si="3"/>
        <v>https://www.ssbuy.tw/detail_giftcode/dist/giftcodes/勇士團團轉.html</v>
      </c>
      <c r="E116" s="9" t="s">
        <v>2356</v>
      </c>
      <c r="F116" s="10" t="s">
        <v>1710</v>
      </c>
      <c r="G116" s="11" t="s">
        <v>1711</v>
      </c>
      <c r="H116" s="11" t="s">
        <v>1840</v>
      </c>
      <c r="K116" s="12" t="s">
        <v>2355</v>
      </c>
      <c r="L116" s="8" t="s">
        <v>2355</v>
      </c>
    </row>
    <row r="117" spans="1:50" ht="22.5" customHeight="1">
      <c r="A117" s="20" t="s">
        <v>1331</v>
      </c>
      <c r="B117" s="8" t="str">
        <f t="shared" si="2"/>
        <v>giftcodesbanner/魁 三國志大戰-bar.jpg</v>
      </c>
      <c r="D117" s="8" t="str">
        <f t="shared" si="3"/>
        <v>https://www.ssbuy.tw/detail_giftcode/dist/giftcodes/魁 三國志大戰.html</v>
      </c>
      <c r="E117" s="9" t="s">
        <v>3146</v>
      </c>
      <c r="F117" s="10" t="s">
        <v>1710</v>
      </c>
      <c r="G117" s="11" t="s">
        <v>1711</v>
      </c>
      <c r="H117" s="11" t="s">
        <v>1840</v>
      </c>
      <c r="K117" s="12" t="s">
        <v>3147</v>
      </c>
      <c r="L117" s="8" t="s">
        <v>2357</v>
      </c>
      <c r="M117" s="13" t="s">
        <v>2358</v>
      </c>
      <c r="N117" s="8" t="s">
        <v>2359</v>
      </c>
    </row>
    <row r="118" spans="1:50" ht="22.5" customHeight="1">
      <c r="A118" s="20" t="s">
        <v>8</v>
      </c>
      <c r="B118" s="8" t="str">
        <f t="shared" si="2"/>
        <v>giftcodesbanner/tokyo beast-bar.jpg</v>
      </c>
      <c r="D118" s="8" t="str">
        <f t="shared" si="3"/>
        <v>https://www.ssbuy.tw/detail_giftcode/dist/giftcodes/tokyo beast.html</v>
      </c>
      <c r="E118" s="9" t="s">
        <v>2360</v>
      </c>
      <c r="F118" s="10" t="s">
        <v>1710</v>
      </c>
      <c r="G118" s="11" t="s">
        <v>1711</v>
      </c>
      <c r="H118" s="11" t="s">
        <v>1840</v>
      </c>
      <c r="K118" s="12" t="s">
        <v>2355</v>
      </c>
      <c r="L118" s="8" t="s">
        <v>2355</v>
      </c>
    </row>
    <row r="119" spans="1:50" ht="22.5" customHeight="1">
      <c r="A119" s="14" t="s">
        <v>1351</v>
      </c>
      <c r="B119" s="8" t="str">
        <f t="shared" si="2"/>
        <v>giftcodesbanner/切換英雄：放置型RPG-bar.jpg</v>
      </c>
      <c r="D119" s="8" t="str">
        <f t="shared" si="3"/>
        <v>https://www.ssbuy.tw/detail_giftcode/dist/giftcodes/切換英雄：放置型RPG.html</v>
      </c>
      <c r="E119" s="17" t="s">
        <v>3148</v>
      </c>
      <c r="F119" s="10" t="s">
        <v>1710</v>
      </c>
      <c r="G119" s="11" t="s">
        <v>1711</v>
      </c>
      <c r="H119" s="11" t="s">
        <v>1840</v>
      </c>
      <c r="K119" s="12" t="s">
        <v>2361</v>
      </c>
      <c r="L119" s="8" t="s">
        <v>2362</v>
      </c>
      <c r="M119" s="13" t="s">
        <v>3149</v>
      </c>
      <c r="N119" s="8" t="s">
        <v>3150</v>
      </c>
      <c r="O119" s="23" t="s">
        <v>2363</v>
      </c>
      <c r="P119" s="22" t="s">
        <v>2364</v>
      </c>
      <c r="Q119" s="23" t="s">
        <v>2365</v>
      </c>
      <c r="R119" s="22" t="s">
        <v>2366</v>
      </c>
      <c r="S119" s="23" t="s">
        <v>4592</v>
      </c>
      <c r="T119" s="22" t="s">
        <v>2366</v>
      </c>
      <c r="U119" s="23" t="s">
        <v>4593</v>
      </c>
      <c r="V119" s="22" t="s">
        <v>2367</v>
      </c>
      <c r="W119" s="23" t="s">
        <v>4594</v>
      </c>
      <c r="X119" s="22" t="s">
        <v>2366</v>
      </c>
    </row>
    <row r="120" spans="1:50" ht="22.5" customHeight="1">
      <c r="A120" s="8" t="s">
        <v>1362</v>
      </c>
      <c r="B120" s="8" t="str">
        <f t="shared" si="2"/>
        <v>giftcodesbanner/小死神傳奇-bar.jpg</v>
      </c>
      <c r="D120" s="8" t="str">
        <f t="shared" si="3"/>
        <v>https://www.ssbuy.tw/detail_giftcode/dist/giftcodes/小死神傳奇.html</v>
      </c>
      <c r="E120" s="9" t="s">
        <v>3151</v>
      </c>
      <c r="F120" s="10" t="s">
        <v>1710</v>
      </c>
      <c r="G120" s="11" t="s">
        <v>1711</v>
      </c>
      <c r="H120" s="11" t="s">
        <v>1840</v>
      </c>
      <c r="K120" s="12" t="s">
        <v>2355</v>
      </c>
      <c r="L120" s="8" t="s">
        <v>2355</v>
      </c>
    </row>
    <row r="121" spans="1:50" ht="22.5" customHeight="1">
      <c r="A121" s="8" t="s">
        <v>3152</v>
      </c>
      <c r="B121" s="8" t="str">
        <f t="shared" si="2"/>
        <v>giftcodesbanner/闇影詩章：凌越世界-bar.jpg</v>
      </c>
      <c r="D121" s="8" t="str">
        <f t="shared" si="3"/>
        <v>https://www.ssbuy.tw/detail_giftcode/dist/giftcodes/闇影詩章：凌越世界.html</v>
      </c>
      <c r="E121" s="17" t="s">
        <v>3153</v>
      </c>
      <c r="F121" s="10" t="s">
        <v>1710</v>
      </c>
      <c r="G121" s="11" t="s">
        <v>1711</v>
      </c>
      <c r="H121" s="11" t="s">
        <v>1840</v>
      </c>
      <c r="K121" s="12" t="s">
        <v>2355</v>
      </c>
      <c r="L121" s="8" t="s">
        <v>3154</v>
      </c>
    </row>
    <row r="122" spans="1:50" ht="22.5" customHeight="1">
      <c r="A122" s="20" t="s">
        <v>1379</v>
      </c>
      <c r="B122" s="8" t="str">
        <f t="shared" si="2"/>
        <v>giftcodesbanner/雪月風花-bar.jpg</v>
      </c>
      <c r="D122" s="8" t="str">
        <f t="shared" si="3"/>
        <v>https://www.ssbuy.tw/detail_giftcode/dist/giftcodes/雪月風花.html</v>
      </c>
      <c r="E122" s="9" t="s">
        <v>3155</v>
      </c>
      <c r="F122" s="10" t="s">
        <v>1710</v>
      </c>
      <c r="G122" s="11" t="s">
        <v>1711</v>
      </c>
      <c r="H122" s="11" t="s">
        <v>1840</v>
      </c>
      <c r="K122" s="24" t="s">
        <v>2369</v>
      </c>
      <c r="L122" s="22" t="s">
        <v>2370</v>
      </c>
      <c r="M122" s="23" t="s">
        <v>1782</v>
      </c>
      <c r="N122" s="22" t="s">
        <v>2371</v>
      </c>
      <c r="O122" s="23" t="s">
        <v>1714</v>
      </c>
      <c r="P122" s="22" t="s">
        <v>2372</v>
      </c>
      <c r="Q122" s="23" t="s">
        <v>1715</v>
      </c>
      <c r="R122" s="22" t="s">
        <v>2373</v>
      </c>
      <c r="S122" s="23" t="s">
        <v>1820</v>
      </c>
      <c r="T122" s="22" t="s">
        <v>2374</v>
      </c>
      <c r="U122" s="23" t="s">
        <v>2375</v>
      </c>
      <c r="V122" s="22" t="s">
        <v>2376</v>
      </c>
      <c r="W122" s="23" t="s">
        <v>2377</v>
      </c>
      <c r="X122" s="22" t="s">
        <v>2378</v>
      </c>
      <c r="Y122" s="23" t="s">
        <v>2379</v>
      </c>
      <c r="Z122" s="22" t="s">
        <v>2380</v>
      </c>
      <c r="AA122" s="23" t="s">
        <v>2379</v>
      </c>
      <c r="AB122" s="22" t="s">
        <v>2380</v>
      </c>
      <c r="AC122" s="23" t="s">
        <v>2381</v>
      </c>
      <c r="AD122" s="22" t="s">
        <v>2382</v>
      </c>
      <c r="AE122" s="23" t="s">
        <v>2383</v>
      </c>
      <c r="AF122" s="22" t="s">
        <v>2384</v>
      </c>
      <c r="AG122" s="23" t="s">
        <v>2385</v>
      </c>
      <c r="AH122" s="22" t="s">
        <v>2386</v>
      </c>
      <c r="AI122" s="23" t="s">
        <v>2387</v>
      </c>
      <c r="AJ122" s="22" t="s">
        <v>2388</v>
      </c>
      <c r="AK122" s="23" t="s">
        <v>2389</v>
      </c>
      <c r="AL122" s="22" t="s">
        <v>2390</v>
      </c>
      <c r="AM122" s="23" t="s">
        <v>2391</v>
      </c>
      <c r="AN122" s="22" t="s">
        <v>2392</v>
      </c>
    </row>
    <row r="123" spans="1:50" ht="22.5" customHeight="1">
      <c r="A123" s="20" t="s">
        <v>1381</v>
      </c>
      <c r="B123" s="8" t="str">
        <f t="shared" si="2"/>
        <v>giftcodesbanner/文明帝國：同盟時代-bar.jpg</v>
      </c>
      <c r="D123" s="8" t="str">
        <f t="shared" si="3"/>
        <v>https://www.ssbuy.tw/detail_giftcode/dist/giftcodes/文明帝國：同盟時代.html</v>
      </c>
      <c r="E123" s="9" t="s">
        <v>3156</v>
      </c>
      <c r="F123" s="10" t="s">
        <v>1710</v>
      </c>
      <c r="G123" s="11" t="s">
        <v>1711</v>
      </c>
      <c r="H123" s="11" t="s">
        <v>2518</v>
      </c>
      <c r="K123" s="26" t="s">
        <v>2393</v>
      </c>
      <c r="L123" s="7" t="s">
        <v>2394</v>
      </c>
      <c r="M123" s="21" t="s">
        <v>2395</v>
      </c>
      <c r="N123" s="7" t="s">
        <v>2396</v>
      </c>
    </row>
    <row r="124" spans="1:50" ht="22.5" customHeight="1">
      <c r="A124" s="20" t="s">
        <v>1383</v>
      </c>
      <c r="B124" s="8" t="str">
        <f t="shared" si="2"/>
        <v>giftcodesbanner/魔法商店大亨-bar.jpg</v>
      </c>
      <c r="D124" s="8" t="str">
        <f t="shared" si="3"/>
        <v>https://www.ssbuy.tw/detail_giftcode/dist/giftcodes/魔法商店大亨.html</v>
      </c>
      <c r="E124" s="9" t="s">
        <v>2397</v>
      </c>
      <c r="F124" s="10" t="s">
        <v>2368</v>
      </c>
      <c r="G124" s="11" t="s">
        <v>1711</v>
      </c>
      <c r="H124" s="11" t="s">
        <v>1840</v>
      </c>
      <c r="K124" s="12" t="s">
        <v>1932</v>
      </c>
      <c r="L124" s="8" t="s">
        <v>2398</v>
      </c>
      <c r="M124" s="13" t="s">
        <v>2056</v>
      </c>
      <c r="N124" s="8" t="s">
        <v>3157</v>
      </c>
      <c r="O124" s="13" t="s">
        <v>1841</v>
      </c>
      <c r="P124" s="8" t="s">
        <v>2399</v>
      </c>
      <c r="Q124" s="13" t="s">
        <v>3158</v>
      </c>
      <c r="R124" s="8" t="s">
        <v>3159</v>
      </c>
      <c r="S124" s="13" t="s">
        <v>2199</v>
      </c>
      <c r="T124" s="8" t="s">
        <v>3160</v>
      </c>
      <c r="U124" s="13" t="s">
        <v>2200</v>
      </c>
      <c r="V124" s="8" t="s">
        <v>3161</v>
      </c>
      <c r="W124" s="13" t="s">
        <v>3162</v>
      </c>
      <c r="X124" s="8" t="s">
        <v>3163</v>
      </c>
    </row>
    <row r="125" spans="1:50" ht="22.5" customHeight="1">
      <c r="A125" s="20" t="s">
        <v>1385</v>
      </c>
      <c r="B125" s="8" t="str">
        <f t="shared" si="2"/>
        <v>giftcodesbanner/新仙劍奇俠傳lite-bar.jpg</v>
      </c>
      <c r="D125" s="8" t="str">
        <f t="shared" si="3"/>
        <v>https://www.ssbuy.tw/detail_giftcode/dist/giftcodes/新仙劍奇俠傳lite.html</v>
      </c>
      <c r="E125" s="9" t="s">
        <v>1386</v>
      </c>
      <c r="F125" s="10" t="s">
        <v>1710</v>
      </c>
      <c r="G125" s="11" t="s">
        <v>1711</v>
      </c>
      <c r="H125" s="11" t="s">
        <v>1840</v>
      </c>
      <c r="K125" s="12" t="s">
        <v>2402</v>
      </c>
      <c r="L125" s="8" t="s">
        <v>1920</v>
      </c>
      <c r="M125" s="13" t="s">
        <v>2403</v>
      </c>
      <c r="N125" s="8" t="s">
        <v>1920</v>
      </c>
      <c r="O125" s="13" t="s">
        <v>2404</v>
      </c>
      <c r="P125" s="8" t="s">
        <v>1920</v>
      </c>
      <c r="Q125" s="13" t="s">
        <v>2405</v>
      </c>
      <c r="R125" s="8" t="s">
        <v>1920</v>
      </c>
      <c r="S125" s="13" t="s">
        <v>2406</v>
      </c>
      <c r="T125" s="8" t="s">
        <v>1920</v>
      </c>
      <c r="U125" s="13" t="s">
        <v>1715</v>
      </c>
      <c r="V125" s="8" t="s">
        <v>1920</v>
      </c>
      <c r="W125" s="13" t="s">
        <v>1714</v>
      </c>
      <c r="X125" s="8" t="s">
        <v>1920</v>
      </c>
      <c r="Y125" s="13" t="s">
        <v>1782</v>
      </c>
      <c r="Z125" s="8" t="s">
        <v>1920</v>
      </c>
      <c r="AA125" s="13" t="s">
        <v>2407</v>
      </c>
      <c r="AB125" s="8" t="s">
        <v>1920</v>
      </c>
      <c r="AC125" s="13" t="s">
        <v>2408</v>
      </c>
      <c r="AD125" s="8" t="s">
        <v>1920</v>
      </c>
      <c r="AE125" s="13" t="s">
        <v>2409</v>
      </c>
      <c r="AF125" s="8" t="s">
        <v>1920</v>
      </c>
      <c r="AG125" s="13" t="s">
        <v>2410</v>
      </c>
      <c r="AH125" s="8" t="s">
        <v>1920</v>
      </c>
      <c r="AI125" s="13" t="s">
        <v>2411</v>
      </c>
      <c r="AJ125" s="8" t="s">
        <v>1920</v>
      </c>
      <c r="AK125" s="13" t="s">
        <v>2412</v>
      </c>
      <c r="AL125" s="8" t="s">
        <v>1920</v>
      </c>
      <c r="AM125" s="13" t="s">
        <v>2407</v>
      </c>
      <c r="AN125" s="8" t="s">
        <v>1920</v>
      </c>
      <c r="AO125" s="13" t="s">
        <v>2413</v>
      </c>
      <c r="AP125" s="8" t="s">
        <v>1920</v>
      </c>
      <c r="AQ125" s="13" t="s">
        <v>2414</v>
      </c>
      <c r="AR125" s="8" t="s">
        <v>1920</v>
      </c>
      <c r="AS125" s="13" t="s">
        <v>2415</v>
      </c>
      <c r="AT125" s="8" t="s">
        <v>1920</v>
      </c>
      <c r="AU125" s="13" t="s">
        <v>2416</v>
      </c>
      <c r="AV125" s="8" t="s">
        <v>1920</v>
      </c>
      <c r="AW125" s="13" t="s">
        <v>2417</v>
      </c>
      <c r="AX125" s="8" t="s">
        <v>1920</v>
      </c>
    </row>
    <row r="126" spans="1:50" ht="22.5" customHeight="1">
      <c r="A126" s="20" t="s">
        <v>1387</v>
      </c>
      <c r="B126" s="8" t="str">
        <f>"giftcodesbanner/" &amp; A126 &amp; "-bar.jpg"</f>
        <v>giftcodesbanner/神州M-bar.jpg</v>
      </c>
      <c r="D126" s="8" t="str">
        <f t="shared" si="3"/>
        <v>https://www.ssbuy.tw/detail_giftcode/dist/giftcodes/神州M.html</v>
      </c>
      <c r="E126" s="9" t="s">
        <v>3164</v>
      </c>
      <c r="F126" s="10" t="s">
        <v>1710</v>
      </c>
      <c r="G126" s="11" t="s">
        <v>1711</v>
      </c>
      <c r="H126" s="11" t="s">
        <v>1840</v>
      </c>
      <c r="K126" s="12" t="s">
        <v>2418</v>
      </c>
      <c r="L126" s="8" t="s">
        <v>2418</v>
      </c>
      <c r="M126" s="13" t="s">
        <v>3165</v>
      </c>
      <c r="N126" s="8" t="s">
        <v>2418</v>
      </c>
    </row>
    <row r="127" spans="1:50" ht="22.5" customHeight="1">
      <c r="A127" s="8" t="s">
        <v>2419</v>
      </c>
      <c r="B127" s="8" t="str">
        <f>"giftcodesbanner/" &amp; A127 &amp; "-bar.jpg"</f>
        <v>giftcodesbanner/英雄傳說：卡卡布三部曲-bar.jpg</v>
      </c>
      <c r="D127" s="8" t="str">
        <f t="shared" si="3"/>
        <v>https://www.ssbuy.tw/detail_giftcode/dist/giftcodes/英雄傳說：卡卡布三部曲.html</v>
      </c>
      <c r="E127" s="9" t="s">
        <v>3166</v>
      </c>
      <c r="F127" s="10" t="s">
        <v>1740</v>
      </c>
      <c r="G127" s="11" t="s">
        <v>1711</v>
      </c>
      <c r="H127" s="11" t="s">
        <v>1840</v>
      </c>
      <c r="K127" s="12" t="s">
        <v>3167</v>
      </c>
      <c r="L127" s="8" t="s">
        <v>1920</v>
      </c>
      <c r="M127" s="13" t="s">
        <v>2420</v>
      </c>
      <c r="N127" s="8" t="s">
        <v>1920</v>
      </c>
      <c r="O127" s="13" t="s">
        <v>2421</v>
      </c>
      <c r="P127" s="8" t="s">
        <v>1920</v>
      </c>
      <c r="Q127" s="13" t="s">
        <v>3168</v>
      </c>
      <c r="R127" s="8" t="s">
        <v>1920</v>
      </c>
      <c r="S127" s="13" t="s">
        <v>3169</v>
      </c>
      <c r="T127" s="8" t="s">
        <v>1920</v>
      </c>
      <c r="U127" s="13" t="s">
        <v>3170</v>
      </c>
      <c r="V127" s="8" t="s">
        <v>1920</v>
      </c>
      <c r="W127" s="13" t="s">
        <v>3171</v>
      </c>
      <c r="X127" s="8" t="s">
        <v>1920</v>
      </c>
      <c r="Y127" s="13" t="s">
        <v>3172</v>
      </c>
      <c r="Z127" s="8" t="s">
        <v>1920</v>
      </c>
      <c r="AA127" s="13" t="s">
        <v>3173</v>
      </c>
      <c r="AB127" s="8" t="s">
        <v>1920</v>
      </c>
      <c r="AC127" s="13" t="s">
        <v>3174</v>
      </c>
      <c r="AD127" s="8" t="s">
        <v>1920</v>
      </c>
      <c r="AE127" s="13" t="s">
        <v>3175</v>
      </c>
      <c r="AF127" s="8" t="s">
        <v>1920</v>
      </c>
      <c r="AG127" s="13" t="s">
        <v>3176</v>
      </c>
      <c r="AH127" s="8" t="s">
        <v>1920</v>
      </c>
      <c r="AI127" s="13" t="s">
        <v>2423</v>
      </c>
      <c r="AJ127" s="8" t="s">
        <v>1920</v>
      </c>
      <c r="AK127" s="13" t="s">
        <v>5027</v>
      </c>
      <c r="AM127" s="13" t="s">
        <v>5028</v>
      </c>
      <c r="AN127" s="8" t="s">
        <v>5033</v>
      </c>
      <c r="AO127" s="13" t="s">
        <v>5029</v>
      </c>
      <c r="AP127" s="8" t="s">
        <v>5032</v>
      </c>
      <c r="AQ127" s="13" t="s">
        <v>5030</v>
      </c>
      <c r="AR127" s="8" t="s">
        <v>5031</v>
      </c>
    </row>
    <row r="128" spans="1:50" ht="22.5" customHeight="1">
      <c r="A128" s="20" t="s">
        <v>57</v>
      </c>
      <c r="B128" s="8" t="str">
        <f t="shared" ref="B128:B134" si="4">"giftcodesbanner/" &amp; A128 &amp; "-bar.jpg"</f>
        <v>giftcodesbanner/胡來英雄-bar.jpg</v>
      </c>
      <c r="D128" s="8" t="str">
        <f t="shared" si="3"/>
        <v>https://www.ssbuy.tw/detail_giftcode/dist/giftcodes/胡來英雄.html</v>
      </c>
      <c r="E128" s="17" t="s">
        <v>3177</v>
      </c>
      <c r="F128" s="10" t="s">
        <v>2437</v>
      </c>
      <c r="G128" s="11" t="s">
        <v>1711</v>
      </c>
      <c r="H128" s="11" t="s">
        <v>2518</v>
      </c>
      <c r="K128" s="12" t="s">
        <v>3178</v>
      </c>
      <c r="L128" s="8" t="s">
        <v>3179</v>
      </c>
      <c r="M128" s="13" t="s">
        <v>3180</v>
      </c>
      <c r="N128" s="8" t="s">
        <v>2424</v>
      </c>
      <c r="O128" s="13" t="s">
        <v>3181</v>
      </c>
      <c r="P128" s="8" t="s">
        <v>3182</v>
      </c>
      <c r="Q128" s="13" t="s">
        <v>3183</v>
      </c>
      <c r="R128" s="8" t="s">
        <v>2425</v>
      </c>
      <c r="S128" s="13" t="s">
        <v>3184</v>
      </c>
      <c r="T128" s="8" t="s">
        <v>3185</v>
      </c>
      <c r="U128" s="13" t="s">
        <v>3186</v>
      </c>
      <c r="V128" s="8" t="s">
        <v>3187</v>
      </c>
    </row>
    <row r="129" spans="1:50" ht="22.5" customHeight="1">
      <c r="A129" s="20" t="s">
        <v>58</v>
      </c>
      <c r="B129" s="8" t="str">
        <f t="shared" si="4"/>
        <v>giftcodesbanner/一天又一天的RPG-bar.jpg</v>
      </c>
      <c r="D129" s="8" t="str">
        <f t="shared" si="3"/>
        <v>https://www.ssbuy.tw/detail_giftcode/dist/giftcodes/一天又一天的RPG.html</v>
      </c>
      <c r="E129" s="9" t="s">
        <v>3188</v>
      </c>
      <c r="F129" s="10" t="s">
        <v>2437</v>
      </c>
      <c r="G129" s="11" t="s">
        <v>1711</v>
      </c>
      <c r="H129" s="11" t="s">
        <v>1840</v>
      </c>
      <c r="K129" s="12" t="s">
        <v>3189</v>
      </c>
      <c r="L129" s="8" t="s">
        <v>1920</v>
      </c>
      <c r="M129" s="13" t="s">
        <v>2426</v>
      </c>
      <c r="N129" s="8" t="s">
        <v>1920</v>
      </c>
      <c r="O129" s="13" t="s">
        <v>3190</v>
      </c>
      <c r="P129" s="8" t="s">
        <v>1920</v>
      </c>
      <c r="Q129" s="13" t="s">
        <v>3191</v>
      </c>
      <c r="R129" s="8" t="s">
        <v>1920</v>
      </c>
      <c r="S129" s="13" t="s">
        <v>3192</v>
      </c>
      <c r="T129" s="8" t="s">
        <v>1920</v>
      </c>
      <c r="U129" s="13" t="s">
        <v>2427</v>
      </c>
      <c r="V129" s="8" t="s">
        <v>1920</v>
      </c>
    </row>
    <row r="130" spans="1:50" ht="22.5" customHeight="1">
      <c r="A130" s="20" t="s">
        <v>59</v>
      </c>
      <c r="B130" s="8" t="str">
        <f t="shared" si="4"/>
        <v>giftcodesbanner/銀與血-bar.jpg</v>
      </c>
      <c r="D130" s="8" t="str">
        <f t="shared" si="3"/>
        <v>https://www.ssbuy.tw/detail_giftcode/dist/giftcodes/銀與血.html</v>
      </c>
      <c r="E130" s="9" t="s">
        <v>2428</v>
      </c>
      <c r="F130" s="10" t="s">
        <v>1710</v>
      </c>
      <c r="G130" s="11" t="s">
        <v>1711</v>
      </c>
      <c r="H130" s="11" t="s">
        <v>1840</v>
      </c>
      <c r="K130" s="12" t="s">
        <v>3193</v>
      </c>
      <c r="L130" s="8" t="s">
        <v>1920</v>
      </c>
      <c r="M130" s="13" t="s">
        <v>2429</v>
      </c>
      <c r="N130" s="8" t="s">
        <v>1920</v>
      </c>
      <c r="O130" s="13" t="s">
        <v>3194</v>
      </c>
      <c r="P130" s="8" t="s">
        <v>1920</v>
      </c>
      <c r="Q130" s="13" t="s">
        <v>3195</v>
      </c>
      <c r="R130" s="8" t="s">
        <v>1920</v>
      </c>
      <c r="S130" s="13" t="s">
        <v>3196</v>
      </c>
      <c r="T130" s="8" t="s">
        <v>1920</v>
      </c>
      <c r="U130" s="13" t="s">
        <v>3197</v>
      </c>
      <c r="V130" s="8" t="s">
        <v>1920</v>
      </c>
    </row>
    <row r="131" spans="1:50" ht="22.5" customHeight="1">
      <c r="A131" s="20" t="s">
        <v>60</v>
      </c>
      <c r="B131" s="8" t="str">
        <f t="shared" si="4"/>
        <v>giftcodesbanner/緋石之心-bar.jpg</v>
      </c>
      <c r="D131" s="8" t="str">
        <f t="shared" ref="D131:D194" si="5">IF(A131="","", "https://www.ssbuy.tw/detail_giftcode/dist/giftcodes/" &amp; IF(ISNUMBER(LEFT(A131,1)*1), "game-", "") &amp; A131 &amp; ".html")</f>
        <v>https://www.ssbuy.tw/detail_giftcode/dist/giftcodes/緋石之心.html</v>
      </c>
      <c r="E131" s="9" t="s">
        <v>3198</v>
      </c>
      <c r="F131" s="10" t="s">
        <v>2507</v>
      </c>
      <c r="G131" s="11" t="s">
        <v>1711</v>
      </c>
      <c r="H131" s="11" t="s">
        <v>1840</v>
      </c>
      <c r="K131" s="12" t="s">
        <v>2430</v>
      </c>
      <c r="L131" s="8" t="s">
        <v>1920</v>
      </c>
      <c r="M131" s="13" t="s">
        <v>1932</v>
      </c>
      <c r="N131" s="8" t="s">
        <v>1920</v>
      </c>
    </row>
    <row r="132" spans="1:50" ht="22.5" customHeight="1">
      <c r="A132" s="20" t="s">
        <v>2431</v>
      </c>
      <c r="B132" s="8" t="str">
        <f t="shared" si="4"/>
        <v>giftcodesbanner/滔湧少女-bar.jpg</v>
      </c>
      <c r="D132" s="8" t="str">
        <f t="shared" si="5"/>
        <v>https://www.ssbuy.tw/detail_giftcode/dist/giftcodes/滔湧少女.html</v>
      </c>
      <c r="E132" s="9" t="s">
        <v>2432</v>
      </c>
      <c r="F132" s="10" t="s">
        <v>2437</v>
      </c>
      <c r="G132" s="11" t="s">
        <v>1711</v>
      </c>
      <c r="H132" s="11" t="s">
        <v>1840</v>
      </c>
      <c r="K132" s="12" t="s">
        <v>3199</v>
      </c>
      <c r="L132" s="8" t="s">
        <v>1920</v>
      </c>
      <c r="M132" s="13" t="s">
        <v>2433</v>
      </c>
      <c r="N132" s="8" t="s">
        <v>1920</v>
      </c>
      <c r="O132" s="13" t="s">
        <v>2434</v>
      </c>
      <c r="P132" s="8" t="s">
        <v>1920</v>
      </c>
      <c r="Q132" s="13" t="s">
        <v>3200</v>
      </c>
      <c r="R132" s="8" t="s">
        <v>1920</v>
      </c>
    </row>
    <row r="133" spans="1:50" ht="22.5" customHeight="1">
      <c r="A133" s="20" t="s">
        <v>99</v>
      </c>
      <c r="B133" s="8" t="str">
        <f t="shared" si="4"/>
        <v>giftcodesbanner/漫威祕法狂潮-bar.jpg</v>
      </c>
      <c r="D133" s="8" t="str">
        <f t="shared" si="5"/>
        <v>https://www.ssbuy.tw/detail_giftcode/dist/giftcodes/漫威祕法狂潮.html</v>
      </c>
      <c r="E133" s="9" t="s">
        <v>3201</v>
      </c>
      <c r="F133" s="10" t="s">
        <v>2437</v>
      </c>
      <c r="G133" s="11" t="s">
        <v>1711</v>
      </c>
      <c r="H133" s="11" t="s">
        <v>1840</v>
      </c>
      <c r="K133" s="12" t="s">
        <v>2435</v>
      </c>
      <c r="L133" s="8" t="s">
        <v>1920</v>
      </c>
    </row>
    <row r="134" spans="1:50" ht="22.5" customHeight="1">
      <c r="A134" s="20" t="s">
        <v>100</v>
      </c>
      <c r="B134" s="8" t="str">
        <f t="shared" si="4"/>
        <v>giftcodesbanner/魔教回歸：2D MMORPG-bar.jpg</v>
      </c>
      <c r="D134" s="8" t="str">
        <f t="shared" si="5"/>
        <v>https://www.ssbuy.tw/detail_giftcode/dist/giftcodes/魔教回歸：2D MMORPG.html</v>
      </c>
      <c r="E134" s="17" t="s">
        <v>2436</v>
      </c>
      <c r="F134" s="10" t="s">
        <v>1710</v>
      </c>
      <c r="G134" s="11" t="s">
        <v>1711</v>
      </c>
      <c r="H134" s="11" t="s">
        <v>1840</v>
      </c>
      <c r="K134" s="12" t="s">
        <v>1932</v>
      </c>
      <c r="L134" s="8" t="s">
        <v>1920</v>
      </c>
      <c r="M134" s="13" t="s">
        <v>2056</v>
      </c>
      <c r="N134" s="8" t="s">
        <v>1920</v>
      </c>
      <c r="O134" s="13" t="s">
        <v>1841</v>
      </c>
      <c r="P134" s="8" t="s">
        <v>1920</v>
      </c>
    </row>
    <row r="135" spans="1:50" ht="22.5" customHeight="1">
      <c r="A135" s="20" t="s">
        <v>122</v>
      </c>
      <c r="C135" s="8" t="str">
        <f>"giftcodesbanner/" &amp; A135 &amp; "-禮包碼.jpg"</f>
        <v>giftcodesbanner/屍戰王朝-禮包碼.jpg</v>
      </c>
      <c r="D135" s="8" t="str">
        <f t="shared" si="5"/>
        <v>https://www.ssbuy.tw/detail_giftcode/dist/giftcodes/屍戰王朝.html</v>
      </c>
      <c r="E135" s="27" t="s">
        <v>3202</v>
      </c>
      <c r="F135" s="10" t="s">
        <v>1710</v>
      </c>
      <c r="G135" s="11" t="s">
        <v>1711</v>
      </c>
      <c r="H135" s="11" t="s">
        <v>1840</v>
      </c>
      <c r="K135" s="24" t="s">
        <v>2438</v>
      </c>
      <c r="L135" s="22" t="s">
        <v>2439</v>
      </c>
      <c r="M135" s="23" t="s">
        <v>2440</v>
      </c>
      <c r="N135" s="22" t="s">
        <v>2441</v>
      </c>
      <c r="O135" s="23" t="s">
        <v>2442</v>
      </c>
      <c r="P135" s="22" t="s">
        <v>2443</v>
      </c>
      <c r="Q135" s="23" t="s">
        <v>2444</v>
      </c>
      <c r="R135" s="22" t="s">
        <v>2445</v>
      </c>
      <c r="S135" s="23" t="s">
        <v>2446</v>
      </c>
      <c r="T135" s="22" t="s">
        <v>2447</v>
      </c>
      <c r="U135" s="23" t="s">
        <v>2448</v>
      </c>
      <c r="V135" s="22" t="s">
        <v>2449</v>
      </c>
      <c r="W135" s="23" t="s">
        <v>1782</v>
      </c>
      <c r="X135" s="22" t="s">
        <v>2450</v>
      </c>
      <c r="Y135" s="23" t="s">
        <v>1714</v>
      </c>
      <c r="Z135" s="22" t="s">
        <v>2451</v>
      </c>
      <c r="AA135" s="23" t="s">
        <v>1715</v>
      </c>
      <c r="AB135" s="22" t="s">
        <v>2452</v>
      </c>
      <c r="AC135" s="23" t="s">
        <v>1783</v>
      </c>
      <c r="AD135" s="22" t="s">
        <v>2453</v>
      </c>
      <c r="AE135" s="23" t="s">
        <v>1784</v>
      </c>
      <c r="AF135" s="22" t="s">
        <v>2454</v>
      </c>
      <c r="AG135" s="23" t="s">
        <v>1785</v>
      </c>
      <c r="AH135" s="22" t="s">
        <v>2455</v>
      </c>
    </row>
    <row r="136" spans="1:50" ht="22.5" customHeight="1">
      <c r="A136" s="20" t="s">
        <v>3203</v>
      </c>
      <c r="C136" s="8" t="str">
        <f t="shared" ref="C136:C189" si="6">"giftcodesbanner/" &amp; A136 &amp; "-禮包碼.jpg"</f>
        <v>giftcodesbanner/機甲變變變-禮包碼.jpg</v>
      </c>
      <c r="D136" s="8" t="str">
        <f t="shared" si="5"/>
        <v>https://www.ssbuy.tw/detail_giftcode/dist/giftcodes/機甲變變變.html</v>
      </c>
      <c r="E136" s="27" t="s">
        <v>3204</v>
      </c>
      <c r="F136" s="10" t="s">
        <v>3205</v>
      </c>
      <c r="G136" s="11" t="s">
        <v>1711</v>
      </c>
      <c r="H136" s="11" t="s">
        <v>1840</v>
      </c>
      <c r="K136" s="12" t="s">
        <v>4595</v>
      </c>
      <c r="L136" s="8" t="s">
        <v>3206</v>
      </c>
      <c r="M136" s="13" t="s">
        <v>2456</v>
      </c>
      <c r="N136" s="8" t="s">
        <v>3207</v>
      </c>
      <c r="O136" s="13" t="s">
        <v>2457</v>
      </c>
      <c r="P136" s="8" t="s">
        <v>2458</v>
      </c>
      <c r="Q136" s="13" t="s">
        <v>3208</v>
      </c>
      <c r="R136" s="8" t="s">
        <v>3209</v>
      </c>
    </row>
    <row r="137" spans="1:50" ht="22.5" customHeight="1">
      <c r="A137" s="20" t="s">
        <v>3210</v>
      </c>
      <c r="C137" s="8" t="str">
        <f t="shared" si="6"/>
        <v>giftcodesbanner/狼少女蘭吉-禮包碼.jpg</v>
      </c>
      <c r="D137" s="8" t="str">
        <f t="shared" si="5"/>
        <v>https://www.ssbuy.tw/detail_giftcode/dist/giftcodes/狼少女蘭吉.html</v>
      </c>
      <c r="E137" s="27" t="s">
        <v>3211</v>
      </c>
      <c r="F137" s="10" t="s">
        <v>1710</v>
      </c>
      <c r="G137" s="11" t="s">
        <v>1711</v>
      </c>
      <c r="H137" s="11" t="s">
        <v>1840</v>
      </c>
      <c r="K137" s="12" t="s">
        <v>2459</v>
      </c>
      <c r="L137" s="8" t="s">
        <v>2471</v>
      </c>
      <c r="M137" s="13" t="s">
        <v>2459</v>
      </c>
      <c r="N137" s="8" t="s">
        <v>2471</v>
      </c>
    </row>
    <row r="138" spans="1:50" ht="22.5" customHeight="1">
      <c r="A138" s="20" t="s">
        <v>3212</v>
      </c>
      <c r="C138" s="8" t="str">
        <f t="shared" si="6"/>
        <v>giftcodesbanner/RO仙境傳說：曙光-禮包碼.jpg</v>
      </c>
      <c r="D138" s="8" t="str">
        <f t="shared" si="5"/>
        <v>https://www.ssbuy.tw/detail_giftcode/dist/giftcodes/RO仙境傳說：曙光.html</v>
      </c>
      <c r="E138" s="27" t="s">
        <v>3213</v>
      </c>
      <c r="F138" s="10" t="s">
        <v>1710</v>
      </c>
      <c r="G138" s="11" t="s">
        <v>1711</v>
      </c>
      <c r="H138" s="11" t="s">
        <v>2505</v>
      </c>
      <c r="K138" s="12" t="s">
        <v>2400</v>
      </c>
      <c r="L138" s="8" t="s">
        <v>1920</v>
      </c>
      <c r="M138" s="13" t="s">
        <v>2200</v>
      </c>
      <c r="N138" s="8" t="s">
        <v>1920</v>
      </c>
      <c r="O138" s="13" t="s">
        <v>2460</v>
      </c>
      <c r="P138" s="8" t="s">
        <v>1920</v>
      </c>
      <c r="Q138" s="13" t="s">
        <v>2461</v>
      </c>
      <c r="R138" s="8" t="s">
        <v>1920</v>
      </c>
      <c r="S138" s="13" t="s">
        <v>2462</v>
      </c>
      <c r="T138" s="8" t="s">
        <v>1920</v>
      </c>
      <c r="U138" s="13" t="s">
        <v>2463</v>
      </c>
      <c r="V138" s="8" t="s">
        <v>1920</v>
      </c>
      <c r="W138" s="13" t="s">
        <v>2464</v>
      </c>
      <c r="X138" s="8" t="s">
        <v>1920</v>
      </c>
      <c r="Y138" s="13" t="s">
        <v>2465</v>
      </c>
      <c r="Z138" s="8" t="s">
        <v>1920</v>
      </c>
      <c r="AA138" s="13" t="s">
        <v>2466</v>
      </c>
      <c r="AB138" s="8" t="s">
        <v>1920</v>
      </c>
      <c r="AC138" s="13" t="s">
        <v>2467</v>
      </c>
      <c r="AD138" s="8" t="s">
        <v>1920</v>
      </c>
      <c r="AE138" s="13" t="s">
        <v>2468</v>
      </c>
      <c r="AF138" s="8" t="s">
        <v>1920</v>
      </c>
      <c r="AG138" s="13" t="s">
        <v>2469</v>
      </c>
      <c r="AH138" s="8" t="s">
        <v>1920</v>
      </c>
      <c r="AI138" s="13" t="s">
        <v>2470</v>
      </c>
      <c r="AJ138" s="8" t="s">
        <v>1920</v>
      </c>
    </row>
    <row r="139" spans="1:50" ht="22.5" customHeight="1">
      <c r="A139" s="20" t="s">
        <v>124</v>
      </c>
      <c r="C139" s="8" t="str">
        <f t="shared" si="6"/>
        <v>giftcodesbanner/星曲Ultra-禮包碼.jpg</v>
      </c>
      <c r="D139" s="8" t="str">
        <f t="shared" si="5"/>
        <v>https://www.ssbuy.tw/detail_giftcode/dist/giftcodes/星曲Ultra.html</v>
      </c>
      <c r="E139" s="27" t="s">
        <v>3214</v>
      </c>
      <c r="F139" s="10" t="s">
        <v>1710</v>
      </c>
      <c r="G139" s="11" t="s">
        <v>1711</v>
      </c>
      <c r="H139" s="11" t="s">
        <v>1840</v>
      </c>
      <c r="K139" s="12" t="s">
        <v>2471</v>
      </c>
      <c r="L139" s="8" t="s">
        <v>2459</v>
      </c>
      <c r="M139" s="13" t="s">
        <v>2459</v>
      </c>
      <c r="N139" s="8" t="s">
        <v>2472</v>
      </c>
    </row>
    <row r="140" spans="1:50" ht="22.5" customHeight="1">
      <c r="A140" s="20" t="s">
        <v>166</v>
      </c>
      <c r="C140" s="8" t="str">
        <f t="shared" si="6"/>
        <v>giftcodesbanner/第七天災-禮包碼.jpg</v>
      </c>
      <c r="D140" s="8" t="str">
        <f t="shared" si="5"/>
        <v>https://www.ssbuy.tw/detail_giftcode/dist/giftcodes/第七天災.html</v>
      </c>
      <c r="E140" s="27" t="s">
        <v>3215</v>
      </c>
      <c r="F140" s="10" t="s">
        <v>1710</v>
      </c>
      <c r="G140" s="11" t="s">
        <v>1711</v>
      </c>
      <c r="H140" s="11" t="s">
        <v>1840</v>
      </c>
      <c r="K140" s="12" t="s">
        <v>3216</v>
      </c>
      <c r="L140" s="8" t="s">
        <v>3217</v>
      </c>
      <c r="M140" s="13" t="s">
        <v>3218</v>
      </c>
      <c r="N140" s="8" t="s">
        <v>3219</v>
      </c>
      <c r="O140" s="13" t="s">
        <v>3220</v>
      </c>
      <c r="P140" s="8" t="s">
        <v>3221</v>
      </c>
      <c r="Q140" s="13" t="s">
        <v>3222</v>
      </c>
      <c r="R140" s="8" t="s">
        <v>3223</v>
      </c>
      <c r="S140" s="13" t="s">
        <v>3224</v>
      </c>
      <c r="T140" s="8" t="s">
        <v>1920</v>
      </c>
      <c r="U140" s="13" t="s">
        <v>2473</v>
      </c>
      <c r="V140" s="8" t="s">
        <v>1920</v>
      </c>
      <c r="W140" s="13" t="s">
        <v>2474</v>
      </c>
      <c r="X140" s="8" t="s">
        <v>1920</v>
      </c>
      <c r="Y140" s="13" t="s">
        <v>2475</v>
      </c>
      <c r="Z140" s="8" t="s">
        <v>1920</v>
      </c>
      <c r="AA140" s="13" t="s">
        <v>1883</v>
      </c>
      <c r="AB140" s="8" t="s">
        <v>1920</v>
      </c>
      <c r="AC140" s="13" t="s">
        <v>2476</v>
      </c>
      <c r="AD140" s="8" t="s">
        <v>1920</v>
      </c>
      <c r="AE140" s="13" t="s">
        <v>2477</v>
      </c>
      <c r="AF140" s="8" t="s">
        <v>1920</v>
      </c>
      <c r="AG140" s="13" t="s">
        <v>2478</v>
      </c>
      <c r="AH140" s="8" t="s">
        <v>1920</v>
      </c>
      <c r="AI140" s="13" t="s">
        <v>2479</v>
      </c>
      <c r="AJ140" s="8" t="s">
        <v>1920</v>
      </c>
      <c r="AK140" s="13" t="s">
        <v>2480</v>
      </c>
      <c r="AL140" s="8" t="s">
        <v>1920</v>
      </c>
      <c r="AM140" s="13" t="s">
        <v>2481</v>
      </c>
      <c r="AN140" s="8" t="s">
        <v>1920</v>
      </c>
      <c r="AO140" s="13" t="s">
        <v>2482</v>
      </c>
      <c r="AP140" s="8" t="s">
        <v>1920</v>
      </c>
      <c r="AQ140" s="13" t="s">
        <v>2483</v>
      </c>
      <c r="AR140" s="8" t="s">
        <v>1920</v>
      </c>
      <c r="AS140" s="13" t="s">
        <v>2484</v>
      </c>
      <c r="AT140" s="8" t="s">
        <v>1920</v>
      </c>
      <c r="AU140" s="13" t="s">
        <v>2485</v>
      </c>
      <c r="AV140" s="8" t="s">
        <v>1920</v>
      </c>
      <c r="AW140" s="13" t="s">
        <v>2486</v>
      </c>
      <c r="AX140" s="8" t="s">
        <v>1920</v>
      </c>
    </row>
    <row r="141" spans="1:50" ht="22.5" customHeight="1">
      <c r="A141" s="20" t="s">
        <v>2487</v>
      </c>
      <c r="C141" s="8" t="str">
        <f t="shared" si="6"/>
        <v>giftcodesbanner/百萬神界-禮包碼.jpg</v>
      </c>
      <c r="D141" s="8" t="str">
        <f t="shared" si="5"/>
        <v>https://www.ssbuy.tw/detail_giftcode/dist/giftcodes/百萬神界.html</v>
      </c>
      <c r="E141" s="27" t="s">
        <v>2488</v>
      </c>
      <c r="F141" s="10" t="s">
        <v>1710</v>
      </c>
      <c r="G141" s="11" t="s">
        <v>1711</v>
      </c>
      <c r="H141" s="11" t="s">
        <v>2505</v>
      </c>
      <c r="K141" s="18" t="s">
        <v>2489</v>
      </c>
      <c r="L141" s="11" t="s">
        <v>2490</v>
      </c>
      <c r="M141" s="19" t="s">
        <v>2491</v>
      </c>
      <c r="N141" s="11" t="s">
        <v>2492</v>
      </c>
      <c r="O141" s="19" t="s">
        <v>1714</v>
      </c>
      <c r="P141" s="11" t="s">
        <v>2493</v>
      </c>
      <c r="Q141" s="19" t="s">
        <v>1820</v>
      </c>
      <c r="R141" s="11" t="s">
        <v>2494</v>
      </c>
      <c r="S141" s="19" t="s">
        <v>2495</v>
      </c>
      <c r="T141" s="11" t="s">
        <v>2496</v>
      </c>
      <c r="U141" s="19" t="s">
        <v>2497</v>
      </c>
      <c r="V141" s="11" t="s">
        <v>2498</v>
      </c>
      <c r="W141" s="19" t="s">
        <v>2499</v>
      </c>
      <c r="X141" s="11" t="s">
        <v>2500</v>
      </c>
      <c r="Y141" s="19" t="s">
        <v>2501</v>
      </c>
      <c r="Z141" s="11" t="s">
        <v>2502</v>
      </c>
      <c r="AA141" s="19" t="s">
        <v>2503</v>
      </c>
      <c r="AB141" s="11" t="s">
        <v>2504</v>
      </c>
    </row>
    <row r="142" spans="1:50" ht="22.5" customHeight="1">
      <c r="A142" s="20" t="s">
        <v>167</v>
      </c>
      <c r="C142" s="8" t="str">
        <f t="shared" si="6"/>
        <v>giftcodesbanner/Dark war-禮包碼.jpg</v>
      </c>
      <c r="D142" s="8" t="str">
        <f t="shared" si="5"/>
        <v>https://www.ssbuy.tw/detail_giftcode/dist/giftcodes/Dark war.html</v>
      </c>
      <c r="E142" s="27" t="s">
        <v>3225</v>
      </c>
      <c r="F142" s="10" t="s">
        <v>1710</v>
      </c>
      <c r="G142" s="11" t="s">
        <v>1711</v>
      </c>
      <c r="H142" s="11" t="s">
        <v>2505</v>
      </c>
      <c r="K142" s="12" t="s">
        <v>2459</v>
      </c>
      <c r="L142" s="8" t="s">
        <v>2459</v>
      </c>
      <c r="M142" s="13" t="s">
        <v>2472</v>
      </c>
      <c r="N142" s="8" t="s">
        <v>2459</v>
      </c>
    </row>
    <row r="143" spans="1:50" ht="22.5" customHeight="1">
      <c r="A143" s="14" t="s">
        <v>2506</v>
      </c>
      <c r="C143" s="8" t="str">
        <f t="shared" si="6"/>
        <v>giftcodesbanner/美男惡徒-禮包碼.jpg</v>
      </c>
      <c r="D143" s="8" t="str">
        <f t="shared" si="5"/>
        <v>https://www.ssbuy.tw/detail_giftcode/dist/giftcodes/美男惡徒.html</v>
      </c>
      <c r="E143" s="17" t="s">
        <v>3226</v>
      </c>
      <c r="F143" s="10" t="s">
        <v>1710</v>
      </c>
      <c r="G143" s="11" t="s">
        <v>1711</v>
      </c>
      <c r="H143" s="11" t="s">
        <v>1840</v>
      </c>
      <c r="K143" s="12" t="s">
        <v>2508</v>
      </c>
      <c r="L143" s="8" t="s">
        <v>3227</v>
      </c>
      <c r="M143" s="13" t="s">
        <v>2509</v>
      </c>
      <c r="N143" s="8" t="s">
        <v>3228</v>
      </c>
      <c r="O143" s="13" t="s">
        <v>2510</v>
      </c>
      <c r="P143" s="8" t="s">
        <v>2511</v>
      </c>
      <c r="Q143" s="13" t="s">
        <v>3229</v>
      </c>
      <c r="R143" s="8" t="s">
        <v>3230</v>
      </c>
    </row>
    <row r="144" spans="1:50" ht="22.5" customHeight="1">
      <c r="A144" s="8" t="s">
        <v>197</v>
      </c>
      <c r="C144" s="8" t="str">
        <f t="shared" si="6"/>
        <v>giftcodesbanner/三國冰河時代-禮包碼.jpg</v>
      </c>
      <c r="D144" s="8" t="str">
        <f t="shared" si="5"/>
        <v>https://www.ssbuy.tw/detail_giftcode/dist/giftcodes/三國冰河時代.html</v>
      </c>
      <c r="E144" s="9" t="s">
        <v>3231</v>
      </c>
      <c r="F144" s="10" t="s">
        <v>1710</v>
      </c>
      <c r="G144" s="11" t="s">
        <v>1711</v>
      </c>
      <c r="H144" s="11" t="s">
        <v>1840</v>
      </c>
      <c r="K144" s="12" t="s">
        <v>3232</v>
      </c>
      <c r="L144" s="8" t="s">
        <v>1920</v>
      </c>
      <c r="M144" s="13" t="s">
        <v>3233</v>
      </c>
      <c r="N144" s="8" t="s">
        <v>1920</v>
      </c>
      <c r="O144" s="13" t="s">
        <v>2512</v>
      </c>
      <c r="P144" s="8" t="s">
        <v>1920</v>
      </c>
      <c r="Q144" s="13" t="s">
        <v>3234</v>
      </c>
      <c r="R144" s="8" t="s">
        <v>1920</v>
      </c>
      <c r="S144" s="13" t="s">
        <v>2513</v>
      </c>
      <c r="T144" s="8" t="s">
        <v>1920</v>
      </c>
      <c r="U144" s="13" t="s">
        <v>2514</v>
      </c>
      <c r="V144" s="8" t="s">
        <v>1920</v>
      </c>
      <c r="W144" s="13" t="s">
        <v>2515</v>
      </c>
      <c r="X144" s="8" t="s">
        <v>1920</v>
      </c>
      <c r="Y144" s="13" t="s">
        <v>2516</v>
      </c>
      <c r="Z144" s="8" t="s">
        <v>1920</v>
      </c>
    </row>
    <row r="145" spans="1:34" ht="22.5" customHeight="1">
      <c r="A145" s="28" t="s">
        <v>198</v>
      </c>
      <c r="C145" s="8" t="str">
        <f t="shared" si="6"/>
        <v>giftcodesbanner/暗黑崛起-禮包碼.jpg</v>
      </c>
      <c r="D145" s="8" t="str">
        <f t="shared" si="5"/>
        <v>https://www.ssbuy.tw/detail_giftcode/dist/giftcodes/暗黑崛起.html</v>
      </c>
      <c r="E145" s="17" t="s">
        <v>2517</v>
      </c>
      <c r="F145" s="10" t="s">
        <v>2437</v>
      </c>
      <c r="G145" s="11" t="s">
        <v>1711</v>
      </c>
      <c r="H145" s="11" t="s">
        <v>1840</v>
      </c>
      <c r="K145" s="12" t="s">
        <v>3235</v>
      </c>
      <c r="L145" s="8" t="s">
        <v>1920</v>
      </c>
    </row>
    <row r="146" spans="1:34" ht="22.5" customHeight="1">
      <c r="A146" s="28" t="s">
        <v>199</v>
      </c>
      <c r="C146" s="8" t="str">
        <f t="shared" si="6"/>
        <v>giftcodesbanner/轉生魔劍士養成：策略放置RPG-禮包碼.jpg</v>
      </c>
      <c r="D146" s="8" t="str">
        <f t="shared" si="5"/>
        <v>https://www.ssbuy.tw/detail_giftcode/dist/giftcodes/轉生魔劍士養成：策略放置RPG.html</v>
      </c>
      <c r="E146" s="17" t="s">
        <v>3236</v>
      </c>
      <c r="F146" s="10" t="s">
        <v>1710</v>
      </c>
      <c r="G146" s="11" t="s">
        <v>1711</v>
      </c>
      <c r="H146" s="11" t="s">
        <v>2505</v>
      </c>
      <c r="K146" s="12" t="s">
        <v>2459</v>
      </c>
      <c r="L146" s="8" t="s">
        <v>3237</v>
      </c>
      <c r="M146" s="13" t="s">
        <v>2459</v>
      </c>
      <c r="N146" s="8" t="s">
        <v>2459</v>
      </c>
    </row>
    <row r="147" spans="1:34" ht="22.5" customHeight="1">
      <c r="A147" s="8" t="s">
        <v>3238</v>
      </c>
      <c r="C147" s="8" t="str">
        <f t="shared" si="6"/>
        <v>giftcodesbanner/極速漂移：3V3-禮包碼.jpg</v>
      </c>
      <c r="D147" s="8" t="str">
        <f t="shared" si="5"/>
        <v>https://www.ssbuy.tw/detail_giftcode/dist/giftcodes/極速漂移：3V3.html</v>
      </c>
      <c r="E147" s="9" t="s">
        <v>3239</v>
      </c>
      <c r="F147" s="10" t="s">
        <v>1710</v>
      </c>
      <c r="G147" s="11" t="s">
        <v>1711</v>
      </c>
      <c r="H147" s="11" t="s">
        <v>1840</v>
      </c>
      <c r="K147" s="12" t="s">
        <v>2472</v>
      </c>
      <c r="L147" s="8" t="s">
        <v>3237</v>
      </c>
      <c r="M147" s="13" t="s">
        <v>2459</v>
      </c>
      <c r="N147" s="8" t="s">
        <v>2471</v>
      </c>
    </row>
    <row r="148" spans="1:34" ht="22.5" customHeight="1">
      <c r="A148" s="28" t="s">
        <v>228</v>
      </c>
      <c r="C148" s="8" t="str">
        <f t="shared" si="6"/>
        <v>giftcodesbanner/斗羅大陸：獵魂世界-禮包碼.jpg</v>
      </c>
      <c r="D148" s="8" t="str">
        <f t="shared" si="5"/>
        <v>https://www.ssbuy.tw/detail_giftcode/dist/giftcodes/斗羅大陸：獵魂世界.html</v>
      </c>
      <c r="E148" s="17" t="s">
        <v>3240</v>
      </c>
      <c r="F148" s="10" t="s">
        <v>3205</v>
      </c>
      <c r="G148" s="11" t="s">
        <v>1711</v>
      </c>
      <c r="H148" s="11" t="s">
        <v>1840</v>
      </c>
      <c r="K148" s="12" t="s">
        <v>3241</v>
      </c>
      <c r="L148" s="8" t="s">
        <v>1920</v>
      </c>
      <c r="M148" s="13" t="s">
        <v>3242</v>
      </c>
      <c r="N148" s="8" t="s">
        <v>1920</v>
      </c>
      <c r="O148" s="13" t="s">
        <v>3243</v>
      </c>
      <c r="P148" s="8" t="s">
        <v>1920</v>
      </c>
      <c r="Q148" s="13" t="s">
        <v>3244</v>
      </c>
      <c r="R148" s="8" t="s">
        <v>1920</v>
      </c>
      <c r="S148" s="13" t="s">
        <v>3245</v>
      </c>
      <c r="T148" s="8" t="s">
        <v>1920</v>
      </c>
      <c r="U148" s="13" t="s">
        <v>2519</v>
      </c>
      <c r="V148" s="8" t="s">
        <v>1920</v>
      </c>
      <c r="W148" s="13" t="s">
        <v>3246</v>
      </c>
      <c r="X148" s="8" t="s">
        <v>1920</v>
      </c>
      <c r="Y148" s="13" t="s">
        <v>3247</v>
      </c>
      <c r="Z148" s="8" t="s">
        <v>1920</v>
      </c>
      <c r="AA148" s="13" t="s">
        <v>2520</v>
      </c>
      <c r="AB148" s="8" t="s">
        <v>1920</v>
      </c>
      <c r="AC148" s="13" t="s">
        <v>3248</v>
      </c>
      <c r="AD148" s="8" t="s">
        <v>1920</v>
      </c>
      <c r="AE148" s="13" t="s">
        <v>3249</v>
      </c>
      <c r="AF148" s="8" t="s">
        <v>1920</v>
      </c>
      <c r="AG148" s="13" t="s">
        <v>4408</v>
      </c>
      <c r="AH148" s="8" t="s">
        <v>1920</v>
      </c>
    </row>
    <row r="149" spans="1:34" ht="22.5" customHeight="1">
      <c r="A149" s="28" t="s">
        <v>229</v>
      </c>
      <c r="C149" s="8" t="str">
        <f t="shared" si="6"/>
        <v>giftcodesbanner/指點兵兵-禮包碼.jpg</v>
      </c>
      <c r="D149" s="8" t="str">
        <f t="shared" si="5"/>
        <v>https://www.ssbuy.tw/detail_giftcode/dist/giftcodes/指點兵兵.html</v>
      </c>
      <c r="E149" s="17" t="s">
        <v>3250</v>
      </c>
      <c r="F149" s="10" t="s">
        <v>2437</v>
      </c>
      <c r="G149" s="11" t="s">
        <v>1711</v>
      </c>
      <c r="H149" s="11" t="s">
        <v>1840</v>
      </c>
      <c r="K149" s="12" t="s">
        <v>3218</v>
      </c>
      <c r="L149" s="8" t="s">
        <v>1920</v>
      </c>
      <c r="M149" s="13" t="s">
        <v>2056</v>
      </c>
      <c r="N149" s="8" t="s">
        <v>1920</v>
      </c>
      <c r="O149" s="13" t="s">
        <v>3251</v>
      </c>
      <c r="P149" s="8" t="s">
        <v>1920</v>
      </c>
      <c r="Q149" s="13" t="s">
        <v>1933</v>
      </c>
      <c r="R149" s="8" t="s">
        <v>1920</v>
      </c>
      <c r="S149" s="13" t="s">
        <v>2521</v>
      </c>
      <c r="T149" s="8" t="s">
        <v>1920</v>
      </c>
    </row>
    <row r="150" spans="1:34" ht="22.5" customHeight="1">
      <c r="A150" s="28" t="s">
        <v>241</v>
      </c>
      <c r="C150" s="8" t="str">
        <f t="shared" si="6"/>
        <v>giftcodesbanner/變身傳奇-禮包碼.jpg</v>
      </c>
      <c r="D150" s="8" t="str">
        <f t="shared" si="5"/>
        <v>https://www.ssbuy.tw/detail_giftcode/dist/giftcodes/變身傳奇.html</v>
      </c>
      <c r="E150" s="9" t="s">
        <v>2522</v>
      </c>
      <c r="F150" s="10" t="s">
        <v>1710</v>
      </c>
      <c r="G150" s="11" t="s">
        <v>1711</v>
      </c>
      <c r="H150" s="11" t="s">
        <v>1840</v>
      </c>
      <c r="K150" s="12" t="s">
        <v>2523</v>
      </c>
      <c r="L150" s="8" t="s">
        <v>2524</v>
      </c>
      <c r="M150" s="13" t="s">
        <v>3252</v>
      </c>
      <c r="N150" s="8" t="s">
        <v>2523</v>
      </c>
    </row>
    <row r="151" spans="1:34" ht="22.5" customHeight="1">
      <c r="A151" s="28" t="s">
        <v>242</v>
      </c>
      <c r="C151" s="8" t="str">
        <f t="shared" si="6"/>
        <v>giftcodesbanner/Blue eyes：公會大師-禮包碼.jpg</v>
      </c>
      <c r="D151" s="8" t="str">
        <f t="shared" si="5"/>
        <v>https://www.ssbuy.tw/detail_giftcode/dist/giftcodes/Blue eyes：公會大師.html</v>
      </c>
      <c r="E151" s="17" t="s">
        <v>3253</v>
      </c>
      <c r="F151" s="10" t="s">
        <v>3254</v>
      </c>
      <c r="G151" s="11" t="s">
        <v>3255</v>
      </c>
      <c r="H151" s="11" t="s">
        <v>3256</v>
      </c>
      <c r="I151" s="8" t="s">
        <v>2525</v>
      </c>
      <c r="J151" s="9" t="s">
        <v>2526</v>
      </c>
      <c r="K151" s="18" t="s">
        <v>3257</v>
      </c>
      <c r="L151" s="11" t="s">
        <v>3258</v>
      </c>
      <c r="M151" s="19"/>
      <c r="N151" s="11"/>
      <c r="O151" s="19"/>
      <c r="P151" s="11"/>
      <c r="Q151" s="19"/>
      <c r="R151" s="11"/>
      <c r="S151" s="19"/>
      <c r="T151" s="11"/>
      <c r="U151" s="19"/>
      <c r="V151" s="11"/>
      <c r="W151" s="19"/>
      <c r="X151" s="11"/>
      <c r="Y151" s="19"/>
      <c r="Z151" s="11"/>
      <c r="AA151" s="19"/>
      <c r="AB151" s="11"/>
    </row>
    <row r="152" spans="1:34" ht="22.5" customHeight="1">
      <c r="A152" s="8" t="s">
        <v>2527</v>
      </c>
      <c r="C152" s="8" t="str">
        <f t="shared" si="6"/>
        <v>giftcodesbanner/杖劍傳說：坎斯汀之約-禮包碼.jpg</v>
      </c>
      <c r="D152" s="8" t="str">
        <f t="shared" si="5"/>
        <v>https://www.ssbuy.tw/detail_giftcode/dist/giftcodes/杖劍傳說：坎斯汀之約.html</v>
      </c>
      <c r="E152" s="17" t="s">
        <v>3259</v>
      </c>
      <c r="F152" s="29" t="s">
        <v>2528</v>
      </c>
      <c r="G152" s="8" t="s">
        <v>2529</v>
      </c>
      <c r="H152" s="8" t="s">
        <v>3260</v>
      </c>
      <c r="I152" s="8" t="s">
        <v>3261</v>
      </c>
      <c r="K152" s="12" t="s">
        <v>3262</v>
      </c>
      <c r="L152" s="8" t="s">
        <v>3263</v>
      </c>
      <c r="M152" s="13" t="s">
        <v>3264</v>
      </c>
      <c r="N152" s="8" t="s">
        <v>3265</v>
      </c>
      <c r="O152" s="13" t="s">
        <v>3266</v>
      </c>
      <c r="P152" s="8" t="s">
        <v>3267</v>
      </c>
      <c r="Q152" s="13" t="s">
        <v>3268</v>
      </c>
      <c r="R152" s="8" t="s">
        <v>3269</v>
      </c>
      <c r="S152" s="13" t="s">
        <v>2530</v>
      </c>
      <c r="T152" s="8" t="s">
        <v>3270</v>
      </c>
      <c r="U152" s="13" t="s">
        <v>3271</v>
      </c>
      <c r="V152" s="8" t="s">
        <v>3272</v>
      </c>
      <c r="W152" s="13" t="s">
        <v>2531</v>
      </c>
      <c r="X152" s="8" t="s">
        <v>2532</v>
      </c>
      <c r="Y152" s="13" t="s">
        <v>3273</v>
      </c>
      <c r="Z152" s="8" t="s">
        <v>2533</v>
      </c>
      <c r="AA152" s="13" t="s">
        <v>3274</v>
      </c>
      <c r="AB152" s="8" t="s">
        <v>3275</v>
      </c>
      <c r="AC152" s="13" t="s">
        <v>3276</v>
      </c>
      <c r="AD152" s="8" t="s">
        <v>3275</v>
      </c>
    </row>
    <row r="153" spans="1:34" ht="22.5" customHeight="1">
      <c r="A153" s="8" t="s">
        <v>3277</v>
      </c>
      <c r="C153" s="8" t="str">
        <f t="shared" si="6"/>
        <v>giftcodesbanner/超級海戰：紀元崛起-禮包碼.jpg</v>
      </c>
      <c r="D153" s="8" t="str">
        <f t="shared" si="5"/>
        <v>https://www.ssbuy.tw/detail_giftcode/dist/giftcodes/超級海戰：紀元崛起.html</v>
      </c>
      <c r="E153" s="17" t="s">
        <v>3278</v>
      </c>
      <c r="F153" s="29" t="s">
        <v>2534</v>
      </c>
      <c r="G153" s="8" t="s">
        <v>2535</v>
      </c>
      <c r="H153" s="8" t="s">
        <v>3279</v>
      </c>
      <c r="K153" s="12" t="s">
        <v>1933</v>
      </c>
      <c r="L153" s="8" t="s">
        <v>3280</v>
      </c>
      <c r="M153" s="13" t="s">
        <v>3281</v>
      </c>
      <c r="N153" s="8" t="s">
        <v>2536</v>
      </c>
      <c r="O153" s="13" t="s">
        <v>3282</v>
      </c>
      <c r="P153" s="8" t="s">
        <v>3283</v>
      </c>
      <c r="Q153" s="13" t="s">
        <v>3284</v>
      </c>
      <c r="R153" s="8" t="s">
        <v>3285</v>
      </c>
    </row>
    <row r="154" spans="1:34" ht="22.5" customHeight="1">
      <c r="A154" s="8" t="s">
        <v>2537</v>
      </c>
      <c r="C154" s="8" t="str">
        <f t="shared" si="6"/>
        <v>giftcodesbanner/進擊的惡魔團-禮包碼.jpg</v>
      </c>
      <c r="D154" s="8" t="str">
        <f t="shared" si="5"/>
        <v>https://www.ssbuy.tw/detail_giftcode/dist/giftcodes/進擊的惡魔團.html</v>
      </c>
      <c r="E154" s="17" t="s">
        <v>3286</v>
      </c>
      <c r="F154" s="29" t="s">
        <v>3287</v>
      </c>
      <c r="G154" s="8" t="s">
        <v>3288</v>
      </c>
      <c r="H154" s="8" t="s">
        <v>3289</v>
      </c>
      <c r="I154" s="8" t="s">
        <v>3290</v>
      </c>
      <c r="K154" s="12" t="s">
        <v>3291</v>
      </c>
      <c r="L154" s="8" t="s">
        <v>2538</v>
      </c>
      <c r="M154" s="13" t="s">
        <v>3292</v>
      </c>
      <c r="N154" s="8" t="s">
        <v>3293</v>
      </c>
      <c r="O154" s="13" t="s">
        <v>3294</v>
      </c>
      <c r="P154" s="8" t="s">
        <v>3295</v>
      </c>
      <c r="Q154" s="13" t="s">
        <v>2539</v>
      </c>
      <c r="R154" s="8" t="s">
        <v>2540</v>
      </c>
      <c r="S154" s="13" t="s">
        <v>3296</v>
      </c>
      <c r="T154" s="8" t="s">
        <v>3297</v>
      </c>
    </row>
    <row r="155" spans="1:34" ht="22.5" customHeight="1">
      <c r="A155" s="28" t="s">
        <v>3298</v>
      </c>
      <c r="C155" s="8" t="str">
        <f t="shared" si="6"/>
        <v>giftcodesbanner/蝕影：緋之契-禮包碼.jpg</v>
      </c>
      <c r="D155" s="8" t="str">
        <f t="shared" si="5"/>
        <v>https://www.ssbuy.tw/detail_giftcode/dist/giftcodes/蝕影：緋之契.html</v>
      </c>
      <c r="E155" s="9" t="s">
        <v>3299</v>
      </c>
      <c r="F155" s="29" t="s">
        <v>3300</v>
      </c>
      <c r="G155" s="8" t="s">
        <v>2541</v>
      </c>
      <c r="H155" s="8" t="s">
        <v>3301</v>
      </c>
      <c r="K155" s="30" t="s">
        <v>2542</v>
      </c>
      <c r="L155" s="31" t="s">
        <v>2543</v>
      </c>
      <c r="M155" s="32" t="s">
        <v>1783</v>
      </c>
      <c r="N155" s="31" t="s">
        <v>2544</v>
      </c>
      <c r="O155" s="32" t="s">
        <v>1782</v>
      </c>
      <c r="P155" s="31" t="s">
        <v>2545</v>
      </c>
      <c r="Q155" s="32" t="s">
        <v>1715</v>
      </c>
      <c r="R155" s="31" t="s">
        <v>2546</v>
      </c>
    </row>
    <row r="156" spans="1:34" ht="22.5" customHeight="1">
      <c r="A156" s="28" t="s">
        <v>305</v>
      </c>
      <c r="C156" s="8" t="str">
        <f t="shared" si="6"/>
        <v>giftcodesbanner/RO：Crush-禮包碼.jpg</v>
      </c>
      <c r="D156" s="8" t="str">
        <f t="shared" si="5"/>
        <v>https://www.ssbuy.tw/detail_giftcode/dist/giftcodes/RO：Crush.html</v>
      </c>
      <c r="E156" s="9" t="s">
        <v>3302</v>
      </c>
      <c r="F156" s="29" t="s">
        <v>3303</v>
      </c>
      <c r="G156" s="8" t="s">
        <v>3304</v>
      </c>
      <c r="H156" s="8" t="s">
        <v>3305</v>
      </c>
      <c r="K156" s="12" t="s">
        <v>3306</v>
      </c>
      <c r="L156" s="8" t="s">
        <v>3307</v>
      </c>
      <c r="M156" s="13" t="s">
        <v>4409</v>
      </c>
      <c r="O156" s="13" t="s">
        <v>4410</v>
      </c>
      <c r="Q156" s="13" t="s">
        <v>4411</v>
      </c>
      <c r="S156" s="13" t="s">
        <v>4412</v>
      </c>
      <c r="U156" s="13" t="s">
        <v>4413</v>
      </c>
      <c r="W156" s="13" t="s">
        <v>4414</v>
      </c>
      <c r="Y156" s="13" t="s">
        <v>4800</v>
      </c>
    </row>
    <row r="157" spans="1:34" ht="22.5" customHeight="1">
      <c r="A157" s="28" t="s">
        <v>323</v>
      </c>
      <c r="C157" s="8" t="str">
        <f t="shared" si="6"/>
        <v>giftcodesbanner/溯回青空-禮包碼.jpg</v>
      </c>
      <c r="D157" s="8" t="str">
        <f t="shared" si="5"/>
        <v>https://www.ssbuy.tw/detail_giftcode/dist/giftcodes/溯回青空.html</v>
      </c>
      <c r="E157" s="33" t="s">
        <v>2547</v>
      </c>
      <c r="F157" s="29" t="s">
        <v>2548</v>
      </c>
      <c r="G157" s="34" t="s">
        <v>2549</v>
      </c>
      <c r="K157" s="12" t="s">
        <v>3308</v>
      </c>
      <c r="L157" s="8" t="s">
        <v>3309</v>
      </c>
      <c r="M157" s="13" t="s">
        <v>3310</v>
      </c>
      <c r="N157" s="8" t="s">
        <v>3311</v>
      </c>
      <c r="O157" s="13" t="s">
        <v>3312</v>
      </c>
      <c r="P157" s="8" t="s">
        <v>3313</v>
      </c>
    </row>
    <row r="158" spans="1:34" ht="22.5" customHeight="1">
      <c r="A158" s="28" t="s">
        <v>324</v>
      </c>
      <c r="C158" s="8" t="str">
        <f t="shared" si="6"/>
        <v>giftcodesbanner/蒼之啟示錄-禮包碼.jpg</v>
      </c>
      <c r="D158" s="8" t="str">
        <f t="shared" si="5"/>
        <v>https://www.ssbuy.tw/detail_giftcode/dist/giftcodes/蒼之啟示錄.html</v>
      </c>
      <c r="E158" s="33" t="s">
        <v>3314</v>
      </c>
      <c r="F158" s="29" t="s">
        <v>2459</v>
      </c>
      <c r="G158" s="8" t="s">
        <v>2459</v>
      </c>
      <c r="H158" s="8" t="s">
        <v>2459</v>
      </c>
      <c r="K158" s="12" t="s">
        <v>2459</v>
      </c>
      <c r="L158" s="8" t="s">
        <v>2459</v>
      </c>
      <c r="M158" s="13" t="s">
        <v>3237</v>
      </c>
      <c r="N158" s="8" t="s">
        <v>2471</v>
      </c>
    </row>
    <row r="159" spans="1:34" ht="22.5" customHeight="1">
      <c r="A159" s="28" t="s">
        <v>325</v>
      </c>
      <c r="C159" s="8" t="str">
        <f t="shared" si="6"/>
        <v>giftcodesbanner/第六絕區-禮包碼.jpg</v>
      </c>
      <c r="D159" s="8" t="str">
        <f t="shared" si="5"/>
        <v>https://www.ssbuy.tw/detail_giftcode/dist/giftcodes/第六絕區.html</v>
      </c>
      <c r="E159" s="33" t="s">
        <v>3315</v>
      </c>
      <c r="F159" s="29" t="s">
        <v>3316</v>
      </c>
      <c r="G159" s="8" t="s">
        <v>3317</v>
      </c>
      <c r="H159" s="8" t="s">
        <v>2550</v>
      </c>
      <c r="I159" s="8" t="s">
        <v>3318</v>
      </c>
      <c r="K159" s="12" t="s">
        <v>3319</v>
      </c>
      <c r="L159" s="8" t="s">
        <v>3320</v>
      </c>
      <c r="M159" s="13" t="s">
        <v>3321</v>
      </c>
      <c r="N159" s="8" t="s">
        <v>3322</v>
      </c>
    </row>
    <row r="160" spans="1:34" ht="22.5" customHeight="1">
      <c r="A160" s="28" t="s">
        <v>3323</v>
      </c>
      <c r="C160" s="8" t="str">
        <f t="shared" si="6"/>
        <v>giftcodesbanner/MO.CO-禮包碼.jpg</v>
      </c>
      <c r="D160" s="8" t="str">
        <f t="shared" si="5"/>
        <v>https://www.ssbuy.tw/detail_giftcode/dist/giftcodes/MO.CO.html</v>
      </c>
      <c r="E160" s="33" t="s">
        <v>3324</v>
      </c>
      <c r="F160" s="29" t="s">
        <v>2459</v>
      </c>
      <c r="G160" s="8" t="s">
        <v>2459</v>
      </c>
      <c r="H160" s="8" t="s">
        <v>2459</v>
      </c>
      <c r="K160" s="12" t="s">
        <v>2459</v>
      </c>
      <c r="L160" s="8" t="s">
        <v>2459</v>
      </c>
      <c r="M160" s="13" t="s">
        <v>2459</v>
      </c>
      <c r="N160" s="8" t="s">
        <v>2459</v>
      </c>
    </row>
    <row r="161" spans="1:38" ht="22.5" customHeight="1">
      <c r="A161" s="28" t="s">
        <v>326</v>
      </c>
      <c r="C161" s="8" t="str">
        <f t="shared" si="6"/>
        <v>giftcodesbanner/幻世三國：一騎當千-禮包碼.jpg</v>
      </c>
      <c r="D161" s="8" t="str">
        <f t="shared" si="5"/>
        <v>https://www.ssbuy.tw/detail_giftcode/dist/giftcodes/幻世三國：一騎當千.html</v>
      </c>
      <c r="E161" s="33" t="s">
        <v>2551</v>
      </c>
      <c r="F161" s="29" t="s">
        <v>2459</v>
      </c>
      <c r="G161" s="8" t="s">
        <v>2459</v>
      </c>
      <c r="H161" s="8" t="s">
        <v>2459</v>
      </c>
      <c r="K161" s="12" t="s">
        <v>2471</v>
      </c>
      <c r="L161" s="8" t="s">
        <v>2459</v>
      </c>
      <c r="M161" s="13" t="s">
        <v>2459</v>
      </c>
      <c r="N161" s="8" t="s">
        <v>2459</v>
      </c>
    </row>
    <row r="162" spans="1:38" ht="22.5" customHeight="1">
      <c r="A162" s="28" t="s">
        <v>1448</v>
      </c>
      <c r="C162" s="8" t="str">
        <f t="shared" si="6"/>
        <v>giftcodesbanner/小兵立大功-禮包碼.jpg</v>
      </c>
      <c r="D162" s="8" t="str">
        <f t="shared" si="5"/>
        <v>https://www.ssbuy.tw/detail_giftcode/dist/giftcodes/小兵立大功.html</v>
      </c>
      <c r="E162" s="33" t="s">
        <v>3325</v>
      </c>
      <c r="F162" s="29" t="s">
        <v>2471</v>
      </c>
      <c r="G162" s="8" t="s">
        <v>2459</v>
      </c>
      <c r="H162" s="8" t="s">
        <v>2459</v>
      </c>
      <c r="I162" s="8" t="s">
        <v>2459</v>
      </c>
      <c r="K162" s="12" t="s">
        <v>2471</v>
      </c>
      <c r="L162" s="8" t="s">
        <v>2459</v>
      </c>
      <c r="M162" s="13" t="s">
        <v>2471</v>
      </c>
      <c r="N162" s="8" t="s">
        <v>3237</v>
      </c>
    </row>
    <row r="163" spans="1:38" ht="22.5" customHeight="1">
      <c r="A163" s="28" t="s">
        <v>1449</v>
      </c>
      <c r="C163" s="8" t="str">
        <f t="shared" si="6"/>
        <v>giftcodesbanner/像素全明星-禮包碼.jpg</v>
      </c>
      <c r="D163" s="8" t="str">
        <f t="shared" si="5"/>
        <v>https://www.ssbuy.tw/detail_giftcode/dist/giftcodes/像素全明星.html</v>
      </c>
      <c r="E163" s="33" t="s">
        <v>2552</v>
      </c>
      <c r="F163" s="29" t="s">
        <v>2459</v>
      </c>
      <c r="G163" s="8" t="s">
        <v>2471</v>
      </c>
      <c r="H163" s="8" t="s">
        <v>2459</v>
      </c>
      <c r="I163" s="8" t="s">
        <v>2471</v>
      </c>
      <c r="K163" s="12" t="s">
        <v>2459</v>
      </c>
      <c r="L163" s="8" t="s">
        <v>3237</v>
      </c>
      <c r="M163" s="13" t="s">
        <v>2459</v>
      </c>
      <c r="N163" s="8" t="s">
        <v>2459</v>
      </c>
    </row>
    <row r="164" spans="1:38" ht="22.5" customHeight="1">
      <c r="A164" s="28" t="s">
        <v>1464</v>
      </c>
      <c r="C164" s="8" t="str">
        <f t="shared" si="6"/>
        <v>giftcodesbanner/浣熊傳說-禮包碼.jpg</v>
      </c>
      <c r="D164" s="8" t="str">
        <f t="shared" si="5"/>
        <v>https://www.ssbuy.tw/detail_giftcode/dist/giftcodes/浣熊傳說.html</v>
      </c>
      <c r="E164" s="17" t="s">
        <v>2553</v>
      </c>
      <c r="F164" s="29" t="s">
        <v>3326</v>
      </c>
      <c r="G164" s="8" t="s">
        <v>3327</v>
      </c>
      <c r="H164" s="8" t="s">
        <v>3328</v>
      </c>
      <c r="K164" s="12" t="s">
        <v>2554</v>
      </c>
      <c r="L164" s="8" t="s">
        <v>3329</v>
      </c>
      <c r="M164" s="13" t="s">
        <v>3330</v>
      </c>
      <c r="N164" s="8" t="s">
        <v>2555</v>
      </c>
      <c r="O164" s="13" t="s">
        <v>3331</v>
      </c>
      <c r="P164" s="8" t="s">
        <v>3332</v>
      </c>
      <c r="Q164" s="13" t="s">
        <v>2141</v>
      </c>
      <c r="R164" s="8" t="s">
        <v>3333</v>
      </c>
    </row>
    <row r="165" spans="1:38" ht="22.5" customHeight="1">
      <c r="A165" s="28" t="s">
        <v>1465</v>
      </c>
      <c r="C165" s="8" t="str">
        <f t="shared" si="6"/>
        <v>giftcodesbanner/勇者格鬥城-禮包碼.jpg</v>
      </c>
      <c r="D165" s="8" t="str">
        <f t="shared" si="5"/>
        <v>https://www.ssbuy.tw/detail_giftcode/dist/giftcodes/勇者格鬥城.html</v>
      </c>
      <c r="E165" s="17" t="s">
        <v>3334</v>
      </c>
      <c r="F165" s="29" t="s">
        <v>2459</v>
      </c>
      <c r="G165" s="8" t="s">
        <v>3237</v>
      </c>
      <c r="H165" s="8" t="s">
        <v>2459</v>
      </c>
      <c r="I165" s="8" t="s">
        <v>2459</v>
      </c>
      <c r="K165" s="12" t="s">
        <v>2471</v>
      </c>
      <c r="L165" s="8" t="s">
        <v>2459</v>
      </c>
      <c r="M165" s="13" t="s">
        <v>2459</v>
      </c>
      <c r="N165" s="8" t="s">
        <v>2472</v>
      </c>
    </row>
    <row r="166" spans="1:38" ht="22.5" customHeight="1">
      <c r="A166" s="28" t="s">
        <v>3335</v>
      </c>
      <c r="C166" s="8" t="str">
        <f t="shared" si="6"/>
        <v>giftcodesbanner/龐寶：背包英雄們-禮包碼.jpg</v>
      </c>
      <c r="D166" s="8" t="str">
        <f t="shared" si="5"/>
        <v>https://www.ssbuy.tw/detail_giftcode/dist/giftcodes/龐寶：背包英雄們.html</v>
      </c>
      <c r="E166" s="17" t="s">
        <v>2556</v>
      </c>
      <c r="F166" s="29" t="s">
        <v>2459</v>
      </c>
      <c r="G166" s="8" t="s">
        <v>2471</v>
      </c>
      <c r="H166" s="8" t="s">
        <v>2459</v>
      </c>
      <c r="I166" s="8" t="s">
        <v>2459</v>
      </c>
      <c r="K166" s="12" t="s">
        <v>2471</v>
      </c>
      <c r="L166" s="8" t="s">
        <v>2459</v>
      </c>
      <c r="M166" s="13" t="s">
        <v>2459</v>
      </c>
      <c r="N166" s="8" t="s">
        <v>2471</v>
      </c>
    </row>
    <row r="167" spans="1:38" ht="22.5" customHeight="1">
      <c r="A167" s="28" t="s">
        <v>1473</v>
      </c>
      <c r="C167" s="8" t="str">
        <f t="shared" si="6"/>
        <v>giftcodesbanner/星耀球會-禮包碼.jpg</v>
      </c>
      <c r="D167" s="8" t="str">
        <f t="shared" si="5"/>
        <v>https://www.ssbuy.tw/detail_giftcode/dist/giftcodes/星耀球會.html</v>
      </c>
      <c r="E167" s="17" t="s">
        <v>2557</v>
      </c>
      <c r="F167" s="29" t="s">
        <v>2558</v>
      </c>
      <c r="G167" s="8" t="s">
        <v>3336</v>
      </c>
      <c r="H167" s="8" t="s">
        <v>2559</v>
      </c>
      <c r="K167" s="12" t="s">
        <v>3337</v>
      </c>
      <c r="L167" s="8" t="s">
        <v>3338</v>
      </c>
      <c r="M167" s="13" t="s">
        <v>3339</v>
      </c>
      <c r="N167" s="8" t="s">
        <v>2560</v>
      </c>
      <c r="O167" s="13" t="s">
        <v>3340</v>
      </c>
      <c r="P167" s="8" t="s">
        <v>3341</v>
      </c>
      <c r="Q167" s="13" t="s">
        <v>3342</v>
      </c>
      <c r="R167" s="8" t="s">
        <v>3343</v>
      </c>
    </row>
    <row r="168" spans="1:38" ht="22.5" customHeight="1">
      <c r="A168" s="8" t="s">
        <v>1485</v>
      </c>
      <c r="C168" s="8" t="str">
        <f t="shared" si="6"/>
        <v>giftcodesbanner/東方幻想ECLIPSE-禮包碼.jpg</v>
      </c>
      <c r="D168" s="8" t="str">
        <f t="shared" si="5"/>
        <v>https://www.ssbuy.tw/detail_giftcode/dist/giftcodes/東方幻想ECLIPSE.html</v>
      </c>
      <c r="E168" s="9" t="s">
        <v>3344</v>
      </c>
      <c r="F168" s="29" t="s">
        <v>3345</v>
      </c>
      <c r="G168" s="8" t="s">
        <v>2561</v>
      </c>
      <c r="H168" s="8" t="s">
        <v>3346</v>
      </c>
      <c r="K168" s="12" t="s">
        <v>3347</v>
      </c>
      <c r="L168" s="8" t="s">
        <v>2562</v>
      </c>
      <c r="M168" s="13" t="s">
        <v>2563</v>
      </c>
      <c r="N168" s="8" t="s">
        <v>3348</v>
      </c>
    </row>
    <row r="169" spans="1:38" ht="22.5" customHeight="1">
      <c r="A169" s="28" t="s">
        <v>1495</v>
      </c>
      <c r="C169" s="8" t="str">
        <f t="shared" si="6"/>
        <v>giftcodesbanner/世紀帝國M-禮包碼.jpg</v>
      </c>
      <c r="D169" s="8" t="str">
        <f t="shared" si="5"/>
        <v>https://www.ssbuy.tw/detail_giftcode/dist/giftcodes/世紀帝國M.html</v>
      </c>
      <c r="E169" s="9" t="s">
        <v>2564</v>
      </c>
      <c r="F169" s="29" t="s">
        <v>3349</v>
      </c>
      <c r="G169" s="8" t="s">
        <v>3350</v>
      </c>
      <c r="H169" s="8" t="s">
        <v>2565</v>
      </c>
      <c r="K169" s="12" t="s">
        <v>3351</v>
      </c>
      <c r="L169" s="8" t="s">
        <v>2566</v>
      </c>
      <c r="M169" s="13" t="s">
        <v>2567</v>
      </c>
      <c r="N169" s="8" t="s">
        <v>2568</v>
      </c>
      <c r="O169" s="13" t="s">
        <v>3352</v>
      </c>
      <c r="P169" s="8" t="s">
        <v>3353</v>
      </c>
      <c r="Q169" s="13" t="s">
        <v>3354</v>
      </c>
      <c r="R169" s="8" t="s">
        <v>3355</v>
      </c>
      <c r="S169" s="13" t="s">
        <v>3356</v>
      </c>
      <c r="T169" s="8" t="s">
        <v>2568</v>
      </c>
      <c r="U169" s="13" t="s">
        <v>2569</v>
      </c>
      <c r="V169" s="8" t="s">
        <v>2568</v>
      </c>
      <c r="W169" s="13" t="s">
        <v>2570</v>
      </c>
      <c r="X169" s="8" t="s">
        <v>2571</v>
      </c>
      <c r="Y169" s="13" t="s">
        <v>3357</v>
      </c>
      <c r="Z169" s="8" t="s">
        <v>3358</v>
      </c>
      <c r="AA169" s="13" t="s">
        <v>3359</v>
      </c>
      <c r="AB169" s="8" t="s">
        <v>2572</v>
      </c>
      <c r="AC169" s="13" t="s">
        <v>2573</v>
      </c>
      <c r="AD169" s="8" t="s">
        <v>3360</v>
      </c>
      <c r="AE169" s="13" t="s">
        <v>3361</v>
      </c>
      <c r="AF169" s="8" t="s">
        <v>3358</v>
      </c>
      <c r="AG169" s="13" t="s">
        <v>3362</v>
      </c>
      <c r="AH169" s="8" t="s">
        <v>2572</v>
      </c>
      <c r="AI169" s="13" t="s">
        <v>3363</v>
      </c>
      <c r="AJ169" s="8" t="s">
        <v>2572</v>
      </c>
      <c r="AK169" s="13" t="s">
        <v>3364</v>
      </c>
      <c r="AL169" s="8" t="s">
        <v>3365</v>
      </c>
    </row>
    <row r="170" spans="1:38" ht="22.5" customHeight="1">
      <c r="A170" s="28" t="s">
        <v>1496</v>
      </c>
      <c r="C170" s="8" t="str">
        <f t="shared" si="6"/>
        <v>giftcodesbanner/歐啦!守得豬-禮包碼.jpg</v>
      </c>
      <c r="D170" s="8" t="str">
        <f t="shared" si="5"/>
        <v>https://www.ssbuy.tw/detail_giftcode/dist/giftcodes/歐啦!守得豬.html</v>
      </c>
      <c r="E170" s="9" t="s">
        <v>3366</v>
      </c>
      <c r="F170" s="29" t="s">
        <v>3367</v>
      </c>
      <c r="G170" s="8" t="s">
        <v>2574</v>
      </c>
      <c r="H170" s="8" t="s">
        <v>2575</v>
      </c>
      <c r="K170" s="12" t="s">
        <v>3368</v>
      </c>
      <c r="L170" s="8" t="s">
        <v>3369</v>
      </c>
      <c r="M170" s="13" t="s">
        <v>2576</v>
      </c>
      <c r="N170" s="8" t="s">
        <v>3370</v>
      </c>
      <c r="O170" s="13" t="s">
        <v>2577</v>
      </c>
      <c r="P170" s="8" t="s">
        <v>2578</v>
      </c>
      <c r="Q170" s="13" t="s">
        <v>2401</v>
      </c>
      <c r="R170" s="8" t="s">
        <v>3371</v>
      </c>
      <c r="S170" s="13" t="s">
        <v>2200</v>
      </c>
      <c r="T170" s="8" t="s">
        <v>2579</v>
      </c>
      <c r="U170" s="13" t="s">
        <v>2400</v>
      </c>
      <c r="V170" s="8" t="s">
        <v>2580</v>
      </c>
    </row>
    <row r="171" spans="1:38" ht="22.5" customHeight="1">
      <c r="A171" s="28" t="s">
        <v>3372</v>
      </c>
      <c r="C171" s="8" t="str">
        <f t="shared" si="6"/>
        <v>giftcodesbanner/18櫻花幕府-禮包碼.jpg</v>
      </c>
      <c r="D171" s="8" t="str">
        <f t="shared" si="5"/>
        <v>https://www.ssbuy.tw/detail_giftcode/dist/giftcodes/game-18櫻花幕府.html</v>
      </c>
      <c r="E171" s="17" t="s">
        <v>2581</v>
      </c>
      <c r="F171" s="29" t="s">
        <v>2582</v>
      </c>
      <c r="G171" s="8" t="s">
        <v>3373</v>
      </c>
      <c r="H171" s="8" t="s">
        <v>2599</v>
      </c>
      <c r="K171" s="12" t="s">
        <v>3374</v>
      </c>
      <c r="L171" s="8" t="s">
        <v>3375</v>
      </c>
      <c r="M171" s="13" t="s">
        <v>3376</v>
      </c>
      <c r="N171" s="8" t="s">
        <v>3377</v>
      </c>
    </row>
    <row r="172" spans="1:38" ht="22.5" customHeight="1">
      <c r="A172" s="28" t="s">
        <v>2583</v>
      </c>
      <c r="C172" s="8" t="str">
        <f t="shared" si="6"/>
        <v>giftcodesbanner/大武道-禮包碼.jpg</v>
      </c>
      <c r="D172" s="8" t="str">
        <f t="shared" si="5"/>
        <v>https://www.ssbuy.tw/detail_giftcode/dist/giftcodes/大武道.html</v>
      </c>
      <c r="E172" s="17" t="s">
        <v>1526</v>
      </c>
      <c r="F172" s="29" t="s">
        <v>2582</v>
      </c>
      <c r="G172" s="8" t="s">
        <v>3378</v>
      </c>
      <c r="H172" s="8" t="s">
        <v>3379</v>
      </c>
      <c r="K172" s="30" t="s">
        <v>2584</v>
      </c>
      <c r="L172" s="31" t="s">
        <v>2585</v>
      </c>
      <c r="M172" s="32" t="s">
        <v>2586</v>
      </c>
      <c r="N172" s="31" t="s">
        <v>2587</v>
      </c>
      <c r="O172" s="32" t="s">
        <v>2588</v>
      </c>
      <c r="P172" s="31" t="s">
        <v>2585</v>
      </c>
      <c r="Q172" s="32" t="s">
        <v>2589</v>
      </c>
      <c r="R172" s="31" t="s">
        <v>2587</v>
      </c>
      <c r="S172" s="32" t="s">
        <v>2590</v>
      </c>
      <c r="T172" s="31" t="s">
        <v>2585</v>
      </c>
      <c r="U172" s="32" t="s">
        <v>2591</v>
      </c>
      <c r="V172" s="31" t="s">
        <v>2587</v>
      </c>
      <c r="W172" s="32" t="s">
        <v>2592</v>
      </c>
      <c r="X172" s="31" t="s">
        <v>2585</v>
      </c>
      <c r="Y172" s="13" t="s">
        <v>2593</v>
      </c>
      <c r="Z172" s="8" t="s">
        <v>2594</v>
      </c>
      <c r="AA172" s="13" t="s">
        <v>3380</v>
      </c>
      <c r="AB172" s="8" t="s">
        <v>3381</v>
      </c>
      <c r="AC172" s="13" t="s">
        <v>3382</v>
      </c>
      <c r="AD172" s="8" t="s">
        <v>2595</v>
      </c>
      <c r="AE172" s="13" t="s">
        <v>2596</v>
      </c>
      <c r="AF172" s="8" t="s">
        <v>2597</v>
      </c>
    </row>
    <row r="173" spans="1:38" ht="22.5" customHeight="1">
      <c r="A173" s="67" t="s">
        <v>4587</v>
      </c>
      <c r="C173" s="8" t="str">
        <f t="shared" si="6"/>
        <v>giftcodesbanner/奇蹟MU：暴走之翼-禮包碼.jpg</v>
      </c>
      <c r="D173" s="8" t="str">
        <f t="shared" si="5"/>
        <v>https://www.ssbuy.tw/detail_giftcode/dist/giftcodes/奇蹟MU：暴走之翼.html</v>
      </c>
      <c r="E173" s="33" t="s">
        <v>4588</v>
      </c>
      <c r="F173" s="29" t="s">
        <v>2598</v>
      </c>
      <c r="G173" s="8" t="s">
        <v>3383</v>
      </c>
      <c r="H173" s="8" t="s">
        <v>2599</v>
      </c>
      <c r="I173" s="8" t="s">
        <v>2600</v>
      </c>
      <c r="K173" s="12" t="s">
        <v>3218</v>
      </c>
      <c r="L173" s="8" t="s">
        <v>3384</v>
      </c>
      <c r="M173" s="13" t="s">
        <v>3385</v>
      </c>
      <c r="N173" s="8" t="s">
        <v>3386</v>
      </c>
      <c r="O173" s="13" t="s">
        <v>1933</v>
      </c>
      <c r="P173" s="8" t="s">
        <v>3387</v>
      </c>
      <c r="Q173" s="13" t="s">
        <v>3388</v>
      </c>
      <c r="R173" s="8" t="s">
        <v>2602</v>
      </c>
      <c r="S173" s="13" t="s">
        <v>3389</v>
      </c>
      <c r="T173" s="8" t="s">
        <v>3390</v>
      </c>
      <c r="U173" s="13" t="s">
        <v>3391</v>
      </c>
      <c r="V173" s="8" t="s">
        <v>3392</v>
      </c>
      <c r="W173" s="13" t="s">
        <v>2601</v>
      </c>
      <c r="X173" s="8" t="s">
        <v>2602</v>
      </c>
      <c r="Y173" s="13" t="s">
        <v>2603</v>
      </c>
      <c r="Z173" s="8" t="s">
        <v>3393</v>
      </c>
      <c r="AA173" s="13" t="s">
        <v>3394</v>
      </c>
      <c r="AB173" s="8" t="s">
        <v>3395</v>
      </c>
    </row>
    <row r="174" spans="1:38" ht="22.5" customHeight="1">
      <c r="A174" s="68" t="s">
        <v>2604</v>
      </c>
      <c r="C174" s="8" t="str">
        <f t="shared" si="6"/>
        <v>giftcodesbanner/劍太傳說：新的開始-禮包碼.jpg</v>
      </c>
      <c r="D174" s="8" t="str">
        <f t="shared" si="5"/>
        <v>https://www.ssbuy.tw/detail_giftcode/dist/giftcodes/劍太傳說：新的開始.html</v>
      </c>
      <c r="E174" s="9" t="s">
        <v>2605</v>
      </c>
      <c r="F174" s="29" t="s">
        <v>3396</v>
      </c>
      <c r="G174" s="8" t="s">
        <v>3397</v>
      </c>
      <c r="H174" s="8" t="s">
        <v>3398</v>
      </c>
      <c r="I174" s="8" t="s">
        <v>3399</v>
      </c>
      <c r="K174" s="12" t="s">
        <v>3400</v>
      </c>
      <c r="L174" s="8" t="s">
        <v>2606</v>
      </c>
      <c r="M174" s="13" t="s">
        <v>3401</v>
      </c>
      <c r="N174" s="8" t="s">
        <v>2606</v>
      </c>
      <c r="O174" s="13" t="s">
        <v>2607</v>
      </c>
      <c r="P174" s="8" t="s">
        <v>2606</v>
      </c>
      <c r="Q174" s="13" t="s">
        <v>3402</v>
      </c>
      <c r="R174" s="8" t="s">
        <v>3403</v>
      </c>
    </row>
    <row r="175" spans="1:38" ht="22.5" customHeight="1">
      <c r="A175" s="68" t="s">
        <v>3404</v>
      </c>
      <c r="C175" s="8" t="str">
        <f t="shared" si="6"/>
        <v>giftcodesbanner/三國。群英燎原-禮包碼.jpg</v>
      </c>
      <c r="D175" s="8" t="str">
        <f t="shared" si="5"/>
        <v>https://www.ssbuy.tw/detail_giftcode/dist/giftcodes/三國。群英燎原.html</v>
      </c>
      <c r="E175" s="9" t="s">
        <v>3405</v>
      </c>
      <c r="F175" s="29" t="s">
        <v>3406</v>
      </c>
      <c r="G175" s="8" t="s">
        <v>3407</v>
      </c>
      <c r="H175" s="8" t="s">
        <v>3408</v>
      </c>
      <c r="I175" s="8" t="s">
        <v>2608</v>
      </c>
      <c r="K175" s="12" t="s">
        <v>2609</v>
      </c>
      <c r="L175" s="8" t="s">
        <v>3409</v>
      </c>
      <c r="M175" s="13" t="s">
        <v>3410</v>
      </c>
      <c r="N175" s="8" t="s">
        <v>3411</v>
      </c>
      <c r="O175" s="13" t="s">
        <v>3412</v>
      </c>
      <c r="P175" s="8" t="s">
        <v>3413</v>
      </c>
      <c r="Q175" s="13" t="s">
        <v>2610</v>
      </c>
      <c r="R175" s="8" t="s">
        <v>3414</v>
      </c>
    </row>
    <row r="176" spans="1:38" ht="22.5" customHeight="1">
      <c r="A176" s="68" t="s">
        <v>1532</v>
      </c>
      <c r="C176" s="8" t="str">
        <f t="shared" si="6"/>
        <v>giftcodesbanner/Final War：寒霜前線-禮包碼.jpg</v>
      </c>
      <c r="D176" s="8" t="str">
        <f t="shared" si="5"/>
        <v>https://www.ssbuy.tw/detail_giftcode/dist/giftcodes/Final War：寒霜前線.html</v>
      </c>
      <c r="E176" s="9" t="s">
        <v>2611</v>
      </c>
      <c r="F176" s="8" t="s">
        <v>2459</v>
      </c>
      <c r="G176" s="8" t="s">
        <v>2459</v>
      </c>
      <c r="K176" s="12" t="s">
        <v>2459</v>
      </c>
      <c r="L176" s="8" t="s">
        <v>3237</v>
      </c>
      <c r="M176" s="13" t="s">
        <v>2459</v>
      </c>
      <c r="N176" s="8" t="s">
        <v>2459</v>
      </c>
      <c r="O176" s="13" t="s">
        <v>2459</v>
      </c>
      <c r="P176" s="8" t="s">
        <v>2459</v>
      </c>
    </row>
    <row r="177" spans="1:39" ht="22.5" customHeight="1">
      <c r="A177" s="68" t="s">
        <v>2612</v>
      </c>
      <c r="C177" s="8" t="str">
        <f t="shared" si="6"/>
        <v>giftcodesbanner/黑夜獵人-禮包碼.jpg</v>
      </c>
      <c r="D177" s="8" t="str">
        <f t="shared" si="5"/>
        <v>https://www.ssbuy.tw/detail_giftcode/dist/giftcodes/黑夜獵人.html</v>
      </c>
      <c r="E177" s="9" t="s">
        <v>3415</v>
      </c>
      <c r="F177" s="29" t="s">
        <v>2613</v>
      </c>
      <c r="G177" s="8" t="s">
        <v>3416</v>
      </c>
      <c r="H177" s="8" t="s">
        <v>3417</v>
      </c>
      <c r="I177" s="8" t="s">
        <v>2614</v>
      </c>
      <c r="K177" s="12" t="s">
        <v>3237</v>
      </c>
      <c r="L177" s="8" t="s">
        <v>2459</v>
      </c>
      <c r="M177" s="13" t="s">
        <v>2471</v>
      </c>
      <c r="N177" s="8" t="s">
        <v>3237</v>
      </c>
      <c r="O177" s="13" t="s">
        <v>2459</v>
      </c>
      <c r="P177" s="8" t="s">
        <v>2471</v>
      </c>
    </row>
    <row r="178" spans="1:39" ht="22.5" customHeight="1">
      <c r="A178" s="7" t="s">
        <v>3418</v>
      </c>
      <c r="C178" s="8" t="str">
        <f t="shared" si="6"/>
        <v>giftcodesbanner/魔法黯道-禮包碼.jpg</v>
      </c>
      <c r="D178" s="8" t="str">
        <f t="shared" si="5"/>
        <v>https://www.ssbuy.tw/detail_giftcode/dist/giftcodes/魔法黯道.html</v>
      </c>
      <c r="E178" s="69" t="s">
        <v>4001</v>
      </c>
      <c r="F178" s="29" t="s">
        <v>2615</v>
      </c>
      <c r="G178" s="8" t="s">
        <v>3419</v>
      </c>
      <c r="H178" s="8" t="s">
        <v>3420</v>
      </c>
      <c r="K178" s="12" t="s">
        <v>2616</v>
      </c>
      <c r="L178" s="8" t="s">
        <v>3421</v>
      </c>
      <c r="M178" s="13" t="s">
        <v>3422</v>
      </c>
      <c r="N178" s="8" t="s">
        <v>2617</v>
      </c>
      <c r="O178" s="13" t="s">
        <v>3423</v>
      </c>
      <c r="P178" s="8" t="s">
        <v>3424</v>
      </c>
      <c r="Q178" s="13" t="s">
        <v>3425</v>
      </c>
      <c r="R178" s="8" t="s">
        <v>3426</v>
      </c>
      <c r="S178" s="13" t="s">
        <v>3427</v>
      </c>
      <c r="T178" s="8" t="s">
        <v>1920</v>
      </c>
    </row>
    <row r="179" spans="1:39" ht="22.5" customHeight="1">
      <c r="A179" s="8" t="s">
        <v>3428</v>
      </c>
      <c r="C179" s="8" t="str">
        <f t="shared" si="6"/>
        <v>giftcodesbanner/神代紀事-禮包碼.jpg</v>
      </c>
      <c r="D179" s="8" t="str">
        <f t="shared" si="5"/>
        <v>https://www.ssbuy.tw/detail_giftcode/dist/giftcodes/神代紀事.html</v>
      </c>
      <c r="E179" s="9" t="s">
        <v>3429</v>
      </c>
      <c r="F179" s="29" t="s">
        <v>2459</v>
      </c>
      <c r="G179" s="8" t="s">
        <v>2471</v>
      </c>
      <c r="H179" s="8" t="s">
        <v>2471</v>
      </c>
      <c r="I179" s="8" t="s">
        <v>2459</v>
      </c>
      <c r="K179" s="12" t="s">
        <v>2459</v>
      </c>
      <c r="L179" s="8" t="s">
        <v>2471</v>
      </c>
      <c r="M179" s="13" t="s">
        <v>2471</v>
      </c>
      <c r="N179" s="8" t="s">
        <v>2459</v>
      </c>
    </row>
    <row r="180" spans="1:39" ht="22.5" customHeight="1">
      <c r="A180" s="7" t="s">
        <v>3430</v>
      </c>
      <c r="C180" s="8" t="str">
        <f t="shared" si="6"/>
        <v>giftcodesbanner/天命國度-禮包碼.jpg</v>
      </c>
      <c r="D180" s="8" t="str">
        <f t="shared" si="5"/>
        <v>https://www.ssbuy.tw/detail_giftcode/dist/giftcodes/天命國度.html</v>
      </c>
      <c r="E180" s="9" t="s">
        <v>3431</v>
      </c>
      <c r="F180" s="29" t="s">
        <v>3432</v>
      </c>
      <c r="G180" s="8" t="s">
        <v>3433</v>
      </c>
      <c r="H180" s="8" t="s">
        <v>3434</v>
      </c>
      <c r="I180" s="8" t="s">
        <v>2618</v>
      </c>
      <c r="K180" s="12" t="s">
        <v>3435</v>
      </c>
      <c r="L180" s="8" t="s">
        <v>3436</v>
      </c>
    </row>
    <row r="181" spans="1:39" ht="22.5" customHeight="1">
      <c r="A181" s="67" t="s">
        <v>1592</v>
      </c>
      <c r="C181" s="8" t="str">
        <f t="shared" si="6"/>
        <v>giftcodesbanner/戰國武士道-禮包碼.jpg</v>
      </c>
      <c r="D181" s="8" t="str">
        <f t="shared" si="5"/>
        <v>https://www.ssbuy.tw/detail_giftcode/dist/giftcodes/戰國武士道.html</v>
      </c>
      <c r="E181" s="33" t="s">
        <v>3437</v>
      </c>
      <c r="F181" s="29" t="s">
        <v>2459</v>
      </c>
      <c r="G181" s="8" t="s">
        <v>2459</v>
      </c>
      <c r="K181" s="12" t="s">
        <v>2619</v>
      </c>
      <c r="L181" s="8" t="s">
        <v>3438</v>
      </c>
    </row>
    <row r="182" spans="1:39" ht="22.5" customHeight="1">
      <c r="A182" s="67" t="s">
        <v>1597</v>
      </c>
      <c r="C182" s="8" t="str">
        <f t="shared" si="6"/>
        <v>giftcodesbanner/超蝦大作戰-禮包碼.jpg</v>
      </c>
      <c r="D182" s="8" t="str">
        <f t="shared" si="5"/>
        <v>https://www.ssbuy.tw/detail_giftcode/dist/giftcodes/超蝦大作戰.html</v>
      </c>
      <c r="E182" s="69" t="s">
        <v>4589</v>
      </c>
      <c r="F182" s="29" t="s">
        <v>3439</v>
      </c>
      <c r="G182" s="8" t="s">
        <v>3440</v>
      </c>
      <c r="H182" s="8" t="s">
        <v>2620</v>
      </c>
      <c r="K182" s="12" t="s">
        <v>3441</v>
      </c>
      <c r="L182" s="8" t="s">
        <v>3442</v>
      </c>
      <c r="M182" s="13" t="s">
        <v>3443</v>
      </c>
      <c r="N182" s="8" t="s">
        <v>2621</v>
      </c>
      <c r="O182" s="13" t="s">
        <v>3444</v>
      </c>
      <c r="P182" s="8" t="s">
        <v>3445</v>
      </c>
      <c r="Q182" s="25" t="s">
        <v>2622</v>
      </c>
      <c r="R182" s="8" t="s">
        <v>2623</v>
      </c>
      <c r="S182" s="25" t="s">
        <v>3446</v>
      </c>
      <c r="T182" s="8" t="s">
        <v>3447</v>
      </c>
    </row>
    <row r="183" spans="1:39" ht="22.5" customHeight="1">
      <c r="A183" s="67" t="s">
        <v>1622</v>
      </c>
      <c r="C183" s="8" t="str">
        <f t="shared" si="6"/>
        <v>giftcodesbanner/真妖獸!廢柴要修仙-禮包碼.jpg</v>
      </c>
      <c r="D183" s="8" t="str">
        <f t="shared" si="5"/>
        <v>https://www.ssbuy.tw/detail_giftcode/dist/giftcodes/真妖獸!廢柴要修仙.html</v>
      </c>
      <c r="E183" s="9" t="s">
        <v>3448</v>
      </c>
      <c r="F183" s="29" t="s">
        <v>2624</v>
      </c>
      <c r="G183" s="8" t="s">
        <v>3449</v>
      </c>
      <c r="H183" s="8" t="s">
        <v>2625</v>
      </c>
      <c r="I183" s="8" t="s">
        <v>3450</v>
      </c>
      <c r="J183" s="9" t="s">
        <v>3451</v>
      </c>
      <c r="K183" s="12" t="s">
        <v>3218</v>
      </c>
      <c r="L183" s="8" t="s">
        <v>3452</v>
      </c>
      <c r="M183" s="13" t="s">
        <v>2056</v>
      </c>
      <c r="N183" s="8" t="s">
        <v>3453</v>
      </c>
      <c r="O183" s="13" t="s">
        <v>3385</v>
      </c>
      <c r="P183" s="8" t="s">
        <v>3454</v>
      </c>
      <c r="Q183" s="13" t="s">
        <v>3455</v>
      </c>
      <c r="R183" s="8" t="s">
        <v>2626</v>
      </c>
      <c r="S183" s="13" t="s">
        <v>2199</v>
      </c>
      <c r="T183" s="8" t="s">
        <v>3456</v>
      </c>
      <c r="U183" s="13" t="s">
        <v>2200</v>
      </c>
      <c r="V183" s="8" t="s">
        <v>3457</v>
      </c>
      <c r="W183" s="13" t="s">
        <v>3458</v>
      </c>
      <c r="X183" s="8" t="s">
        <v>3459</v>
      </c>
    </row>
    <row r="184" spans="1:39" ht="22.5" customHeight="1">
      <c r="A184" s="8" t="s">
        <v>2627</v>
      </c>
      <c r="C184" s="8" t="str">
        <f t="shared" si="6"/>
        <v>giftcodesbanner/三國志Thrones-禮包碼.jpg</v>
      </c>
      <c r="D184" s="8" t="str">
        <f t="shared" si="5"/>
        <v>https://www.ssbuy.tw/detail_giftcode/dist/giftcodes/三國志Thrones.html</v>
      </c>
      <c r="E184" s="69" t="s">
        <v>4590</v>
      </c>
      <c r="F184" s="29" t="s">
        <v>2624</v>
      </c>
      <c r="G184" s="8" t="s">
        <v>3460</v>
      </c>
      <c r="H184" s="8" t="s">
        <v>3461</v>
      </c>
      <c r="I184" s="8" t="s">
        <v>2628</v>
      </c>
      <c r="K184" s="12" t="s">
        <v>2629</v>
      </c>
      <c r="L184" s="8" t="s">
        <v>3462</v>
      </c>
    </row>
    <row r="185" spans="1:39" ht="22.5" customHeight="1">
      <c r="A185" s="8" t="s">
        <v>3463</v>
      </c>
      <c r="C185" s="8" t="str">
        <f t="shared" si="6"/>
        <v>giftcodesbanner/英勇之地-禮包碼.jpg</v>
      </c>
      <c r="D185" s="8" t="str">
        <f t="shared" si="5"/>
        <v>https://www.ssbuy.tw/detail_giftcode/dist/giftcodes/英勇之地.html</v>
      </c>
      <c r="E185" s="17" t="s">
        <v>3464</v>
      </c>
      <c r="F185" s="29" t="s">
        <v>3465</v>
      </c>
      <c r="G185" s="8" t="s">
        <v>3466</v>
      </c>
      <c r="H185" s="8" t="s">
        <v>3467</v>
      </c>
      <c r="I185" s="8" t="s">
        <v>2625</v>
      </c>
      <c r="J185" s="9" t="s">
        <v>3468</v>
      </c>
      <c r="K185" s="12" t="s">
        <v>2630</v>
      </c>
      <c r="L185" s="8" t="s">
        <v>2631</v>
      </c>
      <c r="M185" s="13" t="s">
        <v>3469</v>
      </c>
      <c r="N185" s="8" t="s">
        <v>2632</v>
      </c>
      <c r="O185" s="13" t="s">
        <v>3653</v>
      </c>
      <c r="P185" s="8" t="s">
        <v>3654</v>
      </c>
      <c r="Q185" s="13" t="s">
        <v>4842</v>
      </c>
      <c r="S185" s="13" t="s">
        <v>4843</v>
      </c>
      <c r="U185" s="13" t="s">
        <v>4844</v>
      </c>
      <c r="W185" s="13" t="s">
        <v>4845</v>
      </c>
      <c r="Y185" s="13" t="s">
        <v>4846</v>
      </c>
      <c r="AA185" s="13" t="s">
        <v>4847</v>
      </c>
      <c r="AC185" s="13" t="s">
        <v>4848</v>
      </c>
      <c r="AE185" s="13" t="s">
        <v>4849</v>
      </c>
      <c r="AG185" s="13" t="s">
        <v>4850</v>
      </c>
    </row>
    <row r="186" spans="1:39" ht="22.5" customHeight="1">
      <c r="A186" s="68" t="s">
        <v>2633</v>
      </c>
      <c r="C186" s="8" t="str">
        <f t="shared" si="6"/>
        <v>giftcodesbanner/未鑑定勇者團-禮包碼.jpg</v>
      </c>
      <c r="D186" s="8" t="str">
        <f t="shared" si="5"/>
        <v>https://www.ssbuy.tw/detail_giftcode/dist/giftcodes/未鑑定勇者團.html</v>
      </c>
      <c r="E186" s="69" t="s">
        <v>4004</v>
      </c>
      <c r="F186" s="29" t="s">
        <v>3470</v>
      </c>
      <c r="G186" s="8" t="s">
        <v>3471</v>
      </c>
      <c r="H186" s="8" t="s">
        <v>2634</v>
      </c>
      <c r="I186" s="8" t="s">
        <v>3472</v>
      </c>
      <c r="K186" s="12" t="s">
        <v>2635</v>
      </c>
      <c r="L186" s="8" t="s">
        <v>3473</v>
      </c>
      <c r="M186" s="13" t="s">
        <v>3474</v>
      </c>
      <c r="N186" s="8" t="s">
        <v>3475</v>
      </c>
    </row>
    <row r="187" spans="1:39" ht="22.5" customHeight="1">
      <c r="A187" s="68" t="s">
        <v>2636</v>
      </c>
      <c r="C187" s="8" t="str">
        <f t="shared" si="6"/>
        <v>giftcodesbanner/戰靈異聞社-禮包碼.jpg</v>
      </c>
      <c r="D187" s="8" t="str">
        <f t="shared" si="5"/>
        <v>https://www.ssbuy.tw/detail_giftcode/dist/giftcodes/戰靈異聞社.html</v>
      </c>
      <c r="E187" s="69" t="s">
        <v>4005</v>
      </c>
      <c r="F187" s="29" t="s">
        <v>3476</v>
      </c>
      <c r="G187" s="8" t="s">
        <v>3477</v>
      </c>
      <c r="H187" s="8" t="s">
        <v>3478</v>
      </c>
      <c r="K187" s="12" t="s">
        <v>2637</v>
      </c>
      <c r="L187" s="8" t="s">
        <v>3479</v>
      </c>
      <c r="M187" s="13" t="s">
        <v>3480</v>
      </c>
      <c r="N187" s="8" t="s">
        <v>3481</v>
      </c>
      <c r="O187" s="13" t="s">
        <v>3482</v>
      </c>
      <c r="P187" s="8" t="s">
        <v>3483</v>
      </c>
      <c r="Q187" s="13" t="s">
        <v>3484</v>
      </c>
      <c r="R187" s="20" t="s">
        <v>3485</v>
      </c>
      <c r="S187" s="13" t="s">
        <v>2638</v>
      </c>
      <c r="T187" s="20" t="s">
        <v>3486</v>
      </c>
    </row>
    <row r="188" spans="1:39" ht="22.5" customHeight="1">
      <c r="A188" s="8" t="s">
        <v>3487</v>
      </c>
      <c r="C188" s="8" t="str">
        <f t="shared" si="6"/>
        <v>giftcodesbanner/見習骷髏王-禮包碼.jpg</v>
      </c>
      <c r="D188" s="8" t="str">
        <f t="shared" si="5"/>
        <v>https://www.ssbuy.tw/detail_giftcode/dist/giftcodes/見習骷髏王.html</v>
      </c>
      <c r="E188" s="69" t="s">
        <v>2639</v>
      </c>
      <c r="F188" s="29" t="s">
        <v>3488</v>
      </c>
      <c r="G188" s="8" t="s">
        <v>2640</v>
      </c>
      <c r="K188" s="12" t="s">
        <v>3489</v>
      </c>
      <c r="L188" s="8" t="s">
        <v>2640</v>
      </c>
      <c r="M188" s="13" t="s">
        <v>2640</v>
      </c>
      <c r="N188" s="8" t="s">
        <v>2640</v>
      </c>
      <c r="O188" s="13" t="s">
        <v>3488</v>
      </c>
      <c r="P188" s="8" t="s">
        <v>2640</v>
      </c>
    </row>
    <row r="189" spans="1:39" ht="22.5" customHeight="1">
      <c r="A189" s="8" t="s">
        <v>2641</v>
      </c>
      <c r="C189" s="8" t="str">
        <f t="shared" si="6"/>
        <v>giftcodesbanner/全明星無雙-禮包碼.jpg</v>
      </c>
      <c r="D189" s="8" t="str">
        <f t="shared" si="5"/>
        <v>https://www.ssbuy.tw/detail_giftcode/dist/giftcodes/全明星無雙.html</v>
      </c>
      <c r="E189" s="9" t="s">
        <v>3490</v>
      </c>
      <c r="F189" s="29" t="s">
        <v>3491</v>
      </c>
      <c r="G189" s="8" t="s">
        <v>3506</v>
      </c>
      <c r="H189" s="8" t="s">
        <v>2625</v>
      </c>
      <c r="I189" s="8" t="s">
        <v>2642</v>
      </c>
      <c r="K189" s="12" t="s">
        <v>3492</v>
      </c>
      <c r="L189" s="8" t="s">
        <v>3493</v>
      </c>
    </row>
    <row r="190" spans="1:39" ht="22.5" customHeight="1">
      <c r="A190" s="8" t="str">
        <f>games!A190</f>
        <v>伊瑟</v>
      </c>
      <c r="C190" s="8" t="str">
        <f>IF(A190="","", "giftcodesbanner/" &amp; A190 &amp; "-禮包碼.jpg")</f>
        <v>giftcodesbanner/伊瑟-禮包碼.jpg</v>
      </c>
      <c r="D190" s="8" t="str">
        <f t="shared" si="5"/>
        <v>https://www.ssbuy.tw/detail_giftcode/dist/giftcodes/伊瑟.html</v>
      </c>
      <c r="E190" s="9" t="str">
        <f>games!I190</f>
        <v>《伊瑟·重啟日》是一款引人入勝的都市奇幻風格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v>
      </c>
      <c r="F190" s="29" t="s">
        <v>3501</v>
      </c>
      <c r="G190" s="8" t="s">
        <v>3502</v>
      </c>
      <c r="K190" s="12" t="s">
        <v>4596</v>
      </c>
      <c r="M190" s="13" t="s">
        <v>4597</v>
      </c>
      <c r="O190" s="13" t="s">
        <v>4598</v>
      </c>
      <c r="Q190" s="13" t="s">
        <v>4599</v>
      </c>
      <c r="S190" s="13" t="s">
        <v>4600</v>
      </c>
      <c r="U190" s="13" t="s">
        <v>4601</v>
      </c>
      <c r="W190" s="13" t="s">
        <v>4602</v>
      </c>
      <c r="Y190" s="13" t="s">
        <v>4603</v>
      </c>
      <c r="AA190" s="13" t="s">
        <v>4604</v>
      </c>
      <c r="AC190" s="13" t="s">
        <v>4605</v>
      </c>
      <c r="AE190" s="13" t="s">
        <v>4606</v>
      </c>
      <c r="AG190" s="13" t="s">
        <v>4852</v>
      </c>
      <c r="AI190" s="13" t="s">
        <v>4853</v>
      </c>
      <c r="AK190" s="13" t="s">
        <v>4854</v>
      </c>
      <c r="AM190" s="13" t="s">
        <v>4855</v>
      </c>
    </row>
    <row r="191" spans="1:39" ht="22.5" customHeight="1">
      <c r="A191" s="8" t="str">
        <f>IF(games!A191="", "", games!A191)</f>
        <v>手刀搶英雄</v>
      </c>
      <c r="C191" s="8" t="str">
        <f t="shared" ref="C191:C252" si="7">IF(A191="","", "giftcodesbanner/" &amp; A191 &amp; "-禮包碼.jpg")</f>
        <v>giftcodesbanner/手刀搶英雄-禮包碼.jpg</v>
      </c>
      <c r="D191" s="8" t="str">
        <f t="shared" si="5"/>
        <v>https://www.ssbuy.tw/detail_giftcode/dist/giftcodes/手刀搶英雄.html</v>
      </c>
      <c r="E191" s="9" t="str">
        <f>games!I191</f>
        <v>《手刀搶英雄》是一款主打快節奏放置戰鬥的像素風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v>
      </c>
      <c r="F191" s="29" t="s">
        <v>3505</v>
      </c>
      <c r="G191" s="8" t="s">
        <v>3507</v>
      </c>
      <c r="H191" s="8" t="s">
        <v>2625</v>
      </c>
      <c r="K191" s="12" t="s">
        <v>3520</v>
      </c>
      <c r="L191" s="8" t="s">
        <v>3524</v>
      </c>
      <c r="M191" s="13" t="s">
        <v>3521</v>
      </c>
      <c r="N191" s="8" t="s">
        <v>3525</v>
      </c>
      <c r="O191" s="13" t="s">
        <v>3522</v>
      </c>
      <c r="P191" s="8" t="s">
        <v>3523</v>
      </c>
    </row>
    <row r="192" spans="1:39" ht="22.5" customHeight="1">
      <c r="A192" s="8" t="str">
        <f>IF(games!A192="", "", games!A192)</f>
        <v>荒野亂鬥</v>
      </c>
      <c r="C192" s="8" t="str">
        <f t="shared" si="7"/>
        <v>giftcodesbanner/荒野亂鬥-禮包碼.jpg</v>
      </c>
      <c r="D192" s="8" t="str">
        <f t="shared" si="5"/>
        <v>https://www.ssbuy.tw/detail_giftcode/dist/giftcodes/荒野亂鬥.html</v>
      </c>
      <c r="E192" s="9" t="str">
        <f>games!I192</f>
        <v>《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v>
      </c>
      <c r="F192" s="12" t="s">
        <v>3489</v>
      </c>
      <c r="G192" s="8" t="s">
        <v>2640</v>
      </c>
      <c r="H192" s="13" t="s">
        <v>2640</v>
      </c>
      <c r="I192" s="8" t="s">
        <v>2640</v>
      </c>
      <c r="K192" s="12" t="s">
        <v>3489</v>
      </c>
      <c r="L192" s="8" t="s">
        <v>2640</v>
      </c>
      <c r="M192" s="13" t="s">
        <v>2640</v>
      </c>
      <c r="N192" s="8" t="s">
        <v>2640</v>
      </c>
    </row>
    <row r="193" spans="1:50" ht="22.5" customHeight="1">
      <c r="A193" s="8" t="str">
        <f>IF(games!A193="", "", games!A193)</f>
        <v>遺忘之劍</v>
      </c>
      <c r="C193" s="8" t="str">
        <f t="shared" si="7"/>
        <v>giftcodesbanner/遺忘之劍-禮包碼.jpg</v>
      </c>
      <c r="D193" s="8" t="str">
        <f t="shared" si="5"/>
        <v>https://www.ssbuy.tw/detail_giftcode/dist/giftcodes/遺忘之劍.html</v>
      </c>
      <c r="E193" s="9" t="str">
        <f>games!I193</f>
        <v>《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v>
      </c>
      <c r="F193" s="29" t="s">
        <v>3541</v>
      </c>
      <c r="G193" s="8" t="s">
        <v>3542</v>
      </c>
      <c r="H193" s="8" t="s">
        <v>3543</v>
      </c>
      <c r="I193" s="8" t="s">
        <v>2625</v>
      </c>
      <c r="K193" s="12" t="s">
        <v>3544</v>
      </c>
      <c r="L193" s="8" t="s">
        <v>3552</v>
      </c>
      <c r="M193" s="13" t="s">
        <v>3545</v>
      </c>
      <c r="N193" s="8" t="s">
        <v>3553</v>
      </c>
      <c r="O193" s="13" t="s">
        <v>3546</v>
      </c>
      <c r="P193" s="20" t="s">
        <v>3549</v>
      </c>
      <c r="Q193" s="13" t="s">
        <v>3547</v>
      </c>
      <c r="R193" s="20" t="s">
        <v>3550</v>
      </c>
      <c r="S193" s="13" t="s">
        <v>3548</v>
      </c>
      <c r="T193" s="20" t="s">
        <v>3551</v>
      </c>
    </row>
    <row r="194" spans="1:50" ht="22.5" customHeight="1">
      <c r="A194" s="8" t="str">
        <f>IF(games!A194="", "", games!A194)</f>
        <v>破壞突擊隊</v>
      </c>
      <c r="C194" s="8" t="str">
        <f t="shared" si="7"/>
        <v>giftcodesbanner/破壞突擊隊-禮包碼.jpg</v>
      </c>
      <c r="D194" s="8" t="str">
        <f t="shared" si="5"/>
        <v>https://www.ssbuy.tw/detail_giftcode/dist/giftcodes/破壞突擊隊.html</v>
      </c>
      <c r="E194" s="9" t="str">
        <f>IF(games!I194&lt;&gt;"", games!I194, "")</f>
        <v>《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v>
      </c>
      <c r="F194" s="12" t="s">
        <v>3489</v>
      </c>
      <c r="G194" s="8" t="s">
        <v>2640</v>
      </c>
      <c r="H194" s="13" t="s">
        <v>2640</v>
      </c>
      <c r="I194" s="8" t="s">
        <v>2640</v>
      </c>
      <c r="K194" s="12" t="s">
        <v>3489</v>
      </c>
      <c r="L194" s="8" t="s">
        <v>2640</v>
      </c>
      <c r="M194" s="13" t="s">
        <v>2640</v>
      </c>
      <c r="N194" s="8" t="s">
        <v>2640</v>
      </c>
    </row>
    <row r="195" spans="1:50" ht="22.5" customHeight="1">
      <c r="A195" s="8" t="str">
        <f>IF(games!A195="", "", games!A195)</f>
        <v>月兔茶屋：悠閒之旅</v>
      </c>
      <c r="C195" s="8" t="str">
        <f t="shared" si="7"/>
        <v>giftcodesbanner/月兔茶屋：悠閒之旅-禮包碼.jpg</v>
      </c>
      <c r="D195" s="8" t="str">
        <f t="shared" ref="D195:D258" si="8">IF(A195="","", "https://www.ssbuy.tw/detail_giftcode/dist/giftcodes/" &amp; IF(ISNUMBER(LEFT(A195,1)*1), "game-", "") &amp; A195 &amp; ".html")</f>
        <v>https://www.ssbuy.tw/detail_giftcode/dist/giftcodes/月兔茶屋：悠閒之旅.html</v>
      </c>
      <c r="E195" s="9" t="str">
        <f>IF(games!I195&lt;&gt;"", games!I195, "")</f>
        <v>《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v>
      </c>
      <c r="F195" s="12" t="s">
        <v>3489</v>
      </c>
      <c r="G195" s="8" t="s">
        <v>2640</v>
      </c>
      <c r="H195" s="13" t="s">
        <v>2640</v>
      </c>
      <c r="I195" s="8" t="s">
        <v>2640</v>
      </c>
      <c r="K195" s="12" t="s">
        <v>3489</v>
      </c>
      <c r="L195" s="8" t="s">
        <v>2640</v>
      </c>
      <c r="M195" s="13" t="s">
        <v>2640</v>
      </c>
      <c r="N195" s="8" t="s">
        <v>2640</v>
      </c>
    </row>
    <row r="196" spans="1:50" ht="22.5" customHeight="1">
      <c r="A196" s="8" t="str">
        <f>IF(games!A196="", "", games!A196)</f>
        <v>吞食天地 虛擬世界</v>
      </c>
      <c r="C196" s="8" t="str">
        <f t="shared" si="7"/>
        <v>giftcodesbanner/吞食天地 虛擬世界-禮包碼.jpg</v>
      </c>
      <c r="D196" s="8" t="str">
        <f t="shared" si="8"/>
        <v>https://www.ssbuy.tw/detail_giftcode/dist/giftcodes/吞食天地 虛擬世界.html</v>
      </c>
      <c r="E196" s="9" t="str">
        <f>IF(games!I196&lt;&gt;"", games!I196, "")</f>
        <v>《吞食天地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v>
      </c>
      <c r="F196" s="29" t="s">
        <v>3587</v>
      </c>
      <c r="G196" s="8" t="s">
        <v>3588</v>
      </c>
      <c r="H196" s="8" t="s">
        <v>2625</v>
      </c>
      <c r="I196" s="8" t="s">
        <v>3589</v>
      </c>
      <c r="K196" s="12" t="s">
        <v>3585</v>
      </c>
      <c r="L196" s="8" t="s">
        <v>3586</v>
      </c>
    </row>
    <row r="197" spans="1:50" ht="22.5" customHeight="1">
      <c r="A197" s="8" t="str">
        <f>IF(games!A197="", "", games!A197)</f>
        <v>封神：蒼嵐契約</v>
      </c>
      <c r="C197" s="8" t="str">
        <f t="shared" si="7"/>
        <v>giftcodesbanner/封神：蒼嵐契約-禮包碼.jpg</v>
      </c>
      <c r="D197" s="8" t="str">
        <f t="shared" si="8"/>
        <v>https://www.ssbuy.tw/detail_giftcode/dist/giftcodes/封神：蒼嵐契約.html</v>
      </c>
      <c r="E197" s="9" t="str">
        <f>IF(games!I197&lt;&gt;"", games!I197, "")</f>
        <v>《封神：蒼嵐契約》是一款東方神話主題的放置卡牌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v>
      </c>
      <c r="F197" s="29" t="s">
        <v>3615</v>
      </c>
      <c r="G197" s="8" t="s">
        <v>3616</v>
      </c>
      <c r="H197" s="8" t="s">
        <v>2625</v>
      </c>
      <c r="I197" s="8" t="s">
        <v>3617</v>
      </c>
      <c r="K197" s="12" t="s">
        <v>1933</v>
      </c>
      <c r="L197" s="8" t="s">
        <v>3614</v>
      </c>
      <c r="M197" s="12" t="s">
        <v>3603</v>
      </c>
      <c r="N197" s="8" t="s">
        <v>3604</v>
      </c>
      <c r="O197" s="13" t="s">
        <v>3605</v>
      </c>
      <c r="P197" s="8" t="s">
        <v>3606</v>
      </c>
      <c r="Q197" s="13" t="s">
        <v>1932</v>
      </c>
      <c r="R197" s="8" t="s">
        <v>3607</v>
      </c>
      <c r="S197" s="13" t="s">
        <v>2401</v>
      </c>
      <c r="T197" s="8" t="s">
        <v>3613</v>
      </c>
      <c r="U197" s="13" t="s">
        <v>3610</v>
      </c>
      <c r="V197" s="8" t="s">
        <v>3607</v>
      </c>
      <c r="W197" s="13" t="s">
        <v>3611</v>
      </c>
      <c r="X197" s="8" t="s">
        <v>3612</v>
      </c>
      <c r="Y197" s="13" t="s">
        <v>3608</v>
      </c>
      <c r="Z197" s="8" t="s">
        <v>3609</v>
      </c>
    </row>
    <row r="198" spans="1:50" ht="22.5" customHeight="1">
      <c r="A198" s="8" t="str">
        <f>IF(games!A198="", "", games!A198)</f>
        <v>Gear Fight!</v>
      </c>
      <c r="C198" s="8" t="str">
        <f t="shared" si="7"/>
        <v>giftcodesbanner/Gear Fight!-禮包碼.jpg</v>
      </c>
      <c r="D198" s="8" t="str">
        <f t="shared" si="8"/>
        <v>https://www.ssbuy.tw/detail_giftcode/dist/giftcodes/Gear Fight!.html</v>
      </c>
      <c r="E198" s="9" t="str">
        <f>IF(games!I198&lt;&gt;"", games!I198, "")</f>
        <v>《Gear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v>
      </c>
      <c r="F198" s="12" t="s">
        <v>2640</v>
      </c>
      <c r="G198" s="8" t="s">
        <v>2640</v>
      </c>
      <c r="H198" s="13" t="s">
        <v>2640</v>
      </c>
      <c r="I198" s="8" t="s">
        <v>2640</v>
      </c>
      <c r="K198" s="12" t="s">
        <v>2640</v>
      </c>
      <c r="L198" s="8" t="s">
        <v>2640</v>
      </c>
      <c r="M198" s="13" t="s">
        <v>2640</v>
      </c>
      <c r="N198" s="8" t="s">
        <v>2640</v>
      </c>
    </row>
    <row r="199" spans="1:50" ht="22.5" customHeight="1">
      <c r="A199" s="8" t="str">
        <f>IF(games!A199="", "", games!A199)</f>
        <v>救世者之樹 M</v>
      </c>
      <c r="C199" s="8" t="str">
        <f t="shared" si="7"/>
        <v>giftcodesbanner/救世者之樹 M-禮包碼.jpg</v>
      </c>
      <c r="D199" s="8" t="str">
        <f t="shared" si="8"/>
        <v>https://www.ssbuy.tw/detail_giftcode/dist/giftcodes/救世者之樹 M.html</v>
      </c>
      <c r="E199" s="9" t="str">
        <f>IF(games!I199&lt;&gt;"", games!I199, "")</f>
        <v>《救世者之樹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v>
      </c>
      <c r="F199" s="29" t="s">
        <v>3640</v>
      </c>
      <c r="G199" s="8" t="s">
        <v>3641</v>
      </c>
      <c r="H199" s="8" t="s">
        <v>2625</v>
      </c>
      <c r="I199" s="8" t="s">
        <v>3642</v>
      </c>
      <c r="K199" s="12" t="s">
        <v>3638</v>
      </c>
      <c r="L199" s="8" t="s">
        <v>3639</v>
      </c>
      <c r="M199" s="13" t="s">
        <v>3652</v>
      </c>
      <c r="N199" s="8" t="s">
        <v>3639</v>
      </c>
      <c r="O199" s="25" t="s">
        <v>3657</v>
      </c>
      <c r="P199" s="8" t="s">
        <v>3639</v>
      </c>
      <c r="Q199" s="25" t="s">
        <v>3655</v>
      </c>
      <c r="R199" s="8" t="s">
        <v>3639</v>
      </c>
      <c r="S199" s="13" t="s">
        <v>3656</v>
      </c>
      <c r="T199" s="8" t="s">
        <v>3639</v>
      </c>
      <c r="U199" s="13" t="s">
        <v>3658</v>
      </c>
      <c r="V199" s="8" t="s">
        <v>3639</v>
      </c>
      <c r="W199" s="13" t="s">
        <v>3659</v>
      </c>
      <c r="X199" s="8" t="s">
        <v>3639</v>
      </c>
      <c r="Y199" s="13" t="s">
        <v>3660</v>
      </c>
      <c r="Z199" s="8" t="s">
        <v>3639</v>
      </c>
    </row>
    <row r="200" spans="1:50" ht="22.5" customHeight="1">
      <c r="A200" s="8" t="str">
        <f>IF(games!A200="", "", games!A200)</f>
        <v>勝利女神：妮姬</v>
      </c>
      <c r="C200" s="8" t="str">
        <f t="shared" si="7"/>
        <v>giftcodesbanner/勝利女神：妮姬-禮包碼.jpg</v>
      </c>
      <c r="D200" s="8" t="str">
        <f t="shared" si="8"/>
        <v>https://www.ssbuy.tw/detail_giftcode/dist/giftcodes/勝利女神：妮姬.html</v>
      </c>
      <c r="E200" s="9" t="str">
        <f>IF(games!I200&lt;&gt;"", games!I200, "")</f>
        <v>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v>
      </c>
      <c r="F200" s="29" t="s">
        <v>3736</v>
      </c>
      <c r="G200" s="8" t="s">
        <v>3737</v>
      </c>
      <c r="H200" s="8" t="s">
        <v>3738</v>
      </c>
      <c r="I200" s="8" t="s">
        <v>2625</v>
      </c>
      <c r="J200" s="9" t="s">
        <v>3739</v>
      </c>
      <c r="K200" s="12" t="s">
        <v>3732</v>
      </c>
      <c r="L200" s="8" t="s">
        <v>3734</v>
      </c>
      <c r="M200" s="13" t="s">
        <v>3733</v>
      </c>
      <c r="N200" s="8" t="s">
        <v>3735</v>
      </c>
    </row>
    <row r="201" spans="1:50" ht="22.5" customHeight="1">
      <c r="A201" s="8" t="str">
        <f>IF(games!A201="", "", games!A201)</f>
        <v>野龍小隊</v>
      </c>
      <c r="C201" s="8" t="str">
        <f t="shared" si="7"/>
        <v>giftcodesbanner/野龍小隊-禮包碼.jpg</v>
      </c>
      <c r="D201" s="8" t="str">
        <f t="shared" si="8"/>
        <v>https://www.ssbuy.tw/detail_giftcode/dist/giftcodes/野龍小隊.html</v>
      </c>
      <c r="E201" s="9" t="str">
        <f>IF(games!I201&lt;&gt;"", games!I201, "")</f>
        <v>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v>
      </c>
      <c r="F201" s="12" t="s">
        <v>2640</v>
      </c>
      <c r="G201" s="8" t="s">
        <v>2640</v>
      </c>
      <c r="H201" s="13" t="s">
        <v>2640</v>
      </c>
      <c r="I201" s="8" t="s">
        <v>2640</v>
      </c>
      <c r="K201" s="12" t="s">
        <v>2640</v>
      </c>
      <c r="L201" s="8" t="s">
        <v>2640</v>
      </c>
      <c r="M201" s="13" t="s">
        <v>2640</v>
      </c>
      <c r="N201" s="8" t="s">
        <v>2640</v>
      </c>
    </row>
    <row r="202" spans="1:50" ht="22.5" customHeight="1">
      <c r="A202" s="8" t="str">
        <f>IF(games!A202="", "", games!A202)</f>
        <v>BangBang殭屍：避難所戰爭</v>
      </c>
      <c r="C202" s="8" t="str">
        <f t="shared" si="7"/>
        <v>giftcodesbanner/BangBang殭屍：避難所戰爭-禮包碼.jpg</v>
      </c>
      <c r="D202" s="8" t="str">
        <f t="shared" si="8"/>
        <v>https://www.ssbuy.tw/detail_giftcode/dist/giftcodes/BangBang殭屍：避難所戰爭.html</v>
      </c>
      <c r="E202" s="9" t="str">
        <f>IF(games!I202&lt;&gt;"", games!I202, "")</f>
        <v>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v>
      </c>
      <c r="F202" s="12" t="s">
        <v>2640</v>
      </c>
      <c r="G202" s="8" t="s">
        <v>2640</v>
      </c>
      <c r="H202" s="13" t="s">
        <v>2640</v>
      </c>
      <c r="I202" s="8" t="s">
        <v>2640</v>
      </c>
      <c r="K202" s="12" t="s">
        <v>2640</v>
      </c>
      <c r="L202" s="8" t="s">
        <v>2640</v>
      </c>
      <c r="M202" s="13" t="s">
        <v>2640</v>
      </c>
      <c r="N202" s="8" t="s">
        <v>2640</v>
      </c>
    </row>
    <row r="203" spans="1:50" ht="22.5" customHeight="1">
      <c r="A203" s="8" t="str">
        <f>IF(games!A203="", "", games!A203)</f>
        <v>主公超會閃</v>
      </c>
      <c r="C203" s="8" t="str">
        <f t="shared" si="7"/>
        <v>giftcodesbanner/主公超會閃-禮包碼.jpg</v>
      </c>
      <c r="D203" s="8" t="str">
        <f t="shared" si="8"/>
        <v>https://www.ssbuy.tw/detail_giftcode/dist/giftcodes/主公超會閃.html</v>
      </c>
      <c r="E203" s="9" t="str">
        <f>IF(games!I203&lt;&gt;"", games!I203, "")</f>
        <v>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v>
      </c>
      <c r="F203" s="29" t="s">
        <v>3754</v>
      </c>
      <c r="G203" s="8" t="s">
        <v>3755</v>
      </c>
      <c r="H203" s="8" t="s">
        <v>2625</v>
      </c>
      <c r="I203" s="8" t="s">
        <v>3756</v>
      </c>
      <c r="K203" s="12" t="s">
        <v>3740</v>
      </c>
      <c r="L203" s="8" t="s">
        <v>3741</v>
      </c>
      <c r="M203" s="13" t="s">
        <v>3742</v>
      </c>
      <c r="N203" s="8" t="s">
        <v>3743</v>
      </c>
      <c r="O203" s="13" t="s">
        <v>3744</v>
      </c>
      <c r="P203" s="8" t="s">
        <v>3745</v>
      </c>
      <c r="Q203" s="13" t="s">
        <v>3746</v>
      </c>
      <c r="R203" s="8" t="s">
        <v>3747</v>
      </c>
      <c r="S203" s="13" t="s">
        <v>3748</v>
      </c>
      <c r="T203" s="8" t="s">
        <v>3749</v>
      </c>
      <c r="U203" s="13" t="s">
        <v>3750</v>
      </c>
      <c r="V203" s="8" t="s">
        <v>3747</v>
      </c>
      <c r="W203" s="13" t="s">
        <v>3751</v>
      </c>
      <c r="X203" s="8" t="s">
        <v>3752</v>
      </c>
      <c r="Y203" s="13" t="s">
        <v>3753</v>
      </c>
      <c r="Z203" s="8" t="s">
        <v>3747</v>
      </c>
    </row>
    <row r="204" spans="1:50" ht="22.5" customHeight="1">
      <c r="A204" s="8" t="str">
        <f>IF(games!A204="", "", games!A204)</f>
        <v>小兵來支援</v>
      </c>
      <c r="C204" s="8" t="str">
        <f t="shared" si="7"/>
        <v>giftcodesbanner/小兵來支援-禮包碼.jpg</v>
      </c>
      <c r="D204" s="8" t="str">
        <f t="shared" si="8"/>
        <v>https://www.ssbuy.tw/detail_giftcode/dist/giftcodes/小兵來支援.html</v>
      </c>
      <c r="E204" s="9" t="str">
        <f>IF(games!I204&lt;&gt;"", games!I204, "")</f>
        <v>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v>
      </c>
      <c r="K204" s="12" t="s">
        <v>3757</v>
      </c>
      <c r="L204" s="8" t="s">
        <v>3759</v>
      </c>
      <c r="M204" s="13" t="s">
        <v>3758</v>
      </c>
      <c r="N204" s="8" t="s">
        <v>3764</v>
      </c>
      <c r="O204" s="13" t="s">
        <v>3760</v>
      </c>
      <c r="P204" s="8" t="s">
        <v>3762</v>
      </c>
      <c r="Q204" s="13" t="s">
        <v>3761</v>
      </c>
      <c r="R204" s="8" t="s">
        <v>3763</v>
      </c>
      <c r="S204" s="13" t="s">
        <v>3765</v>
      </c>
      <c r="T204" s="8" t="s">
        <v>3767</v>
      </c>
      <c r="U204" s="13" t="s">
        <v>3766</v>
      </c>
      <c r="V204" s="8" t="s">
        <v>3768</v>
      </c>
      <c r="W204" s="13" t="s">
        <v>3769</v>
      </c>
      <c r="X204" s="8" t="s">
        <v>3771</v>
      </c>
      <c r="Y204" s="13" t="s">
        <v>3770</v>
      </c>
      <c r="Z204" s="8" t="s">
        <v>3774</v>
      </c>
      <c r="AA204" s="13" t="s">
        <v>3772</v>
      </c>
      <c r="AB204" s="8" t="s">
        <v>3776</v>
      </c>
      <c r="AC204" s="13" t="s">
        <v>3773</v>
      </c>
      <c r="AD204" s="8" t="s">
        <v>3775</v>
      </c>
      <c r="AE204" s="13" t="s">
        <v>3777</v>
      </c>
      <c r="AF204" s="8" t="s">
        <v>3779</v>
      </c>
      <c r="AG204" s="13" t="s">
        <v>3778</v>
      </c>
      <c r="AH204" s="8" t="s">
        <v>3781</v>
      </c>
      <c r="AI204" s="13" t="s">
        <v>3782</v>
      </c>
      <c r="AJ204" s="8" t="s">
        <v>3785</v>
      </c>
      <c r="AK204" s="13" t="s">
        <v>3780</v>
      </c>
      <c r="AL204" s="8" t="s">
        <v>3784</v>
      </c>
      <c r="AM204" s="13" t="s">
        <v>3786</v>
      </c>
      <c r="AN204" s="8" t="s">
        <v>3787</v>
      </c>
      <c r="AO204" s="13" t="s">
        <v>3783</v>
      </c>
      <c r="AP204" s="8" t="s">
        <v>3788</v>
      </c>
      <c r="AQ204" s="13" t="s">
        <v>3789</v>
      </c>
      <c r="AR204" s="8" t="s">
        <v>3794</v>
      </c>
      <c r="AS204" s="13" t="s">
        <v>3790</v>
      </c>
      <c r="AT204" s="8" t="s">
        <v>3791</v>
      </c>
      <c r="AU204" s="13" t="s">
        <v>3792</v>
      </c>
      <c r="AV204" s="8" t="s">
        <v>3795</v>
      </c>
      <c r="AW204" s="13" t="s">
        <v>3793</v>
      </c>
      <c r="AX204" s="8" t="s">
        <v>3796</v>
      </c>
    </row>
    <row r="205" spans="1:50" ht="22.5" customHeight="1">
      <c r="A205" s="8" t="str">
        <f>IF(games!A205="", "", games!A205)</f>
        <v>姆姆鬥惡龍</v>
      </c>
      <c r="C205" s="8" t="str">
        <f t="shared" si="7"/>
        <v>giftcodesbanner/姆姆鬥惡龍-禮包碼.jpg</v>
      </c>
      <c r="D205" s="8" t="str">
        <f t="shared" si="8"/>
        <v>https://www.ssbuy.tw/detail_giftcode/dist/giftcodes/姆姆鬥惡龍.html</v>
      </c>
      <c r="E205" s="9" t="str">
        <f>IF(games!I205&lt;&gt;"", games!I205, "")</f>
        <v>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v>
      </c>
      <c r="F205" s="12" t="s">
        <v>2640</v>
      </c>
      <c r="G205" s="8" t="s">
        <v>2640</v>
      </c>
      <c r="H205" s="13" t="s">
        <v>2640</v>
      </c>
      <c r="I205" s="8" t="s">
        <v>2640</v>
      </c>
      <c r="K205" s="12" t="s">
        <v>2640</v>
      </c>
      <c r="L205" s="8" t="s">
        <v>2640</v>
      </c>
      <c r="M205" s="13" t="s">
        <v>2640</v>
      </c>
      <c r="N205" s="8" t="s">
        <v>2640</v>
      </c>
    </row>
    <row r="206" spans="1:50" ht="22.5" customHeight="1">
      <c r="A206" s="8" t="str">
        <f>IF(games!A206="", "", games!A206)</f>
        <v>發條特攻隊</v>
      </c>
      <c r="C206" s="8" t="str">
        <f t="shared" si="7"/>
        <v>giftcodesbanner/發條特攻隊-禮包碼.jpg</v>
      </c>
      <c r="D206" s="8" t="str">
        <f t="shared" si="8"/>
        <v>https://www.ssbuy.tw/detail_giftcode/dist/giftcodes/發條特攻隊.html</v>
      </c>
      <c r="E206" s="9" t="str">
        <f>IF(games!I206&lt;&gt;"", games!I206, "")</f>
        <v>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v>
      </c>
      <c r="F206" s="29" t="s">
        <v>3797</v>
      </c>
      <c r="G206" s="8" t="s">
        <v>3798</v>
      </c>
      <c r="H206" s="8" t="s">
        <v>2625</v>
      </c>
      <c r="I206" s="8" t="s">
        <v>3756</v>
      </c>
      <c r="K206" s="12" t="s">
        <v>4783</v>
      </c>
      <c r="L206" s="8" t="s">
        <v>4784</v>
      </c>
      <c r="M206" s="13" t="s">
        <v>4785</v>
      </c>
      <c r="N206" s="8" t="s">
        <v>4786</v>
      </c>
      <c r="O206" s="13" t="s">
        <v>4787</v>
      </c>
      <c r="P206" s="8" t="s">
        <v>4788</v>
      </c>
      <c r="Q206" s="13" t="s">
        <v>4789</v>
      </c>
      <c r="R206" s="20" t="s">
        <v>4790</v>
      </c>
      <c r="S206" s="13" t="s">
        <v>4791</v>
      </c>
      <c r="T206" s="8" t="s">
        <v>4792</v>
      </c>
      <c r="U206" s="13" t="s">
        <v>4793</v>
      </c>
      <c r="V206" s="8" t="s">
        <v>4794</v>
      </c>
      <c r="W206" s="13" t="s">
        <v>4795</v>
      </c>
      <c r="X206" s="56" t="s">
        <v>4797</v>
      </c>
      <c r="Y206" s="13" t="s">
        <v>4798</v>
      </c>
      <c r="Z206" s="8" t="s">
        <v>4799</v>
      </c>
    </row>
    <row r="207" spans="1:50" ht="22.5" customHeight="1">
      <c r="A207" s="8" t="str">
        <f>IF(games!A207="", "", games!A207)</f>
        <v>天命：群星</v>
      </c>
      <c r="C207" s="8" t="str">
        <f t="shared" si="7"/>
        <v>giftcodesbanner/天命：群星-禮包碼.jpg</v>
      </c>
      <c r="D207" s="8" t="str">
        <f t="shared" si="8"/>
        <v>https://www.ssbuy.tw/detail_giftcode/dist/giftcodes/天命：群星.html</v>
      </c>
      <c r="E207" s="9" t="str">
        <f>IF(games!I207&lt;&gt;"", games!I207, "")</f>
        <v>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v>
      </c>
      <c r="F207" s="29" t="s">
        <v>3754</v>
      </c>
      <c r="G207" s="8" t="s">
        <v>3755</v>
      </c>
      <c r="H207" s="8" t="s">
        <v>2625</v>
      </c>
      <c r="I207" s="8" t="s">
        <v>3756</v>
      </c>
      <c r="K207" s="12" t="s">
        <v>2640</v>
      </c>
      <c r="L207" s="8" t="s">
        <v>2640</v>
      </c>
      <c r="M207" s="12" t="s">
        <v>2640</v>
      </c>
      <c r="N207" s="8" t="s">
        <v>2640</v>
      </c>
    </row>
    <row r="208" spans="1:50" ht="22.5" customHeight="1">
      <c r="A208" s="8" t="str">
        <f>IF(games!A208="", "", games!A208)</f>
        <v>血影雙生</v>
      </c>
      <c r="C208" s="8" t="str">
        <f t="shared" si="7"/>
        <v>giftcodesbanner/血影雙生-禮包碼.jpg</v>
      </c>
      <c r="D208" s="8" t="str">
        <f t="shared" si="8"/>
        <v>https://www.ssbuy.tw/detail_giftcode/dist/giftcodes/血影雙生.html</v>
      </c>
      <c r="E208" s="9" t="str">
        <f>IF(games!I208&lt;&gt;"", games!I208, "")</f>
        <v>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v>
      </c>
      <c r="F208" s="12" t="s">
        <v>3822</v>
      </c>
      <c r="G208" s="8" t="s">
        <v>3823</v>
      </c>
      <c r="H208" s="13" t="s">
        <v>3824</v>
      </c>
      <c r="I208" s="8" t="s">
        <v>2625</v>
      </c>
      <c r="J208" s="9" t="s">
        <v>3825</v>
      </c>
      <c r="K208" s="12" t="s">
        <v>3848</v>
      </c>
      <c r="L208" s="8" t="s">
        <v>3856</v>
      </c>
      <c r="M208" s="12" t="s">
        <v>3849</v>
      </c>
      <c r="N208" s="8" t="s">
        <v>3857</v>
      </c>
      <c r="O208" s="13" t="s">
        <v>3850</v>
      </c>
      <c r="P208" s="8" t="s">
        <v>3858</v>
      </c>
      <c r="Q208" s="13" t="s">
        <v>3851</v>
      </c>
      <c r="R208" s="8" t="s">
        <v>3859</v>
      </c>
      <c r="S208" s="13" t="s">
        <v>3852</v>
      </c>
      <c r="T208" s="8" t="s">
        <v>3860</v>
      </c>
      <c r="U208" s="13" t="s">
        <v>3853</v>
      </c>
      <c r="V208" s="8" t="s">
        <v>4796</v>
      </c>
      <c r="W208" s="13" t="s">
        <v>3854</v>
      </c>
      <c r="X208" s="8" t="s">
        <v>3861</v>
      </c>
      <c r="Y208" s="13" t="s">
        <v>3855</v>
      </c>
      <c r="Z208" s="8" t="s">
        <v>3862</v>
      </c>
      <c r="AA208" s="13" t="s">
        <v>3611</v>
      </c>
      <c r="AB208" s="8" t="s">
        <v>3863</v>
      </c>
    </row>
    <row r="209" spans="1:46" ht="22.5" customHeight="1">
      <c r="A209" s="8" t="str">
        <f>IF(games!A209="", "", games!A209)</f>
        <v>我的勇者外傳</v>
      </c>
      <c r="C209" s="8" t="str">
        <f t="shared" si="7"/>
        <v>giftcodesbanner/我的勇者外傳-禮包碼.jpg</v>
      </c>
      <c r="D209" s="8" t="str">
        <f t="shared" si="8"/>
        <v>https://www.ssbuy.tw/detail_giftcode/dist/giftcodes/我的勇者外傳.html</v>
      </c>
      <c r="E209" s="9" t="str">
        <f>IF(games!I209&lt;&gt;"", games!I209, "")</f>
        <v>《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v>
      </c>
      <c r="F209" s="29" t="s">
        <v>3754</v>
      </c>
      <c r="G209" s="8" t="s">
        <v>3755</v>
      </c>
      <c r="H209" s="8" t="s">
        <v>2625</v>
      </c>
      <c r="I209" s="8" t="s">
        <v>3756</v>
      </c>
      <c r="K209" s="12" t="s">
        <v>3813</v>
      </c>
      <c r="L209" s="20" t="s">
        <v>3815</v>
      </c>
      <c r="M209" s="13" t="s">
        <v>3814</v>
      </c>
      <c r="N209" s="8" t="s">
        <v>3816</v>
      </c>
      <c r="O209" s="13" t="s">
        <v>3864</v>
      </c>
      <c r="P209" s="8" t="s">
        <v>3865</v>
      </c>
      <c r="Q209" s="13" t="s">
        <v>3866</v>
      </c>
      <c r="R209" s="8" t="s">
        <v>3867</v>
      </c>
    </row>
    <row r="210" spans="1:46" ht="22.5" customHeight="1">
      <c r="A210" s="8" t="str">
        <f>IF(games!A210="", "", games!A210)</f>
        <v>女神契約：異世界遠征隊</v>
      </c>
      <c r="C210" s="8" t="str">
        <f t="shared" si="7"/>
        <v>giftcodesbanner/女神契約：異世界遠征隊-禮包碼.jpg</v>
      </c>
      <c r="D210" s="8" t="str">
        <f t="shared" si="8"/>
        <v>https://www.ssbuy.tw/detail_giftcode/dist/giftcodes/女神契約：異世界遠征隊.html</v>
      </c>
      <c r="E210" s="9" t="str">
        <f>IF(games!I210&lt;&gt;"", games!I210, "")</f>
        <v>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v>
      </c>
      <c r="F210" s="12" t="s">
        <v>3817</v>
      </c>
      <c r="G210" s="8" t="s">
        <v>3818</v>
      </c>
      <c r="H210" s="13" t="s">
        <v>3819</v>
      </c>
      <c r="I210" s="8" t="s">
        <v>3820</v>
      </c>
      <c r="J210" s="8" t="s">
        <v>3821</v>
      </c>
      <c r="K210" s="12" t="s">
        <v>3868</v>
      </c>
      <c r="L210" s="8" t="s">
        <v>3869</v>
      </c>
      <c r="M210" s="12"/>
    </row>
    <row r="211" spans="1:46" ht="22.5" customHeight="1">
      <c r="A211" s="8" t="str">
        <f>IF(games!A211="", "", games!A211)</f>
        <v>Pixel Starships 2</v>
      </c>
      <c r="C211" s="8" t="str">
        <f t="shared" si="7"/>
        <v>giftcodesbanner/Pixel Starships 2-禮包碼.jpg</v>
      </c>
      <c r="D211" s="8" t="str">
        <f t="shared" si="8"/>
        <v>https://www.ssbuy.tw/detail_giftcode/dist/giftcodes/Pixel Starships 2.html</v>
      </c>
      <c r="E211" s="9" t="str">
        <f>IF(games!I211&lt;&gt;"", games!I211, "")</f>
        <v>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v>
      </c>
      <c r="F211" s="12" t="s">
        <v>2640</v>
      </c>
      <c r="G211" s="8" t="s">
        <v>2640</v>
      </c>
      <c r="K211" s="12" t="s">
        <v>2640</v>
      </c>
      <c r="L211" s="8" t="s">
        <v>2640</v>
      </c>
    </row>
    <row r="212" spans="1:46" ht="22.5" customHeight="1">
      <c r="A212" s="8" t="str">
        <f>IF(games!A212="", "", games!A212)</f>
        <v>升級村莊大作戰</v>
      </c>
      <c r="C212" s="8" t="str">
        <f t="shared" si="7"/>
        <v>giftcodesbanner/升級村莊大作戰-禮包碼.jpg</v>
      </c>
      <c r="D212" s="8" t="str">
        <f t="shared" si="8"/>
        <v>https://www.ssbuy.tw/detail_giftcode/dist/giftcodes/升級村莊大作戰.html</v>
      </c>
      <c r="E212" s="9" t="str">
        <f>IF(games!I212&lt;&gt;"", games!I212, "")</f>
        <v>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v>
      </c>
      <c r="F212" s="12" t="s">
        <v>2640</v>
      </c>
      <c r="G212" s="8" t="s">
        <v>2640</v>
      </c>
      <c r="K212" s="12" t="s">
        <v>2640</v>
      </c>
      <c r="L212" s="8" t="s">
        <v>2640</v>
      </c>
    </row>
    <row r="213" spans="1:46" ht="22.5" customHeight="1">
      <c r="A213" s="8" t="str">
        <f>IF(games!A213="", "", games!A213)</f>
        <v>新月同行</v>
      </c>
      <c r="C213" s="8" t="str">
        <f t="shared" si="7"/>
        <v>giftcodesbanner/新月同行-禮包碼.jpg</v>
      </c>
      <c r="D213" s="8" t="str">
        <f t="shared" si="8"/>
        <v>https://www.ssbuy.tw/detail_giftcode/dist/giftcodes/新月同行.html</v>
      </c>
      <c r="E213" s="9" t="str">
        <f>IF(games!I213&lt;&gt;"", games!I213, "")</f>
        <v>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v>
      </c>
      <c r="F213" s="12" t="s">
        <v>2640</v>
      </c>
      <c r="G213" s="8" t="s">
        <v>2640</v>
      </c>
      <c r="K213" s="12" t="s">
        <v>2640</v>
      </c>
      <c r="L213" s="8" t="s">
        <v>2640</v>
      </c>
    </row>
    <row r="214" spans="1:46" ht="22.5" customHeight="1">
      <c r="A214" s="8" t="str">
        <f>IF(games!A214="", "", games!A214)</f>
        <v>超商勇者</v>
      </c>
      <c r="C214" s="8" t="str">
        <f t="shared" si="7"/>
        <v>giftcodesbanner/超商勇者-禮包碼.jpg</v>
      </c>
      <c r="D214" s="8" t="str">
        <f t="shared" si="8"/>
        <v>https://www.ssbuy.tw/detail_giftcode/dist/giftcodes/超商勇者.html</v>
      </c>
      <c r="E214" s="9" t="str">
        <f>IF(games!I214&lt;&gt;"", games!I214, "")</f>
        <v>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v>
      </c>
      <c r="F214" s="12" t="s">
        <v>2640</v>
      </c>
      <c r="G214" s="8" t="s">
        <v>2640</v>
      </c>
      <c r="K214" s="12" t="s">
        <v>2640</v>
      </c>
      <c r="L214" s="8" t="s">
        <v>2640</v>
      </c>
    </row>
    <row r="215" spans="1:46" ht="22.5" customHeight="1">
      <c r="A215" s="8" t="str">
        <f>IF(games!A215="", "", games!A215)</f>
        <v>怪獸8號 THE GAME</v>
      </c>
      <c r="C215" s="8" t="str">
        <f t="shared" si="7"/>
        <v>giftcodesbanner/怪獸8號 THE GAME-禮包碼.jpg</v>
      </c>
      <c r="D215" s="8" t="str">
        <f t="shared" si="8"/>
        <v>https://www.ssbuy.tw/detail_giftcode/dist/giftcodes/怪獸8號 THE GAME.html</v>
      </c>
      <c r="E215" s="9" t="str">
        <f>IF(games!I215&lt;&gt;"", games!I215, "")</f>
        <v>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v>
      </c>
      <c r="F215" s="12" t="s">
        <v>2640</v>
      </c>
      <c r="G215" s="8" t="s">
        <v>2640</v>
      </c>
      <c r="K215" s="12" t="s">
        <v>2640</v>
      </c>
      <c r="L215" s="8" t="s">
        <v>2640</v>
      </c>
    </row>
    <row r="216" spans="1:46" ht="22.5" customHeight="1">
      <c r="A216" s="8" t="str">
        <f>IF(games!A216="", "", games!A216)</f>
        <v>貓旅館物語</v>
      </c>
      <c r="C216" s="8" t="str">
        <f t="shared" si="7"/>
        <v>giftcodesbanner/貓旅館物語-禮包碼.jpg</v>
      </c>
      <c r="D216" s="8" t="str">
        <f t="shared" si="8"/>
        <v>https://www.ssbuy.tw/detail_giftcode/dist/giftcodes/貓旅館物語.html</v>
      </c>
      <c r="E216" s="9" t="str">
        <f>IF(games!I216&lt;&gt;"", games!I216, "")</f>
        <v>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v>
      </c>
      <c r="F216" s="12" t="s">
        <v>3925</v>
      </c>
      <c r="G216" s="8" t="s">
        <v>2625</v>
      </c>
      <c r="H216" s="8" t="s">
        <v>3926</v>
      </c>
      <c r="K216" s="12" t="s">
        <v>3923</v>
      </c>
      <c r="L216" s="8" t="s">
        <v>3924</v>
      </c>
      <c r="M216" s="13" t="s">
        <v>4146</v>
      </c>
      <c r="O216" s="13" t="s">
        <v>4147</v>
      </c>
      <c r="Q216" s="13" t="s">
        <v>4148</v>
      </c>
      <c r="S216" s="13" t="s">
        <v>4149</v>
      </c>
      <c r="U216" s="13" t="s">
        <v>4150</v>
      </c>
      <c r="W216" s="66" t="s">
        <v>4151</v>
      </c>
      <c r="Y216" s="66" t="s">
        <v>4152</v>
      </c>
      <c r="AA216" s="66" t="s">
        <v>4153</v>
      </c>
      <c r="AC216" s="66" t="s">
        <v>4153</v>
      </c>
      <c r="AE216" s="66" t="s">
        <v>4154</v>
      </c>
      <c r="AG216" s="66" t="s">
        <v>4155</v>
      </c>
      <c r="AI216" s="66" t="s">
        <v>4156</v>
      </c>
      <c r="AK216" s="66" t="s">
        <v>4157</v>
      </c>
      <c r="AM216" s="66" t="s">
        <v>4158</v>
      </c>
    </row>
    <row r="217" spans="1:46" ht="22.5" customHeight="1">
      <c r="A217" s="8" t="str">
        <f>IF(games!A217="", "", games!A217)</f>
        <v>龍石戰爭</v>
      </c>
      <c r="C217" s="8" t="str">
        <f t="shared" si="7"/>
        <v>giftcodesbanner/龍石戰爭-禮包碼.jpg</v>
      </c>
      <c r="D217" s="8" t="str">
        <f t="shared" si="8"/>
        <v>https://www.ssbuy.tw/detail_giftcode/dist/giftcodes/龍石戰爭.html</v>
      </c>
      <c r="E217" s="9" t="str">
        <f>IF(games!I217&lt;&gt;"", games!I217, "")</f>
        <v>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v>
      </c>
      <c r="F217" s="12" t="s">
        <v>3930</v>
      </c>
      <c r="G217" s="8" t="s">
        <v>4036</v>
      </c>
      <c r="H217" s="8" t="s">
        <v>4037</v>
      </c>
      <c r="I217" s="8" t="s">
        <v>2625</v>
      </c>
      <c r="K217" s="12" t="s">
        <v>3931</v>
      </c>
      <c r="L217" s="8" t="s">
        <v>3937</v>
      </c>
      <c r="M217" s="13" t="s">
        <v>3932</v>
      </c>
      <c r="N217" s="8" t="s">
        <v>3937</v>
      </c>
      <c r="O217" s="13" t="s">
        <v>3933</v>
      </c>
      <c r="P217" s="8" t="s">
        <v>3937</v>
      </c>
      <c r="Q217" s="13" t="s">
        <v>1933</v>
      </c>
      <c r="R217" s="8" t="s">
        <v>3937</v>
      </c>
      <c r="S217" s="13" t="s">
        <v>3934</v>
      </c>
      <c r="T217" s="8" t="s">
        <v>3937</v>
      </c>
      <c r="U217" s="13" t="s">
        <v>3935</v>
      </c>
      <c r="V217" s="8" t="s">
        <v>3937</v>
      </c>
      <c r="W217" s="13" t="s">
        <v>3936</v>
      </c>
      <c r="X217" s="8" t="s">
        <v>3937</v>
      </c>
      <c r="Y217" s="13" t="s">
        <v>3938</v>
      </c>
      <c r="Z217" s="8" t="s">
        <v>3937</v>
      </c>
      <c r="AA217" s="13" t="s">
        <v>3939</v>
      </c>
      <c r="AB217" s="8" t="s">
        <v>3937</v>
      </c>
      <c r="AC217" s="13" t="s">
        <v>3940</v>
      </c>
      <c r="AD217" s="8" t="s">
        <v>3937</v>
      </c>
      <c r="AE217" s="13" t="s">
        <v>3941</v>
      </c>
      <c r="AF217" s="8" t="s">
        <v>3937</v>
      </c>
      <c r="AG217" s="13" t="s">
        <v>3942</v>
      </c>
      <c r="AH217" s="8" t="s">
        <v>3937</v>
      </c>
    </row>
    <row r="218" spans="1:46" ht="22.5" customHeight="1">
      <c r="A218" s="8" t="str">
        <f>IF(games!A218="", "", games!A218)</f>
        <v>The King Of Fighters AFK</v>
      </c>
      <c r="C218" s="8" t="str">
        <f t="shared" si="7"/>
        <v>giftcodesbanner/The King Of Fighters AFK-禮包碼.jpg</v>
      </c>
      <c r="D218" s="8" t="str">
        <f t="shared" si="8"/>
        <v>https://www.ssbuy.tw/detail_giftcode/dist/giftcodes/The King Of Fighters AFK.html</v>
      </c>
      <c r="E218" s="9" t="str">
        <f>IF(games!I218&lt;&gt;"", games!I218, "")</f>
        <v>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v>
      </c>
      <c r="F218" s="29" t="s">
        <v>3754</v>
      </c>
      <c r="G218" s="8" t="s">
        <v>3755</v>
      </c>
      <c r="H218" s="8" t="s">
        <v>2625</v>
      </c>
      <c r="I218" s="8" t="s">
        <v>3756</v>
      </c>
      <c r="K218" s="12" t="s">
        <v>4096</v>
      </c>
      <c r="L218" s="8" t="s">
        <v>4103</v>
      </c>
      <c r="M218" s="13" t="s">
        <v>4097</v>
      </c>
      <c r="N218" s="8" t="s">
        <v>4103</v>
      </c>
      <c r="O218" s="13" t="s">
        <v>4098</v>
      </c>
      <c r="P218" s="8" t="s">
        <v>4103</v>
      </c>
      <c r="Q218" s="13" t="s">
        <v>4099</v>
      </c>
      <c r="R218" s="8" t="s">
        <v>4103</v>
      </c>
      <c r="S218" s="13" t="s">
        <v>4100</v>
      </c>
      <c r="T218" s="8" t="s">
        <v>4103</v>
      </c>
      <c r="U218" s="13" t="s">
        <v>4101</v>
      </c>
      <c r="V218" s="8" t="s">
        <v>4103</v>
      </c>
      <c r="W218" s="13" t="s">
        <v>4102</v>
      </c>
      <c r="X218" s="8" t="s">
        <v>4103</v>
      </c>
    </row>
    <row r="219" spans="1:46" ht="22.5" customHeight="1">
      <c r="A219" s="8" t="str">
        <f>IF(games!A219="", "", games!A219)</f>
        <v>邪門鬼道</v>
      </c>
      <c r="C219" s="8" t="str">
        <f t="shared" si="7"/>
        <v>giftcodesbanner/邪門鬼道-禮包碼.jpg</v>
      </c>
      <c r="D219" s="8" t="str">
        <f t="shared" si="8"/>
        <v>https://www.ssbuy.tw/detail_giftcode/dist/giftcodes/邪門鬼道.html</v>
      </c>
      <c r="E219" s="9" t="str">
        <f>IF(games!I219&lt;&gt;"", games!I219, "")</f>
        <v>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v>
      </c>
      <c r="F219" s="29" t="s">
        <v>3754</v>
      </c>
      <c r="G219" s="8" t="s">
        <v>3755</v>
      </c>
      <c r="H219" s="8" t="s">
        <v>2625</v>
      </c>
      <c r="I219" s="8" t="s">
        <v>3756</v>
      </c>
      <c r="K219" s="12" t="s">
        <v>3927</v>
      </c>
      <c r="L219" s="8" t="s">
        <v>3928</v>
      </c>
      <c r="M219" s="13" t="s">
        <v>3929</v>
      </c>
      <c r="N219" s="8" t="s">
        <v>3928</v>
      </c>
    </row>
    <row r="220" spans="1:46" ht="22.5" customHeight="1" thickBot="1">
      <c r="A220" s="8" t="str">
        <f>IF(games!A220="", "", games!A220)</f>
        <v>Wind Breaker不良英雄譚</v>
      </c>
      <c r="C220" s="8" t="str">
        <f t="shared" si="7"/>
        <v>giftcodesbanner/Wind Breaker不良英雄譚-禮包碼.jpg</v>
      </c>
      <c r="D220" s="8" t="str">
        <f t="shared" si="8"/>
        <v>https://www.ssbuy.tw/detail_giftcode/dist/giftcodes/Wind Breaker不良英雄譚.html</v>
      </c>
      <c r="E220" s="9" t="str">
        <f>IF(games!I220&lt;&gt;"", games!I220, "")</f>
        <v>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v>
      </c>
      <c r="F220" s="12" t="s">
        <v>4290</v>
      </c>
      <c r="G220" s="8" t="s">
        <v>4291</v>
      </c>
      <c r="K220" s="12" t="s">
        <v>4292</v>
      </c>
      <c r="L220" s="8" t="s">
        <v>4310</v>
      </c>
      <c r="M220" s="13" t="s">
        <v>4293</v>
      </c>
      <c r="N220" s="66" t="s">
        <v>4311</v>
      </c>
      <c r="O220" s="13" t="s">
        <v>4294</v>
      </c>
      <c r="P220" s="66" t="s">
        <v>4312</v>
      </c>
      <c r="Q220" s="13" t="s">
        <v>4295</v>
      </c>
      <c r="R220" s="66" t="s">
        <v>4312</v>
      </c>
      <c r="S220" s="13" t="s">
        <v>4296</v>
      </c>
      <c r="T220" s="66" t="s">
        <v>4312</v>
      </c>
      <c r="U220" s="13" t="s">
        <v>4297</v>
      </c>
      <c r="V220" s="66" t="s">
        <v>4313</v>
      </c>
      <c r="W220" s="13" t="s">
        <v>4298</v>
      </c>
      <c r="X220" s="66" t="s">
        <v>4313</v>
      </c>
      <c r="Y220" s="13" t="s">
        <v>4299</v>
      </c>
      <c r="Z220" s="66" t="s">
        <v>4313</v>
      </c>
      <c r="AA220" s="13" t="s">
        <v>4300</v>
      </c>
      <c r="AB220" s="66" t="s">
        <v>4313</v>
      </c>
      <c r="AC220" s="13" t="s">
        <v>4301</v>
      </c>
      <c r="AD220" s="66" t="s">
        <v>4314</v>
      </c>
      <c r="AE220" s="13" t="s">
        <v>4302</v>
      </c>
      <c r="AF220" s="66" t="s">
        <v>4315</v>
      </c>
      <c r="AG220" s="13" t="s">
        <v>4303</v>
      </c>
      <c r="AH220" s="66" t="s">
        <v>4315</v>
      </c>
      <c r="AI220" s="13" t="s">
        <v>4304</v>
      </c>
      <c r="AJ220" s="66" t="s">
        <v>4315</v>
      </c>
      <c r="AK220" s="13" t="s">
        <v>4305</v>
      </c>
      <c r="AL220" s="70" t="s">
        <v>4316</v>
      </c>
      <c r="AM220" s="13" t="s">
        <v>4306</v>
      </c>
      <c r="AN220" s="66" t="s">
        <v>4317</v>
      </c>
      <c r="AO220" s="13" t="s">
        <v>4307</v>
      </c>
      <c r="AP220" s="66" t="s">
        <v>4318</v>
      </c>
      <c r="AQ220" s="13" t="s">
        <v>4308</v>
      </c>
      <c r="AR220" s="66" t="s">
        <v>4318</v>
      </c>
      <c r="AS220" s="13" t="s">
        <v>4309</v>
      </c>
      <c r="AT220" s="66" t="s">
        <v>4319</v>
      </c>
    </row>
    <row r="221" spans="1:46" ht="22.5" customHeight="1">
      <c r="A221" s="8" t="str">
        <f>IF(games!A221="", "", games!A221)</f>
        <v>野蠻生存錄</v>
      </c>
      <c r="C221" s="8" t="str">
        <f t="shared" si="7"/>
        <v>giftcodesbanner/野蠻生存錄-禮包碼.jpg</v>
      </c>
      <c r="D221" s="8" t="str">
        <f t="shared" si="8"/>
        <v>https://www.ssbuy.tw/detail_giftcode/dist/giftcodes/野蠻生存錄.html</v>
      </c>
      <c r="E221" s="9" t="str">
        <f>IF(games!I221&lt;&gt;"", games!I221, "")</f>
        <v>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v>
      </c>
      <c r="F221" s="12" t="s">
        <v>2640</v>
      </c>
      <c r="G221" s="8" t="s">
        <v>2640</v>
      </c>
      <c r="K221" s="12" t="s">
        <v>2640</v>
      </c>
      <c r="L221" s="8" t="s">
        <v>2640</v>
      </c>
    </row>
    <row r="222" spans="1:46" ht="22.5" customHeight="1">
      <c r="A222" s="8" t="str">
        <f>IF(games!A222="", "", games!A222)</f>
        <v>萬獸崛起</v>
      </c>
      <c r="C222" s="8" t="str">
        <f t="shared" si="7"/>
        <v>giftcodesbanner/萬獸崛起-禮包碼.jpg</v>
      </c>
      <c r="D222" s="8" t="str">
        <f t="shared" si="8"/>
        <v>https://www.ssbuy.tw/detail_giftcode/dist/giftcodes/萬獸崛起.html</v>
      </c>
      <c r="E222" s="9" t="str">
        <f>IF(games!I222&lt;&gt;"", games!I222, "")</f>
        <v>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v>
      </c>
      <c r="F222" s="29" t="s">
        <v>4048</v>
      </c>
      <c r="G222" s="8" t="s">
        <v>4049</v>
      </c>
      <c r="H222" s="8" t="s">
        <v>2625</v>
      </c>
      <c r="I222" s="8" t="s">
        <v>3756</v>
      </c>
      <c r="K222" s="12" t="s">
        <v>4038</v>
      </c>
      <c r="L222" s="8" t="s">
        <v>4040</v>
      </c>
      <c r="M222" s="13" t="s">
        <v>4039</v>
      </c>
      <c r="N222" s="8" t="s">
        <v>4041</v>
      </c>
      <c r="O222" s="13" t="s">
        <v>4042</v>
      </c>
      <c r="P222" s="8" t="s">
        <v>4043</v>
      </c>
      <c r="Q222" s="13" t="s">
        <v>4044</v>
      </c>
      <c r="R222" s="8" t="s">
        <v>4045</v>
      </c>
      <c r="S222" s="13" t="s">
        <v>4046</v>
      </c>
      <c r="T222" s="8" t="s">
        <v>4047</v>
      </c>
    </row>
    <row r="223" spans="1:46" ht="22.5" customHeight="1">
      <c r="A223" s="8" t="str">
        <f>IF(games!A223="", "", games!A223)</f>
        <v>劍靈神域</v>
      </c>
      <c r="C223" s="8" t="str">
        <f t="shared" si="7"/>
        <v>giftcodesbanner/劍靈神域-禮包碼.jpg</v>
      </c>
      <c r="D223" s="8" t="str">
        <f t="shared" si="8"/>
        <v>https://www.ssbuy.tw/detail_giftcode/dist/giftcodes/劍靈神域.html</v>
      </c>
      <c r="E223" s="9" t="str">
        <f>IF(games!I223&lt;&gt;"", games!I223, "")</f>
        <v>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v>
      </c>
      <c r="F223" s="29" t="s">
        <v>4079</v>
      </c>
      <c r="G223" s="8" t="s">
        <v>2625</v>
      </c>
      <c r="H223" s="8" t="s">
        <v>3756</v>
      </c>
      <c r="K223" s="12" t="s">
        <v>4073</v>
      </c>
      <c r="L223" s="8" t="s">
        <v>4077</v>
      </c>
      <c r="M223" s="13" t="s">
        <v>4074</v>
      </c>
      <c r="N223" s="8" t="s">
        <v>4078</v>
      </c>
      <c r="O223" s="13" t="s">
        <v>4075</v>
      </c>
      <c r="P223" s="8" t="s">
        <v>4078</v>
      </c>
      <c r="Q223" s="13" t="s">
        <v>4076</v>
      </c>
      <c r="R223" s="8" t="s">
        <v>4078</v>
      </c>
    </row>
    <row r="224" spans="1:46" ht="22.5" customHeight="1">
      <c r="A224" s="8" t="str">
        <f>IF(games!A224="", "", games!A224)</f>
        <v>國王駕到！堡堡大作戰</v>
      </c>
      <c r="C224" s="8" t="str">
        <f t="shared" si="7"/>
        <v>giftcodesbanner/國王駕到！堡堡大作戰-禮包碼.jpg</v>
      </c>
      <c r="D224" s="8" t="str">
        <f t="shared" si="8"/>
        <v>https://www.ssbuy.tw/detail_giftcode/dist/giftcodes/國王駕到！堡堡大作戰.html</v>
      </c>
      <c r="E224" s="9" t="str">
        <f>IF(games!I224&lt;&gt;"", games!I224, "")</f>
        <v>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v>
      </c>
      <c r="F224" s="29" t="s">
        <v>4090</v>
      </c>
      <c r="G224" s="8" t="s">
        <v>4091</v>
      </c>
      <c r="H224" s="8" t="s">
        <v>4092</v>
      </c>
      <c r="I224" s="8" t="s">
        <v>2625</v>
      </c>
      <c r="J224" s="8" t="s">
        <v>3756</v>
      </c>
      <c r="K224" s="12" t="s">
        <v>4084</v>
      </c>
      <c r="L224" s="8" t="s">
        <v>4093</v>
      </c>
      <c r="M224" s="13" t="s">
        <v>4085</v>
      </c>
      <c r="N224" s="8" t="s">
        <v>4094</v>
      </c>
      <c r="O224" s="13" t="s">
        <v>4141</v>
      </c>
      <c r="P224" s="8" t="s">
        <v>4145</v>
      </c>
      <c r="Q224" s="13" t="s">
        <v>4140</v>
      </c>
      <c r="R224" s="8" t="s">
        <v>4145</v>
      </c>
      <c r="S224" s="13" t="s">
        <v>4142</v>
      </c>
      <c r="T224" s="8" t="s">
        <v>4145</v>
      </c>
      <c r="U224" s="13" t="s">
        <v>4143</v>
      </c>
      <c r="V224" s="8" t="s">
        <v>4145</v>
      </c>
      <c r="W224" s="13" t="s">
        <v>4144</v>
      </c>
      <c r="X224" s="8" t="s">
        <v>4145</v>
      </c>
      <c r="Y224" s="13" t="s">
        <v>4801</v>
      </c>
    </row>
    <row r="225" spans="1:47" ht="22.5" customHeight="1">
      <c r="A225" s="8" t="str">
        <f>IF(games!A225="", "", games!A225)</f>
        <v>阿瑞斯：命運的選擇者</v>
      </c>
      <c r="C225" s="8" t="str">
        <f t="shared" si="7"/>
        <v>giftcodesbanner/阿瑞斯：命運的選擇者-禮包碼.jpg</v>
      </c>
      <c r="D225" s="8" t="str">
        <f t="shared" si="8"/>
        <v>https://www.ssbuy.tw/detail_giftcode/dist/giftcodes/阿瑞斯：命運的選擇者.html</v>
      </c>
      <c r="E225" s="9" t="str">
        <f>IF(games!I225&lt;&gt;"", games!I225, "")</f>
        <v>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v>
      </c>
      <c r="F225" s="71" t="s">
        <v>4381</v>
      </c>
      <c r="G225" s="66" t="s">
        <v>4382</v>
      </c>
      <c r="H225" s="66" t="s">
        <v>4383</v>
      </c>
      <c r="I225" s="66" t="s">
        <v>4384</v>
      </c>
      <c r="J225" s="66" t="s">
        <v>4385</v>
      </c>
      <c r="K225" s="66" t="s">
        <v>4367</v>
      </c>
      <c r="L225" s="8" t="s">
        <v>2640</v>
      </c>
      <c r="M225" s="66" t="s">
        <v>4368</v>
      </c>
      <c r="O225" s="66" t="s">
        <v>4369</v>
      </c>
      <c r="Q225" s="66" t="s">
        <v>4370</v>
      </c>
      <c r="S225" s="66" t="s">
        <v>4371</v>
      </c>
      <c r="U225" s="66" t="s">
        <v>4372</v>
      </c>
      <c r="W225" s="66" t="s">
        <v>4373</v>
      </c>
      <c r="Y225" s="66" t="s">
        <v>4374</v>
      </c>
      <c r="AA225" s="66" t="s">
        <v>4375</v>
      </c>
      <c r="AC225" s="66" t="s">
        <v>4376</v>
      </c>
      <c r="AE225" s="66" t="s">
        <v>4377</v>
      </c>
      <c r="AG225" s="66" t="s">
        <v>4378</v>
      </c>
      <c r="AI225" s="66" t="s">
        <v>4379</v>
      </c>
      <c r="AK225" s="66" t="s">
        <v>4380</v>
      </c>
    </row>
    <row r="226" spans="1:47" ht="22.5" customHeight="1">
      <c r="A226" s="8" t="str">
        <f>IF(games!A226="", "", games!A226)</f>
        <v>Draft showdown</v>
      </c>
      <c r="C226" s="8" t="str">
        <f t="shared" si="7"/>
        <v>giftcodesbanner/Draft showdown-禮包碼.jpg</v>
      </c>
      <c r="D226" s="8" t="str">
        <f t="shared" si="8"/>
        <v>https://www.ssbuy.tw/detail_giftcode/dist/giftcodes/Draft showdown.html</v>
      </c>
      <c r="E226" s="9" t="str">
        <f>IF(games!I226&lt;&gt;"", games!I226, "")</f>
        <v>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v>
      </c>
      <c r="F226" s="12" t="s">
        <v>2640</v>
      </c>
      <c r="G226" s="8" t="s">
        <v>2640</v>
      </c>
      <c r="K226" s="12" t="s">
        <v>2640</v>
      </c>
      <c r="L226" s="8" t="s">
        <v>2640</v>
      </c>
    </row>
    <row r="227" spans="1:47" ht="22.5" customHeight="1">
      <c r="A227" s="8" t="str">
        <f>IF(games!A227="", "", games!A227)</f>
        <v>魔鏡2：瘋狂的蛇姬</v>
      </c>
      <c r="C227" s="8" t="str">
        <f t="shared" si="7"/>
        <v>giftcodesbanner/魔鏡2：瘋狂的蛇姬-禮包碼.jpg</v>
      </c>
      <c r="D227" s="8" t="str">
        <f t="shared" si="8"/>
        <v>https://www.ssbuy.tw/detail_giftcode/dist/giftcodes/魔鏡2：瘋狂的蛇姬.html</v>
      </c>
      <c r="E227" s="9" t="str">
        <f>IF(games!I227&lt;&gt;"", games!I227, "")</f>
        <v>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v>
      </c>
      <c r="F227" s="29" t="s">
        <v>3754</v>
      </c>
      <c r="G227" s="8" t="s">
        <v>3755</v>
      </c>
      <c r="H227" s="8" t="s">
        <v>2625</v>
      </c>
      <c r="I227" s="8" t="s">
        <v>3756</v>
      </c>
      <c r="K227" s="12" t="s">
        <v>4253</v>
      </c>
      <c r="M227" s="13" t="s">
        <v>4254</v>
      </c>
      <c r="O227" s="13" t="s">
        <v>4255</v>
      </c>
      <c r="Q227" s="66" t="s">
        <v>4386</v>
      </c>
      <c r="R227" s="8" t="s">
        <v>4389</v>
      </c>
      <c r="S227" s="66" t="s">
        <v>4387</v>
      </c>
      <c r="T227" s="8" t="s">
        <v>4389</v>
      </c>
      <c r="U227" s="66" t="s">
        <v>4388</v>
      </c>
      <c r="V227" s="8" t="s">
        <v>4389</v>
      </c>
      <c r="W227" s="13" t="s">
        <v>4781</v>
      </c>
      <c r="Y227" s="13" t="s">
        <v>4782</v>
      </c>
      <c r="AA227" s="56" t="s">
        <v>4851</v>
      </c>
      <c r="AC227" s="13" t="s">
        <v>4966</v>
      </c>
      <c r="AE227" s="13" t="s">
        <v>4967</v>
      </c>
      <c r="AG227" s="13" t="s">
        <v>4968</v>
      </c>
      <c r="AI227" s="13" t="s">
        <v>4991</v>
      </c>
    </row>
    <row r="228" spans="1:47" ht="22.5" customHeight="1">
      <c r="A228" s="8" t="str">
        <f>IF(games!A228="", "", games!A228)</f>
        <v>量子機動隊</v>
      </c>
      <c r="C228" s="8" t="str">
        <f t="shared" si="7"/>
        <v>giftcodesbanner/量子機動隊-禮包碼.jpg</v>
      </c>
      <c r="D228" s="8" t="str">
        <f t="shared" si="8"/>
        <v>https://www.ssbuy.tw/detail_giftcode/dist/giftcodes/量子機動隊.html</v>
      </c>
      <c r="E228" s="9" t="str">
        <f>IF(games!I228&lt;&gt;"", games!I228, "")</f>
        <v>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v>
      </c>
      <c r="F228" s="29" t="s">
        <v>4513</v>
      </c>
      <c r="G228" s="8" t="s">
        <v>4514</v>
      </c>
      <c r="H228" s="8" t="s">
        <v>2625</v>
      </c>
      <c r="I228" s="8" t="s">
        <v>3756</v>
      </c>
      <c r="K228" s="66" t="s">
        <v>1782</v>
      </c>
      <c r="M228" s="66" t="s">
        <v>1714</v>
      </c>
      <c r="O228" s="66" t="s">
        <v>1715</v>
      </c>
      <c r="Q228" s="66" t="s">
        <v>1820</v>
      </c>
      <c r="S228" s="66" t="s">
        <v>4510</v>
      </c>
      <c r="U228" s="66" t="s">
        <v>4511</v>
      </c>
      <c r="W228" s="66" t="s">
        <v>4512</v>
      </c>
      <c r="Y228" s="66" t="s">
        <v>2542</v>
      </c>
      <c r="AA228" s="13" t="s">
        <v>4729</v>
      </c>
      <c r="AC228" s="13" t="s">
        <v>4730</v>
      </c>
    </row>
    <row r="229" spans="1:47" ht="22.5" customHeight="1">
      <c r="A229" s="8" t="str">
        <f>IF(games!A229="", "", games!A229)</f>
        <v>呷飽未？殭殭醬</v>
      </c>
      <c r="C229" s="8" t="str">
        <f t="shared" si="7"/>
        <v>giftcodesbanner/呷飽未？殭殭醬-禮包碼.jpg</v>
      </c>
      <c r="D229" s="8" t="str">
        <f t="shared" si="8"/>
        <v>https://www.ssbuy.tw/detail_giftcode/dist/giftcodes/呷飽未？殭殭醬.html</v>
      </c>
      <c r="E229" s="9" t="str">
        <f>IF(games!I229&lt;&gt;"", games!I229, "")</f>
        <v>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兌換碼、禮包碼，還有保證快速安全的代儲值服務，讓你一秒成為末日最強！還不趕快跟上，讓你的殭屍醬成為最風騷的那一隻！</v>
      </c>
      <c r="F229" s="12" t="s">
        <v>4288</v>
      </c>
      <c r="G229" s="8" t="s">
        <v>4289</v>
      </c>
      <c r="H229" s="8" t="s">
        <v>2625</v>
      </c>
      <c r="I229" s="8" t="s">
        <v>3756</v>
      </c>
      <c r="K229" s="12" t="s">
        <v>4286</v>
      </c>
      <c r="L229" s="66" t="s">
        <v>4287</v>
      </c>
    </row>
    <row r="230" spans="1:47" ht="22.5" customHeight="1">
      <c r="A230" s="8" t="str">
        <f>IF(games!A230="", "", games!A230)</f>
        <v>XXL猛漢町</v>
      </c>
      <c r="C230" s="8" t="str">
        <f t="shared" si="7"/>
        <v>giftcodesbanner/XXL猛漢町-禮包碼.jpg</v>
      </c>
      <c r="D230" s="8" t="str">
        <f t="shared" si="8"/>
        <v>https://www.ssbuy.tw/detail_giftcode/dist/giftcodes/XXL猛漢町.html</v>
      </c>
      <c r="E230" s="9" t="str">
        <f>IF(games!I230&lt;&gt;"", games!I230, "")</f>
        <v>這遊戲名字聽起來就很有「份量」！如果你厭倦了那些纖細弱小的角色，想體驗肌肉爆棚、拳拳到肉的快感，那《XXL猛漢町》絕對是你的菜。我們深知你對力量的渴望，但又懶得花時間從頭開始練起。沒關係，我們早已為你準備好兌換碼與禮包碼，讓你輕輕鬆鬆就擁有一身傲人肌肉。此外，我們還有快速安全的代儲值服務，讓你瞬間成為鎮上最強的猛漢，免去農怪的痛苦。別再猶豫了，一起加入這場猛男的盛宴，用你的拳頭證明誰才是最頂的！</v>
      </c>
      <c r="F230" s="29" t="s">
        <v>4210</v>
      </c>
      <c r="G230" s="8" t="s">
        <v>4211</v>
      </c>
      <c r="H230" s="8" t="s">
        <v>2625</v>
      </c>
      <c r="I230" s="8" t="s">
        <v>4212</v>
      </c>
      <c r="K230" s="12" t="s">
        <v>4204</v>
      </c>
      <c r="L230" s="8" t="s">
        <v>4202</v>
      </c>
      <c r="M230" s="13" t="s">
        <v>4205</v>
      </c>
      <c r="N230" s="8" t="s">
        <v>4203</v>
      </c>
      <c r="O230" s="13" t="s">
        <v>4206</v>
      </c>
      <c r="P230" s="8" t="s">
        <v>4208</v>
      </c>
      <c r="Q230" s="13" t="s">
        <v>4207</v>
      </c>
      <c r="R230" s="8" t="s">
        <v>4209</v>
      </c>
      <c r="S230" s="13" t="s">
        <v>4213</v>
      </c>
      <c r="T230" s="8" t="s">
        <v>4214</v>
      </c>
      <c r="U230" s="13" t="s">
        <v>4215</v>
      </c>
      <c r="V230" s="8" t="s">
        <v>4216</v>
      </c>
      <c r="W230" s="13" t="s">
        <v>4217</v>
      </c>
      <c r="X230" s="8" t="s">
        <v>4218</v>
      </c>
      <c r="Y230" s="13" t="s">
        <v>4219</v>
      </c>
      <c r="Z230" s="8" t="s">
        <v>4230</v>
      </c>
      <c r="AA230" s="13" t="s">
        <v>4220</v>
      </c>
      <c r="AB230" s="8" t="s">
        <v>4229</v>
      </c>
      <c r="AC230" s="13" t="s">
        <v>4221</v>
      </c>
      <c r="AD230" s="8" t="s">
        <v>4228</v>
      </c>
      <c r="AE230" s="13" t="s">
        <v>4222</v>
      </c>
      <c r="AF230" s="8" t="s">
        <v>4227</v>
      </c>
      <c r="AG230" s="13" t="s">
        <v>4223</v>
      </c>
      <c r="AH230" s="8" t="s">
        <v>4226</v>
      </c>
      <c r="AI230" s="13" t="s">
        <v>4224</v>
      </c>
      <c r="AJ230" s="8" t="s">
        <v>4225</v>
      </c>
    </row>
    <row r="231" spans="1:47" ht="22.5" customHeight="1">
      <c r="A231" s="8" t="str">
        <f>IF(games!A231="", "", games!A231)</f>
        <v>Dead Impact：Survival Online</v>
      </c>
      <c r="C231" s="8" t="str">
        <f t="shared" si="7"/>
        <v>giftcodesbanner/Dead Impact：Survival Online-禮包碼.jpg</v>
      </c>
      <c r="D231" s="8" t="str">
        <f t="shared" si="8"/>
        <v>https://www.ssbuy.tw/detail_giftcode/dist/giftcodes/Dead Impact：Survival Online.html</v>
      </c>
      <c r="E231" s="9" t="str">
        <f>IF(games!I231&lt;&gt;"", games!I231, "")</f>
        <v>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兌換碼和禮包碼，讓你在物資匱乏的末日世界中領先一步。至於那些想直接封頂的玩家，我們也準備了快速安全的代儲值服務，讓你輕鬆成為殭屍堆中的王者。別再掙扎了，快來加入我們，用你的實力（或鈔能力）碾壓所有敵人！</v>
      </c>
      <c r="F231" s="12" t="s">
        <v>2640</v>
      </c>
      <c r="G231" s="8" t="s">
        <v>2640</v>
      </c>
      <c r="K231" s="12" t="s">
        <v>2640</v>
      </c>
      <c r="L231" s="8" t="s">
        <v>2640</v>
      </c>
    </row>
    <row r="232" spans="1:47" ht="22.5" customHeight="1">
      <c r="A232" s="8" t="str">
        <f>IF(games!A232="", "", games!A232)</f>
        <v>無限子彈</v>
      </c>
      <c r="C232" s="8" t="str">
        <f t="shared" si="7"/>
        <v>giftcodesbanner/無限子彈-禮包碼.jpg</v>
      </c>
      <c r="D232" s="8" t="str">
        <f t="shared" si="8"/>
        <v>https://www.ssbuy.tw/detail_giftcode/dist/giftcodes/無限子彈.html</v>
      </c>
      <c r="E232" s="9" t="str">
        <f>IF(games!I232&lt;&gt;"", games!I232, "")</f>
        <v>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兌換碼和禮包碼，讓你輕鬆獲得強力武器和道具。而對於那些想更快變強的人，我們也有快速安全的代儲值服務，讓你一秒成為戰場上的「移動軍火庫」。別再猶豫了，讓你的槍口冒煙吧！</v>
      </c>
      <c r="F232" s="12" t="s">
        <v>2640</v>
      </c>
      <c r="G232" s="8" t="s">
        <v>2640</v>
      </c>
      <c r="K232" s="12" t="s">
        <v>2640</v>
      </c>
      <c r="L232" s="8" t="s">
        <v>2640</v>
      </c>
    </row>
    <row r="233" spans="1:47" ht="22.5" customHeight="1">
      <c r="A233" s="8" t="str">
        <f>IF(games!A233="", "", games!A233)</f>
        <v>Dunkadillo</v>
      </c>
      <c r="C233" s="8" t="str">
        <f t="shared" si="7"/>
        <v>giftcodesbanner/Dunkadillo-禮包碼.jpg</v>
      </c>
      <c r="D233" s="8" t="str">
        <f t="shared" si="8"/>
        <v>https://www.ssbuy.tw/detail_giftcode/dist/giftcodes/Dunkadillo.html</v>
      </c>
      <c r="E233" s="9" t="str">
        <f>IF(games!I233&lt;&gt;"", games!I233, "")</f>
        <v>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兌換碼與禮包碼，幫助你解鎖更多酷炫造型和能力。如果你想一步登天、成為灌籃大師，我們的快速安全代儲值服務也能幫你輕鬆達成。別再看著螢幕發呆了，快來成為灌籃高手，讓你的卡咪龜灌出屬於自己的傳奇！</v>
      </c>
      <c r="F233" s="12" t="s">
        <v>2640</v>
      </c>
      <c r="G233" s="8" t="s">
        <v>2640</v>
      </c>
      <c r="K233" s="12" t="s">
        <v>2640</v>
      </c>
      <c r="L233" s="8" t="s">
        <v>2640</v>
      </c>
    </row>
    <row r="234" spans="1:47" ht="22.5" customHeight="1">
      <c r="A234" s="8" t="str">
        <f>IF(games!A234="", "", games!A234)</f>
        <v>遺跡的地平線</v>
      </c>
      <c r="C234" s="8" t="str">
        <f t="shared" si="7"/>
        <v>giftcodesbanner/遺跡的地平線-禮包碼.jpg</v>
      </c>
      <c r="D234" s="8" t="str">
        <f t="shared" si="8"/>
        <v>https://www.ssbuy.tw/detail_giftcode/dist/giftcodes/遺跡的地平線.html</v>
      </c>
      <c r="E234" s="9" t="str">
        <f>IF(games!I234&lt;&gt;"", games!I234, "")</f>
        <v>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v>
      </c>
      <c r="F234" s="29" t="s">
        <v>4090</v>
      </c>
      <c r="G234" s="8" t="s">
        <v>4365</v>
      </c>
      <c r="H234" s="8" t="s">
        <v>2625</v>
      </c>
      <c r="I234" s="8" t="s">
        <v>4366</v>
      </c>
      <c r="K234" s="66" t="s">
        <v>4361</v>
      </c>
      <c r="L234" s="66" t="s">
        <v>4363</v>
      </c>
      <c r="M234" s="66" t="s">
        <v>4362</v>
      </c>
      <c r="N234" s="66" t="s">
        <v>4364</v>
      </c>
    </row>
    <row r="235" spans="1:47" ht="22.5" customHeight="1">
      <c r="A235" s="8" t="str">
        <f>IF(games!A235="", "", games!A235)</f>
        <v>三國將將好</v>
      </c>
      <c r="C235" s="8" t="str">
        <f t="shared" si="7"/>
        <v>giftcodesbanner/三國將將好-禮包碼.jpg</v>
      </c>
      <c r="D235" s="8" t="str">
        <f t="shared" si="8"/>
        <v>https://www.ssbuy.tw/detail_giftcode/dist/giftcodes/三國將將好.html</v>
      </c>
      <c r="E235" s="9" t="str">
        <f>IF(games!I235&lt;&gt;"", games!I235, "")</f>
        <v>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v>
      </c>
      <c r="F235" s="29" t="s">
        <v>4090</v>
      </c>
      <c r="G235" s="8" t="s">
        <v>4359</v>
      </c>
      <c r="H235" s="8" t="s">
        <v>2625</v>
      </c>
      <c r="I235" s="8" t="s">
        <v>4360</v>
      </c>
      <c r="K235" s="12" t="s">
        <v>4348</v>
      </c>
      <c r="M235" s="66" t="s">
        <v>4349</v>
      </c>
      <c r="O235" s="66" t="s">
        <v>4350</v>
      </c>
      <c r="Q235" s="66" t="s">
        <v>4351</v>
      </c>
      <c r="S235" s="66" t="s">
        <v>4352</v>
      </c>
      <c r="U235" s="66" t="s">
        <v>4350</v>
      </c>
      <c r="W235" s="66" t="s">
        <v>4353</v>
      </c>
      <c r="Y235" s="72" t="s">
        <v>2299</v>
      </c>
      <c r="Z235" s="72"/>
      <c r="AA235" s="72" t="s">
        <v>4354</v>
      </c>
      <c r="AC235" s="66" t="s">
        <v>2298</v>
      </c>
      <c r="AE235" s="66" t="s">
        <v>1819</v>
      </c>
      <c r="AG235" s="66" t="s">
        <v>1782</v>
      </c>
      <c r="AI235" s="66" t="s">
        <v>1714</v>
      </c>
      <c r="AK235" s="66" t="s">
        <v>1715</v>
      </c>
      <c r="AM235" s="66" t="s">
        <v>1820</v>
      </c>
      <c r="AO235" s="66" t="s">
        <v>4355</v>
      </c>
      <c r="AQ235" s="66" t="s">
        <v>4356</v>
      </c>
      <c r="AS235" s="66" t="s">
        <v>4357</v>
      </c>
      <c r="AU235" s="66" t="s">
        <v>4358</v>
      </c>
    </row>
    <row r="236" spans="1:47" ht="22.5" customHeight="1">
      <c r="A236" s="8" t="str">
        <f>IF(games!A236="", "", games!A236)</f>
        <v>七騎士 Re：BIRTH</v>
      </c>
      <c r="C236" s="8" t="str">
        <f t="shared" si="7"/>
        <v>giftcodesbanner/七騎士 Re：BIRTH-禮包碼.jpg</v>
      </c>
      <c r="D236" s="8" t="str">
        <f t="shared" si="8"/>
        <v>https://www.ssbuy.tw/detail_giftcode/dist/giftcodes/七騎士 Re：BIRTH.html</v>
      </c>
      <c r="E236" s="9" t="str">
        <f>IF(games!I236&lt;&gt;"", games!I236, "")</f>
        <v>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v>
      </c>
      <c r="F236" s="71" t="s">
        <v>4450</v>
      </c>
      <c r="G236" s="8" t="s">
        <v>4451</v>
      </c>
      <c r="K236" s="66" t="s">
        <v>4992</v>
      </c>
      <c r="L236" s="8" t="s">
        <v>5017</v>
      </c>
      <c r="M236" s="66" t="s">
        <v>5018</v>
      </c>
      <c r="N236" s="8" t="s">
        <v>5019</v>
      </c>
      <c r="O236" s="66" t="s">
        <v>5020</v>
      </c>
      <c r="P236" s="8" t="s">
        <v>5021</v>
      </c>
      <c r="Q236" s="66" t="s">
        <v>5022</v>
      </c>
      <c r="R236" s="8" t="s">
        <v>4993</v>
      </c>
      <c r="S236" s="66" t="s">
        <v>5023</v>
      </c>
      <c r="T236" s="8" t="s">
        <v>5024</v>
      </c>
      <c r="U236" s="13" t="s">
        <v>5025</v>
      </c>
      <c r="V236" s="8" t="s">
        <v>5026</v>
      </c>
      <c r="W236" s="13" t="s">
        <v>5225</v>
      </c>
      <c r="X236" s="8" t="s">
        <v>5238</v>
      </c>
      <c r="Y236" s="13" t="s">
        <v>5226</v>
      </c>
      <c r="Z236" s="8" t="s">
        <v>5237</v>
      </c>
      <c r="AA236" s="13" t="s">
        <v>5227</v>
      </c>
      <c r="AB236" s="8" t="s">
        <v>5236</v>
      </c>
      <c r="AC236" s="13" t="s">
        <v>5228</v>
      </c>
      <c r="AD236" s="8" t="s">
        <v>5235</v>
      </c>
      <c r="AE236" s="13" t="s">
        <v>5229</v>
      </c>
      <c r="AF236" s="8" t="s">
        <v>5234</v>
      </c>
      <c r="AG236" s="13" t="s">
        <v>5230</v>
      </c>
      <c r="AH236" s="8" t="s">
        <v>5233</v>
      </c>
      <c r="AI236" s="13" t="s">
        <v>5231</v>
      </c>
      <c r="AJ236" s="8" t="s">
        <v>5232</v>
      </c>
    </row>
    <row r="237" spans="1:47" ht="22.5" customHeight="1">
      <c r="A237" s="8" t="str">
        <f>IF(games!A237="", "", games!A237)</f>
        <v>異界三國：死神契約</v>
      </c>
      <c r="C237" s="8" t="str">
        <f t="shared" si="7"/>
        <v>giftcodesbanner/異界三國：死神契約-禮包碼.jpg</v>
      </c>
      <c r="D237" s="8" t="str">
        <f t="shared" si="8"/>
        <v>https://www.ssbuy.tw/detail_giftcode/dist/giftcodes/異界三國：死神契約.html</v>
      </c>
      <c r="E237" s="9" t="str">
        <f>IF(games!I237&lt;&gt;"", games!I237, "")</f>
        <v>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v>
      </c>
      <c r="F237" s="29" t="s">
        <v>4090</v>
      </c>
      <c r="G237" s="8" t="s">
        <v>4359</v>
      </c>
      <c r="H237" s="8" t="s">
        <v>2625</v>
      </c>
      <c r="I237" s="8" t="s">
        <v>4360</v>
      </c>
      <c r="K237" s="12" t="s">
        <v>3331</v>
      </c>
      <c r="M237" s="13" t="s">
        <v>4518</v>
      </c>
      <c r="O237" s="13" t="s">
        <v>4519</v>
      </c>
      <c r="Q237" s="13" t="s">
        <v>4520</v>
      </c>
      <c r="S237" s="8" t="s">
        <v>4521</v>
      </c>
      <c r="U237" s="13" t="s">
        <v>4522</v>
      </c>
      <c r="W237" s="13" t="s">
        <v>4523</v>
      </c>
      <c r="Y237" s="13" t="s">
        <v>4524</v>
      </c>
      <c r="AA237" s="13" t="s">
        <v>4525</v>
      </c>
      <c r="AC237" s="13" t="s">
        <v>4526</v>
      </c>
      <c r="AE237" s="13" t="s">
        <v>4527</v>
      </c>
      <c r="AG237" s="13" t="s">
        <v>4528</v>
      </c>
      <c r="AI237" s="13" t="s">
        <v>4529</v>
      </c>
      <c r="AK237" s="13" t="s">
        <v>4530</v>
      </c>
    </row>
    <row r="238" spans="1:47" ht="22.5" customHeight="1">
      <c r="A238" s="8" t="str">
        <f>IF(games!A238="", "", games!A238)</f>
        <v>魔法師之徒</v>
      </c>
      <c r="C238" s="8" t="str">
        <f t="shared" si="7"/>
        <v>giftcodesbanner/魔法師之徒-禮包碼.jpg</v>
      </c>
      <c r="D238" s="8" t="str">
        <f t="shared" si="8"/>
        <v>https://www.ssbuy.tw/detail_giftcode/dist/giftcodes/魔法師之徒.html</v>
      </c>
      <c r="E238" s="9" t="str">
        <f>IF(games!I238&lt;&gt;"", games!I238, "")</f>
        <v>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v>
      </c>
      <c r="F238" s="29" t="s">
        <v>4090</v>
      </c>
      <c r="G238" s="8" t="s">
        <v>4359</v>
      </c>
      <c r="H238" s="8" t="s">
        <v>2625</v>
      </c>
      <c r="I238" s="8" t="s">
        <v>4360</v>
      </c>
      <c r="K238" s="74" t="s">
        <v>4531</v>
      </c>
      <c r="M238" s="13" t="s">
        <v>4661</v>
      </c>
      <c r="O238" s="13" t="s">
        <v>4662</v>
      </c>
      <c r="Q238" s="13" t="s">
        <v>4663</v>
      </c>
      <c r="S238" s="13" t="s">
        <v>4664</v>
      </c>
      <c r="U238" s="13" t="s">
        <v>4802</v>
      </c>
    </row>
    <row r="239" spans="1:47" ht="22.5" customHeight="1">
      <c r="A239" s="8" t="str">
        <f>IF(games!A239="", "", games!A239)</f>
        <v>三國魂將傳</v>
      </c>
      <c r="C239" s="8" t="str">
        <f t="shared" si="7"/>
        <v>giftcodesbanner/三國魂將傳-禮包碼.jpg</v>
      </c>
      <c r="D239" s="8" t="str">
        <f t="shared" si="8"/>
        <v>https://www.ssbuy.tw/detail_giftcode/dist/giftcodes/三國魂將傳.html</v>
      </c>
      <c r="E239" s="9" t="str">
        <f>IF(games!I239&lt;&gt;"", games!I239, "")</f>
        <v>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v>
      </c>
      <c r="F239" s="12" t="s">
        <v>4533</v>
      </c>
      <c r="G239" s="8" t="s">
        <v>4534</v>
      </c>
      <c r="H239" s="8" t="s">
        <v>2625</v>
      </c>
      <c r="I239" s="8" t="s">
        <v>4360</v>
      </c>
      <c r="K239" s="66" t="s">
        <v>4532</v>
      </c>
    </row>
    <row r="240" spans="1:47" ht="22.5" customHeight="1">
      <c r="A240" s="8" t="str">
        <f>IF(games!A240="", "", games!A240)</f>
        <v>龍息：神寂</v>
      </c>
      <c r="C240" s="8" t="str">
        <f t="shared" si="7"/>
        <v>giftcodesbanner/龍息：神寂-禮包碼.jpg</v>
      </c>
      <c r="D240" s="8" t="str">
        <f t="shared" si="8"/>
        <v>https://www.ssbuy.tw/detail_giftcode/dist/giftcodes/龍息：神寂.html</v>
      </c>
      <c r="E240" s="9" t="str">
        <f>IF(games!I240&lt;&gt;"", games!I240, "")</f>
        <v>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v>
      </c>
      <c r="F240" s="29" t="s">
        <v>4400</v>
      </c>
      <c r="G240" s="8" t="s">
        <v>4401</v>
      </c>
      <c r="H240" s="8" t="s">
        <v>2625</v>
      </c>
      <c r="I240" s="8" t="s">
        <v>4360</v>
      </c>
      <c r="K240" s="12" t="s">
        <v>4395</v>
      </c>
      <c r="L240" s="8" t="s">
        <v>4397</v>
      </c>
      <c r="M240" s="13" t="s">
        <v>4396</v>
      </c>
      <c r="N240" s="8" t="s">
        <v>4397</v>
      </c>
      <c r="O240" s="13" t="s">
        <v>4398</v>
      </c>
      <c r="P240" s="8" t="s">
        <v>4399</v>
      </c>
    </row>
    <row r="241" spans="1:27" ht="22.5" customHeight="1">
      <c r="A241" s="8" t="str">
        <f>IF(games!A241="", "", games!A241)</f>
        <v>玩具對決</v>
      </c>
      <c r="C241" s="8" t="str">
        <f t="shared" si="7"/>
        <v>giftcodesbanner/玩具對決-禮包碼.jpg</v>
      </c>
      <c r="D241" s="8" t="str">
        <f t="shared" si="8"/>
        <v>https://www.ssbuy.tw/detail_giftcode/dist/giftcodes/玩具對決.html</v>
      </c>
      <c r="E241" s="9" t="str">
        <f>IF(games!I241&lt;&gt;"", games!I241, "")</f>
        <v>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兌換碼和禮包碼來快速強化陣容。此外，遊戲內提供代儲值服務，讓你能以最快速、最安全的方式獲得資源，無後顧之憂地享受這場玩具對決！</v>
      </c>
      <c r="F241" s="12" t="s">
        <v>2640</v>
      </c>
      <c r="G241" s="8" t="s">
        <v>2640</v>
      </c>
      <c r="K241" s="12" t="s">
        <v>4516</v>
      </c>
      <c r="L241" s="8" t="s">
        <v>4506</v>
      </c>
    </row>
    <row r="242" spans="1:27" ht="22.5" customHeight="1">
      <c r="A242" s="8" t="str">
        <f>IF(games!A242="", "", games!A242)</f>
        <v>幸福都市：市長模擬器</v>
      </c>
      <c r="C242" s="8" t="str">
        <f t="shared" si="7"/>
        <v>giftcodesbanner/幸福都市：市長模擬器-禮包碼.jpg</v>
      </c>
      <c r="D242" s="8" t="str">
        <f t="shared" si="8"/>
        <v>https://www.ssbuy.tw/detail_giftcode/dist/giftcodes/幸福都市：市長模擬器.html</v>
      </c>
      <c r="E242" s="9" t="str">
        <f>IF(games!I242&lt;&gt;"", games!I242, "")</f>
        <v>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兌換碼及禮包碼，讓你的城市發展一日千里。遊戲也支援代儲值服務，保證快速安全，讓你輕鬆獲得資源，成為最稱職的幸福都市市長！</v>
      </c>
      <c r="F242" s="12" t="s">
        <v>2640</v>
      </c>
      <c r="G242" s="8" t="s">
        <v>2640</v>
      </c>
      <c r="K242" s="12" t="s">
        <v>2640</v>
      </c>
      <c r="L242" s="8" t="s">
        <v>2640</v>
      </c>
    </row>
    <row r="243" spans="1:27" ht="22.5" customHeight="1">
      <c r="A243" s="8" t="str">
        <f>IF(games!A243="", "", games!A243)</f>
        <v>黑道傳奇</v>
      </c>
      <c r="C243" s="8" t="str">
        <f t="shared" si="7"/>
        <v>giftcodesbanner/黑道傳奇-禮包碼.jpg</v>
      </c>
      <c r="D243" s="8" t="str">
        <f t="shared" si="8"/>
        <v>https://www.ssbuy.tw/detail_giftcode/dist/giftcodes/黑道傳奇.html</v>
      </c>
      <c r="E243" s="9" t="str">
        <f>IF(games!I243&lt;&gt;"", games!I243, "")</f>
        <v>《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兌換碼與禮包碼，並透過快速安全的代儲值服務，讓你的勢力迅速壯大，成就傳奇！</v>
      </c>
      <c r="F243" s="12" t="s">
        <v>2640</v>
      </c>
      <c r="G243" s="8" t="s">
        <v>2640</v>
      </c>
      <c r="K243" s="12" t="s">
        <v>2640</v>
      </c>
      <c r="L243" s="8" t="s">
        <v>2640</v>
      </c>
    </row>
    <row r="244" spans="1:27" ht="22.5" customHeight="1">
      <c r="A244" s="8" t="str">
        <f>IF(games!A244="", "", games!A244)</f>
        <v>The kingdom：medieval tales</v>
      </c>
      <c r="C244" s="8" t="str">
        <f t="shared" si="7"/>
        <v>giftcodesbanner/The kingdom：medieval tales-禮包碼.jpg</v>
      </c>
      <c r="D244" s="8" t="str">
        <f t="shared" si="8"/>
        <v>https://www.ssbuy.tw/detail_giftcode/dist/giftcodes/The kingdom：medieval tales.html</v>
      </c>
      <c r="E244" s="9" t="str">
        <f>IF(games!I244&lt;&gt;"", games!I244, "")</f>
        <v>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兌換碼及禮包碼。遊戲也提供代儲值服務，讓你用最快速安全的方式獲得稀有資源，成為中世紀最強大的王者！</v>
      </c>
      <c r="F244" s="12" t="s">
        <v>2640</v>
      </c>
      <c r="G244" s="8" t="s">
        <v>2640</v>
      </c>
      <c r="K244" s="12" t="s">
        <v>2640</v>
      </c>
      <c r="L244" s="8" t="s">
        <v>2640</v>
      </c>
    </row>
    <row r="245" spans="1:27" ht="22.5" customHeight="1">
      <c r="A245" s="8" t="str">
        <f>IF(games!A245="", "", games!A245)</f>
        <v>七龍珠激震小隊</v>
      </c>
      <c r="C245" s="8" t="str">
        <f t="shared" si="7"/>
        <v>giftcodesbanner/七龍珠激震小隊-禮包碼.jpg</v>
      </c>
      <c r="D245" s="8" t="str">
        <f t="shared" si="8"/>
        <v>https://www.ssbuy.tw/detail_giftcode/dist/giftcodes/七龍珠激震小隊.html</v>
      </c>
      <c r="E245" s="9" t="str">
        <f>IF(games!I245&lt;&gt;"", games!I245, "")</f>
        <v>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v>
      </c>
      <c r="F245" s="73" t="s">
        <v>4517</v>
      </c>
      <c r="G245" s="8" t="s">
        <v>4515</v>
      </c>
      <c r="K245" s="12" t="s">
        <v>4516</v>
      </c>
      <c r="L245" s="8" t="s">
        <v>4506</v>
      </c>
    </row>
    <row r="246" spans="1:27" ht="22.5" customHeight="1">
      <c r="A246" s="8" t="str">
        <f>IF(games!A246="", "", games!A246)</f>
        <v>Grave Strikers</v>
      </c>
      <c r="C246" s="8" t="str">
        <f t="shared" si="7"/>
        <v>giftcodesbanner/Grave Strikers-禮包碼.jpg</v>
      </c>
      <c r="D246" s="8" t="str">
        <f t="shared" si="8"/>
        <v>https://www.ssbuy.tw/detail_giftcode/dist/giftcodes/Grave Strikers.html</v>
      </c>
      <c r="E246" s="9" t="str">
        <f>IF(games!I246&lt;&gt;"", games!I246, "")</f>
        <v>《Grave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v>
      </c>
      <c r="F246" s="12" t="s">
        <v>4516</v>
      </c>
      <c r="G246" s="8" t="s">
        <v>4506</v>
      </c>
      <c r="K246" s="12" t="s">
        <v>4516</v>
      </c>
      <c r="L246" s="8" t="s">
        <v>4506</v>
      </c>
    </row>
    <row r="247" spans="1:27" ht="22.5" customHeight="1">
      <c r="A247" s="8" t="str">
        <f>IF(games!A247="", "", games!A247)</f>
        <v>Stellar Sanctuary</v>
      </c>
      <c r="C247" s="8" t="str">
        <f t="shared" si="7"/>
        <v>giftcodesbanner/Stellar Sanctuary-禮包碼.jpg</v>
      </c>
      <c r="D247" s="8" t="str">
        <f t="shared" si="8"/>
        <v>https://www.ssbuy.tw/detail_giftcode/dist/giftcodes/Stellar Sanctuary.html</v>
      </c>
      <c r="E247" s="9" t="str">
        <f>IF(games!I247&lt;&gt;"", games!I247, "")</f>
        <v>《Stellar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v>
      </c>
      <c r="F247" s="29" t="s">
        <v>4507</v>
      </c>
      <c r="G247" s="8" t="s">
        <v>4508</v>
      </c>
      <c r="H247" s="8" t="s">
        <v>2625</v>
      </c>
      <c r="I247" s="8" t="s">
        <v>4360</v>
      </c>
      <c r="K247" s="12" t="s">
        <v>4516</v>
      </c>
      <c r="L247" s="8" t="s">
        <v>4506</v>
      </c>
    </row>
    <row r="248" spans="1:27" ht="22.5" customHeight="1">
      <c r="A248" s="8" t="str">
        <f>IF(games!A248="", "", games!A248)</f>
        <v>古惑仔：風雲再起</v>
      </c>
      <c r="C248" s="8" t="str">
        <f t="shared" si="7"/>
        <v>giftcodesbanner/古惑仔：風雲再起-禮包碼.jpg</v>
      </c>
      <c r="D248" s="8" t="str">
        <f t="shared" si="8"/>
        <v>https://www.ssbuy.tw/detail_giftcode/dist/giftcodes/古惑仔：風雲再起.html</v>
      </c>
      <c r="E248" s="9" t="str">
        <f>IF(games!I248&lt;&gt;"", games!I248, "")</f>
        <v>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v>
      </c>
      <c r="F248" s="29" t="s">
        <v>4509</v>
      </c>
      <c r="G248" s="8" t="s">
        <v>4401</v>
      </c>
      <c r="H248" s="8" t="s">
        <v>2625</v>
      </c>
      <c r="I248" s="8" t="s">
        <v>4360</v>
      </c>
      <c r="K248" s="12" t="s">
        <v>1932</v>
      </c>
      <c r="L248" s="8" t="s">
        <v>4494</v>
      </c>
      <c r="M248" s="13" t="s">
        <v>4491</v>
      </c>
      <c r="N248" s="8" t="s">
        <v>4495</v>
      </c>
      <c r="O248" s="13" t="s">
        <v>4492</v>
      </c>
      <c r="P248" s="8" t="s">
        <v>4493</v>
      </c>
    </row>
    <row r="249" spans="1:27" ht="22.5" customHeight="1">
      <c r="A249" s="8" t="str">
        <f>IF(games!A249="", "", games!A249)</f>
        <v>女神秘令</v>
      </c>
      <c r="C249" s="8" t="str">
        <f t="shared" si="7"/>
        <v>giftcodesbanner/女神秘令-禮包碼.jpg</v>
      </c>
      <c r="D249" s="8" t="str">
        <f t="shared" si="8"/>
        <v>https://www.ssbuy.tw/detail_giftcode/dist/giftcodes/女神秘令.html</v>
      </c>
      <c r="E249" s="9" t="str">
        <f>IF(games!I249&lt;&gt;"", games!I249, "")</f>
        <v>《女神秘令》是一款以西方魔幻為題材的卡牌策略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v>
      </c>
      <c r="F249" s="66" t="s">
        <v>4609</v>
      </c>
      <c r="G249" s="8" t="s">
        <v>4610</v>
      </c>
      <c r="K249" s="66" t="s">
        <v>4607</v>
      </c>
      <c r="L249" s="66" t="s">
        <v>4608</v>
      </c>
    </row>
    <row r="250" spans="1:27" ht="22.5" customHeight="1">
      <c r="A250" s="8" t="str">
        <f>IF(games!A250="", "", games!A250)</f>
        <v>Torerowa</v>
      </c>
      <c r="C250" s="8" t="str">
        <f t="shared" si="7"/>
        <v>giftcodesbanner/Torerowa-禮包碼.jpg</v>
      </c>
      <c r="D250" s="8" t="str">
        <f t="shared" si="8"/>
        <v>https://www.ssbuy.tw/detail_giftcode/dist/giftcodes/Torerowa.html</v>
      </c>
      <c r="E250" s="9" t="str">
        <f>IF(games!I250&lt;&gt;"", games!I250, "")</f>
        <v>《Torerowa》是一款奇幻風格的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v>
      </c>
      <c r="F250" s="8" t="s">
        <v>4611</v>
      </c>
      <c r="G250" s="8" t="s">
        <v>4612</v>
      </c>
      <c r="H250" s="8" t="s">
        <v>4613</v>
      </c>
      <c r="K250" s="12" t="s">
        <v>4516</v>
      </c>
      <c r="L250" s="8" t="s">
        <v>4506</v>
      </c>
    </row>
    <row r="251" spans="1:27" ht="22.5" customHeight="1">
      <c r="A251" s="8" t="str">
        <f>IF(games!A251="", "", games!A251)</f>
        <v>Ricochet Squad</v>
      </c>
      <c r="C251" s="8" t="str">
        <f t="shared" si="7"/>
        <v>giftcodesbanner/Ricochet Squad-禮包碼.jpg</v>
      </c>
      <c r="D251" s="8" t="str">
        <f t="shared" si="8"/>
        <v>https://www.ssbuy.tw/detail_giftcode/dist/giftcodes/Ricochet Squad.html</v>
      </c>
      <c r="E251" s="9" t="str">
        <f>IF(games!I251&lt;&gt;"", games!I251, "")</f>
        <v>《Ricochet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v>
      </c>
      <c r="F251" s="29" t="s">
        <v>4563</v>
      </c>
      <c r="G251" s="8" t="s">
        <v>4564</v>
      </c>
      <c r="H251" s="8" t="s">
        <v>2625</v>
      </c>
      <c r="I251" s="8" t="s">
        <v>4360</v>
      </c>
      <c r="K251" s="12" t="s">
        <v>4561</v>
      </c>
      <c r="L251" s="8" t="s">
        <v>4562</v>
      </c>
    </row>
    <row r="252" spans="1:27" ht="22.5" customHeight="1">
      <c r="A252" s="8" t="str">
        <f>IF(games!A252="", "", games!A252)</f>
        <v>魔法村物語</v>
      </c>
      <c r="C252" s="8" t="str">
        <f t="shared" si="7"/>
        <v>giftcodesbanner/魔法村物語-禮包碼.jpg</v>
      </c>
      <c r="D252" s="8" t="str">
        <f t="shared" si="8"/>
        <v>https://www.ssbuy.tw/detail_giftcode/dist/giftcodes/魔法村物語.html</v>
      </c>
      <c r="E252" s="9" t="str">
        <f>IF(games!I252&lt;&gt;"", games!I252, "")</f>
        <v>《魔法村物語》是一款日系像素風格的經營模擬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v>
      </c>
      <c r="F252" s="29" t="s">
        <v>4578</v>
      </c>
      <c r="G252" s="8" t="s">
        <v>4579</v>
      </c>
      <c r="H252" s="8" t="s">
        <v>2625</v>
      </c>
      <c r="I252" s="8" t="s">
        <v>4360</v>
      </c>
      <c r="K252" s="12" t="s">
        <v>4558</v>
      </c>
      <c r="L252" s="8" t="s">
        <v>4580</v>
      </c>
      <c r="M252" s="13" t="s">
        <v>4559</v>
      </c>
      <c r="N252" s="8" t="s">
        <v>4581</v>
      </c>
      <c r="O252" s="13" t="s">
        <v>4560</v>
      </c>
      <c r="P252" s="8" t="s">
        <v>4582</v>
      </c>
      <c r="Q252" s="13" t="s">
        <v>1933</v>
      </c>
      <c r="R252" s="8" t="s">
        <v>4583</v>
      </c>
      <c r="S252" s="13" t="s">
        <v>4615</v>
      </c>
      <c r="T252" s="8" t="s">
        <v>4616</v>
      </c>
      <c r="U252" s="13" t="s">
        <v>4614</v>
      </c>
      <c r="V252" s="8" t="s">
        <v>4617</v>
      </c>
      <c r="W252" s="13" t="s">
        <v>4732</v>
      </c>
      <c r="Y252" s="13" t="s">
        <v>4731</v>
      </c>
      <c r="AA252" s="13" t="s">
        <v>4803</v>
      </c>
    </row>
    <row r="253" spans="1:27" ht="22.5" customHeight="1">
      <c r="A253" s="8" t="str">
        <f>IF(games!A253="", "", games!A253)</f>
        <v>奇蹟MU：騎士袋你飛</v>
      </c>
      <c r="C253" s="8" t="str">
        <f t="shared" ref="C253:C268" si="9">IF(A253="","", "giftcodesbanner/" &amp; A253 &amp; "-禮包碼.jpg")</f>
        <v>giftcodesbanner/奇蹟MU：騎士袋你飛-禮包碼.jpg</v>
      </c>
      <c r="D253" s="8" t="str">
        <f t="shared" si="8"/>
        <v>https://www.ssbuy.tw/detail_giftcode/dist/giftcodes/奇蹟MU：騎士袋你飛.html</v>
      </c>
      <c r="E253" s="9" t="str">
        <f>IF(games!I253&lt;&gt;"", games!I253, "")</f>
        <v>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v>
      </c>
      <c r="F253" s="29" t="s">
        <v>4644</v>
      </c>
      <c r="G253" s="8" t="s">
        <v>4645</v>
      </c>
      <c r="H253" s="8" t="s">
        <v>2625</v>
      </c>
      <c r="I253" s="8" t="s">
        <v>4360</v>
      </c>
      <c r="K253" s="12" t="s">
        <v>4626</v>
      </c>
      <c r="L253" s="8" t="s">
        <v>4627</v>
      </c>
      <c r="M253" s="13" t="s">
        <v>4628</v>
      </c>
      <c r="N253" s="8" t="s">
        <v>4629</v>
      </c>
      <c r="O253" s="13" t="s">
        <v>4630</v>
      </c>
      <c r="P253" s="8" t="s">
        <v>4631</v>
      </c>
      <c r="Q253" s="13" t="s">
        <v>4804</v>
      </c>
      <c r="R253" s="8" t="s">
        <v>4805</v>
      </c>
    </row>
    <row r="254" spans="1:27" ht="22.5" customHeight="1">
      <c r="A254" s="8" t="str">
        <f>IF(games!A254="", "", games!A254)</f>
        <v>AUR3：影月幻域</v>
      </c>
      <c r="C254" s="8" t="str">
        <f t="shared" si="9"/>
        <v>giftcodesbanner/AUR3：影月幻域-禮包碼.jpg</v>
      </c>
      <c r="D254" s="8" t="str">
        <f t="shared" si="8"/>
        <v>https://www.ssbuy.tw/detail_giftcode/dist/giftcodes/AUR3：影月幻域.html</v>
      </c>
      <c r="E254" s="9" t="str">
        <f>IF(games!I254&lt;&gt;"", games!I254, "")</f>
        <v>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v>
      </c>
      <c r="F254" s="29" t="s">
        <v>4642</v>
      </c>
      <c r="G254" s="8" t="s">
        <v>4643</v>
      </c>
      <c r="H254" s="8" t="s">
        <v>2625</v>
      </c>
      <c r="I254" s="8" t="s">
        <v>4360</v>
      </c>
      <c r="K254" s="12" t="s">
        <v>4632</v>
      </c>
      <c r="M254" s="13" t="s">
        <v>4633</v>
      </c>
      <c r="O254" s="13" t="s">
        <v>4634</v>
      </c>
      <c r="Q254" s="13" t="s">
        <v>4635</v>
      </c>
      <c r="S254" s="13" t="s">
        <v>4636</v>
      </c>
      <c r="T254" s="8" t="s">
        <v>4638</v>
      </c>
      <c r="U254" s="13" t="s">
        <v>4637</v>
      </c>
      <c r="V254" s="8" t="s">
        <v>4639</v>
      </c>
      <c r="W254" s="13" t="s">
        <v>4560</v>
      </c>
      <c r="X254" s="8" t="s">
        <v>4640</v>
      </c>
      <c r="Y254" s="13" t="s">
        <v>1933</v>
      </c>
      <c r="Z254" s="8" t="s">
        <v>4641</v>
      </c>
    </row>
    <row r="255" spans="1:27" ht="22.5" customHeight="1">
      <c r="A255" s="8" t="str">
        <f>IF(games!A255="", "", games!A255)</f>
        <v>純潔的魔法少女</v>
      </c>
      <c r="C255" s="8" t="str">
        <f t="shared" si="9"/>
        <v>giftcodesbanner/純潔的魔法少女-禮包碼.jpg</v>
      </c>
      <c r="D255" s="8" t="str">
        <f t="shared" si="8"/>
        <v>https://www.ssbuy.tw/detail_giftcode/dist/giftcodes/純潔的魔法少女.html</v>
      </c>
      <c r="E255" s="9" t="str">
        <f>IF(games!I255&lt;&gt;"", games!I255, "")</f>
        <v>《純潔的魔法少女》是一款充滿日系動漫風格的冒險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v>
      </c>
      <c r="F255" s="12" t="s">
        <v>4690</v>
      </c>
      <c r="G255" s="8" t="s">
        <v>4691</v>
      </c>
      <c r="K255" s="12" t="s">
        <v>4692</v>
      </c>
      <c r="L255" s="8" t="s">
        <v>4693</v>
      </c>
      <c r="M255" s="13" t="s">
        <v>4694</v>
      </c>
      <c r="N255" s="8" t="s">
        <v>4696</v>
      </c>
      <c r="O255" s="13" t="s">
        <v>4695</v>
      </c>
      <c r="P255" s="8" t="s">
        <v>4697</v>
      </c>
    </row>
    <row r="256" spans="1:27" ht="22.5" customHeight="1">
      <c r="A256" s="8" t="str">
        <f>IF(games!A256="", "", games!A256)</f>
        <v>Next Agers</v>
      </c>
      <c r="C256" s="8" t="str">
        <f t="shared" si="9"/>
        <v>giftcodesbanner/Next Agers-禮包碼.jpg</v>
      </c>
      <c r="D256" s="8" t="str">
        <f t="shared" si="8"/>
        <v>https://www.ssbuy.tw/detail_giftcode/dist/giftcodes/Next Agers.html</v>
      </c>
      <c r="E256" s="9" t="str">
        <f>IF(games!I256&lt;&gt;"", games!I256, "")</f>
        <v>《Next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v>
      </c>
      <c r="F256" s="12" t="s">
        <v>2640</v>
      </c>
      <c r="G256" s="8" t="s">
        <v>2640</v>
      </c>
      <c r="K256" s="12" t="s">
        <v>2640</v>
      </c>
      <c r="L256" s="8" t="s">
        <v>2640</v>
      </c>
    </row>
    <row r="257" spans="1:31" ht="22.5" customHeight="1">
      <c r="A257" s="8" t="str">
        <f>IF(games!A257="", "", games!A257)</f>
        <v>屍不可擋</v>
      </c>
      <c r="C257" s="8" t="str">
        <f t="shared" si="9"/>
        <v>giftcodesbanner/屍不可擋-禮包碼.jpg</v>
      </c>
      <c r="D257" s="8" t="str">
        <f t="shared" si="8"/>
        <v>https://www.ssbuy.tw/detail_giftcode/dist/giftcodes/屍不可擋.html</v>
      </c>
      <c r="E257" s="9" t="str">
        <f>IF(games!I257&lt;&gt;"", games!I257, "")</f>
        <v>《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v>
      </c>
      <c r="F257" s="29" t="s">
        <v>4700</v>
      </c>
      <c r="G257" s="8" t="s">
        <v>2625</v>
      </c>
      <c r="H257" s="8" t="s">
        <v>4360</v>
      </c>
      <c r="K257" s="12" t="s">
        <v>4698</v>
      </c>
      <c r="L257" s="8" t="s">
        <v>4699</v>
      </c>
    </row>
    <row r="258" spans="1:31" ht="22.5" customHeight="1">
      <c r="A258" s="8" t="str">
        <f>IF(games!A258="", "", games!A258)</f>
        <v>RF ONLINE NEXT</v>
      </c>
      <c r="C258" s="8" t="str">
        <f t="shared" si="9"/>
        <v>giftcodesbanner/RF ONLINE NEXT-禮包碼.jpg</v>
      </c>
      <c r="D258" s="8" t="str">
        <f t="shared" si="8"/>
        <v>https://www.ssbuy.tw/detail_giftcode/dist/giftcodes/RF ONLINE NEXT.html</v>
      </c>
      <c r="E258" s="9" t="str">
        <f>IF(games!I258&lt;&gt;"", games!I258, "")</f>
        <v>《RF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v>
      </c>
      <c r="F258" s="12" t="s">
        <v>4516</v>
      </c>
      <c r="G258" s="8" t="s">
        <v>4506</v>
      </c>
      <c r="K258" s="12" t="s">
        <v>4516</v>
      </c>
      <c r="L258" s="8" t="s">
        <v>4506</v>
      </c>
    </row>
    <row r="259" spans="1:31">
      <c r="A259" s="8" t="str">
        <f>IF(games!A259="", "", games!A259)</f>
        <v>少女掌門人</v>
      </c>
      <c r="C259" s="8" t="str">
        <f t="shared" si="9"/>
        <v>giftcodesbanner/少女掌門人-禮包碼.jpg</v>
      </c>
      <c r="D259" s="8" t="str">
        <f t="shared" ref="D259:D267" si="10">IF(A259="","", "https://www.ssbuy.tw/detail_giftcode/dist/giftcodes/" &amp; IF(ISNUMBER(LEFT(A259,1)*1), "game-", "") &amp; A259 &amp; ".html")</f>
        <v>https://www.ssbuy.tw/detail_giftcode/dist/giftcodes/少女掌門人.html</v>
      </c>
      <c r="E259" s="9" t="str">
        <f>IF(games!I259&lt;&gt;"", games!I259, "")</f>
        <v>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v>
      </c>
      <c r="F259" s="29" t="s">
        <v>4700</v>
      </c>
      <c r="G259" s="8" t="s">
        <v>3641</v>
      </c>
      <c r="H259" s="8" t="s">
        <v>2625</v>
      </c>
      <c r="I259" s="8" t="s">
        <v>4360</v>
      </c>
      <c r="K259" s="76" t="s">
        <v>4877</v>
      </c>
      <c r="L259" s="8" t="s">
        <v>4878</v>
      </c>
    </row>
    <row r="260" spans="1:31">
      <c r="A260" s="8" t="str">
        <f>IF(games!A260="", "", games!A260)</f>
        <v>翼之櫻：放置決鬥者</v>
      </c>
      <c r="C260" s="8" t="str">
        <f t="shared" si="9"/>
        <v>giftcodesbanner/翼之櫻：放置決鬥者-禮包碼.jpg</v>
      </c>
      <c r="D260" s="8" t="str">
        <f t="shared" si="10"/>
        <v>https://www.ssbuy.tw/detail_giftcode/dist/giftcodes/翼之櫻：放置決鬥者.html</v>
      </c>
      <c r="E260" s="9" t="str">
        <f>IF(games!I260&lt;&gt;"", games!I260, "")</f>
        <v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v>
      </c>
      <c r="F260" s="12" t="s">
        <v>4516</v>
      </c>
      <c r="G260" s="8" t="s">
        <v>4506</v>
      </c>
      <c r="K260" s="12" t="s">
        <v>4516</v>
      </c>
      <c r="L260" s="8" t="s">
        <v>4506</v>
      </c>
    </row>
    <row r="261" spans="1:31">
      <c r="A261" s="8" t="str">
        <f>IF(games!A261="", "", games!A261)</f>
        <v>Oniro ARPG</v>
      </c>
      <c r="C261" s="8" t="str">
        <f t="shared" si="9"/>
        <v>giftcodesbanner/Oniro ARPG-禮包碼.jpg</v>
      </c>
      <c r="D261" s="8" t="str">
        <f t="shared" si="10"/>
        <v>https://www.ssbuy.tw/detail_giftcode/dist/giftcodes/Oniro ARPG.html</v>
      </c>
      <c r="E261" s="9" t="str">
        <f>IF(games!I261&lt;&gt;"", games!I261, "")</f>
        <v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v>
      </c>
      <c r="F261" s="12" t="s">
        <v>4516</v>
      </c>
      <c r="G261" s="8" t="s">
        <v>4506</v>
      </c>
      <c r="K261" s="12" t="s">
        <v>4516</v>
      </c>
      <c r="L261" s="8" t="s">
        <v>4506</v>
      </c>
    </row>
    <row r="262" spans="1:31">
      <c r="A262" s="8" t="str">
        <f>IF(games!A262="", "", games!A262)</f>
        <v>Legend of YMIR</v>
      </c>
      <c r="C262" s="8" t="str">
        <f t="shared" si="9"/>
        <v>giftcodesbanner/Legend of YMIR-禮包碼.jpg</v>
      </c>
      <c r="D262" s="8" t="str">
        <f t="shared" si="10"/>
        <v>https://www.ssbuy.tw/detail_giftcode/dist/giftcodes/Legend of YMIR.html</v>
      </c>
      <c r="E262" s="9" t="str">
        <f>IF(games!I262&lt;&gt;"", games!I262, "")</f>
        <v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v>
      </c>
      <c r="F262" s="12" t="s">
        <v>4516</v>
      </c>
      <c r="G262" s="8" t="s">
        <v>4506</v>
      </c>
      <c r="K262" s="12" t="s">
        <v>4516</v>
      </c>
      <c r="L262" s="8" t="s">
        <v>4506</v>
      </c>
    </row>
    <row r="263" spans="1:31">
      <c r="A263" s="8" t="str">
        <f>IF(games!A263="", "", games!A263)</f>
        <v>Elysia：星空墜落</v>
      </c>
      <c r="C263" s="8" t="str">
        <f t="shared" si="9"/>
        <v>giftcodesbanner/Elysia：星空墜落-禮包碼.jpg</v>
      </c>
      <c r="D263" s="8" t="str">
        <f t="shared" si="10"/>
        <v>https://www.ssbuy.tw/detail_giftcode/dist/giftcodes/Elysia：星空墜落.html</v>
      </c>
      <c r="E263" s="9" t="str">
        <f>IF(games!I263&lt;&gt;"", games!I263, "")</f>
        <v>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v>
      </c>
      <c r="F263" s="12" t="s">
        <v>4516</v>
      </c>
      <c r="G263" s="8" t="s">
        <v>4506</v>
      </c>
      <c r="K263" s="12" t="s">
        <v>4516</v>
      </c>
      <c r="L263" s="8" t="s">
        <v>4506</v>
      </c>
    </row>
    <row r="264" spans="1:31">
      <c r="A264" s="8" t="str">
        <f>IF(games!A264="", "", games!A264)</f>
        <v>合併貓鎮</v>
      </c>
      <c r="C264" s="8" t="str">
        <f t="shared" si="9"/>
        <v>giftcodesbanner/合併貓鎮-禮包碼.jpg</v>
      </c>
      <c r="D264" s="8" t="str">
        <f t="shared" si="10"/>
        <v>https://www.ssbuy.tw/detail_giftcode/dist/giftcodes/合併貓鎮.html</v>
      </c>
      <c r="E264" s="9" t="str">
        <f>IF(games!I264&lt;&gt;"", games!I264, "")</f>
        <v>《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v>
      </c>
      <c r="F264" s="12" t="s">
        <v>4811</v>
      </c>
      <c r="G264" s="8" t="s">
        <v>4810</v>
      </c>
      <c r="K264" s="12" t="s">
        <v>4811</v>
      </c>
      <c r="L264" s="8" t="s">
        <v>4810</v>
      </c>
    </row>
    <row r="265" spans="1:31">
      <c r="A265" s="8" t="str">
        <f>IF(games!A265="", "", games!A265)</f>
        <v>幻牌交鋒</v>
      </c>
      <c r="C265" s="8" t="str">
        <f t="shared" si="9"/>
        <v>giftcodesbanner/幻牌交鋒-禮包碼.jpg</v>
      </c>
      <c r="D265" s="8" t="str">
        <f t="shared" si="10"/>
        <v>https://www.ssbuy.tw/detail_giftcode/dist/giftcodes/幻牌交鋒.html</v>
      </c>
      <c r="E265" s="9" t="str">
        <f>IF(games!I265&lt;&gt;"", games!I265, "")</f>
        <v>《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兌換碼與禮包碼，獲得稀有卡牌與豐富獎勵，讓你贏在起跑點！我們也提供快速安全的代儲值服務，讓你輕鬆獲取心儀的卡牌，迅速打造出最強牌組！</v>
      </c>
      <c r="F265" s="75" t="s">
        <v>4873</v>
      </c>
      <c r="G265" s="8" t="s">
        <v>4874</v>
      </c>
      <c r="H265" s="8" t="s">
        <v>4875</v>
      </c>
      <c r="I265" s="8" t="s">
        <v>4876</v>
      </c>
      <c r="K265" s="12" t="s">
        <v>4871</v>
      </c>
      <c r="L265" s="8" t="s">
        <v>4872</v>
      </c>
      <c r="M265" s="13" t="s">
        <v>4956</v>
      </c>
      <c r="O265" s="13" t="s">
        <v>4957</v>
      </c>
      <c r="Q265" s="13" t="s">
        <v>4958</v>
      </c>
      <c r="S265" s="13" t="s">
        <v>4959</v>
      </c>
      <c r="U265" s="13" t="s">
        <v>4960</v>
      </c>
      <c r="W265" s="13" t="s">
        <v>4961</v>
      </c>
      <c r="Y265" s="13" t="s">
        <v>4962</v>
      </c>
      <c r="AA265" s="13" t="s">
        <v>4963</v>
      </c>
      <c r="AC265" s="13" t="s">
        <v>4964</v>
      </c>
      <c r="AE265" s="13" t="s">
        <v>4965</v>
      </c>
    </row>
    <row r="266" spans="1:31">
      <c r="A266" s="8" t="str">
        <f>IF(games!A266="", "", games!A266)</f>
        <v>激鬥！王國保衛戰</v>
      </c>
      <c r="C266" s="8" t="str">
        <f t="shared" si="9"/>
        <v>giftcodesbanner/激鬥！王國保衛戰-禮包碼.jpg</v>
      </c>
      <c r="D266" s="8" t="str">
        <f t="shared" si="10"/>
        <v>https://www.ssbuy.tw/detail_giftcode/dist/giftcodes/激鬥！王國保衛戰.html</v>
      </c>
      <c r="E266" s="9" t="str">
        <f>IF(games!I266&lt;&gt;"", games!I266, "")</f>
        <v>《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v>
      </c>
      <c r="F266" s="12" t="s">
        <v>4811</v>
      </c>
      <c r="G266" s="8" t="s">
        <v>4810</v>
      </c>
      <c r="K266" s="12" t="s">
        <v>4811</v>
      </c>
      <c r="L266" s="8" t="s">
        <v>4810</v>
      </c>
    </row>
    <row r="267" spans="1:31">
      <c r="A267" s="8" t="str">
        <f>IF(games!A267="", "", games!A267)</f>
        <v>嘟嘟臉惡作劇</v>
      </c>
      <c r="C267" s="8" t="str">
        <f t="shared" si="9"/>
        <v>giftcodesbanner/嘟嘟臉惡作劇-禮包碼.jpg</v>
      </c>
      <c r="D267" s="8" t="str">
        <f t="shared" si="10"/>
        <v>https://www.ssbuy.tw/detail_giftcode/dist/giftcodes/嘟嘟臉惡作劇.html</v>
      </c>
      <c r="E267" s="9" t="str">
        <f>IF(games!I267&lt;&gt;"", games!I267, "")</f>
        <v>《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v>
      </c>
      <c r="F267" s="12" t="s">
        <v>4906</v>
      </c>
      <c r="G267" s="8" t="s">
        <v>4907</v>
      </c>
      <c r="H267" s="8" t="s">
        <v>4908</v>
      </c>
      <c r="I267" s="8" t="s">
        <v>4909</v>
      </c>
      <c r="J267" s="8" t="s">
        <v>4910</v>
      </c>
      <c r="K267" s="12" t="s">
        <v>4898</v>
      </c>
      <c r="L267" s="8" t="s">
        <v>4911</v>
      </c>
      <c r="M267" s="13" t="s">
        <v>4899</v>
      </c>
      <c r="N267" s="8" t="s">
        <v>4912</v>
      </c>
      <c r="O267" s="13" t="s">
        <v>4900</v>
      </c>
      <c r="P267" s="8" t="s">
        <v>4913</v>
      </c>
      <c r="Q267" s="13" t="s">
        <v>4901</v>
      </c>
      <c r="R267" s="8" t="s">
        <v>4914</v>
      </c>
      <c r="S267" s="13" t="s">
        <v>4902</v>
      </c>
      <c r="T267" s="8" t="s">
        <v>4915</v>
      </c>
      <c r="U267" s="13" t="s">
        <v>4903</v>
      </c>
      <c r="V267" s="8" t="s">
        <v>4916</v>
      </c>
      <c r="W267" s="13" t="s">
        <v>4904</v>
      </c>
      <c r="X267" s="8" t="s">
        <v>4916</v>
      </c>
      <c r="Y267" s="13" t="s">
        <v>4905</v>
      </c>
      <c r="Z267" s="8" t="s">
        <v>4916</v>
      </c>
    </row>
    <row r="268" spans="1:31">
      <c r="A268" s="8" t="str">
        <f>IF(games!A268="", "", games!A268)</f>
        <v>我的花園世界</v>
      </c>
      <c r="C268" s="8" t="str">
        <f t="shared" si="9"/>
        <v>giftcodesbanner/我的花園世界-禮包碼.jpg</v>
      </c>
      <c r="D268" s="8" t="str">
        <f t="shared" ref="D268" si="11">IF(A268="","", "https://www.ssbuy.tw/gift-codes.html?game="&amp;A268)</f>
        <v>https://www.ssbuy.tw/gift-codes.html?game=我的花園世界</v>
      </c>
      <c r="E268" s="9" t="str">
        <f>IF(games!I268&lt;&gt;"", games!I268, "")</f>
        <v>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v>
      </c>
      <c r="F268" s="12" t="s">
        <v>5040</v>
      </c>
      <c r="G268" s="8" t="s">
        <v>5041</v>
      </c>
      <c r="H268" s="8" t="s">
        <v>2625</v>
      </c>
      <c r="I268" s="8" t="s">
        <v>4360</v>
      </c>
      <c r="K268" s="12" t="s">
        <v>4869</v>
      </c>
      <c r="L268" s="8" t="s">
        <v>4870</v>
      </c>
      <c r="M268" s="13" t="s">
        <v>4881</v>
      </c>
      <c r="N268" s="8" t="s">
        <v>4885</v>
      </c>
      <c r="O268" s="13" t="s">
        <v>4882</v>
      </c>
      <c r="P268" s="8" t="s">
        <v>4886</v>
      </c>
      <c r="Q268" s="13" t="s">
        <v>4883</v>
      </c>
      <c r="R268" s="8" t="s">
        <v>4887</v>
      </c>
      <c r="S268" s="13" t="s">
        <v>4884</v>
      </c>
      <c r="T268" s="8" t="s">
        <v>4888</v>
      </c>
    </row>
    <row r="269" spans="1:31">
      <c r="A269" s="8" t="str">
        <f>IF(games!A269="", "", games!A269)</f>
        <v>Awakenloop</v>
      </c>
      <c r="C269" s="8" t="str">
        <f t="shared" ref="C269:C312" si="12">IF(A269="","", "giftcodesbanner/" &amp; A269 &amp; "-禮包碼.jpg")</f>
        <v>giftcodesbanner/Awakenloop-禮包碼.jpg</v>
      </c>
      <c r="D269" s="8" t="str">
        <f t="shared" ref="D269:D312" si="13">IF(A269="","", "https://www.ssbuy.tw/gift-codes.html?game="&amp;A269)</f>
        <v>https://www.ssbuy.tw/gift-codes.html?game=Awakenloop</v>
      </c>
      <c r="E269" s="9" t="str">
        <f>IF(games!I269&lt;&gt;"", games!I269, "")</f>
        <v>《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v>
      </c>
      <c r="F269" s="12" t="s">
        <v>5209</v>
      </c>
      <c r="G269" s="8" t="s">
        <v>5210</v>
      </c>
      <c r="H269" s="8" t="s">
        <v>2625</v>
      </c>
      <c r="I269" s="8" t="s">
        <v>4360</v>
      </c>
      <c r="K269" s="12" t="s">
        <v>5205</v>
      </c>
      <c r="L269" s="8" t="s">
        <v>5208</v>
      </c>
      <c r="M269" s="13" t="s">
        <v>5206</v>
      </c>
      <c r="N269" s="8" t="s">
        <v>5207</v>
      </c>
    </row>
    <row r="270" spans="1:31">
      <c r="A270" s="8" t="str">
        <f>IF(games!A270="", "", games!A270)</f>
        <v>Astellia</v>
      </c>
      <c r="C270" s="8" t="str">
        <f t="shared" si="12"/>
        <v>giftcodesbanner/Astellia-禮包碼.jpg</v>
      </c>
      <c r="D270" s="8" t="str">
        <f t="shared" si="13"/>
        <v>https://www.ssbuy.tw/gift-codes.html?game=Astellia</v>
      </c>
      <c r="E270" s="9" t="str">
        <f>IF(games!I270&lt;&gt;"", games!I270, "")</f>
        <v>《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v>
      </c>
      <c r="F270" s="12" t="s">
        <v>4811</v>
      </c>
      <c r="G270" s="8" t="s">
        <v>4810</v>
      </c>
      <c r="K270" s="12" t="s">
        <v>4811</v>
      </c>
      <c r="L270" s="8" t="s">
        <v>4810</v>
      </c>
    </row>
    <row r="271" spans="1:31">
      <c r="A271" s="8" t="str">
        <f>IF(games!A271="", "", games!A271)</f>
        <v>華夏千秋</v>
      </c>
      <c r="C271" s="8" t="str">
        <f t="shared" si="12"/>
        <v>giftcodesbanner/華夏千秋-禮包碼.jpg</v>
      </c>
      <c r="D271" s="8" t="str">
        <f t="shared" si="13"/>
        <v>https://www.ssbuy.tw/gift-codes.html?game=華夏千秋</v>
      </c>
      <c r="E271" s="9" t="str">
        <f>IF(games!I271&lt;&gt;"", games!I271, "")</f>
        <v>《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v>
      </c>
      <c r="F271" s="12" t="s">
        <v>4811</v>
      </c>
      <c r="G271" s="8" t="s">
        <v>4810</v>
      </c>
      <c r="K271" s="12" t="s">
        <v>4811</v>
      </c>
      <c r="L271" s="8" t="s">
        <v>4810</v>
      </c>
    </row>
    <row r="272" spans="1:31">
      <c r="A272" s="8" t="str">
        <f>IF(games!A272="", "", games!A272)</f>
        <v>萌塔娘</v>
      </c>
      <c r="C272" s="8" t="str">
        <f t="shared" si="12"/>
        <v>giftcodesbanner/萌塔娘-禮包碼.jpg</v>
      </c>
      <c r="D272" s="8" t="str">
        <f t="shared" si="13"/>
        <v>https://www.ssbuy.tw/gift-codes.html?game=萌塔娘</v>
      </c>
      <c r="E272" s="9" t="str">
        <f>IF(games!I272&lt;&gt;"", games!I272, "")</f>
        <v>《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v>
      </c>
      <c r="F272" s="12" t="s">
        <v>5050</v>
      </c>
      <c r="G272" s="8" t="s">
        <v>5067</v>
      </c>
      <c r="H272" s="8" t="s">
        <v>2625</v>
      </c>
      <c r="I272" s="8" t="s">
        <v>4360</v>
      </c>
      <c r="K272" s="12" t="s">
        <v>5048</v>
      </c>
      <c r="L272" s="8" t="s">
        <v>5049</v>
      </c>
    </row>
    <row r="273" spans="1:30">
      <c r="A273" s="8" t="str">
        <f>IF(games!A273="", "", games!A273)</f>
        <v>盜夢英雄2：幻野</v>
      </c>
      <c r="C273" s="8" t="str">
        <f t="shared" si="12"/>
        <v>giftcodesbanner/盜夢英雄2：幻野-禮包碼.jpg</v>
      </c>
      <c r="D273" s="8" t="str">
        <f t="shared" si="13"/>
        <v>https://www.ssbuy.tw/gift-codes.html?game=盜夢英雄2：幻野</v>
      </c>
      <c r="E273" s="9" t="str">
        <f>IF(games!I273&lt;&gt;"", games!I273, "")</f>
        <v>《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v>
      </c>
      <c r="F273" s="8" t="s">
        <v>5062</v>
      </c>
      <c r="G273" s="8" t="s">
        <v>2625</v>
      </c>
      <c r="H273" s="8" t="s">
        <v>4360</v>
      </c>
      <c r="K273" s="12" t="s">
        <v>5042</v>
      </c>
      <c r="L273" s="8" t="s">
        <v>5060</v>
      </c>
      <c r="M273" s="13" t="s">
        <v>5043</v>
      </c>
      <c r="N273" s="8" t="s">
        <v>5061</v>
      </c>
      <c r="O273" s="13" t="s">
        <v>5044</v>
      </c>
      <c r="P273" s="8" t="s">
        <v>5063</v>
      </c>
      <c r="Q273" s="13" t="s">
        <v>5045</v>
      </c>
      <c r="R273" s="8" t="s">
        <v>5064</v>
      </c>
      <c r="S273" s="13" t="s">
        <v>5046</v>
      </c>
      <c r="T273" s="8" t="s">
        <v>5065</v>
      </c>
      <c r="U273" s="13" t="s">
        <v>5047</v>
      </c>
      <c r="V273" s="8" t="s">
        <v>5066</v>
      </c>
      <c r="W273" s="13" t="s">
        <v>5216</v>
      </c>
      <c r="X273" s="8" t="s">
        <v>5220</v>
      </c>
      <c r="Y273" s="13" t="s">
        <v>5217</v>
      </c>
      <c r="Z273" s="8" t="s">
        <v>5221</v>
      </c>
      <c r="AA273" s="13" t="s">
        <v>5218</v>
      </c>
      <c r="AB273" s="8" t="s">
        <v>5222</v>
      </c>
      <c r="AC273" s="13" t="s">
        <v>5219</v>
      </c>
      <c r="AD273" s="8" t="s">
        <v>5223</v>
      </c>
    </row>
    <row r="274" spans="1:30">
      <c r="A274" s="8" t="str">
        <f>IF(games!A274="", "", games!A274)</f>
        <v>貪婪洞窟：重生</v>
      </c>
      <c r="C274" s="8" t="str">
        <f t="shared" si="12"/>
        <v>giftcodesbanner/貪婪洞窟：重生-禮包碼.jpg</v>
      </c>
      <c r="D274" s="8" t="str">
        <f t="shared" si="13"/>
        <v>https://www.ssbuy.tw/gift-codes.html?game=貪婪洞窟：重生</v>
      </c>
      <c r="E274" s="9" t="str">
        <f>IF(games!I274&lt;&gt;"", games!I274, "")</f>
        <v>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v>
      </c>
      <c r="F274" s="29" t="s">
        <v>4994</v>
      </c>
      <c r="G274" s="8" t="s">
        <v>4995</v>
      </c>
      <c r="H274" s="8" t="s">
        <v>2625</v>
      </c>
      <c r="I274" s="8" t="s">
        <v>4360</v>
      </c>
      <c r="K274" s="12" t="s">
        <v>4996</v>
      </c>
      <c r="L274" s="8" t="s">
        <v>4997</v>
      </c>
      <c r="M274" s="13" t="s">
        <v>4998</v>
      </c>
      <c r="N274" s="8" t="s">
        <v>4999</v>
      </c>
      <c r="O274" s="13" t="s">
        <v>5000</v>
      </c>
      <c r="P274" s="8" t="s">
        <v>5001</v>
      </c>
    </row>
    <row r="275" spans="1:30">
      <c r="A275" s="8" t="str">
        <f>IF(games!A275="", "", games!A275)</f>
        <v>小兵特攻隊</v>
      </c>
      <c r="C275" s="8" t="str">
        <f t="shared" si="12"/>
        <v>giftcodesbanner/小兵特攻隊-禮包碼.jpg</v>
      </c>
      <c r="D275" s="8" t="str">
        <f t="shared" si="13"/>
        <v>https://www.ssbuy.tw/gift-codes.html?game=小兵特攻隊</v>
      </c>
      <c r="E275" s="9" t="str">
        <f>IF(games!I275&lt;&gt;"", games!I275, "")</f>
        <v>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v>
      </c>
      <c r="F275" s="29" t="s">
        <v>5036</v>
      </c>
      <c r="G275" s="8" t="s">
        <v>5037</v>
      </c>
      <c r="H275" s="8" t="s">
        <v>5038</v>
      </c>
      <c r="I275" s="8" t="s">
        <v>2625</v>
      </c>
      <c r="J275" s="8" t="s">
        <v>5039</v>
      </c>
      <c r="K275" s="13" t="s">
        <v>5034</v>
      </c>
      <c r="L275" s="8" t="s">
        <v>5035</v>
      </c>
      <c r="M275" s="13" t="s">
        <v>5052</v>
      </c>
      <c r="N275" s="8" t="s">
        <v>5053</v>
      </c>
      <c r="O275" s="13" t="s">
        <v>5113</v>
      </c>
      <c r="Q275" s="13" t="s">
        <v>5114</v>
      </c>
      <c r="S275" s="13" t="s">
        <v>5115</v>
      </c>
      <c r="U275" s="13" t="s">
        <v>2056</v>
      </c>
      <c r="W275" s="13" t="s">
        <v>4560</v>
      </c>
      <c r="Y275" s="13" t="s">
        <v>5116</v>
      </c>
    </row>
    <row r="276" spans="1:30">
      <c r="A276" s="8" t="str">
        <f>IF(games!A276="", "", games!A276)</f>
        <v>星塔旅人</v>
      </c>
      <c r="C276" s="8" t="str">
        <f t="shared" si="12"/>
        <v>giftcodesbanner/星塔旅人-禮包碼.jpg</v>
      </c>
      <c r="D276" s="8" t="str">
        <f t="shared" si="13"/>
        <v>https://www.ssbuy.tw/gift-codes.html?game=星塔旅人</v>
      </c>
      <c r="E276" s="9" t="str">
        <f>IF(games!I276&lt;&gt;"", games!I276, "")</f>
        <v>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v>
      </c>
      <c r="F276" s="75" t="s">
        <v>5121</v>
      </c>
      <c r="G276" s="8" t="s">
        <v>5122</v>
      </c>
      <c r="H276" s="8" t="s">
        <v>5123</v>
      </c>
      <c r="I276" s="8" t="s">
        <v>5124</v>
      </c>
      <c r="K276" s="12" t="s">
        <v>5117</v>
      </c>
      <c r="L276" s="8" t="s">
        <v>5119</v>
      </c>
      <c r="M276" s="13" t="s">
        <v>5118</v>
      </c>
      <c r="N276" s="8" t="s">
        <v>5120</v>
      </c>
    </row>
    <row r="277" spans="1:30">
      <c r="A277" s="8" t="str">
        <f>IF(games!A277="", "", games!A277)</f>
        <v>卡厄斯夢境</v>
      </c>
      <c r="C277" s="8" t="str">
        <f t="shared" si="12"/>
        <v>giftcodesbanner/卡厄斯夢境-禮包碼.jpg</v>
      </c>
      <c r="D277" s="8" t="str">
        <f t="shared" si="13"/>
        <v>https://www.ssbuy.tw/gift-codes.html?game=卡厄斯夢境</v>
      </c>
      <c r="E277" s="9" t="str">
        <f>IF(games!I277&lt;&gt;"", games!I277, "")</f>
        <v>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v>
      </c>
      <c r="F277" s="12" t="s">
        <v>5091</v>
      </c>
      <c r="G277" s="8" t="s">
        <v>5092</v>
      </c>
      <c r="H277" s="8" t="s">
        <v>2625</v>
      </c>
      <c r="I277" s="8" t="s">
        <v>4360</v>
      </c>
      <c r="K277" s="12" t="s">
        <v>4811</v>
      </c>
      <c r="L277" s="8" t="s">
        <v>4810</v>
      </c>
    </row>
    <row r="278" spans="1:30">
      <c r="A278" s="8" t="str">
        <f>IF(games!A278="", "", games!A278)</f>
        <v>星痕共鳴</v>
      </c>
      <c r="C278" s="8" t="str">
        <f t="shared" si="12"/>
        <v>giftcodesbanner/星痕共鳴-禮包碼.jpg</v>
      </c>
      <c r="D278" s="8" t="str">
        <f t="shared" si="13"/>
        <v>https://www.ssbuy.tw/gift-codes.html?game=星痕共鳴</v>
      </c>
      <c r="E278" s="9" t="str">
        <f>IF(games!I278&lt;&gt;"", games!I278, "")</f>
        <v>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v>
      </c>
      <c r="F278" s="12" t="s">
        <v>4811</v>
      </c>
      <c r="G278" s="8" t="s">
        <v>4810</v>
      </c>
      <c r="K278" s="12" t="s">
        <v>4811</v>
      </c>
      <c r="L278" s="8" t="s">
        <v>4810</v>
      </c>
    </row>
    <row r="279" spans="1:30">
      <c r="A279" s="8" t="str">
        <f>IF(games!A279="", "", games!A279)</f>
        <v>二重螺旋</v>
      </c>
      <c r="C279" s="8" t="str">
        <f t="shared" si="12"/>
        <v>giftcodesbanner/二重螺旋-禮包碼.jpg</v>
      </c>
      <c r="D279" s="8" t="str">
        <f t="shared" si="13"/>
        <v>https://www.ssbuy.tw/gift-codes.html?game=二重螺旋</v>
      </c>
      <c r="E279" s="9" t="str">
        <f>IF(games!I279&lt;&gt;"", games!I279, "")</f>
        <v>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v>
      </c>
      <c r="F279" s="12" t="s">
        <v>4811</v>
      </c>
      <c r="G279" s="8" t="s">
        <v>4810</v>
      </c>
      <c r="K279" s="12" t="s">
        <v>4811</v>
      </c>
      <c r="L279" s="8" t="s">
        <v>4810</v>
      </c>
    </row>
    <row r="280" spans="1:30">
      <c r="A280" s="8" t="str">
        <f>IF(games!A280="", "", games!A280)</f>
        <v>電馭跑酷</v>
      </c>
      <c r="C280" s="8" t="str">
        <f t="shared" si="12"/>
        <v>giftcodesbanner/電馭跑酷-禮包碼.jpg</v>
      </c>
      <c r="D280" s="8" t="str">
        <f t="shared" si="13"/>
        <v>https://www.ssbuy.tw/gift-codes.html?game=電馭跑酷</v>
      </c>
      <c r="E280" s="9" t="str">
        <f>IF(games!I280&lt;&gt;"", games!I280, "")</f>
        <v>《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v>
      </c>
      <c r="F280" s="12" t="s">
        <v>4811</v>
      </c>
      <c r="G280" s="8" t="s">
        <v>4810</v>
      </c>
      <c r="K280" s="12" t="s">
        <v>4811</v>
      </c>
      <c r="L280" s="8" t="s">
        <v>4810</v>
      </c>
    </row>
    <row r="281" spans="1:30">
      <c r="A281" s="8" t="str">
        <f>IF(games!A281="", "", games!A281)</f>
        <v>火焰紋章Shadows</v>
      </c>
      <c r="C281" s="8" t="str">
        <f t="shared" si="12"/>
        <v>giftcodesbanner/火焰紋章Shadows-禮包碼.jpg</v>
      </c>
      <c r="D281" s="8" t="str">
        <f t="shared" si="13"/>
        <v>https://www.ssbuy.tw/gift-codes.html?game=火焰紋章Shadows</v>
      </c>
      <c r="E281" s="9" t="str">
        <f>IF(games!I281&lt;&gt;"", games!I281, "")</f>
        <v>《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v>
      </c>
      <c r="F281" s="12" t="s">
        <v>4811</v>
      </c>
      <c r="G281" s="8" t="s">
        <v>4810</v>
      </c>
      <c r="K281" s="12" t="s">
        <v>4811</v>
      </c>
      <c r="L281" s="8" t="s">
        <v>4810</v>
      </c>
    </row>
    <row r="282" spans="1:30">
      <c r="A282" s="8" t="str">
        <f>IF(games!A282="", "", games!A282)</f>
        <v>石器時代：寵物世界</v>
      </c>
      <c r="C282" s="8" t="str">
        <f t="shared" si="12"/>
        <v>giftcodesbanner/石器時代：寵物世界-禮包碼.jpg</v>
      </c>
      <c r="D282" s="8" t="str">
        <f t="shared" si="13"/>
        <v>https://www.ssbuy.tw/gift-codes.html?game=石器時代：寵物世界</v>
      </c>
      <c r="E282" s="9" t="str">
        <f>IF(games!I282&lt;&gt;"", games!I282, "")</f>
        <v>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v>
      </c>
      <c r="F282" s="12" t="s">
        <v>4809</v>
      </c>
      <c r="G282" s="8" t="s">
        <v>4809</v>
      </c>
      <c r="K282" s="12" t="s">
        <v>4809</v>
      </c>
      <c r="L282" s="8" t="s">
        <v>4809</v>
      </c>
    </row>
    <row r="283" spans="1:30">
      <c r="A283" s="8" t="str">
        <f>IF(games!A283="", "", games!A283)</f>
        <v>蔚藍星球：國王很忙</v>
      </c>
      <c r="C283" s="8" t="str">
        <f t="shared" si="12"/>
        <v>giftcodesbanner/蔚藍星球：國王很忙-禮包碼.jpg</v>
      </c>
      <c r="D283" s="8" t="str">
        <f t="shared" si="13"/>
        <v>https://www.ssbuy.tw/gift-codes.html?game=蔚藍星球：國王很忙</v>
      </c>
      <c r="E283" s="9" t="str">
        <f>IF(games!I283&lt;&gt;"", games!I283, "")</f>
        <v>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v>
      </c>
      <c r="F283" s="12" t="s">
        <v>4809</v>
      </c>
      <c r="G283" s="8" t="s">
        <v>4809</v>
      </c>
      <c r="K283" s="12" t="s">
        <v>4809</v>
      </c>
      <c r="L283" s="8" t="s">
        <v>4809</v>
      </c>
    </row>
    <row r="284" spans="1:30">
      <c r="A284" s="8" t="str">
        <f>IF(games!A284="", "", games!A284)</f>
        <v>胸懷三國：美人計</v>
      </c>
      <c r="C284" s="8" t="str">
        <f t="shared" si="12"/>
        <v>giftcodesbanner/胸懷三國：美人計-禮包碼.jpg</v>
      </c>
      <c r="D284" s="8" t="str">
        <f t="shared" si="13"/>
        <v>https://www.ssbuy.tw/gift-codes.html?game=胸懷三國：美人計</v>
      </c>
      <c r="E284" s="9" t="str">
        <f>IF(games!I284&lt;&gt;"", games!I284, "")</f>
        <v>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v>
      </c>
      <c r="F284" s="12" t="s">
        <v>5211</v>
      </c>
      <c r="G284" s="8" t="s">
        <v>5214</v>
      </c>
      <c r="H284" s="8" t="s">
        <v>5215</v>
      </c>
      <c r="K284" s="12" t="s">
        <v>5213</v>
      </c>
      <c r="L284" s="8" t="s">
        <v>5212</v>
      </c>
    </row>
    <row r="285" spans="1:30">
      <c r="A285" s="8" t="str">
        <f>IF(games!A285="", "", games!A285)</f>
        <v>弓箭英雄：塔防</v>
      </c>
      <c r="C285" s="8" t="str">
        <f t="shared" si="12"/>
        <v>giftcodesbanner/弓箭英雄：塔防-禮包碼.jpg</v>
      </c>
      <c r="D285" s="8" t="str">
        <f t="shared" si="13"/>
        <v>https://www.ssbuy.tw/gift-codes.html?game=弓箭英雄：塔防</v>
      </c>
      <c r="E285" s="9" t="str">
        <f>IF(games!I285&lt;&gt;"", games!I285, "")</f>
        <v>準備好你的弓箭，面對排山倒海的敵人了嗎？《弓箭英雄：塔防》是一款結合了塔防策略與Roguelite元素的超休閒遊戲。你將扮演一名孤獨的弓箭手，必須利用地形和不斷升級的技能，抵禦一波又一波的怪物入侵。遊戲的畫風簡潔明瞭，但戰鬥的刺激感可一點都沒少。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v>
      </c>
    </row>
    <row r="286" spans="1:30">
      <c r="A286" s="8" t="str">
        <f>IF(games!A286="", "", games!A286)</f>
        <v>十二之天M</v>
      </c>
      <c r="C286" s="8" t="str">
        <f t="shared" si="12"/>
        <v>giftcodesbanner/十二之天M-禮包碼.jpg</v>
      </c>
      <c r="D286" s="8" t="str">
        <f t="shared" si="13"/>
        <v>https://www.ssbuy.tw/gift-codes.html?game=十二之天M</v>
      </c>
      <c r="E286" s="9" t="str">
        <f>IF(games!I286&lt;&gt;"", games!I286, "")</f>
        <v>十二之天M Reborn》誓言找回當年的感動，讓玩家重溫三大勢力（神劍門、逍遙派、夢魘聖教）的激情對決。這款遊戲主打的就是一個原汁原味，熟悉的場景、懷舊的BGM，以及那令人又愛又恨的勢力戰。準備好再次投身這場無盡的江湖恩怨了嗎？老玩家們都知道，想在勢力戰中脫穎而出，光靠情懷可不夠。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v>
      </c>
    </row>
    <row r="287" spans="1:30">
      <c r="A287" s="8" t="str">
        <f>IF(games!A287="", "", games!A287)</f>
        <v>NBA巔峰對決</v>
      </c>
      <c r="C287" s="8" t="str">
        <f t="shared" si="12"/>
        <v>giftcodesbanner/NBA巔峰對決-禮包碼.jpg</v>
      </c>
      <c r="D287" s="8" t="str">
        <f t="shared" si="13"/>
        <v>https://www.ssbuy.tw/gift-codes.html?game=NBA巔峰對決</v>
      </c>
      <c r="E287" s="9" t="str">
        <f>IF(games!I287&lt;&gt;"", games!I287, "")</f>
        <v>籃球粉注意！正版授權的《NBA巔峰對決》終於來了。這款主打真人PVP的籃球手遊，讓你能操控喜愛的NBA球星，在球場上來一場快節奏的3v3、5v5，甚至1v1單挑。遊戲強調操作手感與球星的專屬技能，想秀一波高難度灌籃或致命三分球？全看你的技術。但說真的，想在天梯上爬分，光有技術還不夠，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v>
      </c>
    </row>
    <row r="288" spans="1:30">
      <c r="A288" s="8" t="str">
        <f>IF(games!A288="", "", games!A288)</f>
        <v>三國志：王戰</v>
      </c>
      <c r="C288" s="8" t="str">
        <f t="shared" si="12"/>
        <v>giftcodesbanner/三國志：王戰-禮包碼.jpg</v>
      </c>
      <c r="D288" s="8" t="str">
        <f t="shared" si="13"/>
        <v>https://www.ssbuy.tw/gift-codes.html?game=三國志：王戰</v>
      </c>
      <c r="E288" s="9" t="str">
        <f>IF(games!I288&lt;&gt;"", games!I288, "")</f>
        <v>又一款三國策略遊戲？先別急著滑掉！《三國志：王戰》是一款主打快節奏的SLG手遊，標榜著15天一賽季的急速征戰。在這裡，你不用再苦苦熬夜農地、屯兵，而是要把握黃金時間，快速發展內政、招募名將，與盟友一同攻城掠地。遊戲強調即時戰略操作，微操走位、技能施放時機都可能逆轉戰局。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v>
      </c>
    </row>
    <row r="289" spans="1:5">
      <c r="A289" s="8" t="str">
        <f>IF(games!A289="", "", games!A289)</f>
        <v/>
      </c>
      <c r="C289" s="8" t="str">
        <f t="shared" si="12"/>
        <v/>
      </c>
      <c r="D289" s="8" t="str">
        <f t="shared" si="13"/>
        <v/>
      </c>
      <c r="E289" s="9" t="str">
        <f>IF(games!I289&lt;&gt;"", games!I289, "")</f>
        <v/>
      </c>
    </row>
    <row r="290" spans="1:5">
      <c r="A290" s="8" t="str">
        <f>IF(games!A290="", "", games!A290)</f>
        <v/>
      </c>
      <c r="C290" s="8" t="str">
        <f t="shared" si="12"/>
        <v/>
      </c>
      <c r="D290" s="8" t="str">
        <f t="shared" si="13"/>
        <v/>
      </c>
      <c r="E290" s="9" t="str">
        <f>IF(games!I290&lt;&gt;"", games!I290, "")</f>
        <v/>
      </c>
    </row>
    <row r="291" spans="1:5">
      <c r="A291" s="8" t="str">
        <f>IF(games!A291="", "", games!A291)</f>
        <v/>
      </c>
      <c r="C291" s="8" t="str">
        <f t="shared" si="12"/>
        <v/>
      </c>
      <c r="D291" s="8" t="str">
        <f t="shared" si="13"/>
        <v/>
      </c>
      <c r="E291" s="9" t="str">
        <f>IF(games!I291&lt;&gt;"", games!I291, "")</f>
        <v/>
      </c>
    </row>
    <row r="292" spans="1:5">
      <c r="A292" s="8" t="str">
        <f>IF(games!A292="", "", games!A292)</f>
        <v/>
      </c>
      <c r="C292" s="8" t="str">
        <f t="shared" si="12"/>
        <v/>
      </c>
      <c r="D292" s="8" t="str">
        <f t="shared" si="13"/>
        <v/>
      </c>
      <c r="E292" s="9" t="str">
        <f>IF(games!I292&lt;&gt;"", games!I292, "")</f>
        <v/>
      </c>
    </row>
    <row r="293" spans="1:5">
      <c r="A293" s="8" t="str">
        <f>IF(games!A293="", "", games!A293)</f>
        <v/>
      </c>
      <c r="C293" s="8" t="str">
        <f t="shared" si="12"/>
        <v/>
      </c>
      <c r="D293" s="8" t="str">
        <f t="shared" si="13"/>
        <v/>
      </c>
      <c r="E293" s="9" t="str">
        <f>IF(games!I293&lt;&gt;"", games!I293, "")</f>
        <v/>
      </c>
    </row>
    <row r="294" spans="1:5">
      <c r="A294" s="8" t="str">
        <f>IF(games!A294="", "", games!A294)</f>
        <v/>
      </c>
      <c r="C294" s="8" t="str">
        <f t="shared" si="12"/>
        <v/>
      </c>
      <c r="D294" s="8" t="str">
        <f t="shared" si="13"/>
        <v/>
      </c>
      <c r="E294" s="9" t="str">
        <f>IF(games!I294&lt;&gt;"", games!I294, "")</f>
        <v/>
      </c>
    </row>
    <row r="295" spans="1:5">
      <c r="A295" s="8" t="str">
        <f>IF(games!A295="", "", games!A295)</f>
        <v/>
      </c>
      <c r="C295" s="8" t="str">
        <f t="shared" si="12"/>
        <v/>
      </c>
      <c r="D295" s="8" t="str">
        <f t="shared" si="13"/>
        <v/>
      </c>
      <c r="E295" s="9" t="str">
        <f>IF(games!I295&lt;&gt;"", games!I295, "")</f>
        <v/>
      </c>
    </row>
    <row r="296" spans="1:5">
      <c r="A296" s="8" t="str">
        <f>IF(games!A296="", "", games!A296)</f>
        <v/>
      </c>
      <c r="C296" s="8" t="str">
        <f t="shared" si="12"/>
        <v/>
      </c>
      <c r="D296" s="8" t="str">
        <f t="shared" si="13"/>
        <v/>
      </c>
      <c r="E296" s="9" t="str">
        <f>IF(games!I296&lt;&gt;"", games!I296, "")</f>
        <v/>
      </c>
    </row>
    <row r="297" spans="1:5">
      <c r="A297" s="8" t="str">
        <f>IF(games!A297="", "", games!A297)</f>
        <v/>
      </c>
      <c r="C297" s="8" t="str">
        <f t="shared" si="12"/>
        <v/>
      </c>
      <c r="D297" s="8" t="str">
        <f t="shared" si="13"/>
        <v/>
      </c>
      <c r="E297" s="9" t="str">
        <f>IF(games!I297&lt;&gt;"", games!I297, "")</f>
        <v/>
      </c>
    </row>
    <row r="298" spans="1:5">
      <c r="A298" s="8" t="str">
        <f>IF(games!A298="", "", games!A298)</f>
        <v/>
      </c>
      <c r="C298" s="8" t="str">
        <f t="shared" si="12"/>
        <v/>
      </c>
      <c r="D298" s="8" t="str">
        <f t="shared" si="13"/>
        <v/>
      </c>
      <c r="E298" s="9" t="str">
        <f>IF(games!I298&lt;&gt;"", games!I298, "")</f>
        <v/>
      </c>
    </row>
    <row r="299" spans="1:5">
      <c r="A299" s="8" t="str">
        <f>IF(games!A299="", "", games!A299)</f>
        <v/>
      </c>
      <c r="C299" s="8" t="str">
        <f t="shared" si="12"/>
        <v/>
      </c>
      <c r="D299" s="8" t="str">
        <f t="shared" si="13"/>
        <v/>
      </c>
      <c r="E299" s="9" t="str">
        <f>IF(games!I299&lt;&gt;"", games!I299, "")</f>
        <v/>
      </c>
    </row>
    <row r="300" spans="1:5">
      <c r="A300" s="8" t="str">
        <f>IF(games!A300="", "", games!A300)</f>
        <v/>
      </c>
      <c r="C300" s="8" t="str">
        <f t="shared" si="12"/>
        <v/>
      </c>
      <c r="D300" s="8" t="str">
        <f t="shared" si="13"/>
        <v/>
      </c>
      <c r="E300" s="9" t="str">
        <f>IF(games!I300&lt;&gt;"", games!I300, "")</f>
        <v/>
      </c>
    </row>
    <row r="301" spans="1:5">
      <c r="A301" s="8" t="str">
        <f>IF(games!A301="", "", games!A301)</f>
        <v/>
      </c>
      <c r="C301" s="8" t="str">
        <f t="shared" si="12"/>
        <v/>
      </c>
      <c r="D301" s="8" t="str">
        <f t="shared" si="13"/>
        <v/>
      </c>
      <c r="E301" s="9" t="str">
        <f>IF(games!I301&lt;&gt;"", games!I301, "")</f>
        <v/>
      </c>
    </row>
    <row r="302" spans="1:5">
      <c r="A302" s="8" t="str">
        <f>IF(games!A302="", "", games!A302)</f>
        <v/>
      </c>
      <c r="C302" s="8" t="str">
        <f t="shared" si="12"/>
        <v/>
      </c>
      <c r="D302" s="8" t="str">
        <f t="shared" si="13"/>
        <v/>
      </c>
      <c r="E302" s="9" t="str">
        <f>IF(games!I302&lt;&gt;"", games!I302, "")</f>
        <v/>
      </c>
    </row>
    <row r="303" spans="1:5">
      <c r="A303" s="8" t="str">
        <f>IF(games!A303="", "", games!A303)</f>
        <v/>
      </c>
      <c r="C303" s="8" t="str">
        <f t="shared" si="12"/>
        <v/>
      </c>
      <c r="D303" s="8" t="str">
        <f t="shared" si="13"/>
        <v/>
      </c>
      <c r="E303" s="9" t="str">
        <f>IF(games!I303&lt;&gt;"", games!I303, "")</f>
        <v/>
      </c>
    </row>
    <row r="304" spans="1:5">
      <c r="C304" s="8" t="str">
        <f t="shared" si="12"/>
        <v/>
      </c>
      <c r="D304" s="8" t="str">
        <f t="shared" si="13"/>
        <v/>
      </c>
      <c r="E304" s="9" t="str">
        <f>IF(games!I304&lt;&gt;"", games!I304, "")</f>
        <v/>
      </c>
    </row>
    <row r="305" spans="3:5">
      <c r="C305" s="8" t="str">
        <f t="shared" si="12"/>
        <v/>
      </c>
      <c r="D305" s="8" t="str">
        <f t="shared" si="13"/>
        <v/>
      </c>
      <c r="E305" s="9" t="str">
        <f>IF(games!I305&lt;&gt;"", games!I305, "")</f>
        <v/>
      </c>
    </row>
    <row r="306" spans="3:5">
      <c r="C306" s="8" t="str">
        <f t="shared" si="12"/>
        <v/>
      </c>
      <c r="D306" s="8" t="str">
        <f t="shared" si="13"/>
        <v/>
      </c>
      <c r="E306" s="9" t="str">
        <f>IF(games!I306&lt;&gt;"", games!I306, "")</f>
        <v/>
      </c>
    </row>
    <row r="307" spans="3:5">
      <c r="C307" s="8" t="str">
        <f t="shared" si="12"/>
        <v/>
      </c>
      <c r="D307" s="8" t="str">
        <f t="shared" si="13"/>
        <v/>
      </c>
      <c r="E307" s="9" t="str">
        <f>IF(games!I307&lt;&gt;"", games!I307, "")</f>
        <v/>
      </c>
    </row>
    <row r="308" spans="3:5">
      <c r="C308" s="8" t="str">
        <f t="shared" si="12"/>
        <v/>
      </c>
      <c r="D308" s="8" t="str">
        <f t="shared" si="13"/>
        <v/>
      </c>
      <c r="E308" s="9" t="str">
        <f>IF(games!I308&lt;&gt;"", games!I308, "")</f>
        <v/>
      </c>
    </row>
    <row r="309" spans="3:5">
      <c r="C309" s="8" t="str">
        <f t="shared" si="12"/>
        <v/>
      </c>
      <c r="D309" s="8" t="str">
        <f t="shared" si="13"/>
        <v/>
      </c>
      <c r="E309" s="9" t="str">
        <f>IF(games!I309&lt;&gt;"", games!I309, "")</f>
        <v/>
      </c>
    </row>
    <row r="310" spans="3:5">
      <c r="C310" s="8" t="str">
        <f t="shared" si="12"/>
        <v/>
      </c>
      <c r="D310" s="8" t="str">
        <f t="shared" si="13"/>
        <v/>
      </c>
      <c r="E310" s="9" t="str">
        <f>IF(games!I310&lt;&gt;"", games!I310, "")</f>
        <v/>
      </c>
    </row>
    <row r="311" spans="3:5">
      <c r="C311" s="8" t="str">
        <f t="shared" si="12"/>
        <v/>
      </c>
      <c r="D311" s="8" t="str">
        <f t="shared" si="13"/>
        <v/>
      </c>
      <c r="E311" s="9" t="str">
        <f>IF(games!I311&lt;&gt;"", games!I311, "")</f>
        <v/>
      </c>
    </row>
    <row r="312" spans="3:5">
      <c r="C312" s="8" t="str">
        <f t="shared" si="12"/>
        <v/>
      </c>
      <c r="D312" s="8" t="str">
        <f t="shared" si="13"/>
        <v/>
      </c>
      <c r="E312" s="9" t="str">
        <f>IF(games!I312&lt;&gt;"", games!I312, "")</f>
        <v/>
      </c>
    </row>
    <row r="313" spans="3:5">
      <c r="C313" s="8" t="str">
        <f t="shared" ref="C313:C376" si="14">IF(A313="","", "giftcodesbanner/" &amp; A313 &amp; "-禮包碼.jpg")</f>
        <v/>
      </c>
      <c r="D313" s="8" t="str">
        <f t="shared" ref="D313:D376" si="15">IF(A313="","", "https://www.ssbuy.tw/gift-codes.html?game="&amp;A313)</f>
        <v/>
      </c>
      <c r="E313" s="9" t="str">
        <f>IF(games!I313&lt;&gt;"", games!I313, "")</f>
        <v/>
      </c>
    </row>
    <row r="314" spans="3:5">
      <c r="C314" s="8" t="str">
        <f t="shared" si="14"/>
        <v/>
      </c>
      <c r="D314" s="8" t="str">
        <f t="shared" si="15"/>
        <v/>
      </c>
      <c r="E314" s="9" t="str">
        <f>IF(games!I314&lt;&gt;"", games!I314, "")</f>
        <v/>
      </c>
    </row>
    <row r="315" spans="3:5">
      <c r="C315" s="8" t="str">
        <f t="shared" si="14"/>
        <v/>
      </c>
      <c r="D315" s="8" t="str">
        <f t="shared" si="15"/>
        <v/>
      </c>
      <c r="E315" s="9" t="str">
        <f>IF(games!I315&lt;&gt;"", games!I315, "")</f>
        <v/>
      </c>
    </row>
    <row r="316" spans="3:5">
      <c r="C316" s="8" t="str">
        <f t="shared" si="14"/>
        <v/>
      </c>
      <c r="D316" s="8" t="str">
        <f t="shared" si="15"/>
        <v/>
      </c>
      <c r="E316" s="9" t="str">
        <f>IF(games!I316&lt;&gt;"", games!I316, "")</f>
        <v/>
      </c>
    </row>
    <row r="317" spans="3:5">
      <c r="C317" s="8" t="str">
        <f t="shared" si="14"/>
        <v/>
      </c>
      <c r="D317" s="8" t="str">
        <f t="shared" si="15"/>
        <v/>
      </c>
      <c r="E317" s="9" t="str">
        <f>IF(games!I317&lt;&gt;"", games!I317, "")</f>
        <v/>
      </c>
    </row>
    <row r="318" spans="3:5">
      <c r="C318" s="8" t="str">
        <f t="shared" si="14"/>
        <v/>
      </c>
      <c r="D318" s="8" t="str">
        <f t="shared" si="15"/>
        <v/>
      </c>
      <c r="E318" s="9" t="str">
        <f>IF(games!I318&lt;&gt;"", games!I318, "")</f>
        <v/>
      </c>
    </row>
    <row r="319" spans="3:5">
      <c r="C319" s="8" t="str">
        <f t="shared" si="14"/>
        <v/>
      </c>
      <c r="D319" s="8" t="str">
        <f t="shared" si="15"/>
        <v/>
      </c>
      <c r="E319" s="9" t="str">
        <f>IF(games!I319&lt;&gt;"", games!I319, "")</f>
        <v/>
      </c>
    </row>
    <row r="320" spans="3:5">
      <c r="C320" s="8" t="str">
        <f t="shared" si="14"/>
        <v/>
      </c>
      <c r="D320" s="8" t="str">
        <f t="shared" si="15"/>
        <v/>
      </c>
      <c r="E320" s="9" t="str">
        <f>IF(games!I320&lt;&gt;"", games!I320, "")</f>
        <v/>
      </c>
    </row>
    <row r="321" spans="3:5">
      <c r="C321" s="8" t="str">
        <f t="shared" si="14"/>
        <v/>
      </c>
      <c r="D321" s="8" t="str">
        <f t="shared" si="15"/>
        <v/>
      </c>
      <c r="E321" s="9" t="str">
        <f>IF(games!I321&lt;&gt;"", games!I321, "")</f>
        <v/>
      </c>
    </row>
    <row r="322" spans="3:5">
      <c r="C322" s="8" t="str">
        <f t="shared" si="14"/>
        <v/>
      </c>
      <c r="D322" s="8" t="str">
        <f t="shared" si="15"/>
        <v/>
      </c>
      <c r="E322" s="9" t="str">
        <f>IF(games!I322&lt;&gt;"", games!I322, "")</f>
        <v/>
      </c>
    </row>
    <row r="323" spans="3:5">
      <c r="C323" s="8" t="str">
        <f t="shared" si="14"/>
        <v/>
      </c>
      <c r="D323" s="8" t="str">
        <f t="shared" si="15"/>
        <v/>
      </c>
      <c r="E323" s="9" t="str">
        <f>IF(games!I323&lt;&gt;"", games!I323, "")</f>
        <v/>
      </c>
    </row>
    <row r="324" spans="3:5">
      <c r="C324" s="8" t="str">
        <f t="shared" si="14"/>
        <v/>
      </c>
      <c r="D324" s="8" t="str">
        <f t="shared" si="15"/>
        <v/>
      </c>
      <c r="E324" s="9" t="str">
        <f>IF(games!I324&lt;&gt;"", games!I324, "")</f>
        <v/>
      </c>
    </row>
    <row r="325" spans="3:5">
      <c r="C325" s="8" t="str">
        <f t="shared" si="14"/>
        <v/>
      </c>
      <c r="D325" s="8" t="str">
        <f t="shared" si="15"/>
        <v/>
      </c>
      <c r="E325" s="9" t="str">
        <f>IF(games!I325&lt;&gt;"", games!I325, "")</f>
        <v/>
      </c>
    </row>
    <row r="326" spans="3:5">
      <c r="C326" s="8" t="str">
        <f t="shared" si="14"/>
        <v/>
      </c>
      <c r="D326" s="8" t="str">
        <f t="shared" si="15"/>
        <v/>
      </c>
      <c r="E326" s="9" t="str">
        <f>IF(games!I326&lt;&gt;"", games!I326, "")</f>
        <v/>
      </c>
    </row>
    <row r="327" spans="3:5">
      <c r="C327" s="8" t="str">
        <f t="shared" si="14"/>
        <v/>
      </c>
      <c r="D327" s="8" t="str">
        <f t="shared" si="15"/>
        <v/>
      </c>
      <c r="E327" s="9" t="str">
        <f>IF(games!I327&lt;&gt;"", games!I327, "")</f>
        <v/>
      </c>
    </row>
    <row r="328" spans="3:5">
      <c r="C328" s="8" t="str">
        <f t="shared" si="14"/>
        <v/>
      </c>
      <c r="D328" s="8" t="str">
        <f t="shared" si="15"/>
        <v/>
      </c>
      <c r="E328" s="9" t="str">
        <f>IF(games!I328&lt;&gt;"", games!I328, "")</f>
        <v/>
      </c>
    </row>
    <row r="329" spans="3:5">
      <c r="C329" s="8" t="str">
        <f t="shared" si="14"/>
        <v/>
      </c>
      <c r="D329" s="8" t="str">
        <f t="shared" si="15"/>
        <v/>
      </c>
      <c r="E329" s="9" t="str">
        <f>IF(games!I329&lt;&gt;"", games!I329, "")</f>
        <v/>
      </c>
    </row>
    <row r="330" spans="3:5">
      <c r="C330" s="8" t="str">
        <f t="shared" si="14"/>
        <v/>
      </c>
      <c r="D330" s="8" t="str">
        <f t="shared" si="15"/>
        <v/>
      </c>
      <c r="E330" s="9" t="str">
        <f>IF(games!I330&lt;&gt;"", games!I330, "")</f>
        <v/>
      </c>
    </row>
    <row r="331" spans="3:5">
      <c r="C331" s="8" t="str">
        <f t="shared" si="14"/>
        <v/>
      </c>
      <c r="D331" s="8" t="str">
        <f t="shared" si="15"/>
        <v/>
      </c>
      <c r="E331" s="9" t="str">
        <f>IF(games!I331&lt;&gt;"", games!I331, "")</f>
        <v/>
      </c>
    </row>
    <row r="332" spans="3:5">
      <c r="C332" s="8" t="str">
        <f t="shared" si="14"/>
        <v/>
      </c>
      <c r="D332" s="8" t="str">
        <f t="shared" si="15"/>
        <v/>
      </c>
      <c r="E332" s="9" t="str">
        <f>IF(games!I332&lt;&gt;"", games!I332, "")</f>
        <v/>
      </c>
    </row>
    <row r="333" spans="3:5">
      <c r="C333" s="8" t="str">
        <f t="shared" si="14"/>
        <v/>
      </c>
      <c r="D333" s="8" t="str">
        <f t="shared" si="15"/>
        <v/>
      </c>
      <c r="E333" s="9" t="str">
        <f>IF(games!I333&lt;&gt;"", games!I333, "")</f>
        <v/>
      </c>
    </row>
    <row r="334" spans="3:5">
      <c r="C334" s="8" t="str">
        <f t="shared" si="14"/>
        <v/>
      </c>
      <c r="D334" s="8" t="str">
        <f t="shared" si="15"/>
        <v/>
      </c>
      <c r="E334" s="9" t="str">
        <f>IF(games!I334&lt;&gt;"", games!I334, "")</f>
        <v/>
      </c>
    </row>
    <row r="335" spans="3:5">
      <c r="C335" s="8" t="str">
        <f t="shared" si="14"/>
        <v/>
      </c>
      <c r="D335" s="8" t="str">
        <f t="shared" si="15"/>
        <v/>
      </c>
      <c r="E335" s="9" t="str">
        <f>IF(games!I335&lt;&gt;"", games!I335, "")</f>
        <v/>
      </c>
    </row>
    <row r="336" spans="3:5">
      <c r="C336" s="8" t="str">
        <f t="shared" si="14"/>
        <v/>
      </c>
      <c r="D336" s="8" t="str">
        <f t="shared" si="15"/>
        <v/>
      </c>
      <c r="E336" s="9" t="str">
        <f>IF(games!I336&lt;&gt;"", games!I336, "")</f>
        <v/>
      </c>
    </row>
    <row r="337" spans="3:5">
      <c r="C337" s="8" t="str">
        <f t="shared" si="14"/>
        <v/>
      </c>
      <c r="D337" s="8" t="str">
        <f t="shared" si="15"/>
        <v/>
      </c>
      <c r="E337" s="9" t="str">
        <f>IF(games!I337&lt;&gt;"", games!I337, "")</f>
        <v/>
      </c>
    </row>
    <row r="338" spans="3:5">
      <c r="C338" s="8" t="str">
        <f t="shared" si="14"/>
        <v/>
      </c>
      <c r="D338" s="8" t="str">
        <f t="shared" si="15"/>
        <v/>
      </c>
      <c r="E338" s="9" t="str">
        <f>IF(games!I338&lt;&gt;"", games!I338, "")</f>
        <v/>
      </c>
    </row>
    <row r="339" spans="3:5">
      <c r="C339" s="8" t="str">
        <f t="shared" si="14"/>
        <v/>
      </c>
      <c r="D339" s="8" t="str">
        <f t="shared" si="15"/>
        <v/>
      </c>
      <c r="E339" s="9" t="str">
        <f>IF(games!I339&lt;&gt;"", games!I339, "")</f>
        <v/>
      </c>
    </row>
    <row r="340" spans="3:5">
      <c r="C340" s="8" t="str">
        <f t="shared" si="14"/>
        <v/>
      </c>
      <c r="D340" s="8" t="str">
        <f t="shared" si="15"/>
        <v/>
      </c>
      <c r="E340" s="9" t="str">
        <f>IF(games!I340&lt;&gt;"", games!I340, "")</f>
        <v/>
      </c>
    </row>
    <row r="341" spans="3:5">
      <c r="C341" s="8" t="str">
        <f t="shared" si="14"/>
        <v/>
      </c>
      <c r="D341" s="8" t="str">
        <f t="shared" si="15"/>
        <v/>
      </c>
      <c r="E341" s="9" t="str">
        <f>IF(games!I341&lt;&gt;"", games!I341, "")</f>
        <v/>
      </c>
    </row>
    <row r="342" spans="3:5">
      <c r="C342" s="8" t="str">
        <f t="shared" si="14"/>
        <v/>
      </c>
      <c r="D342" s="8" t="str">
        <f t="shared" si="15"/>
        <v/>
      </c>
      <c r="E342" s="9" t="str">
        <f>IF(games!I342&lt;&gt;"", games!I342, "")</f>
        <v/>
      </c>
    </row>
    <row r="343" spans="3:5">
      <c r="C343" s="8" t="str">
        <f t="shared" si="14"/>
        <v/>
      </c>
      <c r="D343" s="8" t="str">
        <f t="shared" si="15"/>
        <v/>
      </c>
      <c r="E343" s="9" t="str">
        <f>IF(games!I343&lt;&gt;"", games!I343, "")</f>
        <v/>
      </c>
    </row>
    <row r="344" spans="3:5">
      <c r="C344" s="8" t="str">
        <f t="shared" si="14"/>
        <v/>
      </c>
      <c r="D344" s="8" t="str">
        <f t="shared" si="15"/>
        <v/>
      </c>
      <c r="E344" s="9" t="str">
        <f>IF(games!I344&lt;&gt;"", games!I344, "")</f>
        <v/>
      </c>
    </row>
    <row r="345" spans="3:5">
      <c r="C345" s="8" t="str">
        <f t="shared" si="14"/>
        <v/>
      </c>
      <c r="D345" s="8" t="str">
        <f t="shared" si="15"/>
        <v/>
      </c>
      <c r="E345" s="9" t="str">
        <f>IF(games!I345&lt;&gt;"", games!I345, "")</f>
        <v/>
      </c>
    </row>
    <row r="346" spans="3:5">
      <c r="C346" s="8" t="str">
        <f t="shared" si="14"/>
        <v/>
      </c>
      <c r="D346" s="8" t="str">
        <f t="shared" si="15"/>
        <v/>
      </c>
      <c r="E346" s="9" t="str">
        <f>IF(games!I346&lt;&gt;"", games!I346, "")</f>
        <v/>
      </c>
    </row>
    <row r="347" spans="3:5">
      <c r="C347" s="8" t="str">
        <f t="shared" si="14"/>
        <v/>
      </c>
      <c r="D347" s="8" t="str">
        <f t="shared" si="15"/>
        <v/>
      </c>
      <c r="E347" s="9" t="str">
        <f>IF(games!I347&lt;&gt;"", games!I347, "")</f>
        <v/>
      </c>
    </row>
    <row r="348" spans="3:5">
      <c r="C348" s="8" t="str">
        <f t="shared" si="14"/>
        <v/>
      </c>
      <c r="D348" s="8" t="str">
        <f t="shared" si="15"/>
        <v/>
      </c>
      <c r="E348" s="9" t="str">
        <f>IF(games!I348&lt;&gt;"", games!I348, "")</f>
        <v/>
      </c>
    </row>
    <row r="349" spans="3:5">
      <c r="C349" s="8" t="str">
        <f t="shared" si="14"/>
        <v/>
      </c>
      <c r="D349" s="8" t="str">
        <f t="shared" si="15"/>
        <v/>
      </c>
      <c r="E349" s="9" t="str">
        <f>IF(games!I349&lt;&gt;"", games!I349, "")</f>
        <v/>
      </c>
    </row>
    <row r="350" spans="3:5">
      <c r="C350" s="8" t="str">
        <f t="shared" si="14"/>
        <v/>
      </c>
      <c r="D350" s="8" t="str">
        <f t="shared" si="15"/>
        <v/>
      </c>
      <c r="E350" s="9" t="str">
        <f>IF(games!I350&lt;&gt;"", games!I350, "")</f>
        <v/>
      </c>
    </row>
    <row r="351" spans="3:5">
      <c r="C351" s="8" t="str">
        <f t="shared" si="14"/>
        <v/>
      </c>
      <c r="D351" s="8" t="str">
        <f t="shared" si="15"/>
        <v/>
      </c>
      <c r="E351" s="9" t="str">
        <f>IF(games!I351&lt;&gt;"", games!I351, "")</f>
        <v/>
      </c>
    </row>
    <row r="352" spans="3:5">
      <c r="C352" s="8" t="str">
        <f t="shared" si="14"/>
        <v/>
      </c>
      <c r="D352" s="8" t="str">
        <f t="shared" si="15"/>
        <v/>
      </c>
      <c r="E352" s="9" t="str">
        <f>IF(games!I352&lt;&gt;"", games!I352, "")</f>
        <v/>
      </c>
    </row>
    <row r="353" spans="3:5">
      <c r="C353" s="8" t="str">
        <f t="shared" si="14"/>
        <v/>
      </c>
      <c r="D353" s="8" t="str">
        <f t="shared" si="15"/>
        <v/>
      </c>
      <c r="E353" s="9" t="str">
        <f>IF(games!I353&lt;&gt;"", games!I353, "")</f>
        <v/>
      </c>
    </row>
    <row r="354" spans="3:5">
      <c r="C354" s="8" t="str">
        <f t="shared" si="14"/>
        <v/>
      </c>
      <c r="D354" s="8" t="str">
        <f t="shared" si="15"/>
        <v/>
      </c>
      <c r="E354" s="9" t="str">
        <f>IF(games!I354&lt;&gt;"", games!I354, "")</f>
        <v/>
      </c>
    </row>
    <row r="355" spans="3:5">
      <c r="C355" s="8" t="str">
        <f t="shared" si="14"/>
        <v/>
      </c>
      <c r="D355" s="8" t="str">
        <f t="shared" si="15"/>
        <v/>
      </c>
      <c r="E355" s="9" t="str">
        <f>IF(games!I355&lt;&gt;"", games!I355, "")</f>
        <v/>
      </c>
    </row>
    <row r="356" spans="3:5">
      <c r="C356" s="8" t="str">
        <f t="shared" si="14"/>
        <v/>
      </c>
      <c r="D356" s="8" t="str">
        <f t="shared" si="15"/>
        <v/>
      </c>
      <c r="E356" s="9" t="str">
        <f>IF(games!I356&lt;&gt;"", games!I356, "")</f>
        <v/>
      </c>
    </row>
    <row r="357" spans="3:5">
      <c r="C357" s="8" t="str">
        <f t="shared" si="14"/>
        <v/>
      </c>
      <c r="D357" s="8" t="str">
        <f t="shared" si="15"/>
        <v/>
      </c>
      <c r="E357" s="9" t="str">
        <f>IF(games!I357&lt;&gt;"", games!I357, "")</f>
        <v/>
      </c>
    </row>
    <row r="358" spans="3:5">
      <c r="C358" s="8" t="str">
        <f t="shared" si="14"/>
        <v/>
      </c>
      <c r="D358" s="8" t="str">
        <f t="shared" si="15"/>
        <v/>
      </c>
      <c r="E358" s="9" t="str">
        <f>IF(games!I358&lt;&gt;"", games!I358, "")</f>
        <v/>
      </c>
    </row>
    <row r="359" spans="3:5">
      <c r="C359" s="8" t="str">
        <f t="shared" si="14"/>
        <v/>
      </c>
      <c r="D359" s="8" t="str">
        <f t="shared" si="15"/>
        <v/>
      </c>
      <c r="E359" s="9" t="str">
        <f>IF(games!I359&lt;&gt;"", games!I359, "")</f>
        <v/>
      </c>
    </row>
    <row r="360" spans="3:5">
      <c r="C360" s="8" t="str">
        <f t="shared" si="14"/>
        <v/>
      </c>
      <c r="D360" s="8" t="str">
        <f t="shared" si="15"/>
        <v/>
      </c>
      <c r="E360" s="9" t="str">
        <f>IF(games!I360&lt;&gt;"", games!I360, "")</f>
        <v/>
      </c>
    </row>
    <row r="361" spans="3:5">
      <c r="C361" s="8" t="str">
        <f t="shared" si="14"/>
        <v/>
      </c>
      <c r="D361" s="8" t="str">
        <f t="shared" si="15"/>
        <v/>
      </c>
      <c r="E361" s="9" t="str">
        <f>IF(games!I361&lt;&gt;"", games!I361, "")</f>
        <v/>
      </c>
    </row>
    <row r="362" spans="3:5">
      <c r="C362" s="8" t="str">
        <f t="shared" si="14"/>
        <v/>
      </c>
      <c r="D362" s="8" t="str">
        <f t="shared" si="15"/>
        <v/>
      </c>
      <c r="E362" s="9" t="str">
        <f>IF(games!I362&lt;&gt;"", games!I362, "")</f>
        <v/>
      </c>
    </row>
    <row r="363" spans="3:5">
      <c r="C363" s="8" t="str">
        <f t="shared" si="14"/>
        <v/>
      </c>
      <c r="D363" s="8" t="str">
        <f t="shared" si="15"/>
        <v/>
      </c>
      <c r="E363" s="9" t="str">
        <f>IF(games!I363&lt;&gt;"", games!I363, "")</f>
        <v/>
      </c>
    </row>
    <row r="364" spans="3:5">
      <c r="C364" s="8" t="str">
        <f t="shared" si="14"/>
        <v/>
      </c>
      <c r="D364" s="8" t="str">
        <f t="shared" si="15"/>
        <v/>
      </c>
      <c r="E364" s="9" t="str">
        <f>IF(games!I364&lt;&gt;"", games!I364, "")</f>
        <v/>
      </c>
    </row>
    <row r="365" spans="3:5">
      <c r="C365" s="8" t="str">
        <f t="shared" si="14"/>
        <v/>
      </c>
      <c r="D365" s="8" t="str">
        <f t="shared" si="15"/>
        <v/>
      </c>
      <c r="E365" s="9" t="str">
        <f>IF(games!I365&lt;&gt;"", games!I365, "")</f>
        <v/>
      </c>
    </row>
    <row r="366" spans="3:5">
      <c r="C366" s="8" t="str">
        <f t="shared" si="14"/>
        <v/>
      </c>
      <c r="D366" s="8" t="str">
        <f t="shared" si="15"/>
        <v/>
      </c>
      <c r="E366" s="9" t="str">
        <f>IF(games!I366&lt;&gt;"", games!I366, "")</f>
        <v/>
      </c>
    </row>
    <row r="367" spans="3:5">
      <c r="C367" s="8" t="str">
        <f t="shared" si="14"/>
        <v/>
      </c>
      <c r="D367" s="8" t="str">
        <f t="shared" si="15"/>
        <v/>
      </c>
      <c r="E367" s="9" t="str">
        <f>IF(games!I367&lt;&gt;"", games!I367, "")</f>
        <v/>
      </c>
    </row>
    <row r="368" spans="3:5">
      <c r="C368" s="8" t="str">
        <f t="shared" si="14"/>
        <v/>
      </c>
      <c r="D368" s="8" t="str">
        <f t="shared" si="15"/>
        <v/>
      </c>
      <c r="E368" s="9" t="str">
        <f>IF(games!I368&lt;&gt;"", games!I368, "")</f>
        <v/>
      </c>
    </row>
    <row r="369" spans="3:5">
      <c r="C369" s="8" t="str">
        <f t="shared" si="14"/>
        <v/>
      </c>
      <c r="D369" s="8" t="str">
        <f t="shared" si="15"/>
        <v/>
      </c>
      <c r="E369" s="9" t="str">
        <f>IF(games!I369&lt;&gt;"", games!I369, "")</f>
        <v/>
      </c>
    </row>
    <row r="370" spans="3:5">
      <c r="C370" s="8" t="str">
        <f t="shared" si="14"/>
        <v/>
      </c>
      <c r="D370" s="8" t="str">
        <f t="shared" si="15"/>
        <v/>
      </c>
      <c r="E370" s="9" t="str">
        <f>IF(games!I370&lt;&gt;"", games!I370, "")</f>
        <v/>
      </c>
    </row>
    <row r="371" spans="3:5">
      <c r="C371" s="8" t="str">
        <f t="shared" si="14"/>
        <v/>
      </c>
      <c r="D371" s="8" t="str">
        <f t="shared" si="15"/>
        <v/>
      </c>
      <c r="E371" s="9" t="str">
        <f>IF(games!I371&lt;&gt;"", games!I371, "")</f>
        <v/>
      </c>
    </row>
    <row r="372" spans="3:5">
      <c r="C372" s="8" t="str">
        <f t="shared" si="14"/>
        <v/>
      </c>
      <c r="D372" s="8" t="str">
        <f t="shared" si="15"/>
        <v/>
      </c>
      <c r="E372" s="9" t="str">
        <f>IF(games!I372&lt;&gt;"", games!I372, "")</f>
        <v/>
      </c>
    </row>
    <row r="373" spans="3:5">
      <c r="C373" s="8" t="str">
        <f t="shared" si="14"/>
        <v/>
      </c>
      <c r="D373" s="8" t="str">
        <f t="shared" si="15"/>
        <v/>
      </c>
      <c r="E373" s="9" t="str">
        <f>IF(games!I373&lt;&gt;"", games!I373, "")</f>
        <v/>
      </c>
    </row>
    <row r="374" spans="3:5">
      <c r="C374" s="8" t="str">
        <f t="shared" si="14"/>
        <v/>
      </c>
      <c r="D374" s="8" t="str">
        <f t="shared" si="15"/>
        <v/>
      </c>
      <c r="E374" s="9" t="str">
        <f>IF(games!I374&lt;&gt;"", games!I374, "")</f>
        <v/>
      </c>
    </row>
    <row r="375" spans="3:5">
      <c r="C375" s="8" t="str">
        <f t="shared" si="14"/>
        <v/>
      </c>
      <c r="D375" s="8" t="str">
        <f t="shared" si="15"/>
        <v/>
      </c>
      <c r="E375" s="9" t="str">
        <f>IF(games!I375&lt;&gt;"", games!I375, "")</f>
        <v/>
      </c>
    </row>
    <row r="376" spans="3:5">
      <c r="C376" s="8" t="str">
        <f t="shared" si="14"/>
        <v/>
      </c>
      <c r="D376" s="8" t="str">
        <f t="shared" si="15"/>
        <v/>
      </c>
      <c r="E376" s="9" t="str">
        <f>IF(games!I376&lt;&gt;"", games!I376, "")</f>
        <v/>
      </c>
    </row>
    <row r="377" spans="3:5">
      <c r="C377" s="8" t="str">
        <f t="shared" ref="C377:C435" si="16">IF(A377="","", "giftcodesbanner/" &amp; A377 &amp; "-禮包碼.jpg")</f>
        <v/>
      </c>
      <c r="D377" s="8" t="str">
        <f t="shared" ref="D377:D435" si="17">IF(A377="","", "https://www.ssbuy.tw/gift-codes.html?game="&amp;A377)</f>
        <v/>
      </c>
      <c r="E377" s="9" t="str">
        <f>IF(games!I377&lt;&gt;"", games!I377, "")</f>
        <v/>
      </c>
    </row>
    <row r="378" spans="3:5">
      <c r="C378" s="8" t="str">
        <f t="shared" si="16"/>
        <v/>
      </c>
      <c r="D378" s="8" t="str">
        <f t="shared" si="17"/>
        <v/>
      </c>
      <c r="E378" s="9" t="str">
        <f>IF(games!I378&lt;&gt;"", games!I378, "")</f>
        <v/>
      </c>
    </row>
    <row r="379" spans="3:5">
      <c r="C379" s="8" t="str">
        <f t="shared" si="16"/>
        <v/>
      </c>
      <c r="D379" s="8" t="str">
        <f t="shared" si="17"/>
        <v/>
      </c>
      <c r="E379" s="9" t="str">
        <f>IF(games!I379&lt;&gt;"", games!I379, "")</f>
        <v/>
      </c>
    </row>
    <row r="380" spans="3:5">
      <c r="C380" s="8" t="str">
        <f t="shared" si="16"/>
        <v/>
      </c>
      <c r="D380" s="8" t="str">
        <f t="shared" si="17"/>
        <v/>
      </c>
      <c r="E380" s="9" t="str">
        <f>IF(games!I380&lt;&gt;"", games!I380, "")</f>
        <v/>
      </c>
    </row>
    <row r="381" spans="3:5">
      <c r="C381" s="8" t="str">
        <f t="shared" si="16"/>
        <v/>
      </c>
      <c r="D381" s="8" t="str">
        <f t="shared" si="17"/>
        <v/>
      </c>
      <c r="E381" s="9" t="str">
        <f>IF(games!I381&lt;&gt;"", games!I381, "")</f>
        <v/>
      </c>
    </row>
    <row r="382" spans="3:5">
      <c r="C382" s="8" t="str">
        <f t="shared" si="16"/>
        <v/>
      </c>
      <c r="D382" s="8" t="str">
        <f t="shared" si="17"/>
        <v/>
      </c>
      <c r="E382" s="9" t="str">
        <f>IF(games!I382&lt;&gt;"", games!I382, "")</f>
        <v/>
      </c>
    </row>
    <row r="383" spans="3:5">
      <c r="C383" s="8" t="str">
        <f t="shared" si="16"/>
        <v/>
      </c>
      <c r="D383" s="8" t="str">
        <f t="shared" si="17"/>
        <v/>
      </c>
      <c r="E383" s="9" t="str">
        <f>IF(games!I383&lt;&gt;"", games!I383, "")</f>
        <v/>
      </c>
    </row>
    <row r="384" spans="3:5">
      <c r="C384" s="8" t="str">
        <f t="shared" si="16"/>
        <v/>
      </c>
      <c r="D384" s="8" t="str">
        <f t="shared" si="17"/>
        <v/>
      </c>
      <c r="E384" s="9" t="str">
        <f>IF(games!I384&lt;&gt;"", games!I384, "")</f>
        <v/>
      </c>
    </row>
    <row r="385" spans="3:5">
      <c r="C385" s="8" t="str">
        <f t="shared" si="16"/>
        <v/>
      </c>
      <c r="D385" s="8" t="str">
        <f t="shared" si="17"/>
        <v/>
      </c>
      <c r="E385" s="9" t="str">
        <f>IF(games!I385&lt;&gt;"", games!I385, "")</f>
        <v/>
      </c>
    </row>
    <row r="386" spans="3:5">
      <c r="C386" s="8" t="str">
        <f t="shared" si="16"/>
        <v/>
      </c>
      <c r="D386" s="8" t="str">
        <f t="shared" si="17"/>
        <v/>
      </c>
      <c r="E386" s="9" t="str">
        <f>IF(games!I386&lt;&gt;"", games!I386, "")</f>
        <v/>
      </c>
    </row>
    <row r="387" spans="3:5">
      <c r="C387" s="8" t="str">
        <f t="shared" si="16"/>
        <v/>
      </c>
      <c r="D387" s="8" t="str">
        <f t="shared" si="17"/>
        <v/>
      </c>
      <c r="E387" s="9" t="str">
        <f>IF(games!I387&lt;&gt;"", games!I387, "")</f>
        <v/>
      </c>
    </row>
    <row r="388" spans="3:5">
      <c r="C388" s="8" t="str">
        <f t="shared" si="16"/>
        <v/>
      </c>
      <c r="D388" s="8" t="str">
        <f t="shared" si="17"/>
        <v/>
      </c>
      <c r="E388" s="9" t="str">
        <f>IF(games!I388&lt;&gt;"", games!I388, "")</f>
        <v/>
      </c>
    </row>
    <row r="389" spans="3:5">
      <c r="C389" s="8" t="str">
        <f t="shared" si="16"/>
        <v/>
      </c>
      <c r="D389" s="8" t="str">
        <f t="shared" si="17"/>
        <v/>
      </c>
      <c r="E389" s="9" t="str">
        <f>IF(games!I389&lt;&gt;"", games!I389, "")</f>
        <v/>
      </c>
    </row>
    <row r="390" spans="3:5">
      <c r="C390" s="8" t="str">
        <f t="shared" si="16"/>
        <v/>
      </c>
      <c r="D390" s="8" t="str">
        <f t="shared" si="17"/>
        <v/>
      </c>
      <c r="E390" s="9" t="str">
        <f>IF(games!I390&lt;&gt;"", games!I390, "")</f>
        <v/>
      </c>
    </row>
    <row r="391" spans="3:5">
      <c r="C391" s="8" t="str">
        <f t="shared" si="16"/>
        <v/>
      </c>
      <c r="D391" s="8" t="str">
        <f t="shared" si="17"/>
        <v/>
      </c>
      <c r="E391" s="9" t="str">
        <f>IF(games!I391&lt;&gt;"", games!I391, "")</f>
        <v/>
      </c>
    </row>
    <row r="392" spans="3:5">
      <c r="C392" s="8" t="str">
        <f t="shared" si="16"/>
        <v/>
      </c>
      <c r="D392" s="8" t="str">
        <f t="shared" si="17"/>
        <v/>
      </c>
      <c r="E392" s="9" t="str">
        <f>IF(games!I392&lt;&gt;"", games!I392, "")</f>
        <v/>
      </c>
    </row>
    <row r="393" spans="3:5">
      <c r="C393" s="8" t="str">
        <f t="shared" si="16"/>
        <v/>
      </c>
      <c r="D393" s="8" t="str">
        <f t="shared" si="17"/>
        <v/>
      </c>
      <c r="E393" s="9" t="str">
        <f>IF(games!I393&lt;&gt;"", games!I393, "")</f>
        <v/>
      </c>
    </row>
    <row r="394" spans="3:5">
      <c r="C394" s="8" t="str">
        <f t="shared" si="16"/>
        <v/>
      </c>
      <c r="D394" s="8" t="str">
        <f t="shared" si="17"/>
        <v/>
      </c>
      <c r="E394" s="9" t="str">
        <f>IF(games!I394&lt;&gt;"", games!I394, "")</f>
        <v/>
      </c>
    </row>
    <row r="395" spans="3:5">
      <c r="C395" s="8" t="str">
        <f t="shared" si="16"/>
        <v/>
      </c>
      <c r="D395" s="8" t="str">
        <f t="shared" si="17"/>
        <v/>
      </c>
      <c r="E395" s="9" t="str">
        <f>IF(games!I395&lt;&gt;"", games!I395, "")</f>
        <v/>
      </c>
    </row>
    <row r="396" spans="3:5">
      <c r="C396" s="8" t="str">
        <f t="shared" si="16"/>
        <v/>
      </c>
      <c r="D396" s="8" t="str">
        <f t="shared" si="17"/>
        <v/>
      </c>
      <c r="E396" s="9" t="str">
        <f>IF(games!I396&lt;&gt;"", games!I396, "")</f>
        <v/>
      </c>
    </row>
    <row r="397" spans="3:5">
      <c r="C397" s="8" t="str">
        <f t="shared" si="16"/>
        <v/>
      </c>
      <c r="D397" s="8" t="str">
        <f t="shared" si="17"/>
        <v/>
      </c>
      <c r="E397" s="9" t="str">
        <f>IF(games!I397&lt;&gt;"", games!I397, "")</f>
        <v/>
      </c>
    </row>
    <row r="398" spans="3:5">
      <c r="C398" s="8" t="str">
        <f t="shared" si="16"/>
        <v/>
      </c>
      <c r="D398" s="8" t="str">
        <f t="shared" si="17"/>
        <v/>
      </c>
      <c r="E398" s="9" t="str">
        <f>IF(games!I398&lt;&gt;"", games!I398, "")</f>
        <v/>
      </c>
    </row>
    <row r="399" spans="3:5">
      <c r="C399" s="8" t="str">
        <f t="shared" si="16"/>
        <v/>
      </c>
      <c r="D399" s="8" t="str">
        <f t="shared" si="17"/>
        <v/>
      </c>
      <c r="E399" s="9" t="str">
        <f>IF(games!I399&lt;&gt;"", games!I399, "")</f>
        <v/>
      </c>
    </row>
    <row r="400" spans="3:5">
      <c r="C400" s="8" t="str">
        <f t="shared" si="16"/>
        <v/>
      </c>
      <c r="D400" s="8" t="str">
        <f t="shared" si="17"/>
        <v/>
      </c>
    </row>
    <row r="401" spans="3:4">
      <c r="C401" s="8" t="str">
        <f t="shared" si="16"/>
        <v/>
      </c>
      <c r="D401" s="8" t="str">
        <f t="shared" si="17"/>
        <v/>
      </c>
    </row>
    <row r="402" spans="3:4">
      <c r="C402" s="8" t="str">
        <f t="shared" si="16"/>
        <v/>
      </c>
      <c r="D402" s="8" t="str">
        <f t="shared" si="17"/>
        <v/>
      </c>
    </row>
    <row r="403" spans="3:4">
      <c r="C403" s="8" t="str">
        <f t="shared" si="16"/>
        <v/>
      </c>
      <c r="D403" s="8" t="str">
        <f t="shared" si="17"/>
        <v/>
      </c>
    </row>
    <row r="404" spans="3:4">
      <c r="C404" s="8" t="str">
        <f t="shared" si="16"/>
        <v/>
      </c>
      <c r="D404" s="8" t="str">
        <f t="shared" si="17"/>
        <v/>
      </c>
    </row>
    <row r="405" spans="3:4">
      <c r="C405" s="8" t="str">
        <f t="shared" si="16"/>
        <v/>
      </c>
      <c r="D405" s="8" t="str">
        <f t="shared" si="17"/>
        <v/>
      </c>
    </row>
    <row r="406" spans="3:4">
      <c r="C406" s="8" t="str">
        <f t="shared" si="16"/>
        <v/>
      </c>
      <c r="D406" s="8" t="str">
        <f t="shared" si="17"/>
        <v/>
      </c>
    </row>
    <row r="407" spans="3:4">
      <c r="C407" s="8" t="str">
        <f t="shared" si="16"/>
        <v/>
      </c>
      <c r="D407" s="8" t="str">
        <f t="shared" si="17"/>
        <v/>
      </c>
    </row>
    <row r="408" spans="3:4">
      <c r="C408" s="8" t="str">
        <f t="shared" si="16"/>
        <v/>
      </c>
      <c r="D408" s="8" t="str">
        <f t="shared" si="17"/>
        <v/>
      </c>
    </row>
    <row r="409" spans="3:4">
      <c r="C409" s="8" t="str">
        <f t="shared" si="16"/>
        <v/>
      </c>
      <c r="D409" s="8" t="str">
        <f t="shared" si="17"/>
        <v/>
      </c>
    </row>
    <row r="410" spans="3:4">
      <c r="C410" s="8" t="str">
        <f t="shared" si="16"/>
        <v/>
      </c>
      <c r="D410" s="8" t="str">
        <f t="shared" si="17"/>
        <v/>
      </c>
    </row>
    <row r="411" spans="3:4">
      <c r="C411" s="8" t="str">
        <f t="shared" si="16"/>
        <v/>
      </c>
      <c r="D411" s="8" t="str">
        <f t="shared" si="17"/>
        <v/>
      </c>
    </row>
    <row r="412" spans="3:4">
      <c r="C412" s="8" t="str">
        <f t="shared" si="16"/>
        <v/>
      </c>
      <c r="D412" s="8" t="str">
        <f t="shared" si="17"/>
        <v/>
      </c>
    </row>
    <row r="413" spans="3:4">
      <c r="C413" s="8" t="str">
        <f t="shared" si="16"/>
        <v/>
      </c>
      <c r="D413" s="8" t="str">
        <f t="shared" si="17"/>
        <v/>
      </c>
    </row>
    <row r="414" spans="3:4">
      <c r="C414" s="8" t="str">
        <f t="shared" si="16"/>
        <v/>
      </c>
      <c r="D414" s="8" t="str">
        <f t="shared" si="17"/>
        <v/>
      </c>
    </row>
    <row r="415" spans="3:4">
      <c r="C415" s="8" t="str">
        <f t="shared" si="16"/>
        <v/>
      </c>
      <c r="D415" s="8" t="str">
        <f t="shared" si="17"/>
        <v/>
      </c>
    </row>
    <row r="416" spans="3:4">
      <c r="C416" s="8" t="str">
        <f t="shared" si="16"/>
        <v/>
      </c>
      <c r="D416" s="8" t="str">
        <f t="shared" si="17"/>
        <v/>
      </c>
    </row>
    <row r="417" spans="3:4">
      <c r="C417" s="8" t="str">
        <f t="shared" si="16"/>
        <v/>
      </c>
      <c r="D417" s="8" t="str">
        <f t="shared" si="17"/>
        <v/>
      </c>
    </row>
    <row r="418" spans="3:4">
      <c r="C418" s="8" t="str">
        <f t="shared" si="16"/>
        <v/>
      </c>
      <c r="D418" s="8" t="str">
        <f t="shared" si="17"/>
        <v/>
      </c>
    </row>
    <row r="419" spans="3:4">
      <c r="C419" s="8" t="str">
        <f t="shared" si="16"/>
        <v/>
      </c>
      <c r="D419" s="8" t="str">
        <f t="shared" si="17"/>
        <v/>
      </c>
    </row>
    <row r="420" spans="3:4">
      <c r="C420" s="8" t="str">
        <f t="shared" si="16"/>
        <v/>
      </c>
      <c r="D420" s="8" t="str">
        <f t="shared" si="17"/>
        <v/>
      </c>
    </row>
    <row r="421" spans="3:4">
      <c r="C421" s="8" t="str">
        <f t="shared" si="16"/>
        <v/>
      </c>
      <c r="D421" s="8" t="str">
        <f t="shared" si="17"/>
        <v/>
      </c>
    </row>
    <row r="422" spans="3:4">
      <c r="C422" s="8" t="str">
        <f t="shared" si="16"/>
        <v/>
      </c>
      <c r="D422" s="8" t="str">
        <f t="shared" si="17"/>
        <v/>
      </c>
    </row>
    <row r="423" spans="3:4">
      <c r="C423" s="8" t="str">
        <f t="shared" si="16"/>
        <v/>
      </c>
      <c r="D423" s="8" t="str">
        <f t="shared" si="17"/>
        <v/>
      </c>
    </row>
    <row r="424" spans="3:4">
      <c r="C424" s="8" t="str">
        <f t="shared" si="16"/>
        <v/>
      </c>
      <c r="D424" s="8" t="str">
        <f t="shared" si="17"/>
        <v/>
      </c>
    </row>
    <row r="425" spans="3:4">
      <c r="C425" s="8" t="str">
        <f t="shared" si="16"/>
        <v/>
      </c>
      <c r="D425" s="8" t="str">
        <f t="shared" si="17"/>
        <v/>
      </c>
    </row>
    <row r="426" spans="3:4">
      <c r="C426" s="8" t="str">
        <f t="shared" si="16"/>
        <v/>
      </c>
      <c r="D426" s="8" t="str">
        <f t="shared" si="17"/>
        <v/>
      </c>
    </row>
    <row r="427" spans="3:4">
      <c r="C427" s="8" t="str">
        <f t="shared" si="16"/>
        <v/>
      </c>
      <c r="D427" s="8" t="str">
        <f t="shared" si="17"/>
        <v/>
      </c>
    </row>
    <row r="428" spans="3:4">
      <c r="C428" s="8" t="str">
        <f t="shared" si="16"/>
        <v/>
      </c>
      <c r="D428" s="8" t="str">
        <f t="shared" si="17"/>
        <v/>
      </c>
    </row>
    <row r="429" spans="3:4">
      <c r="C429" s="8" t="str">
        <f t="shared" si="16"/>
        <v/>
      </c>
      <c r="D429" s="8" t="str">
        <f t="shared" si="17"/>
        <v/>
      </c>
    </row>
    <row r="430" spans="3:4">
      <c r="C430" s="8" t="str">
        <f t="shared" si="16"/>
        <v/>
      </c>
      <c r="D430" s="8" t="str">
        <f t="shared" si="17"/>
        <v/>
      </c>
    </row>
    <row r="431" spans="3:4">
      <c r="C431" s="8" t="str">
        <f t="shared" si="16"/>
        <v/>
      </c>
      <c r="D431" s="8" t="str">
        <f t="shared" si="17"/>
        <v/>
      </c>
    </row>
    <row r="432" spans="3:4">
      <c r="C432" s="8" t="str">
        <f t="shared" si="16"/>
        <v/>
      </c>
      <c r="D432" s="8" t="str">
        <f t="shared" si="17"/>
        <v/>
      </c>
    </row>
    <row r="433" spans="3:4">
      <c r="C433" s="8" t="str">
        <f t="shared" si="16"/>
        <v/>
      </c>
      <c r="D433" s="8" t="str">
        <f t="shared" si="17"/>
        <v/>
      </c>
    </row>
    <row r="434" spans="3:4">
      <c r="C434" s="8" t="str">
        <f t="shared" si="16"/>
        <v/>
      </c>
      <c r="D434" s="8" t="str">
        <f t="shared" si="17"/>
        <v/>
      </c>
    </row>
    <row r="435" spans="3:4">
      <c r="C435" s="8" t="str">
        <f t="shared" si="16"/>
        <v/>
      </c>
      <c r="D435" s="8" t="str">
        <f t="shared" si="17"/>
        <v/>
      </c>
    </row>
  </sheetData>
  <phoneticPr fontId="2" type="noConversion"/>
  <hyperlinks>
    <hyperlink ref="G157" r:id="rId1"/>
    <hyperlink ref="F225" r:id="rId2"/>
    <hyperlink ref="F236" r:id="rId3" display="https://ref.gamer.com.tw/redir.php?url=https%3A%2F%2Fcoupon.netmarble.com%2Ftskgb"/>
    <hyperlink ref="F245" r:id="rId4"/>
    <hyperlink ref="F265" r:id="rId5"/>
    <hyperlink ref="F276" r:id="rId6"/>
  </hyperlinks>
  <pageMargins left="0.7" right="0.7" top="0.75" bottom="0.75" header="0.3" footer="0.3"/>
  <pageSetup paperSize="9" orientation="portrait" r:id="rId7"/>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games</vt:lpstr>
      <vt:lpstr>gift_codes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2025-10-28T09:54:04Z</dcterms:modified>
</cp:coreProperties>
</file>