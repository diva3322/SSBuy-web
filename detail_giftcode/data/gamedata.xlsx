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<sst xmlns="http://schemas.openxmlformats.org/spreadsheetml/2006/main" count="7353" uniqueCount="5023">
  <si>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</si>
  <si>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</si>
  <si>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</si>
  <si>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</si>
  <si>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</si>
  <si>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</si>
  <si>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</si>
  <si>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</si>
  <si>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</si>
  <si>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</si>
  <si>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</si>
  <si>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</si>
  <si>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</si>
  <si>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</si>
  <si>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</si>
  <si>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</si>
  <si>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</si>
  <si>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</si>
  <si>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</si>
  <si>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</si>
  <si>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</si>
  <si>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</si>
  <si>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</si>
  <si>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</si>
  <si>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</si>
  <si>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</si>
  <si>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</si>
  <si>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</si>
  <si>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</si>
  <si>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</si>
  <si>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</si>
  <si>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</si>
  <si>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</si>
  <si>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</si>
  <si>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</si>
  <si>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</si>
  <si>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</si>
  <si>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</si>
  <si>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</si>
  <si>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</si>
  <si>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</si>
  <si>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</si>
  <si>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</si>
  <si>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</si>
  <si>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</si>
  <si>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</si>
  <si>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</si>
  <si>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</si>
  <si>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</si>
  <si>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</si>
  <si>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</si>
  <si>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</si>
  <si>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</si>
  <si>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</si>
  <si>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</si>
  <si>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</si>
  <si>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</si>
  <si>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</si>
  <si>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</si>
  <si>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</si>
  <si>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</si>
  <si>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</si>
  <si>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</si>
  <si>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</si>
  <si>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</si>
  <si>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</si>
  <si>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</si>
  <si>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</si>
  <si>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</si>
  <si>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</si>
  <si>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</si>
  <si>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</si>
  <si>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</si>
  <si>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</si>
  <si>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</si>
  <si>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</si>
  <si>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</si>
  <si>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</si>
  <si>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</si>
  <si>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</si>
  <si>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</si>
  <si>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</si>
  <si>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</si>
  <si>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</si>
  <si>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</si>
  <si>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</si>
  <si>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</si>
  <si>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</si>
  <si>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</si>
  <si>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</si>
  <si>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</si>
  <si>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</si>
  <si>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</si>
  <si>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</si>
  <si>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</si>
  <si>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</si>
  <si>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</si>
  <si>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</si>
  <si>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</si>
  <si>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</si>
  <si>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</si>
  <si>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</si>
  <si>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</si>
  <si>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</si>
  <si>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</si>
  <si>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</si>
  <si>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</si>
  <si>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</si>
  <si>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</si>
  <si>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</si>
  <si>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</si>
  <si>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</si>
  <si>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</si>
  <si>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</si>
  <si>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</si>
  <si>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</si>
  <si>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</si>
  <si>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</si>
  <si>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</si>
  <si>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</si>
  <si>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</si>
  <si>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</si>
  <si>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</si>
  <si>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</si>
  <si>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</si>
  <si>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</si>
  <si>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</si>
  <si>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</si>
  <si>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</si>
  <si>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</si>
  <si>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</si>
  <si>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</si>
  <si>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</si>
  <si>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</si>
  <si>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</si>
  <si>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</si>
  <si>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</si>
  <si>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</si>
  <si>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</si>
  <si>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</si>
  <si>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</si>
  <si>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</si>
  <si>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</si>
  <si>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</si>
  <si>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</si>
  <si>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</si>
  <si>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</si>
  <si>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</si>
  <si>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</si>
  <si>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</si>
  <si>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</si>
  <si>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</si>
  <si>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</si>
  <si>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</si>
  <si>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</si>
  <si>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</si>
  <si>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</si>
  <si>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</si>
  <si>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</si>
  <si>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</si>
  <si>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</si>
  <si>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</si>
  <si>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</si>
  <si>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</si>
  <si>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</si>
  <si>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</si>
  <si>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</si>
  <si>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</si>
  <si>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</si>
  <si>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</si>
  <si>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</si>
  <si>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</si>
  <si>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</si>
  <si>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</si>
  <si>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</si>
  <si>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</si>
  <si>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</si>
  <si>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</si>
  <si>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</si>
  <si>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</si>
  <si>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</si>
  <si>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</si>
  <si>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</si>
  <si>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</si>
  <si>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</si>
  <si>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</si>
  <si>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</si>
  <si>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</si>
  <si>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</si>
  <si>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</si>
  <si>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</si>
  <si>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</si>
  <si>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</si>
  <si>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</si>
  <si>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</si>
  <si>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</si>
  <si>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</si>
  <si>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</si>
  <si>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</si>
  <si>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</si>
  <si>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</si>
  <si>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</si>
  <si>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</si>
  <si>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</si>
  <si>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</si>
  <si>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</si>
  <si>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</si>
  <si>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</si>
  <si>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</si>
  <si>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</si>
  <si>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</si>
  <si>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</si>
  <si>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</si>
  <si>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</si>
  <si>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</si>
  <si>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</si>
  <si>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</si>
  <si>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</si>
  <si>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</si>
  <si>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</si>
  <si>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</si>
  <si>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</si>
  <si>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</si>
  <si>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</si>
  <si>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</si>
  <si>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</si>
  <si>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</si>
  <si>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</si>
  <si>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</si>
  <si>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</si>
  <si>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</si>
  <si>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</si>
  <si>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</si>
  <si>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</si>
  <si>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</si>
  <si>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</si>
  <si>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</si>
  <si>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</si>
  <si>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</si>
  <si>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</si>
  <si>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</si>
  <si>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</si>
  <si>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</si>
  <si>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</si>
  <si>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</si>
  <si>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</si>
  <si>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</si>
  <si>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</si>
  <si>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</si>
  <si>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</si>
  <si>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</si>
  <si>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</si>
  <si>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</si>
  <si>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</si>
  <si>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</si>
  <si>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</si>
  <si>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</si>
  <si>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</si>
  <si>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</si>
  <si>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</si>
  <si>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</si>
  <si>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</si>
  <si>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</si>
  <si>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</si>
  <si>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</si>
  <si>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</si>
  <si>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</si>
  <si>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</si>
  <si>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</si>
  <si>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</si>
  <si>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</si>
  <si>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</si>
  <si>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</si>
  <si>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</si>
  <si>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</si>
  <si>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</si>
  <si>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</si>
  <si>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</si>
  <si>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</si>
  <si>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</si>
  <si>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</si>
  <si>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</si>
  <si>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</si>
  <si>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</si>
  <si>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</si>
  <si>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</si>
  <si>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</si>
  <si>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</si>
  <si>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</si>
  <si>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</si>
  <si>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</si>
  <si>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</si>
  <si>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</si>
  <si>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</si>
  <si>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</si>
  <si>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</si>
  <si>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</si>
  <si>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</si>
  <si>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</si>
  <si>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</si>
  <si>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</si>
  <si>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</si>
  <si>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</si>
  <si>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</si>
  <si>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</si>
  <si>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</si>
  <si>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</si>
  <si>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</si>
  <si>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</si>
  <si>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</si>
  <si>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</si>
  <si>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</si>
  <si>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</si>
  <si>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</si>
  <si>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</si>
  <si>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</si>
  <si>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</si>
  <si>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</si>
  <si>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</si>
  <si>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</si>
  <si>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</si>
  <si>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</si>
  <si>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</si>
  <si>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</si>
  <si>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</si>
  <si>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</si>
  <si>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</si>
  <si>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</si>
  <si>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</si>
  <si>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</si>
  <si>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</si>
  <si>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</si>
  <si>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</si>
  <si>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</si>
  <si>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</si>
  <si>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</si>
  <si>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</si>
  <si>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</si>
  <si>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</si>
  <si>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</si>
  <si>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</si>
  <si>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</si>
  <si>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</si>
  <si>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</si>
  <si>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</si>
  <si>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</si>
  <si>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</si>
  <si>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</si>
  <si>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</si>
  <si>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</si>
  <si>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</si>
  <si>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</si>
  <si>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</si>
  <si>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</si>
  <si>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</si>
  <si>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</si>
  <si>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</si>
  <si>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</si>
  <si>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</si>
  <si>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</si>
  <si>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</si>
  <si>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</si>
  <si>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</si>
  <si>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</si>
  <si>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</si>
  <si>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</si>
  <si>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</si>
  <si>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</si>
  <si>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</si>
  <si>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</si>
  <si>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</si>
  <si>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</si>
  <si>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</si>
  <si>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</si>
  <si>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</si>
  <si>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</si>
  <si>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</si>
  <si>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</si>
  <si>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</si>
  <si>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</si>
  <si>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</si>
  <si>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</si>
  <si>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</si>
  <si>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</si>
  <si>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</si>
  <si>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</si>
  <si>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</si>
  <si>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</si>
  <si>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</si>
  <si>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</si>
  <si>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</si>
  <si>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</si>
  <si>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</si>
  <si>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</si>
  <si>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</si>
  <si>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</si>
  <si>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</si>
  <si>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</si>
  <si>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</si>
  <si>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</si>
  <si>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</si>
  <si>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</si>
  <si>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</si>
  <si>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</si>
  <si>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</si>
  <si>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</si>
  <si>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</si>
  <si>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</si>
  <si>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</si>
  <si>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</si>
  <si>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</si>
  <si>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</si>
  <si>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</si>
  <si>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</si>
  <si>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</si>
  <si>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</si>
  <si>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</si>
  <si>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</si>
  <si>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</si>
  <si>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</si>
  <si>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</si>
  <si>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</si>
  <si>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</si>
  <si>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</si>
  <si>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</si>
  <si>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</si>
  <si>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</si>
  <si>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</si>
  <si>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</si>
  <si>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</si>
  <si>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</si>
  <si>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</si>
  <si>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</si>
  <si>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</si>
  <si>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</si>
  <si>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</si>
  <si>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</si>
  <si>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</si>
  <si>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</si>
  <si>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</si>
  <si>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</si>
  <si>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</si>
  <si>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</si>
  <si>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</si>
  <si>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</si>
  <si>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</si>
  <si>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</si>
  <si>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</si>
  <si>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</si>
  <si>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</si>
  <si>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</si>
  <si>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</si>
  <si>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</si>
  <si>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</si>
  <si>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</si>
  <si>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</si>
  <si>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</si>
  <si>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</si>
  <si>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</si>
  <si>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</si>
  <si>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</si>
  <si>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</si>
  <si>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</si>
  <si>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</si>
  <si>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</si>
  <si>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</si>
  <si>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</si>
  <si>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</si>
  <si>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</si>
  <si>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</si>
  <si>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</si>
  <si>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</si>
  <si>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</si>
  <si>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</si>
  <si>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</si>
  <si>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</si>
  <si>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</si>
  <si>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</si>
  <si>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</si>
  <si>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</si>
  <si>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</si>
  <si>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</si>
  <si>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</si>
  <si>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</si>
  <si>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</si>
  <si>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</si>
  <si>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</si>
  <si>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</si>
  <si>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</si>
  <si>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</si>
  <si>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</si>
  <si>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</si>
  <si>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</si>
  <si>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</si>
  <si>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</si>
  <si>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</si>
  <si>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</si>
  <si>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</si>
  <si>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</si>
  <si>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</si>
  <si>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</si>
  <si>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</si>
  <si>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</si>
  <si>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</si>
  <si>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</si>
  <si>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</si>
  <si>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</si>
  <si>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</si>
  <si>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</si>
  <si>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</si>
  <si>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</si>
  <si>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</si>
  <si>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</si>
  <si>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</si>
  <si>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</si>
  <si>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</si>
  <si>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</si>
  <si>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</si>
  <si>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</si>
  <si>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</si>
  <si>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</si>
  <si>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</si>
  <si>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</si>
  <si>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</si>
  <si>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</si>
  <si>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</si>
  <si>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</si>
  <si>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</si>
  <si>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</si>
  <si>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</si>
  <si>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</si>
  <si>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</si>
  <si>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</si>
  <si>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</si>
  <si>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</si>
  <si>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</si>
  <si>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</si>
  <si>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</si>
  <si>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</si>
  <si>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</si>
  <si>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</si>
  <si>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</si>
  <si>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</si>
  <si>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</si>
  <si>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</si>
  <si>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</si>
  <si>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</si>
  <si>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</si>
  <si>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</si>
  <si>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</si>
  <si>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</si>
  <si>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</si>
  <si>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</si>
  <si>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</si>
  <si>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</si>
  <si>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</si>
  <si>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</si>
  <si>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</si>
  <si>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</si>
  <si>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</si>
  <si>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</si>
  <si>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</si>
  <si>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</si>
  <si>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</si>
  <si>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</si>
  <si>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</si>
  <si>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</si>
  <si>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</si>
  <si>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</si>
  <si>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</si>
  <si>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</si>
  <si>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</si>
  <si>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</si>
  <si>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</si>
  <si>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</si>
  <si>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</si>
  <si>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</si>
  <si>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</si>
  <si>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</si>
  <si>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</si>
  <si>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</si>
  <si>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</si>
  <si>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</si>
  <si>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</si>
  <si>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</si>
  <si>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</si>
  <si>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</si>
  <si>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</si>
  <si>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</si>
  <si>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</si>
  <si>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</si>
  <si>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</si>
  <si>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</si>
  <si>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</si>
  <si>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</si>
  <si>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</si>
  <si>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</si>
  <si>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</si>
  <si>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</si>
  <si>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</si>
  <si>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</si>
  <si>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</si>
  <si>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</si>
  <si>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</si>
  <si>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</si>
  <si>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</si>
  <si>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</si>
  <si>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</si>
  <si>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</si>
  <si>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</si>
  <si>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</si>
  <si>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</si>
  <si>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</si>
  <si>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</si>
  <si>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</si>
  <si>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</si>
  <si>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</si>
  <si>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</si>
  <si>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</si>
  <si>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</si>
  <si>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</si>
  <si>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</si>
  <si>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</si>
  <si>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</si>
  <si>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</si>
  <si>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</si>
  <si>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</si>
  <si>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</si>
  <si>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</si>
  <si>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</si>
  <si>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</si>
  <si>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</si>
  <si>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</si>
  <si>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</si>
  <si>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</si>
  <si>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</si>
  <si>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</si>
  <si>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</si>
  <si>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</si>
  <si>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</si>
  <si>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</si>
  <si>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</si>
  <si>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</si>
  <si>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</si>
  <si>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</si>
  <si>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</si>
  <si>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</si>
  <si>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</si>
  <si>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</si>
  <si>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</si>
  <si>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</si>
  <si>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</si>
  <si>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</si>
  <si>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</si>
  <si>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</si>
  <si>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</si>
  <si>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</si>
  <si>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</si>
  <si>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</si>
  <si>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</si>
  <si>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</si>
  <si>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</si>
  <si>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</si>
  <si>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</si>
  <si>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</si>
  <si>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</si>
  <si>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</si>
  <si>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</si>
  <si>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</si>
  <si>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</si>
  <si>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</si>
  <si>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</si>
  <si>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</si>
  <si>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</si>
  <si>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</si>
  <si>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</si>
  <si>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</si>
  <si>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</si>
  <si>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</si>
  <si>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</si>
  <si>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</si>
  <si>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</si>
  <si>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</si>
  <si>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</si>
  <si>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</si>
  <si>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</si>
  <si>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</si>
  <si>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</si>
  <si>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</si>
  <si>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</si>
  <si>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</si>
  <si>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</si>
  <si>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</si>
  <si>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</si>
  <si>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</si>
  <si>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</si>
  <si>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</si>
  <si>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</si>
  <si>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</si>
  <si>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</si>
  <si>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</si>
  <si>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</si>
  <si>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</si>
  <si>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</si>
  <si>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</si>
  <si>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</si>
  <si>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</si>
  <si>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</si>
  <si>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</si>
  <si>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</si>
  <si>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</si>
  <si>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</si>
  <si>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</si>
  <si>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</si>
  <si>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</si>
  <si>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</si>
  <si>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</si>
  <si>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</si>
  <si>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</si>
  <si>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</si>
  <si>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</si>
  <si>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</si>
  <si>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</si>
  <si>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</si>
  <si>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</si>
  <si>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</si>
  <si>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</si>
  <si>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</si>
  <si>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</si>
  <si>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</si>
  <si>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</si>
  <si>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</si>
  <si>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</si>
  <si>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</si>
  <si>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</si>
  <si>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</si>
  <si>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</si>
  <si>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</si>
  <si>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</si>
  <si>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</si>
  <si>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</si>
  <si>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</si>
  <si>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</si>
  <si>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</si>
  <si>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</si>
  <si>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</si>
  <si>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</si>
  <si>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</si>
  <si>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</si>
  <si>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</si>
  <si>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</si>
  <si>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</si>
  <si>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</si>
  <si>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</si>
  <si>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</si>
  <si>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</si>
  <si>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</si>
  <si>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</si>
  <si>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</si>
  <si>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</si>
  <si>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</si>
  <si>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</si>
  <si>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</si>
  <si>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</si>
  <si>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</si>
  <si>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</si>
  <si>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</si>
  <si>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</si>
  <si>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</si>
  <si>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</si>
  <si>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</si>
  <si>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</si>
  <si>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</si>
  <si>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</si>
  <si>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</si>
  <si>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</si>
  <si>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</si>
  <si>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</si>
  <si>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</si>
  <si>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</si>
  <si>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</si>
  <si>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</si>
  <si>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</si>
  <si>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</si>
  <si>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</si>
  <si>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</si>
  <si>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</si>
  <si>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</si>
  <si>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</si>
  <si>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</si>
  <si>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</si>
  <si>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</si>
  <si>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</si>
  <si>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</si>
  <si>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</si>
  <si>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</si>
  <si>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</si>
  <si>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</si>
  <si>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</si>
  <si>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</si>
  <si>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</si>
  <si>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</si>
  <si>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</si>
  <si>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</si>
  <si>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</si>
  <si>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</si>
  <si>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</si>
  <si>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</si>
  <si>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</si>
  <si>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</si>
  <si>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</si>
  <si>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</si>
  <si>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</si>
  <si>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</si>
  <si>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</si>
  <si>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</si>
  <si>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</si>
  <si>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</si>
  <si>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</si>
  <si>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</si>
  <si>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</si>
  <si>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</si>
  <si>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</si>
  <si>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</si>
  <si>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</si>
  <si>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</si>
  <si>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</si>
  <si>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</si>
  <si>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</si>
  <si>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</si>
  <si>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</si>
  <si>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</si>
  <si>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</si>
  <si>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</si>
  <si>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</si>
  <si>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</si>
  <si>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</si>
  <si>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</si>
  <si>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</si>
  <si>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</si>
  <si>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</si>
  <si>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</si>
  <si>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</si>
  <si>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</si>
  <si>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</si>
  <si>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</si>
  <si>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</si>
  <si>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</si>
  <si>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</si>
  <si>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</si>
  <si>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</si>
  <si>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</si>
  <si>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</si>
  <si>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</si>
  <si>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</si>
  <si>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</si>
  <si>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</si>
  <si>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</si>
  <si>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</si>
  <si>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</si>
  <si>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</si>
  <si>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</si>
  <si>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</si>
  <si>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</si>
  <si>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</si>
  <si>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</si>
  <si>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</si>
  <si>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</si>
  <si>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</si>
  <si>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</si>
  <si>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</si>
  <si>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</si>
  <si>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</si>
  <si>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</si>
  <si>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</si>
  <si>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</si>
  <si>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</si>
  <si>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</si>
  <si>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</si>
  <si>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</si>
  <si>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</si>
  <si>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</si>
  <si>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</si>
  <si>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</si>
  <si>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</si>
  <si>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</si>
  <si>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</si>
  <si>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</si>
  <si>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</si>
  <si>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</si>
  <si>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</si>
  <si>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</si>
  <si>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</si>
  <si>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</si>
  <si>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</si>
  <si>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</si>
  <si>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</si>
  <si>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</si>
  <si>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</si>
  <si>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</si>
  <si>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</si>
  <si>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</si>
  <si>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</si>
  <si>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</si>
  <si>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</si>
  <si>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</si>
  <si>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</si>
  <si>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</si>
  <si>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</si>
  <si>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</si>
  <si>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</si>
  <si>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</si>
  <si>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</si>
  <si>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</si>
  <si>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</si>
  <si>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</si>
  <si>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</si>
  <si>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</si>
  <si>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</si>
  <si>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</si>
  <si>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</si>
  <si>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</si>
  <si>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</si>
  <si>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</si>
  <si>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</si>
  <si>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</si>
  <si>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</si>
  <si>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</si>
  <si>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</si>
  <si>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</si>
  <si>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</si>
  <si>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</si>
  <si>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</si>
  <si>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</si>
  <si>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</si>
  <si>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</si>
  <si>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</si>
  <si>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</si>
  <si>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</si>
  <si>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</si>
  <si>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</si>
  <si>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</si>
  <si>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</si>
  <si>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</si>
  <si>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</si>
  <si>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</si>
  <si>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</si>
  <si>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</si>
  <si>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</si>
  <si>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</si>
  <si>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</si>
  <si>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</si>
  <si>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</si>
  <si>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</si>
  <si>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</si>
  <si>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</si>
  <si>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</si>
  <si>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</si>
  <si>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</si>
  <si>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</si>
  <si>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</si>
  <si>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</si>
  <si>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</si>
  <si>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</si>
  <si>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</si>
  <si>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</si>
  <si>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</si>
  <si>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</si>
  <si>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</si>
  <si>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</si>
  <si>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</si>
  <si>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</si>
  <si>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</si>
  <si>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</si>
  <si>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</si>
  <si>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</si>
  <si>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</si>
  <si>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</si>
  <si>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</si>
  <si>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</si>
  <si>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</si>
  <si>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</si>
  <si>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</si>
  <si>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</si>
  <si>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</si>
  <si>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</si>
  <si>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</si>
  <si>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</si>
  <si>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</si>
  <si>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</si>
  <si>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</si>
  <si>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</si>
  <si>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</si>
  <si>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</si>
  <si>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</si>
  <si>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</si>
  <si>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</si>
  <si>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</si>
  <si>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</si>
  <si>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</si>
  <si>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</si>
  <si>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</si>
  <si>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</si>
  <si>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</si>
  <si>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</si>
  <si>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</si>
  <si>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</si>
  <si>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</si>
  <si>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</si>
  <si>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</si>
  <si>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</si>
  <si>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</si>
  <si>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</si>
  <si>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</si>
  <si>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</si>
  <si>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</si>
  <si>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</si>
  <si>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</si>
  <si>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</si>
  <si>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</si>
  <si>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</si>
  <si>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</si>
  <si>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</si>
  <si>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</si>
  <si>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</si>
  <si>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</si>
  <si>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</si>
  <si>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</si>
  <si>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</si>
  <si>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</si>
  <si>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</si>
  <si>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</si>
  <si>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</si>
  <si>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</si>
  <si>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</si>
  <si>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</si>
  <si>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</si>
  <si>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</si>
  <si>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</si>
  <si>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</si>
  <si>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</si>
  <si>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</si>
  <si>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</si>
  <si>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</si>
  <si>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</si>
  <si>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</si>
  <si>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</si>
  <si>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</si>
  <si>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</si>
  <si>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</si>
  <si>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</si>
  <si>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</si>
  <si>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</si>
  <si>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</si>
  <si>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</si>
  <si>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</si>
  <si>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</si>
  <si>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</si>
  <si>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</si>
  <si>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</si>
  <si>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</si>
  <si>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</si>
  <si>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</si>
  <si>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</si>
  <si>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</si>
  <si>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</si>
  <si>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</si>
  <si>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</si>
  <si>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</si>
  <si>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</si>
  <si>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</si>
  <si>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</si>
  <si>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</si>
  <si>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</si>
  <si>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</si>
  <si>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</si>
  <si>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</si>
  <si>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</si>
  <si>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</si>
  <si>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</si>
  <si>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</si>
  <si>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</si>
  <si>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</si>
  <si>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</si>
  <si>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</si>
  <si>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</si>
  <si>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</si>
  <si>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</si>
  <si>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</si>
  <si>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</si>
  <si>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</si>
  <si>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</si>
  <si>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</si>
  <si>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</si>
  <si>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</si>
  <si>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</si>
  <si>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</si>
  <si>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</si>
  <si>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</si>
  <si>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</si>
  <si>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</si>
  <si>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</si>
  <si>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</si>
  <si>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</si>
  <si>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</si>
  <si>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</si>
  <si>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</si>
  <si>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</si>
  <si>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</si>
  <si>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</si>
  <si>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</si>
  <si>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</si>
  <si>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</si>
  <si>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</si>
  <si>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</si>
  <si>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</si>
  <si>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</si>
  <si>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</si>
  <si>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</si>
  <si>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</si>
  <si>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</si>
  <si>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</si>
  <si>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</si>
  <si>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</si>
  <si>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</si>
  <si>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</si>
  <si>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</si>
  <si>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</si>
  <si>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</si>
  <si>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</si>
  <si>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</si>
  <si>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</si>
  <si>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</si>
  <si>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</si>
  <si>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</si>
  <si>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</si>
  <si>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</si>
  <si>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</si>
  <si>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</si>
  <si>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</si>
  <si>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</si>
  <si>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</si>
  <si>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</si>
  <si>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</si>
  <si>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</si>
  <si>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</si>
  <si>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</si>
  <si>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</si>
  <si>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</si>
  <si>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</si>
  <si>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</si>
  <si>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</si>
  <si>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</si>
  <si>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</si>
  <si>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</si>
  <si>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</si>
  <si>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</si>
  <si>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</si>
  <si>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</si>
  <si>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</si>
  <si>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</si>
  <si>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</si>
  <si>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</si>
  <si>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</si>
  <si>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</si>
  <si>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</si>
  <si>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</si>
  <si>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</si>
  <si>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</si>
  <si>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</si>
  <si>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</si>
  <si>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</si>
  <si>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</si>
  <si>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</si>
  <si>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</si>
  <si>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</si>
  <si>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</si>
  <si>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</si>
  <si>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</si>
  <si>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</si>
  <si>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</si>
  <si>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</si>
  <si>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</si>
  <si>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</si>
  <si>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</si>
  <si>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</si>
  <si>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</si>
  <si>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</si>
  <si>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</si>
  <si>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</si>
  <si>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</si>
  <si>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</si>
  <si>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</si>
  <si>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</si>
  <si>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</si>
  <si>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</si>
  <si>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</si>
  <si>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</si>
  <si>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</si>
  <si>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</si>
  <si>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</si>
  <si>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</si>
  <si>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</si>
  <si>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</si>
  <si>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</si>
  <si>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</si>
  <si>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</si>
  <si>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</si>
  <si>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</si>
  <si>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</si>
  <si>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</si>
  <si>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</si>
  <si>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</si>
  <si>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</si>
  <si>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</si>
  <si>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</si>
  <si>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</si>
  <si>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</si>
  <si>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</si>
  <si>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</si>
  <si>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</si>
  <si>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</si>
  <si>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</si>
  <si>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</si>
  <si>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</si>
  <si>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</si>
  <si>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</si>
  <si>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</si>
  <si>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</si>
  <si>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</si>
  <si>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</si>
  <si>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</si>
  <si>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</si>
  <si>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</si>
  <si>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</si>
  <si>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</si>
  <si>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</si>
  <si>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</si>
  <si>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</si>
  <si>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</si>
  <si>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</si>
  <si>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</si>
  <si>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</si>
  <si>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</si>
  <si>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</si>
  <si>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</si>
  <si>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</si>
  <si>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</si>
  <si>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</si>
  <si>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</si>
  <si>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</si>
  <si>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</si>
  <si>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</si>
  <si>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</si>
  <si>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</si>
  <si>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</si>
  <si>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</si>
  <si>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</si>
  <si>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</si>
  <si>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</si>
  <si>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</si>
  <si>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</si>
  <si>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</si>
  <si>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</si>
  <si>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</si>
  <si>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</si>
  <si>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</si>
  <si>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</si>
  <si>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</si>
  <si>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</si>
  <si>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</si>
  <si>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</si>
  <si>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</si>
  <si>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</si>
  <si>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</si>
  <si>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</si>
  <si>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</si>
  <si>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</si>
  <si>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</si>
  <si>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</si>
  <si>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</si>
  <si>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</si>
  <si>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</si>
  <si>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</si>
  <si>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</si>
  <si>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</si>
  <si>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</si>
  <si>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</si>
  <si>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</si>
  <si>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</si>
  <si>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</si>
  <si>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</si>
  <si>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</si>
  <si>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</si>
  <si>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</si>
  <si>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</si>
  <si>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</si>
  <si>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</si>
  <si>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</si>
  <si>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</si>
  <si>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</si>
  <si>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</si>
  <si>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</si>
  <si>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</si>
  <si>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</si>
  <si>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</si>
  <si>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</si>
  <si>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</si>
  <si>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</si>
  <si>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</si>
  <si>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</si>
  <si>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</si>
  <si>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</si>
  <si>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</si>
  <si>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</si>
  <si>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</si>
  <si>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</si>
  <si>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</si>
  <si>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</si>
  <si>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</si>
  <si>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</si>
  <si>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</si>
  <si>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</si>
  <si>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</si>
  <si>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</si>
  <si>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</si>
  <si>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</si>
  <si>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</si>
  <si>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</si>
  <si>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</si>
  <si>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</si>
  <si>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</si>
  <si>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</si>
  <si>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</si>
  <si>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</si>
  <si>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</si>
  <si>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</si>
  <si>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</si>
  <si>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</si>
  <si>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</si>
  <si>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</si>
  <si>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</si>
  <si>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</si>
  <si>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</si>
  <si>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</si>
  <si>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</si>
  <si>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</si>
  <si>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</si>
  <si>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</si>
  <si>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</si>
  <si>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</si>
  <si>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</si>
  <si>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</si>
  <si>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</si>
  <si>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</si>
  <si>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</si>
  <si>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</si>
  <si>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</si>
  <si>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</si>
  <si>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</si>
  <si>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</si>
  <si>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</si>
  <si>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</si>
  <si>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</si>
  <si>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</si>
  <si>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</si>
  <si>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</si>
  <si>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</si>
  <si>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</si>
  <si>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</si>
  <si>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</si>
  <si>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</si>
  <si>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</si>
  <si>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</si>
  <si>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</si>
  <si>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</si>
  <si>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</si>
  <si>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</si>
  <si>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</si>
  <si>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</si>
  <si>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</si>
  <si>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</si>
  <si>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</si>
  <si>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</si>
  <si>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</si>
  <si>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</si>
  <si>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</si>
  <si>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</si>
  <si>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</si>
  <si>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</si>
  <si>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</si>
  <si>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</si>
  <si>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</si>
  <si>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</si>
  <si>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</si>
  <si>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</si>
  <si>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</si>
  <si>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</si>
  <si>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</si>
  <si>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</si>
  <si>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</si>
  <si>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</si>
  <si>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</si>
  <si>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</si>
  <si>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</si>
  <si>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</si>
  <si>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</si>
  <si>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</si>
  <si>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</si>
  <si>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</si>
  <si>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</si>
  <si>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</si>
  <si>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</si>
  <si>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</si>
  <si>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</si>
  <si>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</si>
  <si>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</si>
  <si>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</si>
  <si>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</si>
  <si>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</si>
  <si>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</si>
  <si>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</si>
  <si>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</si>
  <si>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</si>
  <si>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</si>
  <si>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</si>
  <si>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</si>
  <si>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</si>
  <si>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</si>
  <si>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</si>
  <si>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</si>
  <si>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</si>
  <si>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</si>
  <si>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</si>
  <si>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</si>
  <si>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</si>
  <si>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</si>
  <si>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</si>
  <si>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</si>
  <si>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</si>
  <si>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</si>
  <si>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</si>
  <si>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</si>
  <si>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</si>
  <si>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</si>
  <si>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</si>
  <si>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</si>
  <si>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</si>
  <si>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</si>
  <si>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</si>
  <si>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</si>
  <si>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</si>
  <si>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</si>
  <si>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</si>
  <si>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</si>
  <si>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</si>
  <si>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</si>
  <si>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</si>
  <si>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</si>
  <si>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</si>
  <si>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</si>
  <si>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</si>
  <si>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</si>
  <si>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</si>
  <si>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</si>
  <si>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</si>
  <si>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</si>
  <si>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</si>
  <si>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</si>
  <si>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</si>
  <si>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</si>
  <si>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</si>
  <si>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</si>
  <si>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</si>
  <si>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</si>
  <si>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</si>
  <si>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</si>
  <si>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</si>
  <si>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</si>
  <si>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</si>
  <si>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</si>
  <si>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</si>
  <si>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</si>
  <si>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</si>
  <si>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</si>
  <si>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</si>
  <si>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</si>
  <si>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</si>
  <si>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</si>
  <si>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</si>
  <si>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</si>
  <si>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</si>
  <si>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</si>
  <si>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</si>
  <si>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</si>
  <si>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</si>
  <si>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</si>
  <si>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</si>
  <si>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</si>
  <si>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</si>
  <si>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</si>
  <si>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</si>
  <si>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</si>
  <si>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</si>
  <si>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</si>
  <si>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</si>
  <si>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</si>
  <si>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</si>
  <si>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</si>
  <si>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</si>
  <si>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</si>
  <si>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</si>
  <si>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</si>
  <si>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</si>
  <si>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</si>
  <si>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</si>
  <si>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</si>
  <si>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</si>
  <si>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</si>
  <si>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</si>
  <si>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</si>
  <si>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</si>
  <si>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</si>
  <si>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</si>
  <si>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</si>
  <si>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</si>
  <si>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</si>
  <si>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</si>
  <si>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</si>
  <si>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</si>
  <si>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</si>
  <si>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</si>
  <si>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</si>
  <si>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</si>
  <si>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</si>
  <si>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</si>
  <si>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</si>
  <si>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</si>
  <si>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</si>
  <si>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</si>
  <si>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</si>
  <si>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</si>
  <si>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</si>
  <si>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</si>
  <si>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</si>
  <si>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</si>
  <si>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</si>
  <si>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</si>
  <si>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</si>
  <si>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</si>
  <si>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</si>
  <si>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</si>
  <si>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</si>
  <si>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</si>
  <si>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</si>
  <si>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</si>
  <si>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</si>
  <si>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</si>
  <si>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</si>
  <si>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</si>
  <si>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</si>
  <si>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</si>
  <si>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</si>
  <si>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</si>
  <si>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</si>
  <si>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</si>
  <si>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</si>
  <si>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</si>
  <si>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</si>
  <si>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</si>
  <si>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</si>
  <si>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</si>
  <si>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</si>
  <si>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</si>
  <si>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</si>
  <si>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</si>
  <si>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</si>
  <si>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</si>
  <si>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</si>
  <si>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</si>
  <si>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</si>
  <si>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</si>
  <si>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</si>
  <si>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</si>
  <si>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</si>
  <si>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</si>
  <si>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</si>
  <si>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</si>
  <si>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</si>
  <si>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</si>
  <si>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</si>
  <si>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</si>
  <si>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</si>
  <si>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</si>
  <si>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</si>
  <si>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</si>
  <si>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</si>
  <si>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</si>
  <si>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</si>
  <si>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</si>
  <si>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</si>
  <si>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</si>
  <si>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</si>
  <si>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</si>
  <si>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</si>
  <si>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</si>
  <si>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</si>
  <si>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</si>
  <si>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</si>
  <si>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</si>
  <si>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</si>
  <si>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</si>
  <si>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</si>
  <si>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</si>
  <si>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</si>
  <si>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</si>
  <si>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</si>
  <si>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</si>
  <si>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</si>
  <si>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</si>
  <si>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</si>
  <si>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</si>
  <si>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</si>
  <si>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</si>
  <si>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</si>
  <si>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</si>
  <si>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</si>
  <si>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</si>
  <si>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</si>
  <si>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</si>
  <si>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</si>
  <si>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</si>
  <si>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</si>
  <si>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</si>
  <si>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</si>
  <si>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</si>
  <si>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</si>
  <si>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</si>
  <si>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</si>
  <si>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</si>
  <si>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</si>
  <si>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</si>
  <si>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</si>
  <si>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</si>
  <si>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</si>
  <si>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</si>
  <si>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</si>
  <si>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</si>
  <si>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</si>
  <si>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</si>
  <si>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</si>
  <si>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</si>
  <si>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</si>
  <si>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</si>
  <si>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</si>
  <si>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</si>
  <si>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</si>
  <si>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</si>
  <si>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</si>
  <si>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</si>
  <si>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</si>
  <si>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</si>
  <si>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</si>
  <si>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</si>
  <si>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</si>
  <si>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</si>
  <si>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</si>
  <si>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</si>
  <si>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</si>
  <si>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</si>
  <si>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</si>
  <si>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</si>
  <si>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</si>
  <si>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</si>
  <si>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</si>
  <si>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</si>
  <si>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</si>
  <si>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</si>
  <si>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</si>
  <si>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</si>
  <si>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</si>
  <si>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</si>
  <si>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</si>
  <si>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</si>
  <si>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</si>
  <si>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</si>
  <si>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</si>
  <si>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</si>
  <si>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</si>
  <si>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</si>
  <si>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</si>
  <si>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</si>
  <si>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</si>
  <si>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</si>
  <si>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</si>
  <si>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</si>
  <si>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</si>
  <si>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</si>
  <si>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</si>
  <si>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</si>
  <si>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</si>
  <si>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</si>
  <si>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</si>
  <si>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</si>
  <si>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</si>
  <si>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</si>
  <si>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</si>
  <si>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</si>
  <si>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</si>
  <si>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</si>
  <si>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</si>
  <si>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</si>
  <si>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</si>
  <si>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</si>
  <si>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</si>
  <si>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</si>
  <si>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</si>
  <si>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</si>
  <si>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</si>
  <si>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</si>
  <si>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</si>
  <si>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</si>
  <si>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</si>
  <si>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</si>
  <si>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</si>
  <si>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</si>
  <si>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</si>
  <si>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</si>
  <si>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</si>
  <si>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</si>
  <si>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</si>
  <si>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</si>
  <si>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</si>
  <si>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</si>
  <si>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</si>
  <si>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</si>
  <si>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</si>
  <si>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</si>
  <si>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</si>
  <si>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</si>
  <si>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</si>
  <si>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</si>
  <si>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</si>
  <si>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</si>
  <si>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</si>
  <si>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</si>
  <si>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</si>
  <si>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</si>
  <si>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</si>
  <si>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</si>
  <si>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</si>
  <si>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</si>
  <si>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</si>
  <si>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</si>
  <si>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</si>
  <si>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</si>
  <si>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</si>
  <si>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</si>
  <si>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</si>
  <si>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</si>
  <si>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</si>
  <si>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</si>
  <si>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</si>
  <si>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</si>
  <si>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</si>
  <si>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</si>
  <si>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</si>
  <si>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</si>
  <si>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</si>
  <si>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</si>
  <si>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</si>
  <si>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</si>
  <si>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</si>
  <si>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</si>
  <si>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</si>
  <si>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</si>
  <si>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</si>
  <si>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</si>
  <si>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</si>
  <si>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</si>
  <si>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</si>
  <si>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</si>
  <si>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</si>
  <si>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</si>
  <si>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</si>
  <si>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</si>
  <si>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</si>
  <si>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</si>
  <si>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</si>
  <si>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</si>
  <si>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</si>
  <si>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</si>
  <si>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</si>
  <si>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</si>
  <si>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</si>
  <si>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</si>
  <si>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</si>
  <si>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</si>
  <si>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</si>
  <si>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</si>
  <si>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</si>
  <si>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</si>
  <si>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</si>
  <si>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</si>
  <si>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</si>
  <si>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</si>
  <si>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</si>
  <si>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</si>
  <si>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</si>
  <si>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</si>
  <si>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</si>
  <si>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</si>
  <si>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</si>
  <si>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</si>
  <si>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</si>
  <si>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</si>
  <si>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</si>
  <si>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</si>
  <si>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</si>
  <si>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</si>
  <si>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</si>
  <si>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</si>
  <si>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</si>
  <si>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</si>
  <si>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</si>
  <si>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</si>
  <si>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</si>
  <si>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</si>
  <si>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</si>
  <si>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</si>
  <si>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</si>
  <si>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</si>
  <si>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</si>
  <si>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</si>
  <si>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</si>
  <si>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</si>
  <si>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</si>
  <si>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</si>
  <si>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</si>
  <si>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</si>
  <si>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</si>
  <si>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</si>
  <si>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</si>
  <si>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</si>
  <si>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</si>
  <si>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</si>
  <si>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</si>
  <si>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</si>
  <si>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</si>
  <si>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</si>
  <si>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</si>
  <si>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</si>
  <si>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</si>
  <si>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</si>
  <si>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</si>
  <si>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</si>
  <si>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</si>
  <si>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</si>
  <si>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</si>
  <si>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</si>
  <si>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</si>
  <si>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</si>
  <si>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</si>
  <si>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</si>
  <si>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</si>
  <si>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</si>
  <si>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</si>
  <si>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</si>
  <si>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</si>
  <si>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</si>
  <si>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</si>
  <si>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</si>
  <si>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</si>
  <si>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</si>
  <si>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</si>
  <si>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</si>
  <si>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</si>
  <si>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</si>
  <si>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</si>
  <si>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</si>
  <si>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</si>
  <si>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</si>
  <si>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</si>
  <si>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</si>
  <si>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</si>
  <si>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</si>
  <si>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</si>
  <si>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</si>
  <si>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</si>
  <si>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</si>
  <si>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</si>
  <si>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</si>
  <si>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</si>
  <si>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</si>
  <si>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</si>
  <si>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</si>
  <si>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</si>
  <si>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</si>
  <si>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</si>
  <si>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</si>
  <si>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</si>
  <si>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</si>
  <si>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</si>
  <si>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</si>
  <si>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</si>
  <si>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</si>
  <si>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</si>
  <si>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</si>
  <si>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</si>
  <si>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</si>
  <si>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</si>
  <si>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</si>
  <si>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</si>
  <si>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</si>
  <si>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</si>
  <si>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</si>
  <si>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</si>
  <si>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</si>
  <si>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</si>
  <si>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</si>
  <si>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</si>
  <si>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</si>
  <si>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</si>
  <si>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</si>
  <si>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</si>
  <si>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</si>
  <si>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</si>
  <si>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</si>
  <si>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</si>
  <si>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</si>
  <si>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</si>
  <si>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</si>
  <si>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</si>
  <si>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</si>
  <si>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</si>
  <si>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</si>
  <si>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</si>
  <si>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</si>
  <si>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</si>
  <si>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</si>
  <si>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</si>
  <si>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</si>
  <si>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</si>
  <si>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</si>
  <si>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</si>
  <si>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</si>
  <si>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</si>
  <si>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</si>
  <si>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</si>
  <si>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</si>
  <si>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</si>
  <si>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</si>
  <si>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</si>
  <si>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</si>
  <si>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</si>
  <si>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</si>
  <si>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</si>
  <si>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</si>
  <si>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</si>
  <si>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</si>
  <si>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</si>
  <si>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</si>
  <si>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</si>
  <si>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</si>
  <si>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</si>
  <si>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</si>
  <si>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</si>
  <si>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</si>
  <si>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</si>
  <si>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</si>
  <si>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</si>
  <si>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</si>
  <si>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</si>
  <si>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</si>
  <si>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</si>
  <si>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</si>
  <si>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</si>
  <si>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</si>
  <si>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</si>
  <si>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</si>
  <si>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</si>
  <si>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</si>
  <si>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</si>
  <si>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</si>
  <si>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</si>
  <si>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</si>
  <si>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</si>
  <si>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</si>
  <si>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</si>
  <si>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</si>
  <si>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</si>
  <si>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</si>
  <si>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</si>
  <si>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</si>
  <si>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</si>
  <si>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</si>
  <si>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</si>
  <si>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</si>
  <si>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</si>
  <si>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</si>
  <si>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</si>
  <si>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</si>
  <si>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</si>
  <si>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</si>
  <si>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</si>
  <si>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</si>
  <si>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</si>
  <si>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</si>
  <si>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</si>
  <si>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</si>
  <si>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</si>
  <si>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</si>
  <si>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</si>
  <si>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</si>
  <si>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</si>
  <si>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</si>
  <si>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</si>
  <si>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</si>
  <si>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</si>
  <si>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</si>
  <si>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</si>
  <si>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</si>
  <si>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</si>
  <si>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</si>
  <si>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</si>
  <si>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</si>
  <si>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</si>
  <si>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</si>
  <si>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</si>
  <si>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</si>
  <si>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</si>
  <si>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</si>
  <si>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</si>
  <si>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</si>
  <si>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</si>
  <si>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</si>
  <si>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</si>
  <si>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</si>
  <si>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</si>
  <si>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</si>
  <si>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</si>
  <si>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</si>
  <si>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</si>
  <si>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</si>
  <si>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</si>
  <si>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</si>
  <si>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</si>
  <si>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</si>
  <si>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</si>
  <si>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</si>
  <si>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</si>
  <si>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</si>
  <si>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</si>
  <si>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</si>
  <si>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</si>
  <si>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</si>
  <si>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</si>
  <si>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</si>
  <si>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</si>
  <si>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</si>
  <si>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</si>
  <si>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</si>
  <si>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</si>
  <si>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</si>
  <si>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</si>
  <si>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</si>
  <si>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</si>
  <si>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</si>
  <si>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</si>
  <si>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</si>
  <si>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</si>
  <si>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</si>
  <si>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</si>
  <si>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</si>
  <si>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</si>
  <si>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</si>
  <si>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</si>
  <si>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</si>
  <si>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</si>
  <si>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</si>
  <si>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</si>
  <si>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</si>
  <si>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</si>
  <si>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</si>
  <si>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</si>
  <si>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</si>
  <si>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</si>
  <si>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</si>
  <si>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</si>
  <si>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</si>
  <si>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</si>
  <si>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</si>
  <si>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</si>
  <si>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</si>
  <si>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</si>
  <si>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</si>
  <si>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</si>
  <si>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</si>
  <si>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</si>
  <si>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</si>
  <si>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</si>
  <si>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</si>
  <si>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</si>
  <si>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</si>
  <si>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</si>
  <si>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</si>
  <si>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</si>
  <si>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</si>
  <si>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</si>
  <si>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</si>
  <si>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</si>
  <si>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</si>
  <si>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</si>
  <si>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</si>
  <si>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</si>
  <si>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</si>
  <si>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</si>
  <si>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</si>
  <si>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</si>
  <si>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</si>
  <si>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</si>
  <si>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</si>
  <si>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</si>
  <si>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</si>
  <si>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</si>
  <si>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</si>
  <si>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</si>
  <si>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</si>
  <si>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</si>
  <si>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</si>
  <si>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</si>
  <si>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</si>
  <si>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</si>
  <si>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</si>
  <si>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</si>
  <si>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</si>
  <si>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</si>
  <si>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</si>
  <si>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</si>
  <si>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</si>
  <si>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</si>
  <si>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</si>
  <si>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</si>
  <si>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</si>
  <si>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</si>
  <si>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</si>
  <si>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</si>
  <si>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</si>
  <si>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</si>
  <si>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</si>
  <si>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</si>
  <si>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</si>
  <si>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</si>
  <si>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</si>
  <si>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</si>
  <si>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</si>
  <si>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</si>
  <si>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</si>
  <si>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</si>
  <si>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</si>
  <si>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</si>
  <si>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</si>
  <si>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</si>
  <si>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</si>
  <si>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</si>
  <si>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</si>
  <si>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</si>
  <si>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</si>
  <si>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</si>
  <si>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</si>
  <si>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</si>
  <si>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</si>
  <si>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</si>
  <si>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</si>
  <si>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</si>
  <si>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</si>
  <si>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</si>
  <si>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</si>
  <si>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</si>
  <si>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</si>
  <si>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</si>
  <si>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</si>
  <si>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</si>
  <si>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</si>
  <si>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</si>
  <si>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</si>
  <si>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</si>
  <si>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</si>
  <si>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</si>
  <si>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</si>
  <si>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</si>
  <si>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</si>
  <si>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</si>
  <si>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</si>
  <si>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</si>
  <si>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</si>
  <si>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</si>
  <si>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</si>
  <si>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</si>
  <si>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</si>
  <si>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</si>
  <si>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</si>
  <si>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</si>
  <si>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</si>
  <si>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</si>
  <si>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</si>
  <si>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</si>
  <si>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</si>
  <si>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</si>
  <si>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</si>
  <si>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</si>
  <si>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</si>
  <si>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</si>
  <si>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</si>
  <si>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</si>
  <si>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</si>
  <si>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</si>
  <si>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</si>
  <si>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</si>
  <si>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</si>
  <si>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</si>
  <si>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</si>
  <si>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</si>
  <si>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</si>
  <si>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</si>
  <si>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</si>
  <si>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</si>
  <si>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</si>
  <si>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</si>
  <si>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</si>
  <si>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</si>
  <si>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</si>
  <si>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</si>
  <si>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</si>
  <si>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</si>
  <si>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</si>
  <si>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</si>
  <si>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</si>
  <si>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</si>
  <si>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</si>
  <si>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</si>
  <si>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</si>
  <si>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</si>
  <si>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</si>
  <si>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</si>
  <si>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</si>
  <si>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</si>
  <si>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</si>
  <si>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</si>
  <si>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</si>
  <si>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</si>
  <si>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</si>
  <si>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</si>
  <si>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</si>
  <si>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</si>
  <si>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</si>
  <si>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</si>
  <si>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</si>
  <si>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</si>
  <si>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</si>
  <si>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</si>
  <si>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</si>
  <si>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</si>
  <si>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</si>
  <si>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</si>
  <si>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</si>
  <si>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</si>
  <si>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</si>
  <si>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</si>
  <si>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</si>
  <si>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</si>
  <si>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</si>
  <si>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</si>
  <si>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</si>
  <si>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</si>
  <si>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</si>
  <si>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</si>
  <si>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</si>
  <si>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</si>
  <si>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</si>
  <si>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</si>
  <si>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</si>
  <si>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</si>
  <si>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</si>
  <si>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</si>
  <si>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</si>
  <si>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</si>
  <si>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</si>
  <si>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</si>
  <si>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</si>
  <si>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</si>
  <si>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</si>
  <si>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</si>
  <si>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</si>
  <si>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</si>
  <si>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</si>
  <si>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</si>
  <si>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</si>
  <si>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</si>
  <si>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</si>
  <si>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</si>
  <si>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</si>
  <si>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</si>
  <si>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</si>
  <si>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</si>
  <si>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</si>
  <si>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</si>
  <si>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</si>
  <si>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</si>
  <si>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</si>
  <si>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</si>
  <si>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</si>
  <si>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</si>
  <si>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</si>
  <si>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</si>
  <si>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</si>
  <si>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</si>
  <si>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</si>
  <si>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</si>
  <si>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</si>
  <si>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</si>
  <si>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</si>
  <si>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</si>
  <si>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</si>
  <si>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</si>
  <si>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</si>
  <si>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</si>
  <si>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</si>
  <si>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</si>
  <si>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</si>
  <si>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</si>
  <si>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</si>
  <si>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</si>
  <si>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</si>
  <si>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</si>
  <si>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</si>
  <si>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</si>
  <si>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</si>
  <si>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</si>
  <si>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</si>
  <si>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</si>
  <si>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</si>
  <si>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</si>
  <si>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</si>
  <si>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</si>
  <si>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</si>
  <si>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</si>
  <si>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</si>
  <si>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</si>
  <si>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</si>
  <si>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</si>
  <si>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</si>
  <si>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</si>
  <si>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</si>
  <si>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</si>
  <si>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</si>
  <si>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</si>
  <si>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</si>
  <si>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</si>
  <si>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</si>
  <si>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</si>
  <si>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</si>
  <si>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</si>
  <si>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</si>
  <si>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</si>
  <si>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</si>
  <si>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</si>
  <si>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</si>
  <si>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</si>
  <si>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</si>
  <si>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</si>
  <si>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</si>
  <si>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</si>
  <si>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</si>
  <si>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</si>
  <si>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</si>
  <si>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</si>
  <si>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</si>
  <si>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</si>
  <si>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</si>
  <si>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</si>
  <si>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</si>
  <si>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</si>
  <si>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</si>
  <si>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</si>
  <si>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</si>
  <si>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</si>
  <si>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</si>
  <si>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</si>
  <si>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</si>
  <si>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</si>
  <si>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</si>
  <si>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</si>
  <si>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</si>
  <si>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</si>
  <si>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</si>
  <si>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</si>
  <si>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</si>
  <si>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</si>
  <si>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</si>
  <si>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</si>
  <si>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</si>
  <si>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</si>
  <si>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</si>
  <si>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</si>
  <si>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</si>
  <si>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</si>
  <si>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</si>
  <si>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</si>
  <si>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</si>
  <si>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</si>
  <si>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</si>
  <si>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</si>
  <si>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</si>
  <si>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</si>
  <si>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</si>
  <si>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</si>
  <si>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</si>
  <si>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</si>
  <si>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</si>
  <si>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</si>
  <si>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</si>
  <si>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</si>
  <si>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</si>
  <si>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</si>
  <si>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</si>
  <si>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</si>
  <si>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</si>
  <si>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</si>
  <si>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</si>
  <si>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</si>
  <si>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</si>
  <si>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</si>
  <si>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</si>
  <si>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</si>
  <si>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</si>
  <si>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</si>
  <si>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</si>
  <si>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</si>
  <si>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</si>
  <si>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</si>
  <si>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</si>
  <si>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</si>
  <si>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</si>
  <si>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</si>
  <si>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</si>
  <si>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</si>
  <si>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</si>
  <si>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</si>
  <si>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</si>
  <si>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</si>
  <si>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</si>
  <si>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</si>
  <si>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</si>
  <si>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</si>
  <si>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</si>
  <si>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</si>
  <si>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</si>
  <si>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</si>
  <si>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</si>
  <si>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</si>
  <si>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</si>
  <si>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</si>
  <si>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</si>
  <si>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</si>
  <si>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</si>
  <si>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</si>
  <si>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</si>
  <si>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</si>
  <si>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</si>
  <si>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</si>
  <si>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</si>
  <si>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</si>
  <si>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</si>
  <si>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</si>
  <si>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</si>
  <si>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</si>
  <si>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</si>
  <si>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</si>
  <si>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</si>
  <si>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</si>
  <si>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</si>
  <si>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</si>
  <si>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</si>
  <si>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</si>
  <si>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</si>
  <si>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</si>
  <si>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</si>
  <si>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</si>
  <si>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</si>
  <si>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</si>
  <si>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</si>
  <si>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</si>
  <si>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</si>
  <si>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</si>
  <si>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</si>
  <si>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</si>
  <si>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</si>
  <si>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</si>
  <si>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</si>
  <si>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</si>
  <si>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</si>
  <si>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</si>
  <si>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</si>
  <si>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</si>
  <si>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</si>
  <si>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</si>
  <si>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</si>
  <si>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</si>
  <si>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</si>
  <si>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</si>
  <si>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</si>
  <si>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</si>
  <si>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</si>
  <si>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</si>
  <si>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</si>
  <si>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</si>
  <si>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</si>
  <si>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</si>
  <si>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</si>
  <si>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</si>
  <si>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</si>
  <si>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</si>
  <si>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</si>
  <si>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</si>
  <si>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</si>
  <si>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</si>
  <si>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</si>
  <si>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</si>
  <si>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</si>
  <si>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</si>
  <si>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</si>
  <si>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</si>
  <si>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</si>
  <si>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</si>
  <si>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</si>
  <si>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</si>
  <si>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</si>
  <si>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</si>
  <si>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</si>
  <si>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</si>
  <si>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</si>
  <si>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</si>
  <si>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</si>
  <si>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</si>
  <si>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</si>
  <si>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</si>
  <si>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</si>
  <si>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</si>
  <si>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</si>
  <si>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</si>
  <si>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</si>
  <si>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</si>
  <si>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</si>
  <si>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</si>
  <si>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</si>
  <si>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</si>
  <si>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</si>
  <si>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</si>
  <si>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</si>
  <si>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</si>
  <si>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</si>
  <si>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</si>
  <si>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</si>
  <si>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</si>
  <si>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</si>
  <si>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</si>
  <si>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</si>
  <si>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</si>
  <si>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</si>
  <si>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</si>
  <si>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</si>
  <si>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</si>
  <si>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</si>
  <si>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</si>
  <si>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</si>
  <si>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</si>
  <si>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</si>
  <si>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</si>
  <si>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</si>
  <si>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</si>
  <si>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</si>
  <si>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</si>
  <si>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</si>
  <si>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</si>
  <si>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</si>
  <si>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</si>
  <si>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</si>
  <si>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</si>
  <si>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</si>
  <si>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</si>
  <si>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</si>
  <si>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</si>
  <si>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</si>
  <si>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</si>
  <si>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</si>
  <si>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</si>
  <si>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</si>
  <si>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</si>
  <si>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</si>
  <si>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</si>
  <si>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</si>
  <si>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</si>
  <si>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</si>
  <si>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</si>
  <si>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</si>
  <si>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</si>
  <si>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</si>
  <si>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</si>
  <si>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</si>
  <si>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</si>
  <si>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</si>
  <si>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</si>
  <si>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</si>
  <si>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</si>
  <si>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</si>
  <si>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</si>
  <si>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</si>
  <si>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</si>
  <si>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</si>
  <si>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</si>
  <si>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</si>
  <si>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</si>
  <si>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</si>
  <si>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</si>
  <si>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</si>
  <si>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</si>
  <si>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</si>
  <si>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</si>
  <si>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</si>
  <si>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</si>
  <si>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</si>
  <si>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</si>
  <si>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</si>
  <si>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</si>
  <si>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</si>
  <si>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</si>
  <si>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</si>
  <si>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</si>
  <si>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</si>
  <si>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</si>
  <si>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</si>
  <si>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</si>
  <si>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</si>
  <si>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</si>
  <si>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</si>
  <si>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</si>
  <si>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</si>
  <si>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</si>
  <si>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</si>
  <si>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</si>
  <si>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</si>
  <si>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</si>
  <si>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</si>
  <si>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</si>
  <si>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</si>
  <si>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</si>
  <si>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</si>
  <si>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</si>
  <si>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</si>
  <si>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</si>
  <si>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</si>
  <si>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</si>
  <si>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</si>
  <si>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</si>
  <si>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</si>
  <si>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</si>
  <si>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</si>
  <si>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</si>
  <si>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</si>
  <si>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</si>
  <si>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</si>
  <si>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</si>
  <si>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</si>
  <si>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</si>
  <si>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</si>
  <si>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</si>
  <si>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</si>
  <si>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</si>
  <si>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</si>
  <si>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</si>
  <si>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</si>
  <si>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</si>
  <si>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</si>
  <si>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</si>
  <si>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</si>
  <si>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</si>
  <si>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</si>
  <si>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</si>
  <si>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</si>
  <si>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</si>
  <si>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</si>
  <si>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</si>
  <si>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</si>
  <si>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</si>
  <si>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</si>
  <si>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</si>
  <si>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</si>
  <si>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</si>
  <si>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</si>
  <si>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</si>
  <si>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</si>
  <si>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</si>
  <si>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</si>
  <si>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</si>
  <si>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</si>
  <si>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</si>
  <si>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</si>
  <si>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</si>
  <si>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</si>
  <si>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</si>
  <si>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</si>
  <si>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</si>
  <si>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</si>
  <si>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</si>
  <si>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</si>
  <si>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</si>
  <si>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</si>
  <si>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</si>
  <si>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</si>
  <si>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</si>
  <si>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</si>
  <si>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</si>
  <si>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</si>
  <si>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</si>
  <si>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</si>
  <si>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</si>
  <si>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</si>
  <si>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</si>
  <si>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</si>
  <si>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</si>
  <si>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</si>
  <si>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</si>
  <si>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</si>
  <si>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</si>
  <si>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</si>
  <si>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</si>
  <si>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</si>
  <si>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</si>
  <si>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</si>
  <si>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</si>
  <si>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</si>
  <si>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</si>
  <si>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</si>
  <si>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</si>
  <si>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</si>
  <si>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</si>
  <si>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</si>
  <si>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</si>
  <si>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</si>
  <si>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</si>
  <si>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</si>
  <si>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</si>
  <si>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</si>
  <si>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</si>
  <si>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</si>
  <si>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</si>
  <si>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</si>
  <si>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</si>
  <si>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</si>
  <si>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</si>
  <si>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</si>
  <si>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</si>
  <si>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</si>
  <si>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</si>
  <si>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</si>
  <si>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</si>
  <si>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</si>
  <si>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</si>
  <si>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</si>
  <si>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</si>
  <si>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</si>
  <si>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</si>
  <si>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</si>
  <si>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</si>
  <si>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</si>
  <si>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</si>
  <si>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</si>
  <si>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</si>
  <si>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</si>
  <si>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</si>
  <si>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</si>
  <si>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</si>
  <si>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</si>
  <si>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</si>
  <si>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</si>
  <si>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</si>
  <si>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</si>
  <si>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</si>
  <si>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</si>
  <si>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</si>
  <si>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</si>
  <si>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</si>
  <si>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</si>
  <si>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</si>
  <si>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</si>
  <si>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</si>
  <si>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</si>
  <si>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</si>
  <si>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</si>
  <si>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</si>
  <si>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</si>
  <si>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</si>
  <si>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</si>
  <si>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</si>
  <si>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</si>
  <si>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</si>
  <si>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</si>
  <si>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</si>
  <si>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</si>
  <si>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</si>
  <si>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</si>
  <si>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</si>
  <si>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</si>
  <si>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</si>
  <si>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</si>
  <si>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</si>
  <si>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</si>
  <si>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</si>
  <si>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</si>
  <si>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</si>
  <si>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</si>
  <si>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</si>
  <si>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</si>
  <si>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</si>
  <si>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</si>
  <si>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</si>
  <si>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</si>
  <si>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</si>
  <si>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</si>
  <si>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</si>
  <si>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</si>
  <si>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</si>
  <si>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</si>
  <si>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</si>
  <si>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</si>
  <si>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</si>
  <si>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</si>
  <si>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</si>
  <si>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</si>
  <si>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</si>
  <si>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</si>
  <si>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</si>
  <si>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</si>
  <si>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</si>
  <si>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</si>
  <si>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</si>
  <si>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</si>
  <si>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</si>
  <si>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</si>
  <si>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</si>
  <si>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</si>
  <si>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</si>
  <si>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</si>
  <si>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</si>
  <si>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</si>
  <si>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</si>
  <si>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</si>
  <si>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</si>
  <si>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</si>
  <si>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</si>
  <si>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</si>
  <si>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</si>
  <si>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</si>
  <si>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</si>
  <si>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</si>
  <si>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</si>
  <si>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</si>
  <si>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</si>
  <si>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</si>
  <si>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</si>
  <si>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</si>
  <si>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</si>
  <si>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</si>
  <si>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</si>
  <si>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</si>
  <si>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</si>
  <si>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</si>
  <si>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</si>
  <si>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</si>
  <si>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</si>
  <si>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</si>
  <si>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</si>
  <si>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</si>
  <si>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</si>
  <si>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</si>
  <si>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</si>
  <si>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</si>
  <si>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</si>
  <si>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</si>
  <si>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</si>
  <si>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</si>
  <si>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</si>
  <si>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</si>
  <si>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</si>
  <si>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</si>
  <si>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</si>
  <si>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</si>
  <si>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</si>
  <si>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</si>
  <si>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</si>
  <si>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</si>
  <si>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</si>
  <si>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</si>
  <si>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</si>
  <si>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</si>
  <si>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</si>
  <si>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</si>
  <si>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</si>
  <si>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</si>
  <si>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</si>
  <si>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</si>
  <si>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</si>
  <si>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</si>
  <si>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</si>
  <si>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</si>
  <si>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</si>
  <si>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</si>
  <si>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</si>
  <si>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</si>
  <si>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</si>
  <si>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</si>
  <si>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</si>
  <si>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</si>
  <si>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</si>
  <si>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</si>
  <si>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</si>
  <si>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</si>
  <si>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</si>
  <si>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</si>
  <si>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</si>
  <si>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</si>
  <si>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</si>
  <si>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</si>
  <si>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</si>
  <si>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</si>
  <si>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</si>
  <si>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</si>
  <si>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</si>
  <si>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</si>
  <si>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</si>
  <si>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</si>
  <si>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</si>
  <si>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</si>
  <si>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</si>
  <si>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</si>
  <si>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</si>
  <si>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</si>
  <si>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</si>
  <si>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</si>
  <si>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</si>
  <si>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</si>
  <si>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</si>
  <si>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</si>
  <si>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</si>
  <si>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</si>
  <si>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</si>
  <si>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</si>
  <si>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</si>
  <si>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</si>
  <si>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</si>
  <si>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</si>
  <si>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</si>
  <si>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</si>
  <si>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</si>
  <si>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</si>
  <si>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</si>
  <si>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</si>
  <si>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</si>
  <si>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</si>
  <si>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</si>
  <si>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</si>
  <si>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</si>
  <si>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</si>
  <si>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</si>
  <si>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</si>
  <si>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</si>
  <si>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</si>
  <si>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</si>
  <si>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</si>
  <si>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</si>
  <si>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</si>
  <si>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</si>
  <si>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</si>
  <si>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</si>
  <si>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</si>
  <si>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</si>
  <si>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</si>
  <si>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</si>
  <si>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</si>
  <si>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</si>
  <si>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</si>
  <si>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</si>
  <si>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</si>
  <si>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</si>
  <si>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</si>
  <si>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</si>
  <si>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</si>
  <si>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</si>
  <si>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</si>
  <si>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</si>
  <si>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</si>
  <si>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</si>
  <si>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</si>
  <si>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</si>
  <si>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</si>
  <si>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</si>
  <si>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</si>
  <si>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</si>
  <si>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</si>
  <si>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</si>
  <si>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</si>
  <si>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</si>
  <si>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</si>
  <si>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</si>
  <si>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</si>
  <si>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</si>
  <si>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</si>
  <si>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</si>
  <si>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</si>
  <si>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</si>
  <si>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</si>
  <si>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</si>
  <si>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</si>
  <si>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</si>
  <si>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</si>
  <si>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</si>
  <si>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</si>
  <si>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</si>
  <si>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</si>
  <si>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</si>
  <si>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</si>
  <si>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</si>
  <si>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</si>
  <si>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</si>
  <si>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</si>
  <si>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</si>
  <si>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</si>
  <si>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</si>
  <si>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</si>
  <si>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</si>
  <si>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</si>
  <si>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</si>
  <si>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</si>
  <si>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</si>
  <si>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</si>
  <si>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</si>
  <si>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</si>
  <si>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</si>
  <si>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</si>
  <si>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</si>
  <si>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</si>
  <si>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</si>
  <si>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</si>
  <si>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</si>
  <si>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</si>
  <si>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</si>
  <si>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</si>
  <si>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</si>
  <si>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</si>
  <si>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</si>
  <si>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</si>
  <si>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</si>
  <si>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</si>
  <si>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</si>
  <si>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</si>
  <si>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</si>
  <si>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</si>
  <si>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</si>
  <si>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</si>
  <si>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</si>
  <si>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</si>
  <si>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</si>
  <si>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</si>
  <si>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</si>
  <si>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</si>
  <si>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</si>
  <si>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</si>
  <si>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</si>
  <si>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</si>
  <si>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</si>
  <si>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</si>
  <si>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</si>
  <si>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</si>
  <si>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</si>
  <si>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</si>
  <si>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</si>
  <si>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</si>
  <si>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</si>
  <si>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</si>
  <si>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</si>
  <si>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</si>
  <si>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</si>
  <si>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</si>
  <si>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</si>
  <si>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</si>
  <si>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</si>
  <si>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</si>
  <si>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</si>
  <si>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</si>
  <si>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</si>
  <si>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</si>
  <si>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</si>
  <si>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</si>
  <si>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</si>
  <si>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</si>
  <si>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</si>
  <si>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</si>
  <si>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</si>
  <si>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</si>
  <si>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</si>
  <si>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</si>
  <si>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</si>
  <si>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</si>
  <si>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</si>
  <si>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</si>
  <si>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</si>
  <si>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</si>
  <si>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</si>
  <si>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</si>
  <si>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</si>
  <si>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</si>
  <si>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</si>
  <si>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</si>
  <si>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</si>
  <si>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</si>
  <si>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</si>
  <si>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</si>
  <si>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</si>
  <si>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</si>
  <si>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</si>
  <si>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</si>
  <si>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</si>
  <si>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</si>
  <si>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</si>
  <si>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</si>
  <si>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</si>
  <si>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</si>
  <si>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</si>
  <si>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</si>
  <si>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</si>
  <si>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</si>
  <si>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</si>
  <si>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</si>
  <si>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</si>
  <si>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</si>
  <si>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</si>
  <si>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</si>
  <si>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</si>
  <si>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</si>
  <si>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</si>
  <si>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</si>
  <si>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</si>
  <si>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</si>
  <si>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</si>
  <si>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</si>
  <si>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</si>
  <si>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</si>
  <si>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</si>
  <si>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</si>
  <si>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</si>
  <si>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</si>
  <si>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</si>
  <si>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</si>
  <si>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</si>
  <si>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</si>
  <si>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</si>
  <si>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</si>
  <si>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</si>
  <si>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</si>
  <si>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</si>
  <si>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</si>
  <si>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</si>
  <si>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</si>
  <si>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</si>
  <si>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</si>
  <si>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</si>
  <si>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</si>
  <si>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</si>
  <si>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</si>
  <si>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</si>
  <si>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</si>
  <si>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</si>
  <si>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</si>
  <si>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</si>
  <si>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</si>
  <si>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</si>
  <si>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</si>
  <si>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</si>
  <si>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</si>
  <si>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</si>
  <si>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</si>
  <si>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</si>
  <si>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</si>
  <si>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</si>
  <si>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</si>
  <si>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</si>
  <si>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</si>
  <si>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</si>
  <si>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</si>
  <si>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</si>
  <si>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</si>
  <si>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</si>
  <si>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</si>
  <si>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</si>
  <si>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</si>
  <si>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</si>
  <si>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</si>
  <si>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</si>
  <si>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</si>
  <si>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</si>
  <si>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</si>
  <si>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</si>
  <si>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</si>
  <si>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</si>
  <si>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</si>
  <si>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</si>
  <si>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</si>
  <si>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</si>
  <si>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</si>
  <si>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</si>
  <si>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</si>
  <si>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</si>
  <si>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</si>
  <si>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</si>
  <si>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</si>
  <si>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</si>
  <si>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</si>
  <si>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</si>
  <si>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</si>
  <si>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</si>
  <si>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</si>
  <si>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</si>
  <si>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</si>
  <si>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</si>
  <si>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</si>
  <si>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</si>
  <si>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</si>
  <si>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</si>
  <si>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</si>
  <si>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</si>
  <si>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</si>
  <si>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</si>
  <si>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</si>
  <si>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</si>
  <si>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</si>
  <si>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</si>
  <si>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</si>
  <si>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</si>
  <si>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</si>
  <si>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</si>
  <si>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</si>
  <si>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</si>
  <si>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</si>
  <si>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</si>
  <si>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</si>
  <si>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</si>
  <si>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</si>
  <si>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</si>
  <si>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</si>
  <si>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</si>
  <si>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</si>
  <si>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</si>
  <si>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</si>
  <si>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</si>
  <si>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</si>
  <si>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</si>
  <si>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</si>
  <si>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</si>
  <si>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</si>
  <si>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</si>
  <si>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</si>
  <si>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</si>
  <si>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</si>
  <si>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</si>
  <si>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</si>
  <si>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</si>
  <si>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</si>
  <si>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</si>
  <si>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</si>
  <si>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</si>
  <si>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</si>
  <si>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</si>
  <si>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</si>
  <si>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</si>
  <si>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</si>
  <si>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</si>
  <si>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</si>
  <si>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</si>
  <si>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</si>
  <si>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</si>
  <si>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</si>
  <si>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</si>
  <si>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</si>
  <si>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</si>
  <si>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</si>
  <si>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</si>
  <si>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</si>
  <si>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</si>
  <si>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</si>
  <si>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</si>
  <si>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</si>
  <si>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</si>
  <si>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</si>
  <si>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</si>
  <si>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</si>
  <si>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</si>
  <si>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</si>
  <si>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</si>
  <si>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</si>
  <si>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</si>
  <si>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</si>
  <si>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</si>
  <si>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</si>
  <si>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</si>
  <si>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</si>
  <si>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</si>
  <si>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</si>
  <si>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</si>
  <si>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</si>
  <si>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</si>
  <si>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</si>
  <si>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</si>
  <si>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</si>
  <si>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</si>
  <si>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</si>
  <si>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</si>
  <si>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</si>
  <si>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</si>
  <si>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</si>
  <si>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</si>
  <si>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</si>
  <si>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</si>
  <si>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</si>
  <si>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</si>
  <si>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</si>
  <si>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</si>
  <si>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</si>
  <si>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</si>
  <si>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</si>
  <si>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</si>
  <si>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</si>
  <si>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</si>
  <si>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</si>
  <si>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</si>
  <si>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</si>
  <si>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</si>
  <si>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</si>
  <si>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</si>
  <si>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</si>
  <si>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</si>
  <si>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</si>
  <si>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</si>
  <si>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</si>
  <si>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</si>
  <si>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</si>
  <si>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</si>
  <si>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</si>
  <si>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</si>
  <si>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</si>
  <si>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</si>
  <si>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</si>
  <si>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</si>
  <si>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</si>
  <si>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</si>
  <si>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</si>
  <si>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</si>
  <si>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</si>
  <si>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</si>
  <si>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</si>
  <si>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</si>
  <si>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</si>
  <si>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</si>
  <si>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</si>
  <si>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</si>
  <si>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</si>
  <si>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</si>
  <si>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</si>
  <si>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</si>
  <si>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</si>
  <si>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</si>
  <si>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</si>
  <si>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</si>
  <si>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</si>
  <si>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</si>
  <si>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</si>
  <si>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</si>
  <si>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</si>
  <si>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</si>
  <si>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</si>
  <si>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</si>
  <si>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</si>
  <si>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</si>
  <si>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</si>
  <si>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</si>
  <si>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</si>
  <si>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</si>
  <si>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</si>
  <si>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</si>
  <si>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</si>
  <si>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</si>
  <si>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</si>
  <si>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</si>
  <si>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</si>
  <si>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</si>
  <si>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</si>
  <si>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</si>
  <si>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</si>
  <si>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</si>
  <si>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</si>
  <si>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</si>
  <si>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</si>
  <si>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</si>
  <si>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</si>
  <si>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</si>
  <si>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</si>
  <si>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</si>
  <si>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</si>
  <si>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</si>
  <si>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</si>
  <si>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</si>
  <si>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</si>
  <si>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</si>
  <si>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</si>
  <si>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</si>
  <si>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</si>
  <si>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</si>
  <si>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</si>
  <si>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</si>
  <si>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</si>
  <si>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</si>
  <si>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</si>
  <si>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</si>
  <si>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</si>
  <si>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</si>
  <si>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</si>
  <si>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</si>
  <si>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</si>
  <si>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</si>
  <si>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</si>
  <si>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</si>
  <si>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</si>
  <si>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</si>
  <si>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</si>
  <si>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</si>
  <si>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</si>
  <si>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</si>
  <si>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</si>
  <si>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</si>
  <si>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</si>
  <si>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</si>
  <si>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</si>
  <si>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</si>
  <si>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</si>
  <si>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</si>
  <si>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</si>
  <si>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</si>
  <si>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</si>
  <si>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</si>
  <si>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</si>
  <si>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</si>
  <si>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</si>
  <si>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</si>
  <si>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</si>
  <si>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</si>
  <si>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</si>
  <si>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</si>
  <si>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</si>
  <si>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</si>
  <si>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</si>
  <si>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</si>
  <si>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</si>
  <si>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</si>
  <si>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</si>
  <si>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</si>
  <si>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</si>
  <si>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</si>
  <si>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</si>
  <si>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</si>
  <si>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</si>
  <si>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</si>
  <si>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</si>
  <si>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</si>
  <si>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</si>
  <si>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</si>
  <si>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</si>
  <si>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</si>
  <si>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</si>
  <si>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</si>
  <si>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</si>
  <si>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</si>
  <si>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</si>
  <si>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</si>
  <si>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</si>
  <si>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</si>
  <si>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</si>
  <si>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</si>
  <si>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</si>
  <si>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</si>
  <si>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</si>
  <si>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</si>
  <si>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</si>
  <si>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</si>
  <si>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</si>
  <si>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</si>
  <si>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</si>
  <si>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</si>
  <si>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</si>
  <si>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</si>
  <si>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</si>
  <si>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</si>
  <si>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</si>
  <si>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</si>
  <si>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</si>
  <si>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</si>
  <si>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</si>
  <si>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</si>
  <si>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</si>
  <si>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</si>
  <si>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</si>
  <si>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</si>
  <si>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</si>
  <si>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</si>
  <si>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</si>
  <si>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</si>
  <si>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</si>
  <si>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</si>
  <si>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</si>
  <si>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</si>
  <si>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</si>
  <si>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</si>
  <si>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</si>
  <si>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</si>
  <si>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</si>
  <si>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</si>
  <si>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</si>
  <si>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</si>
  <si>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</si>
  <si>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</si>
  <si>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</si>
  <si>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</si>
  <si>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</si>
  <si>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</si>
  <si>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</si>
  <si>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</si>
  <si>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</si>
  <si>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</si>
  <si>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</si>
  <si>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</si>
  <si>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</si>
  <si>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</si>
  <si>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</si>
  <si>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</si>
  <si>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</si>
  <si>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</si>
  <si>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</si>
  <si>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</si>
  <si>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</si>
  <si>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</si>
  <si>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</si>
  <si>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</si>
  <si>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</si>
  <si>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</si>
  <si>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</si>
  <si>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</si>
  <si>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</si>
  <si>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</si>
  <si>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</si>
  <si>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</si>
  <si>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</si>
  <si>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</si>
  <si>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</si>
  <si>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</si>
  <si>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</si>
  <si>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</si>
  <si>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</si>
  <si>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</si>
  <si>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</si>
  <si>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</si>
  <si>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</si>
  <si>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</si>
  <si>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</si>
  <si>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</si>
  <si>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</si>
  <si>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</si>
  <si>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</si>
  <si>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</si>
  <si>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</si>
  <si>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</si>
  <si>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</si>
  <si>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</si>
  <si>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</si>
  <si>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</si>
  <si>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</si>
  <si>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</si>
  <si>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</si>
  <si>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</si>
  <si>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</si>
  <si>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</si>
  <si>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</si>
  <si>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</si>
  <si>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</si>
  <si>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</si>
  <si>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</si>
  <si>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</si>
  <si>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</si>
  <si>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</si>
  <si>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</si>
  <si>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</si>
  <si>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</si>
  <si>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</si>
  <si>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</si>
  <si>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</si>
  <si>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</si>
  <si>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</si>
  <si>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</si>
  <si>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</si>
  <si>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</si>
  <si>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</si>
  <si>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</si>
  <si>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</si>
  <si>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</si>
  <si>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</si>
  <si>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</si>
  <si>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</si>
  <si>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</si>
  <si>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</si>
  <si>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</si>
  <si>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</si>
  <si>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</si>
  <si>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</si>
  <si>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</si>
  <si>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</si>
  <si>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</si>
  <si>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</si>
  <si>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</si>
  <si>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</si>
  <si>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</si>
  <si>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</si>
  <si>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</si>
  <si>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</si>
  <si>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</si>
  <si>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</si>
  <si>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</si>
  <si>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</si>
  <si>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</si>
  <si>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</si>
  <si>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</si>
  <si>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</si>
  <si>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</si>
  <si>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</si>
  <si>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</si>
  <si>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</si>
  <si>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</si>
  <si>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</si>
  <si>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</si>
  <si>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</si>
  <si>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</si>
  <si>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</si>
  <si>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</si>
  <si>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</si>
  <si>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</si>
  <si>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</si>
  <si>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</si>
  <si>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</si>
  <si>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</si>
  <si>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</si>
  <si>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</si>
  <si>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</si>
  <si>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</si>
  <si>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</si>
  <si>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</si>
  <si>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</si>
  <si>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</si>
  <si>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</si>
  <si>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</si>
  <si>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</si>
  <si>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</si>
  <si>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</si>
  <si>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</si>
  <si>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</si>
  <si>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</si>
  <si>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</si>
  <si>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</si>
  <si>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</si>
  <si>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</si>
  <si>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</si>
  <si>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</si>
  <si>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</si>
  <si>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</si>
  <si>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</si>
  <si>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</si>
  <si>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</si>
  <si>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</si>
  <si>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</si>
  <si>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</si>
  <si>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</si>
  <si>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</si>
  <si>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</si>
  <si>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</si>
  <si>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</si>
  <si>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</si>
  <si>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</si>
  <si>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</si>
  <si>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</si>
  <si>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</si>
  <si>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</si>
  <si>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</si>
  <si>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</si>
  <si>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</si>
  <si>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</si>
  <si>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</si>
  <si>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</si>
  <si>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</si>
  <si>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</si>
  <si>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</si>
  <si>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</si>
  <si>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</si>
  <si>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</si>
  <si>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</si>
  <si>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</si>
  <si>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</si>
  <si>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</si>
  <si>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</si>
  <si>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</si>
  <si>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</si>
  <si>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</si>
  <si>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</si>
  <si>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</si>
  <si>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</si>
  <si>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</si>
  <si>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</si>
  <si>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</si>
  <si>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</si>
  <si>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</si>
  <si>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</si>
  <si>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</si>
  <si>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</si>
  <si>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</si>
  <si>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</si>
  <si>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</si>
  <si>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</si>
  <si>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</si>
  <si>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</si>
  <si>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</si>
  <si>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</si>
  <si>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</si>
  <si>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</si>
  <si>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</si>
  <si>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</si>
  <si>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</si>
  <si>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</si>
  <si>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</si>
  <si>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</si>
  <si>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</si>
  <si>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</si>
  <si>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</si>
  <si>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</si>
  <si>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</si>
  <si>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</si>
  <si>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</si>
  <si>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</si>
  <si>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</si>
  <si>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</si>
  <si>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</si>
  <si>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</si>
  <si>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</si>
  <si>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</si>
  <si>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</si>
  <si>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</si>
  <si>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</si>
  <si>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</si>
  <si>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</si>
  <si>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</si>
  <si>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</si>
  <si>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</si>
  <si>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</si>
  <si>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</si>
  <si>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</si>
  <si>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</si>
  <si>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</si>
  <si>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</si>
  <si>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</si>
  <si>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</si>
  <si>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</si>
  <si>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</si>
  <si>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</si>
  <si>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</si>
  <si>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</si>
  <si>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</si>
  <si>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</si>
  <si>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</si>
  <si>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</si>
  <si>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</si>
  <si>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</si>
  <si>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</si>
  <si>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</si>
  <si>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</si>
  <si>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</si>
  <si>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</si>
  <si>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</si>
  <si>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</si>
  <si>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</si>
  <si>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</si>
  <si>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</si>
  <si>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</si>
  <si>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</si>
  <si>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</si>
  <si>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</si>
  <si>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</si>
  <si>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</si>
  <si>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</si>
  <si>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</si>
  <si>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</si>
  <si>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</si>
  <si>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</si>
  <si>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</si>
  <si>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</si>
  <si>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</si>
  <si>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</si>
  <si>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</si>
  <si>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</si>
  <si>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</si>
  <si>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</si>
  <si>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</si>
  <si>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</si>
  <si>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</si>
  <si>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</si>
  <si>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</si>
  <si>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</si>
  <si>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</si>
  <si>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</si>
  <si>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</si>
  <si>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</si>
  <si>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</si>
  <si>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</si>
  <si>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</si>
  <si>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</si>
  <si>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</si>
  <si>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</si>
  <si>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</si>
  <si>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</si>
  <si>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</si>
  <si>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</si>
  <si>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</si>
  <si>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</si>
  <si>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</si>
  <si>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</si>
  <si>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</si>
  <si>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</si>
  <si>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</si>
  <si>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</si>
  <si>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</si>
  <si>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</si>
  <si>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</si>
  <si>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</si>
  <si>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</si>
  <si>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</si>
  <si>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</si>
  <si>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</si>
  <si>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</si>
  <si>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</si>
  <si>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</si>
  <si>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</si>
  <si>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</si>
  <si>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</si>
  <si>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</si>
  <si>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</si>
  <si>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</si>
  <si>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</si>
  <si>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</si>
  <si>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</si>
  <si>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</si>
  <si>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</si>
  <si>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</si>
  <si>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</si>
  <si>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</si>
  <si>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</si>
  <si>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</si>
  <si>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</si>
  <si>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</si>
  <si>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</si>
  <si>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</si>
  <si>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</si>
  <si>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</si>
  <si>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</si>
  <si>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</si>
  <si>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</si>
  <si>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</si>
  <si>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</si>
  <si>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</si>
  <si>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</si>
  <si>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</si>
  <si>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</si>
  <si>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</si>
  <si>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</si>
  <si>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</si>
  <si>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</si>
  <si>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</si>
  <si>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</si>
  <si>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</si>
  <si>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</si>
  <si>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</si>
  <si>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</si>
  <si>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</si>
  <si>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</si>
  <si>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</si>
  <si>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</si>
  <si>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</si>
  <si>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</si>
  <si>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</si>
  <si>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</si>
  <si>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</si>
  <si>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</si>
  <si>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</si>
  <si>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</si>
  <si>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</si>
  <si>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</si>
  <si>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</si>
  <si>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</si>
  <si>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</si>
  <si>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</si>
  <si>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</si>
  <si>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</si>
  <si>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</si>
  <si>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</si>
  <si>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</si>
  <si>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</si>
  <si>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</si>
  <si>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</si>
  <si>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</si>
  <si>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</si>
  <si>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</si>
  <si>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</si>
  <si>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</si>
  <si>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</si>
  <si>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</si>
  <si>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</si>
  <si>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</si>
  <si>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</si>
  <si>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</si>
  <si>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</si>
  <si>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</si>
  <si>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</si>
  <si>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</si>
  <si>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</si>
  <si>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</si>
  <si>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</si>
  <si>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</si>
  <si>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</si>
  <si>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</si>
  <si>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</si>
  <si>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</si>
  <si>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</si>
  <si>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</si>
  <si>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</si>
  <si>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</si>
  <si>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</si>
  <si>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</si>
  <si>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</si>
  <si>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</si>
  <si>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</si>
  <si>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</si>
  <si>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</si>
  <si>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</si>
  <si>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</si>
  <si>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</si>
  <si>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</si>
  <si>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</si>
  <si>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</si>
  <si>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</si>
  <si>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</si>
  <si>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</si>
  <si>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</si>
  <si>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</si>
  <si>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</si>
  <si>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</si>
  <si>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</si>
  <si>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</si>
  <si>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</si>
  <si>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</si>
  <si>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</si>
  <si>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</si>
  <si>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</si>
  <si>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</si>
  <si>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</si>
  <si>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</si>
  <si>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</si>
  <si>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</si>
  <si>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</si>
  <si>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</si>
  <si>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</si>
  <si>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</si>
  <si>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</si>
  <si>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</si>
  <si>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</si>
  <si>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</si>
  <si>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</si>
  <si>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</si>
  <si>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</si>
  <si>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</si>
  <si>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</si>
  <si>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</si>
  <si>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</si>
  <si>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</si>
  <si>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</si>
  <si>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</si>
  <si>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</si>
  <si>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</si>
  <si>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</si>
  <si>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</si>
  <si>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</si>
  <si>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</si>
  <si>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</si>
  <si>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</si>
  <si>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</si>
  <si>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</si>
  <si>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</si>
  <si>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</si>
  <si>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</si>
  <si>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</si>
  <si>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</si>
  <si>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</si>
  <si>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</si>
  <si>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</si>
  <si>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</si>
  <si>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</si>
  <si>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</si>
  <si>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</si>
  <si>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</si>
  <si>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</si>
  <si>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</si>
  <si>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</si>
  <si>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</si>
  <si>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</si>
  <si>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</si>
  <si>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</si>
  <si>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</si>
  <si>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</si>
  <si>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</si>
  <si>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</si>
  <si>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</si>
  <si>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</si>
  <si>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</si>
  <si>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</si>
  <si>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</si>
  <si>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</si>
  <si>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</si>
  <si>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</si>
  <si>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</si>
  <si>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</si>
  <si>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</si>
  <si>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</si>
  <si>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</si>
  <si>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</si>
  <si>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</si>
  <si>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</si>
  <si>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</si>
  <si>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</si>
  <si>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</si>
  <si>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</si>
  <si>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</si>
  <si>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</si>
  <si>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</si>
  <si>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</si>
  <si>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</si>
  <si>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</si>
  <si>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</si>
  <si>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</si>
  <si>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</si>
  <si>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</si>
  <si>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</si>
  <si>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</si>
  <si>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</si>
  <si>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</si>
  <si>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</si>
  <si>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</si>
  <si>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</si>
  <si>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</si>
  <si>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</si>
  <si>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</si>
  <si>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</si>
  <si>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</si>
  <si>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</si>
  <si>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</si>
  <si>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</si>
  <si>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</si>
  <si>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</si>
  <si>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</si>
  <si>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</si>
  <si>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</si>
  <si>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</si>
  <si>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</si>
  <si>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</si>
  <si>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</si>
  <si>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</si>
  <si>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</si>
  <si>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</si>
  <si>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</si>
  <si>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</si>
  <si>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</si>
  <si>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</si>
  <si>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</si>
  <si>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</si>
  <si>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</si>
  <si>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</si>
  <si>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</si>
  <si>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</si>
  <si>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</si>
  <si>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</si>
  <si>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</si>
  <si>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</si>
  <si>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</si>
  <si>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</si>
  <si>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</si>
  <si>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</si>
  <si>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</si>
  <si>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</si>
  <si>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</si>
  <si>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</si>
  <si>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</si>
  <si>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</si>
  <si>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</si>
  <si>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</si>
  <si>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</si>
  <si>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</si>
  <si>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</si>
  <si>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</si>
  <si>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</si>
  <si>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</si>
  <si>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</si>
  <si>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</si>
  <si>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</si>
  <si>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</si>
  <si>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</si>
  <si>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</si>
  <si>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</si>
  <si>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</si>
  <si>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</si>
  <si>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</si>
  <si>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</si>
  <si>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</si>
  <si>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</si>
  <si>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</si>
  <si>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</si>
  <si>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</si>
  <si>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</si>
  <si>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</si>
  <si>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</si>
  <si>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</si>
  <si>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</si>
  <si>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</si>
  <si>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</si>
  <si>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</si>
  <si>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</si>
  <si>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</si>
  <si>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</si>
  <si>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</si>
  <si>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</si>
  <si>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</si>
  <si>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</si>
  <si>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</si>
  <si>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</si>
  <si>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</si>
  <si>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</si>
  <si>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</si>
  <si>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</si>
  <si>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</si>
  <si>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</si>
  <si>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</si>
  <si>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</si>
  <si>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</si>
  <si>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</si>
  <si>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</si>
  <si>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</si>
  <si>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</si>
  <si>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</si>
  <si>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</si>
  <si>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</si>
  <si>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</si>
  <si>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</si>
  <si>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</si>
  <si>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</si>
  <si>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</si>
  <si>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</si>
  <si>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</si>
  <si>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</si>
  <si>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</si>
  <si>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</si>
  <si>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</si>
  <si>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</si>
  <si>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</si>
  <si>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</si>
  <si>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</si>
  <si>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</si>
  <si>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</si>
  <si>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</si>
  <si>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</si>
  <si>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</si>
  <si>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</si>
  <si>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</si>
  <si>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</si>
  <si>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</si>
  <si>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</si>
  <si>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</si>
  <si>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</si>
  <si>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</si>
  <si>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</si>
  <si>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</si>
  <si>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</si>
  <si>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</si>
  <si>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</si>
  <si>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</si>
  <si>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</si>
  <si>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</si>
  <si>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</si>
  <si>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</si>
  <si>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</si>
  <si>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</si>
  <si>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</si>
  <si>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</si>
  <si>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</si>
  <si>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</si>
  <si>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</si>
  <si>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</si>
  <si>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</si>
  <si>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</si>
  <si>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</si>
  <si>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</si>
  <si>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</si>
  <si>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</si>
  <si>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</si>
  <si>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</si>
  <si>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</si>
  <si>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</si>
  <si>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</si>
  <si>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</si>
  <si>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</si>
  <si>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</si>
  <si>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</si>
  <si>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</si>
  <si>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</si>
  <si>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</si>
  <si>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</si>
  <si>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</si>
  <si>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</si>
  <si>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</si>
  <si>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</si>
  <si>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</si>
  <si>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</si>
  <si>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</si>
  <si>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</si>
  <si>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</si>
  <si>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</si>
  <si>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</si>
  <si>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</si>
  <si>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</si>
  <si>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</si>
  <si>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</si>
  <si>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</si>
  <si>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</si>
  <si>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</si>
  <si>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</si>
  <si>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</si>
  <si>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</si>
  <si>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</si>
  <si>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</si>
  <si>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</si>
  <si>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</si>
  <si>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</si>
  <si>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</si>
  <si>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</si>
  <si>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</si>
  <si>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</si>
  <si>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</si>
  <si>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</si>
  <si>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</si>
  <si>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</si>
  <si>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</si>
  <si>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</si>
  <si>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</si>
  <si>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</si>
  <si>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</si>
  <si>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</si>
  <si>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</si>
  <si>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</si>
  <si>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</si>
  <si>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</si>
  <si>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</si>
  <si>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</si>
  <si>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</si>
  <si>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</si>
  <si>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</si>
  <si>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</si>
  <si>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</si>
  <si>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</si>
  <si>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</si>
  <si>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</si>
  <si>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</si>
  <si>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</si>
  <si>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</si>
  <si>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</si>
  <si>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</si>
  <si>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</si>
  <si>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</si>
  <si>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</si>
  <si>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</si>
  <si>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</si>
  <si>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</si>
  <si>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</si>
  <si>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</si>
  <si>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</si>
  <si>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</si>
  <si>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</si>
  <si>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</si>
  <si>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</si>
  <si>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</si>
  <si>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</si>
  <si>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</si>
  <si>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</si>
  <si>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</si>
  <si>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</si>
  <si>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</si>
  <si>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</si>
  <si>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</si>
  <si>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</si>
  <si>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</si>
  <si>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</si>
  <si>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</si>
  <si>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</si>
  <si>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</si>
  <si>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</si>
  <si>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</si>
  <si>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</si>
  <si>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</si>
  <si>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</si>
  <si>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</si>
  <si>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</si>
  <si>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</si>
  <si>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</si>
  <si>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</si>
  <si>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</si>
  <si>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</si>
  <si>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</si>
  <si>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</si>
  <si>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</si>
  <si>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</si>
  <si>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</si>
  <si>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</si>
  <si>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</si>
  <si>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</si>
  <si>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</si>
  <si>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</si>
  <si>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</si>
  <si>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</si>
  <si>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</si>
  <si>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</si>
  <si>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</si>
  <si>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</si>
  <si>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</si>
  <si>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</si>
  <si>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</si>
  <si>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</si>
  <si>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</si>
  <si>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</si>
  <si>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</si>
  <si>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</si>
  <si>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</si>
  <si>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</si>
  <si>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</si>
  <si>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</si>
  <si>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</si>
  <si>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</si>
  <si>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</si>
  <si>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</si>
  <si>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</si>
  <si>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</si>
  <si>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</si>
  <si>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</si>
  <si>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</si>
  <si>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</si>
  <si>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</si>
  <si>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</si>
  <si>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</si>
  <si>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</si>
  <si>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</si>
  <si>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</si>
  <si>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</si>
  <si>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</si>
  <si>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</si>
  <si>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</si>
  <si>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</si>
  <si>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</si>
  <si>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</si>
  <si>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</si>
  <si>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</si>
  <si>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</si>
  <si>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</si>
  <si>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</si>
  <si>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</si>
  <si>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</si>
  <si>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</si>
  <si>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</si>
  <si>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</si>
  <si>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</si>
  <si>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</si>
  <si>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</si>
  <si>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</si>
  <si>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</si>
  <si>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</si>
  <si>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</si>
  <si>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</si>
  <si>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</si>
  <si>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</si>
  <si>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</si>
  <si>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</si>
  <si>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</si>
  <si>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</si>
  <si>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</si>
  <si>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</si>
  <si>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</si>
  <si>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</si>
  <si>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</si>
  <si>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</si>
  <si>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</si>
  <si>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</si>
  <si>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</si>
  <si>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</si>
  <si>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</si>
  <si>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</si>
  <si>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</si>
  <si>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</si>
  <si>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</si>
  <si>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</si>
  <si>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</si>
  <si>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</si>
  <si>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</si>
  <si>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</si>
  <si>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</si>
  <si>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</si>
  <si>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</si>
  <si>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</si>
  <si>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</si>
  <si>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</si>
  <si>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</si>
  <si>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</si>
  <si>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</si>
  <si>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</si>
  <si>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</si>
  <si>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</si>
  <si>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</si>
  <si>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</si>
  <si>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</si>
  <si>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</si>
  <si>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</si>
  <si>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</si>
  <si>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</si>
  <si>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</si>
  <si>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</si>
  <si>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</si>
  <si>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</si>
  <si>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</si>
  <si>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</si>
  <si>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</si>
  <si>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</si>
  <si>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SENAREYOUNGLAEGI</t>
  </si>
  <si>
    <t>SENAREGSIK</t>
  </si>
  <si>
    <t>SENAREMOOVING</t>
  </si>
  <si>
    <t>SENARESAMEWAY</t>
  </si>
  <si>
    <t>SORRY4WAITING</t>
  </si>
  <si>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</si>
  <si>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</si>
  <si>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</si>
  <si>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</si>
  <si>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</si>
  <si>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</si>
  <si>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</si>
  <si>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</si>
  <si>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</si>
  <si>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</si>
  <si>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</si>
  <si>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</si>
  <si>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</si>
  <si>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</si>
  <si>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</si>
  <si>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</si>
  <si>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</si>
  <si>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</si>
  <si>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</si>
  <si>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</si>
  <si>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</si>
  <si>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</si>
  <si>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</si>
  <si>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</si>
  <si>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</si>
  <si>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</si>
  <si>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</si>
  <si>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</si>
  <si>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</si>
  <si>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</si>
  <si>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</si>
  <si>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</si>
  <si>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</si>
  <si>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</si>
  <si>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</si>
  <si>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</si>
  <si>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</si>
  <si>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</si>
  <si>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</si>
  <si>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</si>
  <si>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</si>
  <si>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</si>
  <si>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</si>
  <si>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</si>
  <si>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</si>
  <si>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</si>
  <si>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</si>
  <si>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</si>
  <si>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</si>
  <si>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</si>
  <si>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</si>
  <si>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</si>
  <si>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</si>
  <si>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</si>
  <si>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</si>
  <si>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</si>
  <si>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</si>
  <si>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</si>
  <si>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</si>
  <si>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</si>
  <si>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</si>
  <si>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</si>
  <si>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</si>
  <si>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</si>
  <si>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</si>
  <si>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</si>
  <si>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</si>
  <si>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</si>
  <si>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</si>
  <si>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</si>
  <si>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</si>
  <si>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</si>
  <si>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</si>
  <si>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</si>
  <si>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</si>
  <si>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</si>
  <si>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</si>
  <si>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</si>
  <si>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</si>
  <si>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</si>
  <si>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</si>
  <si>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</si>
  <si>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</si>
  <si>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</si>
  <si>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</si>
  <si>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</si>
  <si>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</si>
  <si>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</si>
  <si>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</si>
  <si>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</si>
  <si>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</si>
  <si>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</si>
  <si>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</si>
  <si>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</si>
  <si>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</si>
  <si>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</si>
  <si>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</si>
  <si>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</si>
  <si>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</si>
  <si>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</si>
  <si>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</si>
  <si>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</si>
  <si>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</si>
  <si>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</si>
  <si>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</si>
  <si>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</si>
  <si>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</si>
  <si>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</si>
  <si>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</si>
  <si>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</si>
  <si>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</si>
  <si>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</si>
  <si>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</si>
  <si>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</si>
  <si>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</si>
  <si>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</si>
  <si>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</si>
  <si>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</si>
  <si>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</si>
  <si>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</si>
  <si>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</si>
  <si>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</si>
  <si>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</si>
  <si>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</si>
  <si>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</si>
  <si>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</si>
  <si>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</si>
  <si>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</si>
  <si>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</si>
  <si>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</si>
  <si>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</si>
  <si>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</si>
  <si>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</si>
  <si>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</si>
  <si>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</si>
  <si>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</si>
  <si>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</si>
  <si>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</si>
  <si>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</si>
  <si>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</si>
  <si>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</si>
  <si>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</si>
  <si>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</si>
  <si>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</si>
  <si>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</si>
  <si>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</si>
  <si>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</si>
  <si>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</si>
  <si>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</si>
  <si>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</si>
  <si>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</si>
  <si>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</si>
  <si>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</si>
  <si>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</si>
  <si>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</si>
  <si>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</si>
  <si>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</si>
  <si>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</si>
  <si>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</si>
  <si>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</si>
  <si>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</si>
  <si>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</si>
  <si>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</si>
  <si>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</si>
  <si>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</si>
  <si>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</si>
  <si>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</si>
  <si>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</si>
  <si>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</si>
  <si>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</si>
  <si>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</si>
  <si>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</si>
  <si>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</si>
  <si>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</si>
  <si>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</si>
  <si>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</si>
  <si>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</si>
  <si>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</si>
  <si>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</si>
  <si>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</si>
  <si>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</si>
  <si>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</si>
  <si>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</si>
  <si>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</si>
  <si>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</si>
  <si>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</si>
  <si>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</si>
  <si>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</si>
  <si>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</si>
  <si>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</si>
  <si>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</si>
  <si>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</si>
  <si>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</si>
  <si>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</si>
  <si>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</si>
  <si>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</si>
  <si>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</si>
  <si>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</si>
  <si>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</si>
  <si>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</si>
  <si>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</si>
  <si>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</si>
  <si>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</si>
  <si>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</si>
  <si>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</si>
  <si>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</si>
  <si>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</si>
  <si>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</si>
  <si>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</si>
  <si>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</si>
  <si>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</si>
  <si>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</si>
  <si>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</si>
  <si>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</si>
  <si>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</si>
  <si>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</si>
  <si>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</si>
  <si>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</si>
  <si>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</si>
  <si>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</si>
  <si>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</si>
  <si>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</si>
  <si>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</si>
  <si>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</si>
  <si>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</si>
  <si>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</si>
  <si>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</si>
  <si>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</si>
  <si>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</si>
  <si>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</si>
  <si>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</si>
  <si>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</si>
  <si>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</si>
  <si>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</si>
  <si>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</si>
  <si>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</si>
  <si>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</si>
  <si>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</si>
  <si>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</si>
  <si>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</si>
  <si>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</si>
  <si>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</si>
  <si>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</si>
  <si>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</si>
  <si>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</si>
  <si>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</si>
  <si>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</si>
  <si>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</si>
  <si>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</si>
  <si>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</si>
  <si>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</si>
  <si>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</si>
  <si>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</si>
  <si>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</si>
  <si>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</si>
  <si>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</si>
  <si>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</si>
  <si>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</si>
  <si>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</si>
  <si>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</si>
  <si>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</si>
  <si>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</si>
  <si>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</si>
  <si>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</si>
  <si>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</si>
  <si>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</si>
  <si>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</si>
  <si>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</si>
  <si>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</si>
  <si>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</si>
  <si>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</si>
  <si>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</si>
  <si>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</si>
  <si>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</si>
  <si>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</si>
  <si>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</si>
  <si>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</si>
  <si>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</si>
  <si>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</si>
  <si>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sevenknightsforever</t>
    <phoneticPr fontId="2" type="noConversion"/>
  </si>
  <si>
    <t>HAPPYFULLMOON</t>
    <phoneticPr fontId="2" type="noConversion"/>
  </si>
  <si>
    <t>稀有四星英雄x1</t>
    <phoneticPr fontId="2" type="noConversion"/>
  </si>
  <si>
    <t>英雄召喚使用券x20</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</si>
  <si>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</si>
  <si>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</si>
  <si>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</si>
  <si>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</si>
  <si>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</si>
  <si>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</si>
  <si>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</si>
  <si>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</si>
  <si>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</si>
  <si>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</si>
  <si>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</si>
  <si>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</si>
  <si>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</si>
  <si>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</si>
  <si>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</si>
  <si>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</si>
  <si>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</si>
  <si>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</si>
  <si>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</si>
  <si>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</si>
  <si>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</si>
  <si>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</si>
  <si>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</si>
  <si>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</si>
  <si>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</si>
  <si>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</si>
  <si>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</si>
  <si>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</si>
  <si>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</si>
  <si>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</si>
  <si>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</si>
  <si>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</si>
  <si>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</si>
  <si>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</si>
  <si>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</si>
  <si>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</si>
  <si>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</si>
  <si>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</si>
  <si>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</si>
  <si>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</si>
  <si>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</si>
  <si>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</si>
  <si>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</si>
  <si>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</si>
  <si>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</si>
  <si>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</si>
  <si>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</si>
  <si>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</si>
  <si>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</si>
  <si>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</si>
  <si>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</si>
  <si>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</si>
  <si>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</si>
  <si>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</si>
  <si>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</si>
  <si>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</si>
  <si>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</si>
  <si>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</si>
  <si>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</si>
  <si>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</si>
  <si>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</si>
  <si>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</si>
  <si>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</si>
  <si>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</si>
  <si>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</si>
  <si>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</si>
  <si>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</si>
  <si>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</si>
  <si>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</si>
  <si>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</si>
  <si>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</si>
  <si>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</si>
  <si>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</si>
  <si>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</si>
  <si>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</si>
  <si>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</si>
  <si>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</si>
  <si>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</si>
  <si>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</si>
  <si>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</si>
  <si>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</si>
  <si>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</si>
  <si>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</si>
  <si>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</si>
  <si>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</si>
  <si>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</si>
  <si>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</si>
  <si>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</si>
  <si>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</si>
  <si>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</si>
  <si>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</si>
  <si>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</si>
  <si>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</si>
  <si>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</si>
  <si>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</si>
  <si>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</si>
  <si>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</si>
  <si>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</si>
  <si>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</si>
  <si>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</si>
  <si>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</si>
  <si>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</si>
  <si>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</si>
  <si>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</si>
  <si>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</si>
  <si>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</si>
  <si>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</si>
  <si>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</si>
  <si>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</si>
  <si>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</si>
  <si>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</si>
  <si>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</si>
  <si>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</si>
  <si>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</si>
  <si>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</si>
  <si>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</si>
  <si>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</si>
  <si>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</si>
  <si>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</si>
  <si>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</si>
  <si>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</si>
  <si>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</si>
  <si>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</si>
  <si>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</si>
  <si>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</si>
  <si>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</si>
  <si>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</si>
  <si>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</si>
  <si>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</si>
  <si>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</si>
  <si>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</si>
  <si>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</si>
  <si>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</si>
  <si>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</si>
  <si>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</si>
  <si>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</si>
  <si>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</si>
  <si>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</si>
  <si>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</si>
  <si>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</si>
  <si>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</si>
  <si>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</si>
  <si>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</si>
  <si>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</si>
  <si>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</si>
  <si>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</si>
  <si>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</si>
  <si>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</si>
  <si>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</si>
  <si>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</si>
  <si>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</si>
  <si>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</si>
  <si>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</si>
  <si>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</si>
  <si>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</si>
  <si>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</si>
  <si>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</si>
  <si>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</si>
  <si>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</si>
  <si>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</si>
  <si>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</si>
  <si>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</si>
  <si>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</si>
  <si>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</si>
  <si>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</si>
  <si>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</si>
  <si>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</si>
  <si>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</si>
  <si>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</si>
  <si>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</si>
  <si>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</si>
  <si>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</si>
  <si>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</si>
  <si>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</si>
  <si>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</si>
  <si>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</si>
  <si>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</si>
  <si>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</si>
  <si>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</si>
  <si>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</si>
  <si>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</si>
  <si>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</si>
  <si>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</si>
  <si>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</si>
  <si>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</si>
  <si>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</si>
  <si>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</si>
  <si>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</si>
  <si>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</si>
  <si>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</si>
  <si>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</si>
  <si>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</si>
  <si>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</si>
  <si>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</si>
  <si>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</si>
  <si>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</si>
  <si>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</si>
  <si>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</si>
  <si>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</si>
  <si>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</si>
  <si>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</si>
  <si>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</si>
  <si>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</si>
  <si>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</si>
  <si>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</si>
  <si>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</si>
  <si>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</si>
  <si>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</si>
  <si>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</si>
  <si>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</si>
  <si>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</si>
  <si>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</si>
  <si>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</si>
  <si>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</si>
  <si>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</si>
  <si>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</si>
  <si>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</si>
  <si>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</si>
  <si>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</si>
  <si>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</si>
  <si>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</si>
  <si>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</si>
  <si>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</si>
  <si>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</si>
  <si>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</si>
  <si>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</si>
  <si>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</si>
  <si>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</si>
  <si>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</si>
  <si>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</si>
  <si>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</si>
  <si>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</si>
  <si>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</si>
  <si>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</si>
  <si>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</si>
  <si>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</si>
  <si>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</si>
  <si>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</si>
  <si>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</si>
  <si>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</si>
  <si>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</si>
  <si>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</si>
  <si>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</si>
  <si>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</si>
  <si>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</si>
  <si>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</si>
  <si>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</si>
  <si>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</si>
  <si>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</si>
  <si>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</si>
  <si>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</si>
  <si>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</si>
  <si>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</si>
  <si>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</si>
  <si>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</si>
  <si>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</si>
  <si>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</si>
  <si>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</si>
  <si>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</si>
  <si>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</si>
  <si>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</si>
  <si>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</si>
  <si>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</si>
  <si>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</si>
  <si>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</si>
  <si>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</si>
  <si>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teorival</t>
    <phoneticPr fontId="2" type="noConversion"/>
  </si>
  <si>
    <t>tastemywrath</t>
    <phoneticPr fontId="2" type="noConversion"/>
  </si>
  <si>
    <t>英雄召喚使用券x2</t>
    <phoneticPr fontId="2" type="noConversion"/>
  </si>
  <si>
    <t>金幣*20W</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</si>
</sst>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printerSettings" Target="../printerSettings/printerSettings1.bin"/><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H262" activePane="bottomRight" state="frozen"/>
      <selection pane="topRight" activeCell="B1" sqref="B1"/>
      <selection pane="bottomLeft" activeCell="A2" sqref="A2"/>
      <selection pane="bottomRight" activeCell="AB273" sqref="AB273:AC273"/>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4481</v>
      </c>
      <c r="C245" s="5" t="s">
        <v>4492</v>
      </c>
      <c r="D245" s="4" t="s">
        <v>4482</v>
      </c>
      <c r="E245" s="41" t="s">
        <v>4474</v>
      </c>
      <c r="F245" s="41" t="str">
        <f t="shared" si="6"/>
        <v>https://www.ssbuy.tw/detail_giftcode/dist/giftcodes/七龍珠激震小隊.html</v>
      </c>
      <c r="G245" s="41" t="s">
        <v>4473</v>
      </c>
      <c r="H245" s="41" t="str">
        <f t="shared" si="7"/>
        <v>https://www.ssbuy.tw/detail_giftcode/dist/gamedetail/七龍珠激震小隊.html</v>
      </c>
      <c r="I245" s="42" t="s">
        <v>4488</v>
      </c>
      <c r="J245" s="1" t="s">
        <v>4494</v>
      </c>
      <c r="K245" s="2">
        <v>2056</v>
      </c>
      <c r="L245" s="1" t="s">
        <v>4495</v>
      </c>
      <c r="M245" s="2">
        <v>1009</v>
      </c>
      <c r="N245" s="1" t="s">
        <v>4496</v>
      </c>
      <c r="O245" s="2">
        <v>519</v>
      </c>
      <c r="P245" s="1" t="s">
        <v>4497</v>
      </c>
      <c r="Q245" s="2">
        <v>178</v>
      </c>
      <c r="R245" s="1" t="s">
        <v>4498</v>
      </c>
      <c r="S245" s="2">
        <v>58</v>
      </c>
      <c r="T245" s="1" t="s">
        <v>4499</v>
      </c>
      <c r="U245" s="2">
        <v>1139</v>
      </c>
      <c r="V245" s="1" t="s">
        <v>4500</v>
      </c>
      <c r="W245" s="2">
        <v>256</v>
      </c>
    </row>
    <row r="246" spans="1:31" ht="22.5" customHeight="1" thickBot="1">
      <c r="A246" s="72" t="s">
        <v>4470</v>
      </c>
      <c r="C246" s="40" t="s">
        <v>4493</v>
      </c>
      <c r="D246" s="41" t="s">
        <v>4487</v>
      </c>
      <c r="E246" s="4" t="s">
        <v>4475</v>
      </c>
      <c r="F246" s="41" t="str">
        <f t="shared" si="6"/>
        <v>https://www.ssbuy.tw/detail_giftcode/dist/giftcodes/Grave Strikers.html</v>
      </c>
      <c r="G246" s="41" t="s">
        <v>4476</v>
      </c>
      <c r="H246" s="41" t="str">
        <f t="shared" si="7"/>
        <v>https://www.ssbuy.tw/detail_giftcode/dist/gamedetail/Grave Strikers.html</v>
      </c>
      <c r="I246" s="42" t="s">
        <v>4489</v>
      </c>
      <c r="J246" s="1" t="s">
        <v>4516</v>
      </c>
      <c r="K246" s="2">
        <v>1139</v>
      </c>
      <c r="L246" s="1" t="s">
        <v>4517</v>
      </c>
      <c r="M246" s="2">
        <v>225</v>
      </c>
      <c r="N246" s="1" t="s">
        <v>4518</v>
      </c>
      <c r="O246" s="2">
        <v>99</v>
      </c>
      <c r="P246" s="1" t="s">
        <v>4519</v>
      </c>
      <c r="Q246" s="2">
        <v>25</v>
      </c>
    </row>
    <row r="247" spans="1:31" ht="22.5" customHeight="1" thickBot="1">
      <c r="A247" s="72" t="s">
        <v>4471</v>
      </c>
      <c r="C247" s="40" t="s">
        <v>4486</v>
      </c>
      <c r="D247" s="41" t="s">
        <v>4485</v>
      </c>
      <c r="E247" s="41" t="s">
        <v>4477</v>
      </c>
      <c r="F247" s="41" t="str">
        <f t="shared" si="6"/>
        <v>https://www.ssbuy.tw/detail_giftcode/dist/giftcodes/Stellar Sanctuary.html</v>
      </c>
      <c r="G247" s="41" t="s">
        <v>4478</v>
      </c>
      <c r="H247" s="41" t="str">
        <f t="shared" si="7"/>
        <v>https://www.ssbuy.tw/detail_giftcode/dist/gamedetail/Stellar Sanctuary.html</v>
      </c>
      <c r="I247" s="42" t="s">
        <v>4490</v>
      </c>
      <c r="J247" s="1" t="s">
        <v>4515</v>
      </c>
      <c r="K247" s="2">
        <v>2623</v>
      </c>
      <c r="L247" s="1" t="s">
        <v>4520</v>
      </c>
      <c r="M247" s="2">
        <v>2623</v>
      </c>
      <c r="N247" s="1" t="s">
        <v>4521</v>
      </c>
      <c r="O247" s="2">
        <v>1330</v>
      </c>
      <c r="P247" s="1" t="s">
        <v>4522</v>
      </c>
      <c r="Q247" s="2">
        <v>543</v>
      </c>
      <c r="R247" s="1" t="s">
        <v>4523</v>
      </c>
      <c r="S247" s="2">
        <v>271</v>
      </c>
      <c r="T247" s="1" t="s">
        <v>4524</v>
      </c>
      <c r="U247" s="2">
        <v>149</v>
      </c>
      <c r="V247" s="1" t="s">
        <v>4525</v>
      </c>
      <c r="W247" s="2">
        <v>29</v>
      </c>
    </row>
    <row r="248" spans="1:31" ht="22.5" customHeight="1" thickBot="1">
      <c r="A248" s="72" t="s">
        <v>4472</v>
      </c>
      <c r="C248" s="40" t="s">
        <v>4483</v>
      </c>
      <c r="D248" s="4" t="s">
        <v>4484</v>
      </c>
      <c r="E248" s="41" t="s">
        <v>4479</v>
      </c>
      <c r="F248" s="41" t="str">
        <f t="shared" si="6"/>
        <v>https://www.ssbuy.tw/detail_giftcode/dist/giftcodes/古惑仔：風雲再起.html</v>
      </c>
      <c r="G248" s="41" t="s">
        <v>4480</v>
      </c>
      <c r="H248" s="41" t="str">
        <f t="shared" si="7"/>
        <v>https://www.ssbuy.tw/detail_giftcode/dist/gamedetail/古惑仔：風雲再起.html</v>
      </c>
      <c r="I248" s="42" t="s">
        <v>4491</v>
      </c>
      <c r="J248" s="1" t="s">
        <v>4501</v>
      </c>
      <c r="K248" s="2">
        <v>2449</v>
      </c>
      <c r="L248" s="1" t="s">
        <v>4502</v>
      </c>
      <c r="M248" s="2">
        <v>1911</v>
      </c>
      <c r="N248" s="1" t="s">
        <v>4503</v>
      </c>
      <c r="O248" s="2">
        <v>1529</v>
      </c>
      <c r="P248" s="1" t="s">
        <v>4504</v>
      </c>
      <c r="Q248" s="2">
        <v>1254</v>
      </c>
      <c r="R248" s="1" t="s">
        <v>4505</v>
      </c>
      <c r="S248" s="2">
        <v>757</v>
      </c>
      <c r="T248" s="1" t="s">
        <v>4506</v>
      </c>
      <c r="U248" s="2">
        <v>380</v>
      </c>
      <c r="V248" s="1" t="s">
        <v>4507</v>
      </c>
      <c r="W248" s="2">
        <v>264</v>
      </c>
      <c r="X248" s="1" t="s">
        <v>4508</v>
      </c>
      <c r="Y248" s="2">
        <v>124</v>
      </c>
      <c r="Z248" s="1" t="s">
        <v>4509</v>
      </c>
      <c r="AA248" s="2">
        <v>25</v>
      </c>
    </row>
    <row r="249" spans="1:31" ht="22.5" customHeight="1" thickBot="1">
      <c r="A249" s="72" t="s">
        <v>4555</v>
      </c>
      <c r="C249" s="40" t="s">
        <v>4559</v>
      </c>
      <c r="D249" s="41" t="s">
        <v>4558</v>
      </c>
      <c r="E249" s="41" t="s">
        <v>4560</v>
      </c>
      <c r="F249" s="41" t="str">
        <f t="shared" ref="F249:F253" si="8">IF(A249="","", "https://www.ssbuy.tw/detail_giftcode/dist/giftcodes/" &amp; IF(ISNUMBER(LEFT(A249,1)*1), "game-", "") &amp; A249 &amp; ".html")</f>
        <v>https://www.ssbuy.tw/detail_giftcode/dist/giftcodes/女神秘令.html</v>
      </c>
      <c r="G249" s="4" t="s">
        <v>4561</v>
      </c>
      <c r="H249" s="41" t="str">
        <f t="shared" ref="H249:H253" si="9">IF(A249="","", "https://www.ssbuy.tw/detail_giftcode/dist/gamedetail/" &amp; IF(ISNUMBER(LEFT(A249,1)*1), "game-", "") &amp; A249 &amp; ".html")</f>
        <v>https://www.ssbuy.tw/detail_giftcode/dist/gamedetail/女神秘令.html</v>
      </c>
      <c r="I249" s="42" t="s">
        <v>4574</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4556</v>
      </c>
      <c r="C250" s="5" t="s">
        <v>4564</v>
      </c>
      <c r="D250" s="4" t="s">
        <v>4565</v>
      </c>
      <c r="E250" s="4" t="s">
        <v>4563</v>
      </c>
      <c r="F250" s="41" t="str">
        <f t="shared" si="8"/>
        <v>https://www.ssbuy.tw/detail_giftcode/dist/giftcodes/Torerowa.html</v>
      </c>
      <c r="G250" s="41" t="s">
        <v>4562</v>
      </c>
      <c r="H250" s="41" t="str">
        <f t="shared" si="9"/>
        <v>https://www.ssbuy.tw/detail_giftcode/dist/gamedetail/Torerowa.html</v>
      </c>
      <c r="I250" s="42" t="s">
        <v>4575</v>
      </c>
      <c r="J250" s="1" t="s">
        <v>4585</v>
      </c>
      <c r="K250" s="72">
        <v>2293</v>
      </c>
      <c r="L250" s="1" t="s">
        <v>4586</v>
      </c>
      <c r="M250" s="72">
        <v>1529</v>
      </c>
      <c r="N250" s="1" t="s">
        <v>4587</v>
      </c>
      <c r="O250" s="72">
        <v>764</v>
      </c>
      <c r="P250" s="1" t="s">
        <v>4588</v>
      </c>
      <c r="Q250" s="72">
        <v>465</v>
      </c>
      <c r="R250" s="1" t="s">
        <v>4589</v>
      </c>
      <c r="S250" s="72">
        <v>165</v>
      </c>
      <c r="T250" s="1" t="s">
        <v>4590</v>
      </c>
      <c r="U250" s="72">
        <v>124</v>
      </c>
      <c r="V250" s="1" t="s">
        <v>4591</v>
      </c>
      <c r="W250" s="72">
        <v>33</v>
      </c>
    </row>
    <row r="251" spans="1:31" ht="22.5" customHeight="1" thickBot="1">
      <c r="A251" s="72" t="s">
        <v>4557</v>
      </c>
      <c r="C251" s="5" t="s">
        <v>4567</v>
      </c>
      <c r="D251" s="4" t="s">
        <v>4569</v>
      </c>
      <c r="E251" s="4" t="s">
        <v>4568</v>
      </c>
      <c r="F251" s="41" t="str">
        <f t="shared" si="8"/>
        <v>https://www.ssbuy.tw/detail_giftcode/dist/giftcodes/Ricochet Squad.html</v>
      </c>
      <c r="G251" s="4" t="s">
        <v>4566</v>
      </c>
      <c r="H251" s="41" t="str">
        <f t="shared" si="9"/>
        <v>https://www.ssbuy.tw/detail_giftcode/dist/gamedetail/Ricochet Squad.html</v>
      </c>
      <c r="I251" s="42" t="s">
        <v>4576</v>
      </c>
      <c r="J251" s="1" t="s">
        <v>4592</v>
      </c>
      <c r="K251" s="72">
        <v>2286</v>
      </c>
      <c r="L251" s="1" t="s">
        <v>4593</v>
      </c>
      <c r="M251" s="72">
        <v>1139</v>
      </c>
      <c r="N251" s="1" t="s">
        <v>4594</v>
      </c>
      <c r="O251" s="72">
        <v>535</v>
      </c>
      <c r="P251" s="1" t="s">
        <v>4595</v>
      </c>
      <c r="Q251" s="72">
        <v>248</v>
      </c>
      <c r="R251" s="1" t="s">
        <v>4596</v>
      </c>
      <c r="S251" s="72">
        <v>124</v>
      </c>
      <c r="T251" s="1" t="s">
        <v>4597</v>
      </c>
      <c r="U251" s="72">
        <v>25</v>
      </c>
    </row>
    <row r="252" spans="1:31" ht="22.5" customHeight="1" thickBot="1">
      <c r="A252" s="3" t="s">
        <v>4570</v>
      </c>
      <c r="C252" s="5" t="s">
        <v>4573</v>
      </c>
      <c r="D252" s="4" t="s">
        <v>4573</v>
      </c>
      <c r="E252" s="41" t="s">
        <v>4571</v>
      </c>
      <c r="F252" s="41" t="str">
        <f t="shared" si="8"/>
        <v>https://www.ssbuy.tw/detail_giftcode/dist/giftcodes/魔法村物語.html</v>
      </c>
      <c r="G252" s="41" t="s">
        <v>4572</v>
      </c>
      <c r="H252" s="41" t="str">
        <f t="shared" si="9"/>
        <v>https://www.ssbuy.tw/detail_giftcode/dist/gamedetail/魔法村物語.html</v>
      </c>
      <c r="I252" s="42" t="s">
        <v>4577</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4604</v>
      </c>
      <c r="Y252" s="72">
        <v>535</v>
      </c>
      <c r="Z252" s="1" t="s">
        <v>4605</v>
      </c>
      <c r="AA252" s="72">
        <v>248</v>
      </c>
      <c r="AB252" s="1" t="s">
        <v>4606</v>
      </c>
      <c r="AC252" s="72">
        <v>124</v>
      </c>
    </row>
    <row r="253" spans="1:31" ht="22.5" customHeight="1" thickBot="1">
      <c r="A253" s="72" t="s">
        <v>4638</v>
      </c>
      <c r="C253" s="5" t="s">
        <v>4642</v>
      </c>
      <c r="D253" s="4" t="s">
        <v>4642</v>
      </c>
      <c r="E253" s="4" t="s">
        <v>4641</v>
      </c>
      <c r="F253" s="41" t="str">
        <f t="shared" si="8"/>
        <v>https://www.ssbuy.tw/detail_giftcode/dist/giftcodes/奇蹟MU：騎士袋你飛.html</v>
      </c>
      <c r="G253" s="4" t="s">
        <v>4640</v>
      </c>
      <c r="H253" s="41" t="str">
        <f t="shared" si="9"/>
        <v>https://www.ssbuy.tw/detail_giftcode/dist/gamedetail/奇蹟MU：騎士袋你飛.html</v>
      </c>
      <c r="I253" s="42" t="s">
        <v>4666</v>
      </c>
      <c r="J253" s="1" t="s">
        <v>145</v>
      </c>
      <c r="K253" s="72">
        <v>1605</v>
      </c>
      <c r="L253" s="1" t="s">
        <v>146</v>
      </c>
      <c r="M253" s="72">
        <v>810</v>
      </c>
      <c r="N253" s="1" t="s">
        <v>147</v>
      </c>
      <c r="O253" s="72">
        <v>496</v>
      </c>
      <c r="P253" s="1" t="s">
        <v>4668</v>
      </c>
      <c r="Q253" s="72">
        <v>198</v>
      </c>
      <c r="R253" s="1" t="s">
        <v>149</v>
      </c>
      <c r="S253" s="72">
        <v>103</v>
      </c>
      <c r="T253" s="1" t="s">
        <v>3978</v>
      </c>
      <c r="U253" s="72">
        <v>21</v>
      </c>
      <c r="V253" s="1" t="s">
        <v>4669</v>
      </c>
      <c r="W253" s="72">
        <v>163</v>
      </c>
      <c r="X253" s="1" t="s">
        <v>4670</v>
      </c>
      <c r="Y253" s="72">
        <v>58</v>
      </c>
      <c r="Z253" s="1" t="s">
        <v>4671</v>
      </c>
      <c r="AA253" s="72">
        <v>58</v>
      </c>
      <c r="AB253" s="1" t="s">
        <v>4672</v>
      </c>
      <c r="AC253" s="72">
        <v>58</v>
      </c>
      <c r="AD253" s="1" t="s">
        <v>4673</v>
      </c>
      <c r="AE253" s="72">
        <v>107</v>
      </c>
    </row>
    <row r="254" spans="1:31" ht="22.5" customHeight="1" thickBot="1">
      <c r="A254" s="72" t="s">
        <v>4639</v>
      </c>
      <c r="C254" s="5" t="s">
        <v>4645</v>
      </c>
      <c r="D254" s="4" t="s">
        <v>4645</v>
      </c>
      <c r="E254" s="4" t="s">
        <v>4644</v>
      </c>
      <c r="F254" s="41" t="str">
        <f t="shared" si="6"/>
        <v>https://www.ssbuy.tw/detail_giftcode/dist/giftcodes/AUR3：影月幻域.html</v>
      </c>
      <c r="G254" s="4" t="s">
        <v>4643</v>
      </c>
      <c r="H254" s="41" t="str">
        <f t="shared" si="7"/>
        <v>https://www.ssbuy.tw/detail_giftcode/dist/gamedetail/AUR3：影月幻域.html</v>
      </c>
      <c r="I254" s="42" t="s">
        <v>4667</v>
      </c>
      <c r="J254" s="1" t="s">
        <v>4674</v>
      </c>
      <c r="K254" s="72">
        <v>1139</v>
      </c>
      <c r="L254" s="1" t="s">
        <v>4675</v>
      </c>
      <c r="M254" s="72">
        <v>612</v>
      </c>
      <c r="N254" s="1" t="s">
        <v>4676</v>
      </c>
      <c r="O254" s="72">
        <v>380</v>
      </c>
      <c r="P254" s="1" t="s">
        <v>4677</v>
      </c>
      <c r="Q254" s="72">
        <v>194</v>
      </c>
      <c r="R254" s="1" t="s">
        <v>4678</v>
      </c>
      <c r="S254" s="72">
        <v>74</v>
      </c>
      <c r="T254" s="1" t="s">
        <v>4679</v>
      </c>
      <c r="U254" s="72">
        <v>17</v>
      </c>
      <c r="V254" s="1" t="s">
        <v>4680</v>
      </c>
      <c r="W254" s="72">
        <v>194</v>
      </c>
      <c r="X254" s="1" t="s">
        <v>4681</v>
      </c>
      <c r="Y254" s="72">
        <v>74</v>
      </c>
    </row>
    <row r="255" spans="1:31" ht="22.5" customHeight="1" thickBot="1">
      <c r="A255" s="3" t="s">
        <v>4702</v>
      </c>
      <c r="C255" s="5" t="s">
        <v>4691</v>
      </c>
      <c r="D255" s="4" t="s">
        <v>4692</v>
      </c>
      <c r="E255" s="4" t="s">
        <v>4689</v>
      </c>
      <c r="F255" s="41" t="str">
        <f t="shared" si="6"/>
        <v>https://www.ssbuy.tw/detail_giftcode/dist/giftcodes/純潔的魔法少女.html</v>
      </c>
      <c r="G255" s="4" t="s">
        <v>4690</v>
      </c>
      <c r="H255" s="41" t="str">
        <f t="shared" si="7"/>
        <v>https://www.ssbuy.tw/detail_giftcode/dist/gamedetail/純潔的魔法少女.html</v>
      </c>
      <c r="I255" s="42" t="s">
        <v>4706</v>
      </c>
      <c r="J255" s="1" t="s">
        <v>4721</v>
      </c>
      <c r="K255" s="72">
        <v>2555</v>
      </c>
      <c r="L255" s="1" t="s">
        <v>4722</v>
      </c>
      <c r="M255" s="72">
        <v>1331</v>
      </c>
      <c r="N255" s="1" t="s">
        <v>4723</v>
      </c>
      <c r="O255" s="72">
        <v>780</v>
      </c>
      <c r="P255" s="1" t="s">
        <v>4724</v>
      </c>
      <c r="Q255" s="72">
        <v>264</v>
      </c>
      <c r="R255" s="1" t="s">
        <v>4725</v>
      </c>
      <c r="S255" s="72">
        <v>145</v>
      </c>
      <c r="T255" s="1" t="s">
        <v>4726</v>
      </c>
      <c r="U255" s="72">
        <v>28</v>
      </c>
      <c r="V255" s="1" t="s">
        <v>4727</v>
      </c>
      <c r="W255" s="72">
        <v>216</v>
      </c>
    </row>
    <row r="256" spans="1:31" ht="22.5" customHeight="1" thickBot="1">
      <c r="A256" s="72" t="s">
        <v>4686</v>
      </c>
      <c r="C256" s="5" t="s">
        <v>4693</v>
      </c>
      <c r="D256" s="4" t="s">
        <v>4698</v>
      </c>
      <c r="E256" s="4" t="s">
        <v>4697</v>
      </c>
      <c r="F256" s="41" t="str">
        <f t="shared" si="6"/>
        <v>https://www.ssbuy.tw/detail_giftcode/dist/giftcodes/Next Agers.html</v>
      </c>
      <c r="G256" s="4" t="s">
        <v>4696</v>
      </c>
      <c r="H256" s="41" t="str">
        <f t="shared" si="7"/>
        <v>https://www.ssbuy.tw/detail_giftcode/dist/gamedetail/Next Agers.html</v>
      </c>
      <c r="I256" s="42" t="s">
        <v>4707</v>
      </c>
      <c r="J256" s="1" t="s">
        <v>4</v>
      </c>
      <c r="K256" s="72">
        <v>2702</v>
      </c>
      <c r="L256" s="1" t="s">
        <v>5</v>
      </c>
      <c r="M256" s="72">
        <v>1370</v>
      </c>
      <c r="N256" s="1" t="s">
        <v>17</v>
      </c>
      <c r="O256" s="72">
        <v>559</v>
      </c>
      <c r="P256" s="1" t="s">
        <v>163</v>
      </c>
      <c r="Q256" s="72">
        <v>280</v>
      </c>
      <c r="R256" s="1" t="s">
        <v>6</v>
      </c>
      <c r="S256" s="72">
        <v>153</v>
      </c>
      <c r="T256" s="1" t="s">
        <v>164</v>
      </c>
      <c r="U256" s="72">
        <v>30</v>
      </c>
      <c r="V256" s="1" t="s">
        <v>4728</v>
      </c>
      <c r="W256" s="72">
        <v>6095</v>
      </c>
    </row>
    <row r="257" spans="1:33" ht="22.5" customHeight="1" thickBot="1">
      <c r="A257" s="72" t="s">
        <v>4687</v>
      </c>
      <c r="C257" s="5" t="s">
        <v>4694</v>
      </c>
      <c r="D257" s="4" t="s">
        <v>4699</v>
      </c>
      <c r="E257" s="4" t="s">
        <v>4700</v>
      </c>
      <c r="F257" s="41" t="str">
        <f t="shared" si="6"/>
        <v>https://www.ssbuy.tw/detail_giftcode/dist/giftcodes/屍不可擋.html</v>
      </c>
      <c r="G257" s="4" t="s">
        <v>4701</v>
      </c>
      <c r="H257" s="41" t="str">
        <f t="shared" si="7"/>
        <v>https://www.ssbuy.tw/detail_giftcode/dist/gamedetail/屍不可擋.html</v>
      </c>
      <c r="I257" s="42" t="s">
        <v>4708</v>
      </c>
      <c r="J257" s="1" t="s">
        <v>4729</v>
      </c>
      <c r="K257" s="72">
        <v>2355</v>
      </c>
      <c r="L257" s="1" t="s">
        <v>4730</v>
      </c>
      <c r="M257" s="72">
        <v>1016</v>
      </c>
      <c r="N257" s="1" t="s">
        <v>4731</v>
      </c>
      <c r="O257" s="72">
        <v>551</v>
      </c>
      <c r="P257" s="1" t="s">
        <v>4732</v>
      </c>
      <c r="Q257" s="72">
        <v>256</v>
      </c>
      <c r="R257" s="1" t="s">
        <v>28</v>
      </c>
      <c r="S257" s="72">
        <v>128</v>
      </c>
      <c r="T257" s="1" t="s">
        <v>4733</v>
      </c>
      <c r="U257" s="72">
        <v>26</v>
      </c>
      <c r="V257" s="1" t="s">
        <v>1674</v>
      </c>
      <c r="W257" s="72">
        <v>1961</v>
      </c>
      <c r="X257" s="1" t="s">
        <v>4734</v>
      </c>
      <c r="Y257" s="72">
        <v>1410</v>
      </c>
      <c r="Z257" s="1" t="s">
        <v>47</v>
      </c>
      <c r="AA257" s="72">
        <v>1016</v>
      </c>
      <c r="AB257" s="1" t="s">
        <v>152</v>
      </c>
      <c r="AC257" s="72">
        <v>551</v>
      </c>
    </row>
    <row r="258" spans="1:33" ht="22.5" customHeight="1" thickBot="1">
      <c r="A258" s="72" t="s">
        <v>4688</v>
      </c>
      <c r="C258" s="5" t="s">
        <v>4695</v>
      </c>
      <c r="D258" s="41" t="s">
        <v>4703</v>
      </c>
      <c r="E258" s="4" t="s">
        <v>4704</v>
      </c>
      <c r="F258" s="41" t="str">
        <f t="shared" si="6"/>
        <v>https://www.ssbuy.tw/detail_giftcode/dist/giftcodes/RF ONLINE NEXT.html</v>
      </c>
      <c r="G258" s="4" t="s">
        <v>4705</v>
      </c>
      <c r="H258" s="41" t="str">
        <f t="shared" si="7"/>
        <v>https://www.ssbuy.tw/detail_giftcode/dist/gamedetail/RF ONLINE NEXT.html</v>
      </c>
      <c r="I258" s="42" t="s">
        <v>4709</v>
      </c>
      <c r="J258" s="1" t="s">
        <v>4759</v>
      </c>
      <c r="K258" s="72">
        <v>1725</v>
      </c>
      <c r="L258" s="1" t="s">
        <v>1268</v>
      </c>
      <c r="M258" s="72">
        <v>937</v>
      </c>
      <c r="N258" s="1" t="s">
        <v>4760</v>
      </c>
      <c r="O258" s="72">
        <v>375</v>
      </c>
      <c r="P258" s="1" t="s">
        <v>4761</v>
      </c>
      <c r="Q258" s="72">
        <v>184</v>
      </c>
      <c r="R258" s="1" t="s">
        <v>1302</v>
      </c>
      <c r="S258" s="72">
        <v>85</v>
      </c>
      <c r="T258" s="1" t="s">
        <v>4762</v>
      </c>
      <c r="U258" s="72">
        <v>28</v>
      </c>
      <c r="V258" s="1" t="s">
        <v>4763</v>
      </c>
      <c r="W258" s="72">
        <v>583</v>
      </c>
      <c r="X258" s="1" t="s">
        <v>4764</v>
      </c>
      <c r="Y258" s="72">
        <v>145</v>
      </c>
      <c r="Z258" s="1" t="s">
        <v>4765</v>
      </c>
      <c r="AA258" s="72">
        <v>162</v>
      </c>
      <c r="AB258" s="1" t="s">
        <v>4766</v>
      </c>
      <c r="AC258" s="72">
        <v>1725</v>
      </c>
      <c r="AD258" s="1" t="s">
        <v>4767</v>
      </c>
      <c r="AE258" s="72">
        <v>1725</v>
      </c>
    </row>
    <row r="259" spans="1:33" ht="22.5" customHeight="1" thickBot="1">
      <c r="A259" s="70" t="s">
        <v>4746</v>
      </c>
      <c r="C259" s="5" t="s">
        <v>4745</v>
      </c>
      <c r="D259" s="41" t="s">
        <v>4744</v>
      </c>
      <c r="E259" s="41" t="s">
        <v>4743</v>
      </c>
      <c r="F259" s="41" t="str">
        <f t="shared" ref="F259:F267" si="10">IF(A259="","", "https://www.ssbuy.tw/detail_giftcode/dist/giftcodes/" &amp; IF(ISNUMBER(LEFT(A259,1)*1), "game-", "") &amp; A259 &amp; ".html")</f>
        <v>https://www.ssbuy.tw/detail_giftcode/dist/giftcodes/少女掌門人.html</v>
      </c>
      <c r="G259" s="4" t="s">
        <v>4747</v>
      </c>
      <c r="H259" s="41" t="str">
        <f t="shared" ref="H259:H283" si="11">IF(A259="","", "https://www.ssbuy.tw/detail_giftcode/dist/gamedetail/" &amp; IF(ISNUMBER(LEFT(A259,1)*1), "game-", "") &amp; A259 &amp; ".html")</f>
        <v>https://www.ssbuy.tw/detail_giftcode/dist/gamedetail/少女掌門人.html</v>
      </c>
      <c r="I259" s="42" t="s">
        <v>4748</v>
      </c>
      <c r="J259" s="1" t="s">
        <v>4735</v>
      </c>
      <c r="K259" s="72">
        <v>2048</v>
      </c>
      <c r="L259" s="1" t="s">
        <v>4736</v>
      </c>
      <c r="M259" s="72">
        <v>1181</v>
      </c>
      <c r="N259" s="1" t="s">
        <v>4737</v>
      </c>
      <c r="O259" s="72">
        <v>843</v>
      </c>
      <c r="P259" s="1" t="s">
        <v>4738</v>
      </c>
      <c r="Q259" s="72">
        <v>423</v>
      </c>
      <c r="R259" s="1" t="s">
        <v>4739</v>
      </c>
      <c r="S259" s="72">
        <v>216</v>
      </c>
      <c r="T259" s="1" t="s">
        <v>4740</v>
      </c>
      <c r="U259" s="72">
        <v>55</v>
      </c>
      <c r="V259" s="1" t="s">
        <v>3577</v>
      </c>
      <c r="W259" s="72">
        <v>630</v>
      </c>
      <c r="X259" s="1" t="s">
        <v>4741</v>
      </c>
      <c r="Y259" s="72">
        <v>439</v>
      </c>
      <c r="Z259" s="1" t="s">
        <v>4742</v>
      </c>
      <c r="AA259" s="72">
        <v>630</v>
      </c>
    </row>
    <row r="260" spans="1:33" ht="22.5" customHeight="1" thickBot="1">
      <c r="A260" s="70" t="s">
        <v>4791</v>
      </c>
      <c r="C260" s="40" t="s">
        <v>4785</v>
      </c>
      <c r="D260" s="5" t="s">
        <v>4790</v>
      </c>
      <c r="E260" s="4" t="s">
        <v>4789</v>
      </c>
      <c r="F260" s="41" t="str">
        <f t="shared" si="10"/>
        <v>https://www.ssbuy.tw/detail_giftcode/dist/giftcodes/翼之櫻：放置決鬥者.html</v>
      </c>
      <c r="G260" s="4" t="s">
        <v>4787</v>
      </c>
      <c r="H260" s="41" t="str">
        <f t="shared" si="11"/>
        <v>https://www.ssbuy.tw/detail_giftcode/dist/gamedetail/翼之櫻：放置決鬥者.html</v>
      </c>
      <c r="I260" s="42" t="s">
        <v>4800</v>
      </c>
      <c r="J260" s="1" t="s">
        <v>4768</v>
      </c>
      <c r="K260" s="72">
        <v>2355</v>
      </c>
      <c r="L260" s="1" t="s">
        <v>4769</v>
      </c>
      <c r="M260" s="72">
        <v>1173</v>
      </c>
      <c r="N260" s="1" t="s">
        <v>4770</v>
      </c>
      <c r="O260" s="72">
        <v>780</v>
      </c>
      <c r="P260" s="1" t="s">
        <v>4771</v>
      </c>
      <c r="Q260" s="72">
        <v>391</v>
      </c>
      <c r="R260" s="1" t="s">
        <v>4772</v>
      </c>
      <c r="S260" s="72">
        <v>128</v>
      </c>
      <c r="T260" s="1" t="s">
        <v>4773</v>
      </c>
      <c r="U260" s="72">
        <v>26</v>
      </c>
      <c r="V260" s="1" t="s">
        <v>107</v>
      </c>
      <c r="W260" s="72">
        <v>128</v>
      </c>
      <c r="X260" s="1" t="s">
        <v>4774</v>
      </c>
      <c r="Y260" s="72">
        <v>77</v>
      </c>
      <c r="Z260" s="1" t="s">
        <v>4775</v>
      </c>
      <c r="AA260" s="72">
        <v>176</v>
      </c>
      <c r="AB260" s="1" t="s">
        <v>4776</v>
      </c>
      <c r="AC260" s="72">
        <v>551</v>
      </c>
    </row>
    <row r="261" spans="1:33" ht="22.5" customHeight="1" thickBot="1">
      <c r="A261" s="72" t="s">
        <v>4757</v>
      </c>
      <c r="C261" s="5" t="s">
        <v>4793</v>
      </c>
      <c r="D261" s="4" t="s">
        <v>4794</v>
      </c>
      <c r="E261" s="4" t="s">
        <v>4795</v>
      </c>
      <c r="F261" s="41" t="str">
        <f t="shared" si="10"/>
        <v>https://www.ssbuy.tw/detail_giftcode/dist/giftcodes/Oniro ARPG.html</v>
      </c>
      <c r="G261" s="4" t="s">
        <v>4792</v>
      </c>
      <c r="H261" s="41" t="str">
        <f t="shared" si="11"/>
        <v>https://www.ssbuy.tw/detail_giftcode/dist/gamedetail/Oniro ARPG.html</v>
      </c>
      <c r="I261" s="42" t="s">
        <v>4798</v>
      </c>
      <c r="J261" s="1" t="s">
        <v>4777</v>
      </c>
      <c r="K261" s="72">
        <v>1961</v>
      </c>
      <c r="L261" s="1" t="s">
        <v>4778</v>
      </c>
      <c r="M261" s="72">
        <v>1016</v>
      </c>
      <c r="N261" s="1" t="s">
        <v>4779</v>
      </c>
      <c r="O261" s="72">
        <v>551</v>
      </c>
      <c r="P261" s="1" t="s">
        <v>4780</v>
      </c>
      <c r="Q261" s="72">
        <v>232</v>
      </c>
      <c r="R261" s="1" t="s">
        <v>4781</v>
      </c>
      <c r="S261" s="72">
        <v>102</v>
      </c>
      <c r="T261" s="1" t="s">
        <v>1377</v>
      </c>
      <c r="U261" s="72">
        <v>26</v>
      </c>
      <c r="V261" s="1" t="s">
        <v>4782</v>
      </c>
      <c r="W261" s="72">
        <v>622</v>
      </c>
      <c r="X261" s="1" t="s">
        <v>4783</v>
      </c>
      <c r="Y261" s="72">
        <v>1173</v>
      </c>
    </row>
    <row r="262" spans="1:33" ht="22.5" customHeight="1" thickBot="1">
      <c r="A262" s="72" t="s">
        <v>4758</v>
      </c>
      <c r="C262" s="40" t="s">
        <v>4786</v>
      </c>
      <c r="D262" s="4" t="s">
        <v>4797</v>
      </c>
      <c r="E262" s="4" t="s">
        <v>4796</v>
      </c>
      <c r="F262" s="41" t="str">
        <f t="shared" si="10"/>
        <v>https://www.ssbuy.tw/detail_giftcode/dist/giftcodes/Legend of YMIR.html</v>
      </c>
      <c r="G262" s="4" t="s">
        <v>4788</v>
      </c>
      <c r="H262" s="41" t="str">
        <f t="shared" si="11"/>
        <v>https://www.ssbuy.tw/detail_giftcode/dist/gamedetail/Legend of YMIR.html</v>
      </c>
      <c r="I262" s="42" t="s">
        <v>4799</v>
      </c>
      <c r="J262" s="1" t="s">
        <v>1268</v>
      </c>
      <c r="K262" s="72">
        <v>2355</v>
      </c>
      <c r="L262" s="1" t="s">
        <v>17</v>
      </c>
      <c r="M262" s="72">
        <v>1173</v>
      </c>
      <c r="N262" s="1" t="s">
        <v>64</v>
      </c>
      <c r="O262" s="72">
        <v>780</v>
      </c>
      <c r="P262" s="1" t="s">
        <v>1277</v>
      </c>
      <c r="Q262" s="72">
        <v>256</v>
      </c>
      <c r="R262" s="1" t="s">
        <v>4784</v>
      </c>
      <c r="S262" s="72">
        <v>128</v>
      </c>
      <c r="T262" s="1" t="s">
        <v>285</v>
      </c>
      <c r="U262" s="72">
        <v>77</v>
      </c>
    </row>
    <row r="263" spans="1:33" ht="22.5" customHeight="1" thickBot="1">
      <c r="A263" s="69" t="s">
        <v>4802</v>
      </c>
      <c r="C263" s="5" t="s">
        <v>4801</v>
      </c>
      <c r="D263" s="4" t="s">
        <v>4801</v>
      </c>
      <c r="E263" s="4" t="s">
        <v>4803</v>
      </c>
      <c r="F263" s="41" t="str">
        <f t="shared" si="10"/>
        <v>https://www.ssbuy.tw/detail_giftcode/dist/giftcodes/Elysia：星空墜落.html</v>
      </c>
      <c r="G263" s="4" t="s">
        <v>4804</v>
      </c>
      <c r="H263" s="41" t="str">
        <f t="shared" si="11"/>
        <v>https://www.ssbuy.tw/detail_giftcode/dist/gamedetail/Elysia：星空墜落.html</v>
      </c>
      <c r="I263" s="42" t="s">
        <v>4805</v>
      </c>
      <c r="J263" s="1" t="s">
        <v>4882</v>
      </c>
      <c r="K263" s="72">
        <v>2371</v>
      </c>
      <c r="L263" s="1" t="s">
        <v>4883</v>
      </c>
      <c r="M263" s="72">
        <v>1204</v>
      </c>
      <c r="N263" s="1" t="s">
        <v>4884</v>
      </c>
      <c r="O263" s="72">
        <v>563</v>
      </c>
      <c r="P263" s="1" t="s">
        <v>4885</v>
      </c>
      <c r="Q263" s="72">
        <v>261</v>
      </c>
      <c r="R263" s="1" t="s">
        <v>4886</v>
      </c>
      <c r="S263" s="72">
        <v>128</v>
      </c>
      <c r="T263" s="1" t="s">
        <v>4887</v>
      </c>
      <c r="U263" s="72">
        <v>26</v>
      </c>
      <c r="V263" s="1" t="s">
        <v>4888</v>
      </c>
      <c r="W263" s="72">
        <v>400</v>
      </c>
      <c r="X263" s="1" t="s">
        <v>4889</v>
      </c>
      <c r="Y263" s="72">
        <v>128</v>
      </c>
      <c r="Z263" s="1" t="s">
        <v>4890</v>
      </c>
      <c r="AA263" s="72">
        <v>2371</v>
      </c>
      <c r="AB263" s="99" t="s">
        <v>4891</v>
      </c>
      <c r="AC263" s="72">
        <v>1204</v>
      </c>
      <c r="AD263" s="1" t="s">
        <v>4892</v>
      </c>
      <c r="AE263" s="72">
        <v>400</v>
      </c>
      <c r="AF263" s="1" t="s">
        <v>4893</v>
      </c>
      <c r="AG263" s="72">
        <v>26</v>
      </c>
    </row>
    <row r="264" spans="1:33" ht="22.5" customHeight="1" thickBot="1">
      <c r="A264" s="72" t="s">
        <v>4831</v>
      </c>
      <c r="E264" s="4" t="s">
        <v>4838</v>
      </c>
      <c r="F264" s="41" t="str">
        <f t="shared" si="10"/>
        <v>https://www.ssbuy.tw/detail_giftcode/dist/giftcodes/合併貓鎮.html</v>
      </c>
      <c r="G264" s="4" t="s">
        <v>4837</v>
      </c>
      <c r="H264" s="41" t="str">
        <f t="shared" si="11"/>
        <v>https://www.ssbuy.tw/detail_giftcode/dist/gamedetail/合併貓鎮.html</v>
      </c>
      <c r="I264" s="42" t="s">
        <v>4852</v>
      </c>
      <c r="J264" s="47" t="s">
        <v>4834</v>
      </c>
      <c r="K264" s="41" t="s">
        <v>4835</v>
      </c>
    </row>
    <row r="265" spans="1:33" ht="22.5" customHeight="1" thickBot="1">
      <c r="A265" s="72" t="s">
        <v>4832</v>
      </c>
      <c r="C265" s="5" t="s">
        <v>4839</v>
      </c>
      <c r="D265" s="4" t="s">
        <v>4841</v>
      </c>
      <c r="E265" s="4" t="s">
        <v>4842</v>
      </c>
      <c r="F265" s="41" t="str">
        <f t="shared" si="10"/>
        <v>https://www.ssbuy.tw/detail_giftcode/dist/giftcodes/幻牌交鋒.html</v>
      </c>
      <c r="G265" s="4" t="s">
        <v>4843</v>
      </c>
      <c r="H265" s="41" t="str">
        <f t="shared" si="11"/>
        <v>https://www.ssbuy.tw/detail_giftcode/dist/gamedetail/幻牌交鋒.html</v>
      </c>
      <c r="I265" t="s">
        <v>4853</v>
      </c>
      <c r="J265" s="1" t="s">
        <v>4856</v>
      </c>
      <c r="K265" s="72">
        <v>2371</v>
      </c>
      <c r="L265" s="1" t="s">
        <v>4857</v>
      </c>
      <c r="M265" s="72">
        <v>1204</v>
      </c>
      <c r="N265" s="1" t="s">
        <v>1432</v>
      </c>
      <c r="O265" s="72">
        <v>563</v>
      </c>
      <c r="P265" s="1" t="s">
        <v>1433</v>
      </c>
      <c r="Q265" s="72">
        <v>261</v>
      </c>
      <c r="R265" s="1" t="s">
        <v>1434</v>
      </c>
      <c r="S265" s="72">
        <v>128</v>
      </c>
      <c r="T265" s="1" t="s">
        <v>1435</v>
      </c>
      <c r="U265" s="72">
        <v>26</v>
      </c>
      <c r="V265" s="1" t="s">
        <v>4894</v>
      </c>
      <c r="W265" s="72">
        <v>247</v>
      </c>
      <c r="X265" s="1" t="s">
        <v>196</v>
      </c>
      <c r="Y265" s="72">
        <v>261</v>
      </c>
      <c r="Z265" s="1" t="s">
        <v>4859</v>
      </c>
      <c r="AA265" s="72">
        <v>162</v>
      </c>
      <c r="AB265" s="1" t="s">
        <v>4858</v>
      </c>
      <c r="AC265" s="72">
        <v>162</v>
      </c>
    </row>
    <row r="266" spans="1:33" ht="22.5" customHeight="1" thickBot="1">
      <c r="A266" s="3" t="s">
        <v>4844</v>
      </c>
      <c r="C266" s="5" t="s">
        <v>4845</v>
      </c>
      <c r="D266" s="4" t="s">
        <v>4848</v>
      </c>
      <c r="E266" s="4" t="s">
        <v>4847</v>
      </c>
      <c r="F266" s="41" t="str">
        <f t="shared" si="10"/>
        <v>https://www.ssbuy.tw/detail_giftcode/dist/giftcodes/激鬥！王國保衛戰.html</v>
      </c>
      <c r="G266" s="4" t="s">
        <v>4846</v>
      </c>
      <c r="H266" s="41" t="str">
        <f t="shared" si="11"/>
        <v>https://www.ssbuy.tw/detail_giftcode/dist/gamedetail/激鬥！王國保衛戰.html</v>
      </c>
      <c r="I266" s="42" t="s">
        <v>4854</v>
      </c>
      <c r="J266" s="1" t="s">
        <v>4860</v>
      </c>
      <c r="K266" s="72">
        <v>2609</v>
      </c>
      <c r="L266" s="1" t="s">
        <v>4861</v>
      </c>
      <c r="M266" s="72">
        <v>1365</v>
      </c>
      <c r="N266" s="1" t="s">
        <v>4862</v>
      </c>
      <c r="O266" s="72">
        <v>807</v>
      </c>
      <c r="P266" s="1" t="s">
        <v>4863</v>
      </c>
      <c r="Q266" s="72">
        <v>546</v>
      </c>
      <c r="R266" s="1" t="s">
        <v>4864</v>
      </c>
      <c r="S266" s="72">
        <v>400</v>
      </c>
      <c r="T266" s="1" t="s">
        <v>4865</v>
      </c>
      <c r="U266" s="72">
        <v>269</v>
      </c>
      <c r="V266" s="1" t="s">
        <v>4866</v>
      </c>
      <c r="W266" s="72">
        <v>145</v>
      </c>
      <c r="X266" s="1" t="s">
        <v>4867</v>
      </c>
      <c r="Y266" s="72">
        <v>29</v>
      </c>
    </row>
    <row r="267" spans="1:33" ht="22.5" customHeight="1" thickBot="1">
      <c r="A267" s="72" t="s">
        <v>4833</v>
      </c>
      <c r="C267" s="5" t="s">
        <v>4840</v>
      </c>
      <c r="D267" s="41" t="s">
        <v>4851</v>
      </c>
      <c r="E267" s="4" t="s">
        <v>4849</v>
      </c>
      <c r="F267" s="41" t="str">
        <f t="shared" si="10"/>
        <v>https://www.ssbuy.tw/detail_giftcode/dist/giftcodes/嘟嘟臉惡作劇.html</v>
      </c>
      <c r="G267" s="41" t="s">
        <v>4850</v>
      </c>
      <c r="H267" s="41" t="str">
        <f t="shared" si="11"/>
        <v>https://www.ssbuy.tw/detail_giftcode/dist/gamedetail/嘟嘟臉惡作劇.html</v>
      </c>
      <c r="I267" s="42" t="s">
        <v>4855</v>
      </c>
      <c r="J267" s="1" t="s">
        <v>4943</v>
      </c>
      <c r="K267" s="72">
        <v>2371</v>
      </c>
      <c r="L267" s="1" t="s">
        <v>4944</v>
      </c>
      <c r="M267" s="72">
        <v>1204</v>
      </c>
      <c r="N267" s="1" t="s">
        <v>4945</v>
      </c>
      <c r="O267" s="72">
        <v>807</v>
      </c>
      <c r="P267" s="1" t="s">
        <v>4946</v>
      </c>
      <c r="Q267" s="72">
        <v>530</v>
      </c>
      <c r="R267" s="1" t="s">
        <v>4947</v>
      </c>
      <c r="S267" s="72">
        <v>294</v>
      </c>
      <c r="T267" s="1" t="s">
        <v>4948</v>
      </c>
      <c r="U267" s="72">
        <v>136</v>
      </c>
      <c r="V267" s="1" t="s">
        <v>4949</v>
      </c>
      <c r="W267" s="72">
        <v>29</v>
      </c>
      <c r="X267" s="1" t="s">
        <v>4950</v>
      </c>
      <c r="Y267" s="72">
        <v>136</v>
      </c>
      <c r="Z267" s="1" t="s">
        <v>4951</v>
      </c>
      <c r="AA267" s="72">
        <v>136</v>
      </c>
      <c r="AB267" s="1" t="s">
        <v>4952</v>
      </c>
      <c r="AC267" s="72">
        <v>196</v>
      </c>
    </row>
    <row r="268" spans="1:33" ht="22.5" customHeight="1" thickBot="1">
      <c r="A268" s="3" t="s">
        <v>4920</v>
      </c>
      <c r="C268" s="5" t="s">
        <v>4922</v>
      </c>
      <c r="D268" s="4" t="s">
        <v>4905</v>
      </c>
      <c r="E268" s="4" t="s">
        <v>4906</v>
      </c>
      <c r="F268" s="40" t="str">
        <f t="shared" ref="F268:F312" si="12">IF(A268="", "", "gift-codes.html?game=" &amp; A268)</f>
        <v>gift-codes.html?game=我的花園世界</v>
      </c>
      <c r="G268" s="4" t="s">
        <v>4921</v>
      </c>
      <c r="H268" s="41" t="str">
        <f t="shared" si="11"/>
        <v>https://www.ssbuy.tw/detail_giftcode/dist/gamedetail/我的花園世界.html</v>
      </c>
      <c r="I268" s="42" t="s">
        <v>4923</v>
      </c>
      <c r="J268" s="1" t="s">
        <v>4915</v>
      </c>
      <c r="K268" s="72">
        <v>2609</v>
      </c>
      <c r="L268" s="1" t="s">
        <v>204</v>
      </c>
      <c r="M268" s="72">
        <v>1365</v>
      </c>
      <c r="N268" s="1" t="s">
        <v>4916</v>
      </c>
      <c r="O268" s="72">
        <v>807</v>
      </c>
      <c r="P268" s="1" t="s">
        <v>4460</v>
      </c>
      <c r="Q268" s="72">
        <v>546</v>
      </c>
      <c r="R268" s="1" t="s">
        <v>4917</v>
      </c>
      <c r="S268" s="72">
        <v>400</v>
      </c>
      <c r="T268" s="1" t="s">
        <v>205</v>
      </c>
      <c r="U268" s="72">
        <v>269</v>
      </c>
      <c r="V268" s="1" t="s">
        <v>239</v>
      </c>
      <c r="W268" s="72">
        <v>145</v>
      </c>
      <c r="X268" s="1" t="s">
        <v>240</v>
      </c>
      <c r="Y268" s="72">
        <v>29</v>
      </c>
      <c r="Z268" s="1" t="s">
        <v>4918</v>
      </c>
      <c r="AA268" s="72">
        <v>29</v>
      </c>
      <c r="AB268" s="1" t="s">
        <v>4919</v>
      </c>
      <c r="AC268" s="72">
        <v>145</v>
      </c>
    </row>
    <row r="269" spans="1:33" ht="22.5" customHeight="1" thickBot="1">
      <c r="A269" s="72" t="s">
        <v>4953</v>
      </c>
      <c r="C269" s="5" t="s">
        <v>4958</v>
      </c>
      <c r="D269" s="41" t="s">
        <v>4960</v>
      </c>
      <c r="E269" s="41" t="s">
        <v>4959</v>
      </c>
      <c r="F269" s="40" t="str">
        <f t="shared" si="12"/>
        <v>gift-codes.html?game=Awakenloop</v>
      </c>
      <c r="G269" s="41" t="s">
        <v>4961</v>
      </c>
      <c r="H269" s="41" t="str">
        <f t="shared" si="11"/>
        <v>https://www.ssbuy.tw/detail_giftcode/dist/gamedetail/Awakenloop.html</v>
      </c>
      <c r="I269" s="42" t="s">
        <v>4977</v>
      </c>
      <c r="J269" s="1" t="s">
        <v>4860</v>
      </c>
      <c r="K269" s="72">
        <v>2343</v>
      </c>
      <c r="L269" s="1" t="s">
        <v>4861</v>
      </c>
      <c r="M269" s="72">
        <v>1190</v>
      </c>
      <c r="N269" s="1" t="s">
        <v>4862</v>
      </c>
      <c r="O269" s="72">
        <v>798</v>
      </c>
      <c r="P269" s="1" t="s">
        <v>4863</v>
      </c>
      <c r="Q269" s="72">
        <v>540</v>
      </c>
      <c r="R269" s="1" t="s">
        <v>4864</v>
      </c>
      <c r="S269" s="72">
        <v>395</v>
      </c>
      <c r="T269" s="1" t="s">
        <v>4865</v>
      </c>
      <c r="U269" s="72">
        <v>258</v>
      </c>
      <c r="V269" s="1" t="s">
        <v>4866</v>
      </c>
      <c r="W269" s="72">
        <v>126</v>
      </c>
      <c r="X269" s="1" t="s">
        <v>4995</v>
      </c>
      <c r="Y269" s="72">
        <v>52</v>
      </c>
      <c r="Z269" s="1" t="s">
        <v>4867</v>
      </c>
      <c r="AA269" s="72">
        <v>26</v>
      </c>
    </row>
    <row r="270" spans="1:33" ht="22.5" customHeight="1" thickBot="1">
      <c r="A270" s="72" t="s">
        <v>4954</v>
      </c>
      <c r="C270" s="40" t="s">
        <v>4965</v>
      </c>
      <c r="D270" s="41" t="s">
        <v>4962</v>
      </c>
      <c r="E270" s="41" t="s">
        <v>4963</v>
      </c>
      <c r="F270" s="40" t="str">
        <f t="shared" si="12"/>
        <v>gift-codes.html?game=Astellia</v>
      </c>
      <c r="G270" s="41" t="s">
        <v>4964</v>
      </c>
      <c r="H270" s="41" t="str">
        <f t="shared" si="11"/>
        <v>https://www.ssbuy.tw/detail_giftcode/dist/gamedetail/Astellia.html</v>
      </c>
      <c r="I270" s="42" t="s">
        <v>4978</v>
      </c>
      <c r="J270" s="1" t="s">
        <v>4996</v>
      </c>
      <c r="K270" s="72">
        <v>2076</v>
      </c>
      <c r="L270" s="1" t="s">
        <v>261</v>
      </c>
      <c r="M270" s="72">
        <v>1030</v>
      </c>
      <c r="N270" s="1" t="s">
        <v>263</v>
      </c>
      <c r="O270" s="72">
        <v>637</v>
      </c>
      <c r="P270" s="1" t="s">
        <v>3699</v>
      </c>
      <c r="Q270" s="72">
        <v>227</v>
      </c>
    </row>
    <row r="271" spans="1:33" ht="22.5" customHeight="1" thickBot="1">
      <c r="A271" s="72" t="s">
        <v>4955</v>
      </c>
      <c r="C271" s="40" t="s">
        <v>4975</v>
      </c>
      <c r="D271" s="40" t="s">
        <v>4975</v>
      </c>
      <c r="E271" s="41" t="s">
        <v>4976</v>
      </c>
      <c r="F271" s="40" t="str">
        <f t="shared" si="12"/>
        <v>gift-codes.html?game=華夏千秋</v>
      </c>
      <c r="G271" s="41" t="s">
        <v>4966</v>
      </c>
      <c r="H271" s="41" t="str">
        <f t="shared" si="11"/>
        <v>https://www.ssbuy.tw/detail_giftcode/dist/gamedetail/華夏千秋.html</v>
      </c>
      <c r="I271" s="42" t="s">
        <v>4979</v>
      </c>
      <c r="J271" s="1" t="s">
        <v>4997</v>
      </c>
      <c r="K271" s="72">
        <v>2579</v>
      </c>
      <c r="L271" s="1" t="s">
        <v>4998</v>
      </c>
      <c r="M271" s="72">
        <v>1988</v>
      </c>
      <c r="N271" s="1" t="s">
        <v>4999</v>
      </c>
      <c r="O271" s="72">
        <v>1349</v>
      </c>
      <c r="P271" s="1" t="s">
        <v>5000</v>
      </c>
      <c r="Q271" s="72">
        <v>950</v>
      </c>
      <c r="R271" s="1" t="s">
        <v>5001</v>
      </c>
      <c r="S271" s="72">
        <v>798</v>
      </c>
      <c r="T271" s="1" t="s">
        <v>5002</v>
      </c>
      <c r="U271" s="72">
        <v>749</v>
      </c>
      <c r="V271" s="1" t="s">
        <v>5003</v>
      </c>
      <c r="W271" s="72">
        <v>540</v>
      </c>
      <c r="X271" s="1" t="s">
        <v>5004</v>
      </c>
      <c r="Y271" s="72">
        <v>395</v>
      </c>
      <c r="Z271" s="1" t="s">
        <v>5005</v>
      </c>
      <c r="AA271" s="72">
        <v>346</v>
      </c>
      <c r="AB271" s="1" t="s">
        <v>5006</v>
      </c>
      <c r="AC271" s="72">
        <v>314</v>
      </c>
    </row>
    <row r="272" spans="1:33" ht="22.5" customHeight="1" thickBot="1">
      <c r="A272" s="72" t="s">
        <v>4956</v>
      </c>
      <c r="C272" s="40" t="s">
        <v>4967</v>
      </c>
      <c r="D272" s="41" t="s">
        <v>4970</v>
      </c>
      <c r="E272" s="41" t="s">
        <v>4969</v>
      </c>
      <c r="F272" s="40" t="str">
        <f t="shared" si="12"/>
        <v>gift-codes.html?game=萌塔娘</v>
      </c>
      <c r="G272" s="41" t="s">
        <v>4968</v>
      </c>
      <c r="H272" s="41" t="str">
        <f t="shared" si="11"/>
        <v>https://www.ssbuy.tw/detail_giftcode/dist/gamedetail/萌塔娘.html</v>
      </c>
      <c r="I272" s="42" t="s">
        <v>4980</v>
      </c>
      <c r="J272" s="1" t="s">
        <v>5007</v>
      </c>
      <c r="K272" s="72">
        <v>2579</v>
      </c>
      <c r="L272" s="1" t="s">
        <v>5008</v>
      </c>
      <c r="M272" s="72">
        <v>1349</v>
      </c>
      <c r="N272" s="1" t="s">
        <v>5009</v>
      </c>
      <c r="O272" s="72">
        <v>798</v>
      </c>
      <c r="P272" s="1" t="s">
        <v>5010</v>
      </c>
      <c r="Q272" s="72">
        <v>395</v>
      </c>
      <c r="R272" s="1" t="s">
        <v>5011</v>
      </c>
      <c r="S272" s="72">
        <v>266</v>
      </c>
      <c r="T272" s="1" t="s">
        <v>5012</v>
      </c>
      <c r="U272" s="72">
        <v>143</v>
      </c>
      <c r="V272" s="1" t="s">
        <v>5013</v>
      </c>
      <c r="W272" s="72">
        <v>29</v>
      </c>
    </row>
    <row r="273" spans="1:29" ht="22.5" customHeight="1" thickBot="1">
      <c r="A273" s="72" t="s">
        <v>4957</v>
      </c>
      <c r="C273" s="40" t="s">
        <v>4971</v>
      </c>
      <c r="D273" s="41" t="s">
        <v>4972</v>
      </c>
      <c r="E273" s="41" t="s">
        <v>4973</v>
      </c>
      <c r="F273" s="40" t="str">
        <f t="shared" si="12"/>
        <v>gift-codes.html?game=盜夢英雄2：幻野</v>
      </c>
      <c r="G273" s="41" t="s">
        <v>4974</v>
      </c>
      <c r="H273" s="41" t="str">
        <f t="shared" si="11"/>
        <v>https://www.ssbuy.tw/detail_giftcode/dist/gamedetail/盜夢英雄2：幻野.html</v>
      </c>
      <c r="I273" s="42" t="s">
        <v>4981</v>
      </c>
      <c r="J273" s="1" t="s">
        <v>5014</v>
      </c>
      <c r="K273" s="72">
        <v>2579</v>
      </c>
      <c r="L273" s="1" t="s">
        <v>1675</v>
      </c>
      <c r="M273" s="72">
        <v>1828</v>
      </c>
      <c r="N273" s="1" t="s">
        <v>1676</v>
      </c>
      <c r="O273" s="72">
        <v>1349</v>
      </c>
      <c r="P273" s="1" t="s">
        <v>1678</v>
      </c>
      <c r="Q273" s="72">
        <v>950</v>
      </c>
      <c r="R273" s="1" t="s">
        <v>151</v>
      </c>
      <c r="S273" s="72">
        <v>798</v>
      </c>
      <c r="T273" s="1" t="s">
        <v>5015</v>
      </c>
      <c r="U273" s="72">
        <v>669</v>
      </c>
      <c r="V273" s="1" t="s">
        <v>1679</v>
      </c>
      <c r="W273" s="72">
        <v>540</v>
      </c>
      <c r="X273" s="1" t="s">
        <v>153</v>
      </c>
      <c r="Y273" s="72">
        <v>395</v>
      </c>
      <c r="Z273" s="1" t="s">
        <v>5016</v>
      </c>
      <c r="AA273" s="72">
        <v>314</v>
      </c>
      <c r="AB273" s="1" t="s">
        <v>154</v>
      </c>
      <c r="AC273" s="72">
        <v>160</v>
      </c>
    </row>
    <row r="274" spans="1:29" ht="22.5" customHeight="1">
      <c r="F274" s="40" t="str">
        <f t="shared" si="12"/>
        <v/>
      </c>
      <c r="H274" s="41" t="str">
        <f t="shared" si="11"/>
        <v/>
      </c>
    </row>
    <row r="275" spans="1:29" ht="22.5" customHeight="1">
      <c r="F275" s="40" t="str">
        <f t="shared" si="12"/>
        <v/>
      </c>
      <c r="H275" s="41" t="str">
        <f t="shared" si="11"/>
        <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s>
  <pageMargins left="0.7" right="0.7" top="0.75" bottom="0.75" header="0.3" footer="0.3"/>
  <pageSetup paperSize="9" orientation="portrait" r:id="rId2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V226" activePane="bottomRight" state="frozen"/>
      <selection pane="topRight" activeCell="B1" sqref="B1"/>
      <selection pane="bottomLeft" activeCell="A2" sqref="A2"/>
      <selection pane="bottomRight" activeCell="AD236" sqref="AD236"/>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4611</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4612</v>
      </c>
      <c r="T119" s="27" t="s">
        <v>2366</v>
      </c>
      <c r="U119" s="28" t="s">
        <v>4613</v>
      </c>
      <c r="V119" s="27" t="s">
        <v>2367</v>
      </c>
      <c r="W119" s="28" t="s">
        <v>4614</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4615</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4825</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4607</v>
      </c>
      <c r="C173" s="13" t="str">
        <f t="shared" si="6"/>
        <v>giftcodesbanner/奇蹟MU：暴走之翼-禮包碼.jpg</v>
      </c>
      <c r="D173" s="13" t="str">
        <f t="shared" si="5"/>
        <v>https://www.ssbuy.tw/detail_giftcode/dist/giftcodes/奇蹟MU：暴走之翼.html</v>
      </c>
      <c r="E173" s="38" t="s">
        <v>4608</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4609</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4610</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4868</v>
      </c>
      <c r="S185" s="18" t="s">
        <v>4869</v>
      </c>
      <c r="U185" s="18" t="s">
        <v>4870</v>
      </c>
      <c r="W185" s="18" t="s">
        <v>4871</v>
      </c>
      <c r="Y185" s="18" t="s">
        <v>4872</v>
      </c>
      <c r="AA185" s="18" t="s">
        <v>4873</v>
      </c>
      <c r="AC185" s="18" t="s">
        <v>4874</v>
      </c>
      <c r="AE185" s="18" t="s">
        <v>4875</v>
      </c>
      <c r="AG185" s="18" t="s">
        <v>4876</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4616</v>
      </c>
      <c r="M190" s="18" t="s">
        <v>4617</v>
      </c>
      <c r="O190" s="18" t="s">
        <v>4618</v>
      </c>
      <c r="Q190" s="18" t="s">
        <v>4619</v>
      </c>
      <c r="S190" s="18" t="s">
        <v>4620</v>
      </c>
      <c r="U190" s="18" t="s">
        <v>4621</v>
      </c>
      <c r="W190" s="18" t="s">
        <v>4622</v>
      </c>
      <c r="Y190" s="18" t="s">
        <v>4623</v>
      </c>
      <c r="AA190" s="18" t="s">
        <v>4624</v>
      </c>
      <c r="AC190" s="18" t="s">
        <v>4625</v>
      </c>
      <c r="AE190" s="18" t="s">
        <v>4626</v>
      </c>
      <c r="AG190" s="18" t="s">
        <v>4878</v>
      </c>
      <c r="AI190" s="18" t="s">
        <v>4879</v>
      </c>
      <c r="AK190" s="18" t="s">
        <v>4880</v>
      </c>
      <c r="AM190" s="18" t="s">
        <v>4881</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4808</v>
      </c>
      <c r="L206" s="13" t="s">
        <v>4809</v>
      </c>
      <c r="M206" s="18" t="s">
        <v>4810</v>
      </c>
      <c r="N206" s="13" t="s">
        <v>4811</v>
      </c>
      <c r="O206" s="18" t="s">
        <v>4812</v>
      </c>
      <c r="P206" s="13" t="s">
        <v>4813</v>
      </c>
      <c r="Q206" s="18" t="s">
        <v>4814</v>
      </c>
      <c r="R206" s="25" t="s">
        <v>4815</v>
      </c>
      <c r="S206" s="18" t="s">
        <v>4816</v>
      </c>
      <c r="T206" s="13" t="s">
        <v>4817</v>
      </c>
      <c r="U206" s="18" t="s">
        <v>4818</v>
      </c>
      <c r="V206" s="13" t="s">
        <v>4819</v>
      </c>
      <c r="W206" s="18" t="s">
        <v>4820</v>
      </c>
      <c r="X206" s="71" t="s">
        <v>4822</v>
      </c>
      <c r="Y206" s="18" t="s">
        <v>4823</v>
      </c>
      <c r="Z206" s="13" t="s">
        <v>4824</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4821</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4826</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4806</v>
      </c>
      <c r="Y227" s="18" t="s">
        <v>4807</v>
      </c>
      <c r="AA227" s="71" t="s">
        <v>4877</v>
      </c>
      <c r="AC227" s="18" t="s">
        <v>4992</v>
      </c>
      <c r="AE227" s="18" t="s">
        <v>4993</v>
      </c>
      <c r="AG227" s="18" t="s">
        <v>4994</v>
      </c>
      <c r="AI227" s="18" t="s">
        <v>5017</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4533</v>
      </c>
      <c r="G228" s="13" t="s">
        <v>4534</v>
      </c>
      <c r="H228" s="13" t="s">
        <v>2625</v>
      </c>
      <c r="I228" s="13" t="s">
        <v>3756</v>
      </c>
      <c r="K228" s="90" t="s">
        <v>1782</v>
      </c>
      <c r="M228" s="90" t="s">
        <v>1714</v>
      </c>
      <c r="O228" s="90" t="s">
        <v>1715</v>
      </c>
      <c r="Q228" s="90" t="s">
        <v>1820</v>
      </c>
      <c r="S228" s="90" t="s">
        <v>4530</v>
      </c>
      <c r="U228" s="90" t="s">
        <v>4531</v>
      </c>
      <c r="W228" s="90" t="s">
        <v>4532</v>
      </c>
      <c r="Y228" s="90" t="s">
        <v>2542</v>
      </c>
      <c r="AA228" s="18" t="s">
        <v>4753</v>
      </c>
      <c r="AC228" s="18" t="s">
        <v>4754</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4465</v>
      </c>
      <c r="M236" s="90" t="s">
        <v>4466</v>
      </c>
      <c r="O236" s="90" t="s">
        <v>4467</v>
      </c>
      <c r="Q236" s="90" t="s">
        <v>4468</v>
      </c>
      <c r="S236" s="90" t="s">
        <v>4469</v>
      </c>
      <c r="U236" s="18" t="s">
        <v>4749</v>
      </c>
      <c r="V236" s="13" t="s">
        <v>4751</v>
      </c>
      <c r="W236" s="18" t="s">
        <v>4750</v>
      </c>
      <c r="X236" s="13" t="s">
        <v>4752</v>
      </c>
      <c r="Y236" s="18" t="s">
        <v>5018</v>
      </c>
      <c r="AA236" s="18" t="s">
        <v>5019</v>
      </c>
      <c r="AB236" s="13" t="s">
        <v>5022</v>
      </c>
      <c r="AC236" s="18" t="s">
        <v>5020</v>
      </c>
      <c r="AD236" s="13" t="s">
        <v>5021</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4538</v>
      </c>
      <c r="O237" s="18" t="s">
        <v>4539</v>
      </c>
      <c r="Q237" s="18" t="s">
        <v>4540</v>
      </c>
      <c r="S237" s="13" t="s">
        <v>4541</v>
      </c>
      <c r="U237" s="18" t="s">
        <v>4542</v>
      </c>
      <c r="W237" s="18" t="s">
        <v>4543</v>
      </c>
      <c r="Y237" s="18" t="s">
        <v>4544</v>
      </c>
      <c r="AA237" s="18" t="s">
        <v>4545</v>
      </c>
      <c r="AC237" s="18" t="s">
        <v>4546</v>
      </c>
      <c r="AE237" s="18" t="s">
        <v>4547</v>
      </c>
      <c r="AG237" s="18" t="s">
        <v>4548</v>
      </c>
      <c r="AI237" s="18" t="s">
        <v>4549</v>
      </c>
      <c r="AK237" s="18" t="s">
        <v>4550</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4551</v>
      </c>
      <c r="M238" s="18" t="s">
        <v>4682</v>
      </c>
      <c r="O238" s="18" t="s">
        <v>4683</v>
      </c>
      <c r="Q238" s="18" t="s">
        <v>4684</v>
      </c>
      <c r="S238" s="18" t="s">
        <v>4685</v>
      </c>
      <c r="U238" s="18" t="s">
        <v>4827</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4553</v>
      </c>
      <c r="G239" s="13" t="s">
        <v>4554</v>
      </c>
      <c r="H239" s="13" t="s">
        <v>2625</v>
      </c>
      <c r="I239" s="13" t="s">
        <v>4368</v>
      </c>
      <c r="K239" s="90" t="s">
        <v>4552</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4536</v>
      </c>
      <c r="L241" s="13" t="s">
        <v>4526</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4537</v>
      </c>
      <c r="G245" s="13" t="s">
        <v>4535</v>
      </c>
      <c r="K245" s="17" t="s">
        <v>4536</v>
      </c>
      <c r="L245" s="13" t="s">
        <v>4526</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4536</v>
      </c>
      <c r="G246" s="13" t="s">
        <v>4526</v>
      </c>
      <c r="K246" s="17" t="s">
        <v>4536</v>
      </c>
      <c r="L246" s="13" t="s">
        <v>4526</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4527</v>
      </c>
      <c r="G247" s="13" t="s">
        <v>4528</v>
      </c>
      <c r="H247" s="13" t="s">
        <v>2625</v>
      </c>
      <c r="I247" s="13" t="s">
        <v>4368</v>
      </c>
      <c r="K247" s="17" t="s">
        <v>4536</v>
      </c>
      <c r="L247" s="13" t="s">
        <v>4526</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4529</v>
      </c>
      <c r="G248" s="13" t="s">
        <v>4409</v>
      </c>
      <c r="H248" s="13" t="s">
        <v>2625</v>
      </c>
      <c r="I248" s="13" t="s">
        <v>4368</v>
      </c>
      <c r="K248" s="17" t="s">
        <v>1932</v>
      </c>
      <c r="L248" s="13" t="s">
        <v>4513</v>
      </c>
      <c r="M248" s="18" t="s">
        <v>4510</v>
      </c>
      <c r="N248" s="13" t="s">
        <v>4514</v>
      </c>
      <c r="O248" s="18" t="s">
        <v>4511</v>
      </c>
      <c r="P248" s="13" t="s">
        <v>4512</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4629</v>
      </c>
      <c r="G249" s="13" t="s">
        <v>4630</v>
      </c>
      <c r="K249" s="90" t="s">
        <v>4627</v>
      </c>
      <c r="L249" s="90" t="s">
        <v>4628</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4631</v>
      </c>
      <c r="G250" s="13" t="s">
        <v>4632</v>
      </c>
      <c r="H250" s="13" t="s">
        <v>4633</v>
      </c>
      <c r="K250" s="17" t="s">
        <v>4536</v>
      </c>
      <c r="L250" s="13" t="s">
        <v>4526</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4583</v>
      </c>
      <c r="G251" s="13" t="s">
        <v>4584</v>
      </c>
      <c r="H251" s="13" t="s">
        <v>2625</v>
      </c>
      <c r="I251" s="13" t="s">
        <v>4368</v>
      </c>
      <c r="K251" s="17" t="s">
        <v>4581</v>
      </c>
      <c r="L251" s="13" t="s">
        <v>4582</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4598</v>
      </c>
      <c r="G252" s="13" t="s">
        <v>4599</v>
      </c>
      <c r="H252" s="13" t="s">
        <v>2625</v>
      </c>
      <c r="I252" s="13" t="s">
        <v>4368</v>
      </c>
      <c r="K252" s="17" t="s">
        <v>4578</v>
      </c>
      <c r="L252" s="13" t="s">
        <v>4600</v>
      </c>
      <c r="M252" s="18" t="s">
        <v>4579</v>
      </c>
      <c r="N252" s="13" t="s">
        <v>4601</v>
      </c>
      <c r="O252" s="18" t="s">
        <v>4580</v>
      </c>
      <c r="P252" s="13" t="s">
        <v>4602</v>
      </c>
      <c r="Q252" s="18" t="s">
        <v>1933</v>
      </c>
      <c r="R252" s="13" t="s">
        <v>4603</v>
      </c>
      <c r="S252" s="18" t="s">
        <v>4635</v>
      </c>
      <c r="T252" s="13" t="s">
        <v>4636</v>
      </c>
      <c r="U252" s="18" t="s">
        <v>4634</v>
      </c>
      <c r="V252" s="13" t="s">
        <v>4637</v>
      </c>
      <c r="W252" s="18" t="s">
        <v>4756</v>
      </c>
      <c r="Y252" s="18" t="s">
        <v>4755</v>
      </c>
      <c r="AA252" s="18" t="s">
        <v>4828</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4664</v>
      </c>
      <c r="G253" s="13" t="s">
        <v>4665</v>
      </c>
      <c r="H253" s="13" t="s">
        <v>2625</v>
      </c>
      <c r="I253" s="13" t="s">
        <v>4368</v>
      </c>
      <c r="K253" s="17" t="s">
        <v>4646</v>
      </c>
      <c r="L253" s="13" t="s">
        <v>4647</v>
      </c>
      <c r="M253" s="18" t="s">
        <v>4648</v>
      </c>
      <c r="N253" s="13" t="s">
        <v>4649</v>
      </c>
      <c r="O253" s="18" t="s">
        <v>4650</v>
      </c>
      <c r="P253" s="13" t="s">
        <v>4651</v>
      </c>
      <c r="Q253" s="18" t="s">
        <v>4829</v>
      </c>
      <c r="R253" s="13" t="s">
        <v>4830</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4662</v>
      </c>
      <c r="G254" s="13" t="s">
        <v>4663</v>
      </c>
      <c r="H254" s="13" t="s">
        <v>2625</v>
      </c>
      <c r="I254" s="13" t="s">
        <v>4368</v>
      </c>
      <c r="K254" s="17" t="s">
        <v>4652</v>
      </c>
      <c r="M254" s="18" t="s">
        <v>4653</v>
      </c>
      <c r="O254" s="18" t="s">
        <v>4654</v>
      </c>
      <c r="Q254" s="18" t="s">
        <v>4655</v>
      </c>
      <c r="S254" s="18" t="s">
        <v>4656</v>
      </c>
      <c r="T254" s="13" t="s">
        <v>4658</v>
      </c>
      <c r="U254" s="18" t="s">
        <v>4657</v>
      </c>
      <c r="V254" s="13" t="s">
        <v>4659</v>
      </c>
      <c r="W254" s="18" t="s">
        <v>4580</v>
      </c>
      <c r="X254" s="13" t="s">
        <v>4660</v>
      </c>
      <c r="Y254" s="18" t="s">
        <v>1933</v>
      </c>
      <c r="Z254" s="13" t="s">
        <v>4661</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4710</v>
      </c>
      <c r="G255" s="13" t="s">
        <v>4711</v>
      </c>
      <c r="K255" s="17" t="s">
        <v>4712</v>
      </c>
      <c r="L255" s="13" t="s">
        <v>4713</v>
      </c>
      <c r="M255" s="18" t="s">
        <v>4714</v>
      </c>
      <c r="N255" s="13" t="s">
        <v>4716</v>
      </c>
      <c r="O255" s="18" t="s">
        <v>4715</v>
      </c>
      <c r="P255" s="13" t="s">
        <v>4717</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4720</v>
      </c>
      <c r="G257" s="13" t="s">
        <v>2625</v>
      </c>
      <c r="H257" s="13" t="s">
        <v>4368</v>
      </c>
      <c r="K257" s="17" t="s">
        <v>4718</v>
      </c>
      <c r="L257" s="13" t="s">
        <v>4719</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4536</v>
      </c>
      <c r="G258" s="13" t="s">
        <v>4526</v>
      </c>
      <c r="K258" s="17" t="s">
        <v>4536</v>
      </c>
      <c r="L258" s="13" t="s">
        <v>4526</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4720</v>
      </c>
      <c r="G259" s="13" t="s">
        <v>3641</v>
      </c>
      <c r="H259" s="13" t="s">
        <v>2625</v>
      </c>
      <c r="I259" s="13" t="s">
        <v>4368</v>
      </c>
      <c r="K259" s="101" t="s">
        <v>4903</v>
      </c>
      <c r="L259" s="13" t="s">
        <v>4904</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4536</v>
      </c>
      <c r="G260" s="13" t="s">
        <v>4526</v>
      </c>
      <c r="K260" s="17" t="s">
        <v>4536</v>
      </c>
      <c r="L260" s="13" t="s">
        <v>4526</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4536</v>
      </c>
      <c r="G261" s="13" t="s">
        <v>4526</v>
      </c>
      <c r="K261" s="17" t="s">
        <v>4536</v>
      </c>
      <c r="L261" s="13" t="s">
        <v>4526</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4536</v>
      </c>
      <c r="G262" s="13" t="s">
        <v>4526</v>
      </c>
      <c r="K262" s="17" t="s">
        <v>4536</v>
      </c>
      <c r="L262" s="13" t="s">
        <v>4526</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4536</v>
      </c>
      <c r="G263" s="13" t="s">
        <v>4526</v>
      </c>
      <c r="K263" s="17" t="s">
        <v>4536</v>
      </c>
      <c r="L263" s="13" t="s">
        <v>4526</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4836</v>
      </c>
      <c r="G264" s="13" t="s">
        <v>4835</v>
      </c>
      <c r="K264" s="17" t="s">
        <v>4836</v>
      </c>
      <c r="L264" s="13" t="s">
        <v>4835</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4899</v>
      </c>
      <c r="G265" s="13" t="s">
        <v>4900</v>
      </c>
      <c r="H265" s="13" t="s">
        <v>4901</v>
      </c>
      <c r="I265" s="13" t="s">
        <v>4902</v>
      </c>
      <c r="K265" s="17" t="s">
        <v>4897</v>
      </c>
      <c r="L265" s="13" t="s">
        <v>4898</v>
      </c>
      <c r="M265" s="18" t="s">
        <v>4982</v>
      </c>
      <c r="O265" s="18" t="s">
        <v>4983</v>
      </c>
      <c r="Q265" s="18" t="s">
        <v>4984</v>
      </c>
      <c r="S265" s="18" t="s">
        <v>4985</v>
      </c>
      <c r="U265" s="18" t="s">
        <v>4986</v>
      </c>
      <c r="W265" s="18" t="s">
        <v>4987</v>
      </c>
      <c r="Y265" s="18" t="s">
        <v>4988</v>
      </c>
      <c r="AA265" s="18" t="s">
        <v>4989</v>
      </c>
      <c r="AC265" s="18" t="s">
        <v>4990</v>
      </c>
      <c r="AE265" s="18" t="s">
        <v>4991</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4836</v>
      </c>
      <c r="G266" s="13" t="s">
        <v>4835</v>
      </c>
      <c r="K266" s="17" t="s">
        <v>4836</v>
      </c>
      <c r="L266" s="13" t="s">
        <v>4835</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4932</v>
      </c>
      <c r="G267" s="13" t="s">
        <v>4933</v>
      </c>
      <c r="H267" s="13" t="s">
        <v>4934</v>
      </c>
      <c r="I267" s="13" t="s">
        <v>4935</v>
      </c>
      <c r="J267" s="13" t="s">
        <v>4936</v>
      </c>
      <c r="K267" s="17" t="s">
        <v>4924</v>
      </c>
      <c r="L267" s="13" t="s">
        <v>4937</v>
      </c>
      <c r="M267" s="18" t="s">
        <v>4925</v>
      </c>
      <c r="N267" s="13" t="s">
        <v>4938</v>
      </c>
      <c r="O267" s="18" t="s">
        <v>4926</v>
      </c>
      <c r="P267" s="13" t="s">
        <v>4939</v>
      </c>
      <c r="Q267" s="18" t="s">
        <v>4927</v>
      </c>
      <c r="R267" s="13" t="s">
        <v>4940</v>
      </c>
      <c r="S267" s="18" t="s">
        <v>4928</v>
      </c>
      <c r="T267" s="13" t="s">
        <v>4941</v>
      </c>
      <c r="U267" s="18" t="s">
        <v>4929</v>
      </c>
      <c r="V267" s="13" t="s">
        <v>4942</v>
      </c>
      <c r="W267" s="18" t="s">
        <v>4930</v>
      </c>
      <c r="X267" s="13" t="s">
        <v>4942</v>
      </c>
      <c r="Y267" s="18" t="s">
        <v>4931</v>
      </c>
      <c r="Z267" s="13" t="s">
        <v>4942</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4836</v>
      </c>
      <c r="G268" s="13" t="s">
        <v>4835</v>
      </c>
      <c r="H268" s="13" t="s">
        <v>2625</v>
      </c>
      <c r="I268" s="13" t="s">
        <v>4368</v>
      </c>
      <c r="K268" s="17" t="s">
        <v>4895</v>
      </c>
      <c r="L268" s="13" t="s">
        <v>4896</v>
      </c>
      <c r="M268" s="18" t="s">
        <v>4907</v>
      </c>
      <c r="N268" s="13" t="s">
        <v>4911</v>
      </c>
      <c r="O268" s="18" t="s">
        <v>4908</v>
      </c>
      <c r="P268" s="13" t="s">
        <v>4912</v>
      </c>
      <c r="Q268" s="18" t="s">
        <v>4909</v>
      </c>
      <c r="R268" s="13" t="s">
        <v>4913</v>
      </c>
      <c r="S268" s="18" t="s">
        <v>4910</v>
      </c>
      <c r="T268" s="13" t="s">
        <v>4914</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4836</v>
      </c>
      <c r="G269" s="13" t="s">
        <v>4835</v>
      </c>
      <c r="K269" s="17" t="s">
        <v>4836</v>
      </c>
      <c r="L269" s="13" t="s">
        <v>4835</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4836</v>
      </c>
      <c r="G270" s="13" t="s">
        <v>4835</v>
      </c>
      <c r="K270" s="17" t="s">
        <v>4836</v>
      </c>
      <c r="L270" s="13" t="s">
        <v>4835</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4836</v>
      </c>
      <c r="G271" s="13" t="s">
        <v>4835</v>
      </c>
      <c r="K271" s="17" t="s">
        <v>4836</v>
      </c>
      <c r="L271" s="13" t="s">
        <v>4835</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4836</v>
      </c>
      <c r="G272" s="13" t="s">
        <v>4835</v>
      </c>
      <c r="K272" s="17" t="s">
        <v>4836</v>
      </c>
      <c r="L272" s="13" t="s">
        <v>4835</v>
      </c>
    </row>
    <row r="273" spans="1:12">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7" t="s">
        <v>4836</v>
      </c>
      <c r="G273" s="13" t="s">
        <v>4835</v>
      </c>
      <c r="K273" s="17" t="s">
        <v>4836</v>
      </c>
      <c r="L273" s="13" t="s">
        <v>4835</v>
      </c>
    </row>
    <row r="274" spans="1:12">
      <c r="A274" s="13" t="str">
        <f>IF(games!A274="", "", games!A274)</f>
        <v/>
      </c>
      <c r="C274" s="13" t="str">
        <f>IF(A274="","", "giftcodesbanner/" &amp; A274 &amp; "-禮包碼.jpg")</f>
        <v/>
      </c>
      <c r="D274" s="13" t="str">
        <f>IF(A274="","", "https://www.ssbuy.tw/gift-codes.html?game="&amp;A274)</f>
        <v/>
      </c>
      <c r="E274" s="14" t="str">
        <f>IF(games!I274&lt;&gt;"", games!I274, "")</f>
        <v/>
      </c>
    </row>
    <row r="275" spans="1:12">
      <c r="A275" s="13" t="str">
        <f>IF(games!A275="", "", games!A275)</f>
        <v/>
      </c>
      <c r="C275" s="13" t="str">
        <f>IF(A275="","", "giftcodesbanner/" &amp; A275 &amp; "-禮包碼.jpg")</f>
        <v/>
      </c>
      <c r="D275" s="13" t="str">
        <f>IF(A275="","", "https://www.ssbuy.tw/gift-codes.html?game="&amp;A275)</f>
        <v/>
      </c>
      <c r="E275" s="14" t="str">
        <f>IF(games!I275&lt;&gt;"", games!I275, "")</f>
        <v/>
      </c>
    </row>
    <row r="276" spans="1:12">
      <c r="A276" s="13" t="str">
        <f>IF(games!A276="", "", games!A276)</f>
        <v/>
      </c>
      <c r="C276" s="13" t="str">
        <f>IF(A276="","", "giftcodesbanner/" &amp; A276 &amp; "-禮包碼.jpg")</f>
        <v/>
      </c>
      <c r="D276" s="13" t="str">
        <f>IF(A276="","", "https://www.ssbuy.tw/gift-codes.html?game="&amp;A276)</f>
        <v/>
      </c>
      <c r="E276" s="14" t="str">
        <f>IF(games!I276&lt;&gt;"", games!I276, "")</f>
        <v/>
      </c>
    </row>
    <row r="277" spans="1:12">
      <c r="A277" s="13" t="str">
        <f>IF(games!A277="", "", games!A277)</f>
        <v/>
      </c>
      <c r="C277" s="13" t="str">
        <f>IF(A277="","", "giftcodesbanner/" &amp; A277 &amp; "-禮包碼.jpg")</f>
        <v/>
      </c>
      <c r="D277" s="13" t="str">
        <f>IF(A277="","", "https://www.ssbuy.tw/gift-codes.html?game="&amp;A277)</f>
        <v/>
      </c>
      <c r="E277" s="14" t="str">
        <f>IF(games!I277&lt;&gt;"", games!I277, "")</f>
        <v/>
      </c>
    </row>
    <row r="278" spans="1:12">
      <c r="A278" s="13" t="str">
        <f>IF(games!A278="", "", games!A278)</f>
        <v/>
      </c>
      <c r="C278" s="13" t="str">
        <f>IF(A278="","", "giftcodesbanner/" &amp; A278 &amp; "-禮包碼.jpg")</f>
        <v/>
      </c>
      <c r="D278" s="13" t="str">
        <f>IF(A278="","", "https://www.ssbuy.tw/gift-codes.html?game="&amp;A278)</f>
        <v/>
      </c>
      <c r="E278" s="14" t="str">
        <f>IF(games!I278&lt;&gt;"", games!I278, "")</f>
        <v/>
      </c>
    </row>
    <row r="279" spans="1:12">
      <c r="A279" s="13" t="str">
        <f>IF(games!A279="", "", games!A279)</f>
        <v/>
      </c>
      <c r="C279" s="13" t="str">
        <f>IF(A279="","", "giftcodesbanner/" &amp; A279 &amp; "-禮包碼.jpg")</f>
        <v/>
      </c>
      <c r="D279" s="13" t="str">
        <f>IF(A279="","", "https://www.ssbuy.tw/gift-codes.html?game="&amp;A279)</f>
        <v/>
      </c>
      <c r="E279" s="14" t="str">
        <f>IF(games!I279&lt;&gt;"", games!I279, "")</f>
        <v/>
      </c>
    </row>
    <row r="280" spans="1:12">
      <c r="A280" s="13" t="str">
        <f>IF(games!A280="", "", games!A280)</f>
        <v/>
      </c>
      <c r="C280" s="13" t="str">
        <f>IF(A280="","", "giftcodesbanner/" &amp; A280 &amp; "-禮包碼.jpg")</f>
        <v/>
      </c>
      <c r="D280" s="13" t="str">
        <f>IF(A280="","", "https://www.ssbuy.tw/gift-codes.html?game="&amp;A280)</f>
        <v/>
      </c>
      <c r="E280" s="14" t="str">
        <f>IF(games!I280&lt;&gt;"", games!I280, "")</f>
        <v/>
      </c>
    </row>
    <row r="281" spans="1:12">
      <c r="A281" s="13" t="str">
        <f>IF(games!A281="", "", games!A281)</f>
        <v/>
      </c>
      <c r="C281" s="13" t="str">
        <f>IF(A281="","", "giftcodesbanner/" &amp; A281 &amp; "-禮包碼.jpg")</f>
        <v/>
      </c>
      <c r="D281" s="13" t="str">
        <f>IF(A281="","", "https://www.ssbuy.tw/gift-codes.html?game="&amp;A281)</f>
        <v/>
      </c>
      <c r="E281" s="14" t="str">
        <f>IF(games!I281&lt;&gt;"", games!I281, "")</f>
        <v/>
      </c>
    </row>
    <row r="282" spans="1:12">
      <c r="A282" s="13" t="str">
        <f>IF(games!A282="", "", games!A282)</f>
        <v/>
      </c>
      <c r="C282" s="13" t="str">
        <f>IF(A282="","", "giftcodesbanner/" &amp; A282 &amp; "-禮包碼.jpg")</f>
        <v/>
      </c>
      <c r="D282" s="13" t="str">
        <f>IF(A282="","", "https://www.ssbuy.tw/gift-codes.html?game="&amp;A282)</f>
        <v/>
      </c>
      <c r="E282" s="14" t="str">
        <f>IF(games!I282&lt;&gt;"", games!I282, "")</f>
        <v/>
      </c>
    </row>
    <row r="283" spans="1:12">
      <c r="A283" s="13" t="str">
        <f>IF(games!A283="", "", games!A283)</f>
        <v/>
      </c>
      <c r="C283" s="13" t="str">
        <f>IF(A283="","", "giftcodesbanner/" &amp; A283 &amp; "-禮包碼.jpg")</f>
        <v/>
      </c>
      <c r="D283" s="13" t="str">
        <f>IF(A283="","", "https://www.ssbuy.tw/gift-codes.html?game="&amp;A283)</f>
        <v/>
      </c>
      <c r="E283" s="14" t="str">
        <f>IF(games!I283&lt;&gt;"", games!I283, "")</f>
        <v/>
      </c>
    </row>
    <row r="284" spans="1:12">
      <c r="A284" s="13" t="str">
        <f>IF(games!A284="", "", games!A284)</f>
        <v/>
      </c>
      <c r="C284" s="13" t="str">
        <f>IF(A284="","", "giftcodesbanner/" &amp; A284 &amp; "-禮包碼.jpg")</f>
        <v/>
      </c>
      <c r="D284" s="13" t="str">
        <f>IF(A284="","", "https://www.ssbuy.tw/gift-codes.html?game="&amp;A284)</f>
        <v/>
      </c>
      <c r="E284" s="14" t="str">
        <f>IF(games!I284&lt;&gt;"", games!I284, "")</f>
        <v/>
      </c>
    </row>
    <row r="285" spans="1:12">
      <c r="A285" s="13" t="str">
        <f>IF(games!A285="", "", games!A285)</f>
        <v/>
      </c>
      <c r="C285" s="13" t="str">
        <f>IF(A285="","", "giftcodesbanner/" &amp; A285 &amp; "-禮包碼.jpg")</f>
        <v/>
      </c>
      <c r="D285" s="13" t="str">
        <f>IF(A285="","", "https://www.ssbuy.tw/gift-codes.html?game="&amp;A285)</f>
        <v/>
      </c>
      <c r="E285" s="14" t="str">
        <f>IF(games!I285&lt;&gt;"", games!I285, "")</f>
        <v/>
      </c>
    </row>
    <row r="286" spans="1:12">
      <c r="A286" s="13" t="str">
        <f>IF(games!A286="", "", games!A286)</f>
        <v/>
      </c>
      <c r="C286" s="13" t="str">
        <f>IF(A286="","", "giftcodesbanner/" &amp; A286 &amp; "-禮包碼.jpg")</f>
        <v/>
      </c>
      <c r="D286" s="13" t="str">
        <f>IF(A286="","", "https://www.ssbuy.tw/gift-codes.html?game="&amp;A286)</f>
        <v/>
      </c>
      <c r="E286" s="14" t="str">
        <f>IF(games!I286&lt;&gt;"", games!I286, "")</f>
        <v/>
      </c>
    </row>
    <row r="287" spans="1:12">
      <c r="A287" s="13" t="str">
        <f>IF(games!A287="", "", games!A287)</f>
        <v/>
      </c>
      <c r="C287" s="13" t="str">
        <f>IF(A287="","", "giftcodesbanner/" &amp; A287 &amp; "-禮包碼.jpg")</f>
        <v/>
      </c>
      <c r="D287" s="13" t="str">
        <f>IF(A287="","", "https://www.ssbuy.tw/gift-codes.html?game="&amp;A287)</f>
        <v/>
      </c>
      <c r="E287" s="14" t="str">
        <f>IF(games!I287&lt;&gt;"", games!I287, "")</f>
        <v/>
      </c>
    </row>
    <row r="288" spans="1:12">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2025-10-14T08:50:09Z</dcterms:modified>
</cp:coreProperties>
</file>