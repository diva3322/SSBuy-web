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611" i="1" l="1"/>
  <c r="F610" i="1"/>
  <c r="F609" i="1"/>
  <c r="F608" i="1"/>
  <c r="F607" i="1"/>
  <c r="F606" i="1"/>
  <c r="F605" i="1"/>
  <c r="F604" i="1"/>
  <c r="F603" i="1"/>
  <c r="F602" i="1"/>
  <c r="F601" i="1"/>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E580" i="3" l="1"/>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0" i="3" l="1"/>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<sst xmlns="http://schemas.openxmlformats.org/spreadsheetml/2006/main" count="16231" uniqueCount="10048">
  <si>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</si>
  <si>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</si>
  <si>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</si>
  <si>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</si>
  <si>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</si>
  <si>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</si>
  <si>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</si>
  <si>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</si>
  <si>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</si>
  <si>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</si>
  <si>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</si>
  <si>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</si>
  <si>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</si>
  <si>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</si>
  <si>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</si>
  <si>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</si>
  <si>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</si>
  <si>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</si>
  <si>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</si>
  <si>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</si>
  <si>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</si>
  <si>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</si>
  <si>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</si>
  <si>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</si>
  <si>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</si>
  <si>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</si>
  <si>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</si>
  <si>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</si>
  <si>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</si>
  <si>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</si>
  <si>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</si>
  <si>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</si>
  <si>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</si>
  <si>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</si>
  <si>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</si>
  <si>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</si>
  <si>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</si>
  <si>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</si>
  <si>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</si>
  <si>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</si>
  <si>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</si>
  <si>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</si>
  <si>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</si>
  <si>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</si>
  <si>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</si>
  <si>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</si>
  <si>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</si>
  <si>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</si>
  <si>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</si>
  <si>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</si>
  <si>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</si>
  <si>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</si>
  <si>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</si>
  <si>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</si>
  <si>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</si>
  <si>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</si>
  <si>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</si>
  <si>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</si>
  <si>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</si>
  <si>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</si>
  <si>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</si>
  <si>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</si>
  <si>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</si>
  <si>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</si>
  <si>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</si>
  <si>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</si>
  <si>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</si>
  <si>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</si>
  <si>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</si>
  <si>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</si>
  <si>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</si>
  <si>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</si>
  <si>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</si>
  <si>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</si>
  <si>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</si>
  <si>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</si>
  <si>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</si>
  <si>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</si>
  <si>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</si>
  <si>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</si>
  <si>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</si>
  <si>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</si>
  <si>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</si>
  <si>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</si>
  <si>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</si>
  <si>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</si>
  <si>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</si>
  <si>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</si>
  <si>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</si>
  <si>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</si>
  <si>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</si>
  <si>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</si>
  <si>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</si>
  <si>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</si>
  <si>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</si>
  <si>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</si>
  <si>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</si>
  <si>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</si>
  <si>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</si>
  <si>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</si>
  <si>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</si>
  <si>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</si>
  <si>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</si>
  <si>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</si>
  <si>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</si>
  <si>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</si>
  <si>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</si>
  <si>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</si>
  <si>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</si>
  <si>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</si>
  <si>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</si>
  <si>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</si>
  <si>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</si>
  <si>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</si>
  <si>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</si>
  <si>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</si>
  <si>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</si>
  <si>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</si>
  <si>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</si>
  <si>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</si>
  <si>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</si>
  <si>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</si>
  <si>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</si>
  <si>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</si>
  <si>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</si>
  <si>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</si>
  <si>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</si>
  <si>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</si>
  <si>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</si>
  <si>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</si>
  <si>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</si>
  <si>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</si>
  <si>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</si>
  <si>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</si>
  <si>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</si>
  <si>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</si>
  <si>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</si>
  <si>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</si>
  <si>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</si>
  <si>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</si>
  <si>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</si>
  <si>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</si>
  <si>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</si>
  <si>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</si>
  <si>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</si>
  <si>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</si>
  <si>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</si>
  <si>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</si>
  <si>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</si>
  <si>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</si>
  <si>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</si>
  <si>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</si>
  <si>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</si>
  <si>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</si>
  <si>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</si>
  <si>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</si>
  <si>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</si>
  <si>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</si>
  <si>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</si>
  <si>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</si>
  <si>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</si>
  <si>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</si>
  <si>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</si>
  <si>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</si>
  <si>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</si>
  <si>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</si>
  <si>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</si>
  <si>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</si>
  <si>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</si>
  <si>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</si>
  <si>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</si>
  <si>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</si>
  <si>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</si>
  <si>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</si>
  <si>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</si>
  <si>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</si>
  <si>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</si>
  <si>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</si>
  <si>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</si>
  <si>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</si>
  <si>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</si>
  <si>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</si>
  <si>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</si>
  <si>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</si>
  <si>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</si>
  <si>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</si>
  <si>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</si>
  <si>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</si>
  <si>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</si>
  <si>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</si>
  <si>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</si>
  <si>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</si>
  <si>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</si>
  <si>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</si>
  <si>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</si>
  <si>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</si>
  <si>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</si>
  <si>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</si>
  <si>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</si>
  <si>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</si>
  <si>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</si>
  <si>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</si>
  <si>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</si>
  <si>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</si>
  <si>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</si>
  <si>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</si>
  <si>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</si>
  <si>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</si>
  <si>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</si>
  <si>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</si>
  <si>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</si>
  <si>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</si>
  <si>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</si>
  <si>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</si>
  <si>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</si>
  <si>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</si>
  <si>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</si>
  <si>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</si>
  <si>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</si>
  <si>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</si>
  <si>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</si>
  <si>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</si>
  <si>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</si>
  <si>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</si>
  <si>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</si>
  <si>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</si>
  <si>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</si>
  <si>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</si>
  <si>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</si>
  <si>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</si>
  <si>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</si>
  <si>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</si>
  <si>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</si>
  <si>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</si>
  <si>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</si>
  <si>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</si>
  <si>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</si>
  <si>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</si>
  <si>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</si>
  <si>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</si>
  <si>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</si>
  <si>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</si>
  <si>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</si>
  <si>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</si>
  <si>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</si>
  <si>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</si>
  <si>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</si>
  <si>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</si>
  <si>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</si>
  <si>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</si>
  <si>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</si>
  <si>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</si>
  <si>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</si>
  <si>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</si>
  <si>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</si>
  <si>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</si>
  <si>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</si>
  <si>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</si>
  <si>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</si>
  <si>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</si>
  <si>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</si>
  <si>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</si>
  <si>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</si>
  <si>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</si>
  <si>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</si>
  <si>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</si>
  <si>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</si>
  <si>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</si>
  <si>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</si>
  <si>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</si>
  <si>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</si>
  <si>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</si>
  <si>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</si>
  <si>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</si>
  <si>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</si>
  <si>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</si>
  <si>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</si>
  <si>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</si>
  <si>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</si>
  <si>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</si>
  <si>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</si>
  <si>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</si>
  <si>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</si>
  <si>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</si>
  <si>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</si>
  <si>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</si>
  <si>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</si>
  <si>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</si>
  <si>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</si>
  <si>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</si>
  <si>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</si>
  <si>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</si>
  <si>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</si>
  <si>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</si>
  <si>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</si>
  <si>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</si>
  <si>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</si>
  <si>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</si>
  <si>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</si>
  <si>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</si>
  <si>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</si>
  <si>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</si>
  <si>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</si>
  <si>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</si>
  <si>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</si>
  <si>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</si>
  <si>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</si>
  <si>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</si>
  <si>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</si>
  <si>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</si>
  <si>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</si>
  <si>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</si>
  <si>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</si>
  <si>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</si>
  <si>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</si>
  <si>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</si>
  <si>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</si>
  <si>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</si>
  <si>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</si>
  <si>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</si>
  <si>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</si>
  <si>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</si>
  <si>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</si>
  <si>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</si>
  <si>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</si>
  <si>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</si>
  <si>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</si>
  <si>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</si>
  <si>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</si>
  <si>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</si>
  <si>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</si>
  <si>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</si>
  <si>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</si>
  <si>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</si>
  <si>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</si>
  <si>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</si>
  <si>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</si>
  <si>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</si>
  <si>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</si>
  <si>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</si>
  <si>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</si>
  <si>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</si>
  <si>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</si>
  <si>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</si>
  <si>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</si>
  <si>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</si>
  <si>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</si>
  <si>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</si>
  <si>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</si>
  <si>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</si>
  <si>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</si>
  <si>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</si>
  <si>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</si>
  <si>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</si>
  <si>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</si>
  <si>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</si>
  <si>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</si>
  <si>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</si>
  <si>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</si>
  <si>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</si>
  <si>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</si>
  <si>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</si>
  <si>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</si>
  <si>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</si>
  <si>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</si>
  <si>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</si>
  <si>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</si>
  <si>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</si>
  <si>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</si>
  <si>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</si>
  <si>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</si>
  <si>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</si>
  <si>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</si>
  <si>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</si>
  <si>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</si>
  <si>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</si>
  <si>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</si>
  <si>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</si>
  <si>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</si>
  <si>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</si>
  <si>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</si>
  <si>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</si>
  <si>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</si>
  <si>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</si>
  <si>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</si>
  <si>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</si>
  <si>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</si>
  <si>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</si>
  <si>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</si>
  <si>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</si>
  <si>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</si>
  <si>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</si>
  <si>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</si>
  <si>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</si>
  <si>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</si>
  <si>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</si>
  <si>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</si>
  <si>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</si>
  <si>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</si>
  <si>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</si>
  <si>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</si>
  <si>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</si>
  <si>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</si>
  <si>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</si>
  <si>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</si>
  <si>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</si>
  <si>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</si>
  <si>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</si>
  <si>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</si>
  <si>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</si>
  <si>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</si>
  <si>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</si>
  <si>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</si>
  <si>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</si>
  <si>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</si>
  <si>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</si>
  <si>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</si>
  <si>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</si>
  <si>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</si>
  <si>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</si>
  <si>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</si>
  <si>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</si>
  <si>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</si>
  <si>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</si>
  <si>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</si>
  <si>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</si>
  <si>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</si>
  <si>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</si>
  <si>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</si>
  <si>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</si>
  <si>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</si>
  <si>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</si>
  <si>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</si>
  <si>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</si>
  <si>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</si>
  <si>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</si>
  <si>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</si>
  <si>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</si>
  <si>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</si>
  <si>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</si>
  <si>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</si>
  <si>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</si>
  <si>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</si>
  <si>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</si>
  <si>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</si>
  <si>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</si>
  <si>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</si>
  <si>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</si>
  <si>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</si>
  <si>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</si>
  <si>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</si>
  <si>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</si>
  <si>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</si>
  <si>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</si>
  <si>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</si>
  <si>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</si>
  <si>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</si>
  <si>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</si>
  <si>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</si>
  <si>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</si>
  <si>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</si>
  <si>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</si>
  <si>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</si>
  <si>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</si>
  <si>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</si>
  <si>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</si>
  <si>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</si>
  <si>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</si>
  <si>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</si>
  <si>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</si>
  <si>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</si>
  <si>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</si>
  <si>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</si>
  <si>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</si>
  <si>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</si>
  <si>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</si>
  <si>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</si>
  <si>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</si>
  <si>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</si>
  <si>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</si>
  <si>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</si>
  <si>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</si>
  <si>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</si>
  <si>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</si>
  <si>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</si>
  <si>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</si>
  <si>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</si>
  <si>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</si>
  <si>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</si>
  <si>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</si>
  <si>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</si>
  <si>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</si>
  <si>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</si>
  <si>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</si>
  <si>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</si>
  <si>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</si>
  <si>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</si>
  <si>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</si>
  <si>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</si>
  <si>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</si>
  <si>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</si>
  <si>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</si>
  <si>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</si>
  <si>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</si>
  <si>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</si>
  <si>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</si>
  <si>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</si>
  <si>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</si>
  <si>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</si>
  <si>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</si>
  <si>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</si>
  <si>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</si>
  <si>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</si>
  <si>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</si>
  <si>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</si>
  <si>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</si>
  <si>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</si>
  <si>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</si>
  <si>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</si>
  <si>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</si>
  <si>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</si>
  <si>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</si>
  <si>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</si>
  <si>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</si>
  <si>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</si>
  <si>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</si>
  <si>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</si>
  <si>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</si>
  <si>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</si>
  <si>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</si>
  <si>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</si>
  <si>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</si>
  <si>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</si>
  <si>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</si>
  <si>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</si>
  <si>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</si>
  <si>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</si>
  <si>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</si>
  <si>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</si>
  <si>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</si>
  <si>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</si>
  <si>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</si>
  <si>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</si>
  <si>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</si>
  <si>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</si>
  <si>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</si>
  <si>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</si>
  <si>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</si>
  <si>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</si>
  <si>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</si>
  <si>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</si>
  <si>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</si>
  <si>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</si>
  <si>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</si>
  <si>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</si>
  <si>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</si>
  <si>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</si>
  <si>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</si>
  <si>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</si>
  <si>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</si>
  <si>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</si>
  <si>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</si>
  <si>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</si>
  <si>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</si>
  <si>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</si>
  <si>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</si>
  <si>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</si>
  <si>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</si>
  <si>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</si>
  <si>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</si>
  <si>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</si>
  <si>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</si>
  <si>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</si>
  <si>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</si>
  <si>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</si>
  <si>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</si>
  <si>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</si>
  <si>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</si>
  <si>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</si>
  <si>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</si>
  <si>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</si>
  <si>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</si>
  <si>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</si>
  <si>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</si>
  <si>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</si>
  <si>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</si>
  <si>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</si>
  <si>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</si>
  <si>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</si>
  <si>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</si>
  <si>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</si>
  <si>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</si>
  <si>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</si>
  <si>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</si>
  <si>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</si>
  <si>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</si>
  <si>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</si>
  <si>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</si>
  <si>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</si>
  <si>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</si>
  <si>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</si>
  <si>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</si>
  <si>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</si>
  <si>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</si>
  <si>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</si>
  <si>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</si>
  <si>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</si>
  <si>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</si>
  <si>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</si>
  <si>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</si>
  <si>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</si>
  <si>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</si>
  <si>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</si>
  <si>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</si>
  <si>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</si>
  <si>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</si>
  <si>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</si>
  <si>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</si>
  <si>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</si>
  <si>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</si>
  <si>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</si>
  <si>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</si>
  <si>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</si>
  <si>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</si>
  <si>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</si>
  <si>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</si>
  <si>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</si>
  <si>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</si>
  <si>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</si>
  <si>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</si>
  <si>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</si>
  <si>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</si>
  <si>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</si>
  <si>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</si>
  <si>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</si>
  <si>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</si>
  <si>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</si>
  <si>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</si>
  <si>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</si>
  <si>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</si>
  <si>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</si>
  <si>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</si>
  <si>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</si>
  <si>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</si>
  <si>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</si>
  <si>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</si>
  <si>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</si>
  <si>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</si>
  <si>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</si>
  <si>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</si>
  <si>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</si>
  <si>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</si>
  <si>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</si>
  <si>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</si>
  <si>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</si>
  <si>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</si>
  <si>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</si>
  <si>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</si>
  <si>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</si>
  <si>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</si>
  <si>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</si>
  <si>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</si>
  <si>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</si>
  <si>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</si>
  <si>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</si>
  <si>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</si>
  <si>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</si>
  <si>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</si>
  <si>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</si>
  <si>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</si>
  <si>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</si>
  <si>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</si>
  <si>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</si>
  <si>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</si>
  <si>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</si>
  <si>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</si>
  <si>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</si>
  <si>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</si>
  <si>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</si>
  <si>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</si>
  <si>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</si>
  <si>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</si>
  <si>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</si>
  <si>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</si>
  <si>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</si>
  <si>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</si>
  <si>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</si>
  <si>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</si>
  <si>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</si>
  <si>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</si>
  <si>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</si>
  <si>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</si>
  <si>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</si>
  <si>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</si>
  <si>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</si>
  <si>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</si>
  <si>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</si>
  <si>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</si>
  <si>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</si>
  <si>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</si>
  <si>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</si>
  <si>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</si>
  <si>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</si>
  <si>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</si>
  <si>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</si>
  <si>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</si>
  <si>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</si>
  <si>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</si>
  <si>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</si>
  <si>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</si>
  <si>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</si>
  <si>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</si>
  <si>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</si>
  <si>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</si>
  <si>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</si>
  <si>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</si>
  <si>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</si>
  <si>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</si>
  <si>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</si>
  <si>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</si>
  <si>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</si>
  <si>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</si>
  <si>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</si>
  <si>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</si>
  <si>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</si>
  <si>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</si>
  <si>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</si>
  <si>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</si>
  <si>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</si>
  <si>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</si>
  <si>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</si>
  <si>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</si>
  <si>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</si>
  <si>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</si>
  <si>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</si>
  <si>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</si>
  <si>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</si>
  <si>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</si>
  <si>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</si>
  <si>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</si>
  <si>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</si>
  <si>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</si>
  <si>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</si>
  <si>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</si>
  <si>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</si>
  <si>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</si>
  <si>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</si>
  <si>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</si>
  <si>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</si>
  <si>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</si>
  <si>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</si>
  <si>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</si>
  <si>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</si>
  <si>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</si>
  <si>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</si>
  <si>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</si>
  <si>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</si>
  <si>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</si>
  <si>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</si>
  <si>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</si>
  <si>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</si>
  <si>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</si>
  <si>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</si>
  <si>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</si>
  <si>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</si>
  <si>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</si>
  <si>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</si>
  <si>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</si>
  <si>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</si>
  <si>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</si>
  <si>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</si>
  <si>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</si>
  <si>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</si>
  <si>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</si>
  <si>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</si>
  <si>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</si>
  <si>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</si>
  <si>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</si>
  <si>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</si>
  <si>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</si>
  <si>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</si>
  <si>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</si>
  <si>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</si>
  <si>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</si>
  <si>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</si>
  <si>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</si>
  <si>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</si>
  <si>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</si>
  <si>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</si>
  <si>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</si>
  <si>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</si>
  <si>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</si>
  <si>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</si>
  <si>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</si>
  <si>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</si>
  <si>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</si>
  <si>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</si>
  <si>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</si>
  <si>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</si>
  <si>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</si>
  <si>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</si>
  <si>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</si>
  <si>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</si>
  <si>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</si>
  <si>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</si>
  <si>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</si>
  <si>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</si>
  <si>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</si>
  <si>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</si>
  <si>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</si>
  <si>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</si>
  <si>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</si>
  <si>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</si>
  <si>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</si>
  <si>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</si>
  <si>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</si>
  <si>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</si>
  <si>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</si>
  <si>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</si>
  <si>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</si>
  <si>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</si>
  <si>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</si>
  <si>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</si>
  <si>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</si>
  <si>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</si>
  <si>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</si>
  <si>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</si>
  <si>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</si>
  <si>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</si>
  <si>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</si>
  <si>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</si>
  <si>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</si>
  <si>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</si>
  <si>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</si>
  <si>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</si>
  <si>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</si>
  <si>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</si>
  <si>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</si>
  <si>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</si>
  <si>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</si>
  <si>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</si>
  <si>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</si>
  <si>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</si>
  <si>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</si>
  <si>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</si>
  <si>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</si>
  <si>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</si>
  <si>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</si>
  <si>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</si>
  <si>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</si>
  <si>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</si>
  <si>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</si>
  <si>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</si>
  <si>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</si>
  <si>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</si>
  <si>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</si>
  <si>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</si>
  <si>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</si>
  <si>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</si>
  <si>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</si>
  <si>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</si>
  <si>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</si>
  <si>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</si>
  <si>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</si>
  <si>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</si>
  <si>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</si>
  <si>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</si>
  <si>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</si>
  <si>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</si>
  <si>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</si>
  <si>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</si>
  <si>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</si>
  <si>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</si>
  <si>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</si>
  <si>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</si>
  <si>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</si>
  <si>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</si>
  <si>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</si>
  <si>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</si>
  <si>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</si>
  <si>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</si>
  <si>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</si>
  <si>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</si>
  <si>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</si>
  <si>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</si>
  <si>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</si>
  <si>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</si>
  <si>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</si>
  <si>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</si>
  <si>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</si>
  <si>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</si>
  <si>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</si>
  <si>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</si>
  <si>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</si>
  <si>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</si>
  <si>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</si>
  <si>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</si>
  <si>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</si>
  <si>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</si>
  <si>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</si>
  <si>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</si>
  <si>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</si>
  <si>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</si>
  <si>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</si>
  <si>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</si>
  <si>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</si>
  <si>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</si>
  <si>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</si>
  <si>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</si>
  <si>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</si>
  <si>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</si>
  <si>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</si>
  <si>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</si>
  <si>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</si>
  <si>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</si>
  <si>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</si>
  <si>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</si>
  <si>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</si>
  <si>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</si>
  <si>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</si>
  <si>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</si>
  <si>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</si>
  <si>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</si>
  <si>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</si>
  <si>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</si>
  <si>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</si>
  <si>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</si>
  <si>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</si>
  <si>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</si>
  <si>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</si>
  <si>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</si>
  <si>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</si>
  <si>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</si>
  <si>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</si>
  <si>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</si>
  <si>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</si>
  <si>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</si>
  <si>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</si>
  <si>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</si>
  <si>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</si>
  <si>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</si>
  <si>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</si>
  <si>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</si>
  <si>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</si>
  <si>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</si>
  <si>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</si>
  <si>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</si>
  <si>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</si>
  <si>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</si>
  <si>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</si>
  <si>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</si>
  <si>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</si>
  <si>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</si>
  <si>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</si>
  <si>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</si>
  <si>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</si>
  <si>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</si>
  <si>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</si>
  <si>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</si>
  <si>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</si>
  <si>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</si>
  <si>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</si>
  <si>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</si>
  <si>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</si>
  <si>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</si>
  <si>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</si>
  <si>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</si>
  <si>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</si>
  <si>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</si>
  <si>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</si>
  <si>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</si>
  <si>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</si>
  <si>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</si>
  <si>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</si>
  <si>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</si>
  <si>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</si>
  <si>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</si>
  <si>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</si>
  <si>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</si>
  <si>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</si>
  <si>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</si>
  <si>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</si>
  <si>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</si>
  <si>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</si>
  <si>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</si>
  <si>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</si>
  <si>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</si>
  <si>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</si>
  <si>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</si>
  <si>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</si>
  <si>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</si>
  <si>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</si>
  <si>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</si>
  <si>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</si>
  <si>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</si>
  <si>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</si>
  <si>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</si>
  <si>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</si>
  <si>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</si>
  <si>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</si>
  <si>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</si>
  <si>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</si>
  <si>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</si>
  <si>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</si>
  <si>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</si>
  <si>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</si>
  <si>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</si>
  <si>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</si>
  <si>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</si>
  <si>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</si>
  <si>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</si>
  <si>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</si>
  <si>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</si>
  <si>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</si>
  <si>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</si>
  <si>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</si>
  <si>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</si>
  <si>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</si>
  <si>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</si>
  <si>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</si>
  <si>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</si>
  <si>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</si>
  <si>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</si>
  <si>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</si>
  <si>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</si>
  <si>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</si>
  <si>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</si>
  <si>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</si>
  <si>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</si>
  <si>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</si>
  <si>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</si>
  <si>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</si>
  <si>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</si>
  <si>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</si>
  <si>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</si>
  <si>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</si>
  <si>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</si>
  <si>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</si>
  <si>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</si>
  <si>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</si>
  <si>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</si>
  <si>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</si>
  <si>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</si>
  <si>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</si>
  <si>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</si>
  <si>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</si>
  <si>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</si>
  <si>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</si>
  <si>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</si>
  <si>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</si>
  <si>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</si>
  <si>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</si>
  <si>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</si>
  <si>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</si>
  <si>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</si>
  <si>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</si>
  <si>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</si>
  <si>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</si>
  <si>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</si>
  <si>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</si>
  <si>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</si>
  <si>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</si>
  <si>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</si>
  <si>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</si>
  <si>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</si>
  <si>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</si>
  <si>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</si>
  <si>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</si>
  <si>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</si>
  <si>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</si>
  <si>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</si>
  <si>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</si>
  <si>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</si>
  <si>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</si>
  <si>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</si>
  <si>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</si>
  <si>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</si>
  <si>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</si>
  <si>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</si>
  <si>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</si>
  <si>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</si>
  <si>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</si>
  <si>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</si>
  <si>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</si>
  <si>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</si>
  <si>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</si>
  <si>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</si>
  <si>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</si>
  <si>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</si>
  <si>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</si>
  <si>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</si>
  <si>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</si>
  <si>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</si>
  <si>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</si>
  <si>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</si>
  <si>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</si>
  <si>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</si>
  <si>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</si>
  <si>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</si>
  <si>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</si>
  <si>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</si>
  <si>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</si>
  <si>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</si>
  <si>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</si>
  <si>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</si>
  <si>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</si>
  <si>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</si>
  <si>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</si>
  <si>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</si>
  <si>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</si>
  <si>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</si>
  <si>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</si>
  <si>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</si>
  <si>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</si>
  <si>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</si>
  <si>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</si>
  <si>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</si>
  <si>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</si>
  <si>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</si>
  <si>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</si>
  <si>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</si>
  <si>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</si>
  <si>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</si>
  <si>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</si>
  <si>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</si>
  <si>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</si>
  <si>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</si>
  <si>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</si>
  <si>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</si>
  <si>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</si>
  <si>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</si>
  <si>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</si>
  <si>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</si>
  <si>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</si>
  <si>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</si>
  <si>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</si>
  <si>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</si>
  <si>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</si>
  <si>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</si>
  <si>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</si>
  <si>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</si>
  <si>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</si>
  <si>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</si>
  <si>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</si>
  <si>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</si>
  <si>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</si>
  <si>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</si>
  <si>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</si>
  <si>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</si>
  <si>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</si>
  <si>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</si>
  <si>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</si>
  <si>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</si>
  <si>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</si>
  <si>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</si>
  <si>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</si>
  <si>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</si>
  <si>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</si>
  <si>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</si>
  <si>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</si>
  <si>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</si>
  <si>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</si>
  <si>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</si>
  <si>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</si>
  <si>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</si>
  <si>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</si>
  <si>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</si>
  <si>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</si>
  <si>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</si>
  <si>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</si>
  <si>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</si>
  <si>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</si>
  <si>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</si>
  <si>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</si>
  <si>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</si>
  <si>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</si>
  <si>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</si>
  <si>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</si>
  <si>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</si>
  <si>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</si>
  <si>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</si>
  <si>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</si>
  <si>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</si>
  <si>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</si>
  <si>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</si>
  <si>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</si>
  <si>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</si>
  <si>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</si>
  <si>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</si>
  <si>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</si>
  <si>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</si>
  <si>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</si>
  <si>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</si>
  <si>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</si>
  <si>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</si>
  <si>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</si>
  <si>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</si>
  <si>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</si>
  <si>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</si>
  <si>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</si>
  <si>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</si>
  <si>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</si>
  <si>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</si>
  <si>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</si>
  <si>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</si>
  <si>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</si>
  <si>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</si>
  <si>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</si>
  <si>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</si>
  <si>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</si>
  <si>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</si>
  <si>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</si>
  <si>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</si>
  <si>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</si>
  <si>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</si>
  <si>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</si>
  <si>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</si>
  <si>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</si>
  <si>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</si>
  <si>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</si>
  <si>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</si>
  <si>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</si>
  <si>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</si>
  <si>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</si>
  <si>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</si>
  <si>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</si>
  <si>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</si>
  <si>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</si>
  <si>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</si>
  <si>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</si>
  <si>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</si>
  <si>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</si>
  <si>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</si>
  <si>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</si>
  <si>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</si>
  <si>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</si>
  <si>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</si>
  <si>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</si>
  <si>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</si>
  <si>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</si>
  <si>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</si>
  <si>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</si>
  <si>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</si>
  <si>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</si>
  <si>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</si>
  <si>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</si>
  <si>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</si>
  <si>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</si>
  <si>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</si>
  <si>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</si>
  <si>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</si>
  <si>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</si>
  <si>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</si>
  <si>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</si>
  <si>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</si>
  <si>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</si>
  <si>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</si>
  <si>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</si>
  <si>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</si>
  <si>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</si>
  <si>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</si>
  <si>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</si>
  <si>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</si>
  <si>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</si>
  <si>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</si>
  <si>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</si>
  <si>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</si>
  <si>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</si>
  <si>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</si>
  <si>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</si>
  <si>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</si>
  <si>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</si>
  <si>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</si>
  <si>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</si>
  <si>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</si>
  <si>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</si>
  <si>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</si>
  <si>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</si>
  <si>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</si>
  <si>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</si>
  <si>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</si>
  <si>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</si>
  <si>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</si>
  <si>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</si>
  <si>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</si>
  <si>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</si>
  <si>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</si>
  <si>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</si>
  <si>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</si>
  <si>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</si>
  <si>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</si>
  <si>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</si>
  <si>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</si>
  <si>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</si>
  <si>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</si>
  <si>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</si>
  <si>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</si>
  <si>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</si>
  <si>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</si>
  <si>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</si>
  <si>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</si>
  <si>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</si>
  <si>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</si>
  <si>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</si>
  <si>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</si>
  <si>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</si>
  <si>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</si>
  <si>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</si>
  <si>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</si>
  <si>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</si>
  <si>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</si>
  <si>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</si>
  <si>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</si>
  <si>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</si>
  <si>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</si>
  <si>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</si>
  <si>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</si>
  <si>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</si>
  <si>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</si>
  <si>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</si>
  <si>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</si>
  <si>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</si>
  <si>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</si>
  <si>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</si>
  <si>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</si>
  <si>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</si>
  <si>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</si>
  <si>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</si>
  <si>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</si>
  <si>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</si>
  <si>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</si>
  <si>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</si>
  <si>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</si>
  <si>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</si>
  <si>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</si>
  <si>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</si>
  <si>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</si>
  <si>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</si>
  <si>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</si>
  <si>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</si>
  <si>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</si>
  <si>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</si>
  <si>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</si>
  <si>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</si>
  <si>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</si>
  <si>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</si>
  <si>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</si>
  <si>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</si>
  <si>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</si>
  <si>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</si>
  <si>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</si>
  <si>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</si>
  <si>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</si>
  <si>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</si>
  <si>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</si>
  <si>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</si>
  <si>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</si>
  <si>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</si>
  <si>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</si>
  <si>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</si>
  <si>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</si>
  <si>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</si>
  <si>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</si>
  <si>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</si>
  <si>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</si>
  <si>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</si>
  <si>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</si>
  <si>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</si>
  <si>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</si>
  <si>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</si>
  <si>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</si>
  <si>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</si>
  <si>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</si>
  <si>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</si>
  <si>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</si>
  <si>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</si>
  <si>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</si>
  <si>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</si>
  <si>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</si>
  <si>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</si>
  <si>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</si>
  <si>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</si>
  <si>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</si>
  <si>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</si>
  <si>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</si>
  <si>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</si>
  <si>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</si>
  <si>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</si>
  <si>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</si>
  <si>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</si>
  <si>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</si>
  <si>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</si>
  <si>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</si>
  <si>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</si>
  <si>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</si>
  <si>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</si>
  <si>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</si>
  <si>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</si>
  <si>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</si>
  <si>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</si>
  <si>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</si>
  <si>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</si>
  <si>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</si>
  <si>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</si>
  <si>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</si>
  <si>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</si>
  <si>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</si>
  <si>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</si>
  <si>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</si>
  <si>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</si>
  <si>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</si>
  <si>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</si>
  <si>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</si>
  <si>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</si>
  <si>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</si>
  <si>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</si>
  <si>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</si>
  <si>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</si>
  <si>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</si>
  <si>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</si>
  <si>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</si>
  <si>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</si>
  <si>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</si>
  <si>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</si>
  <si>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</si>
  <si>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</si>
  <si>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</si>
  <si>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</si>
  <si>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</si>
  <si>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</si>
  <si>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</si>
  <si>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</si>
  <si>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</si>
  <si>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</si>
  <si>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</si>
  <si>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</si>
  <si>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</si>
  <si>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</si>
  <si>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</si>
  <si>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</si>
  <si>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</si>
  <si>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</si>
  <si>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</si>
  <si>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</si>
  <si>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</si>
  <si>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</si>
  <si>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</si>
  <si>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</si>
  <si>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</si>
  <si>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</si>
  <si>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</si>
  <si>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</si>
  <si>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</si>
  <si>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</si>
  <si>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</si>
  <si>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</si>
  <si>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</si>
  <si>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</si>
  <si>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</si>
  <si>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</si>
  <si>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</si>
  <si>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</si>
  <si>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</si>
  <si>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</si>
  <si>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</si>
  <si>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</si>
  <si>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</si>
  <si>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</si>
  <si>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</si>
  <si>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</si>
  <si>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</si>
  <si>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</si>
  <si>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</si>
  <si>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</si>
  <si>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</si>
  <si>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</si>
  <si>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</si>
  <si>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</si>
  <si>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</si>
  <si>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</si>
  <si>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</si>
  <si>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</si>
  <si>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</si>
  <si>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</si>
  <si>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</si>
  <si>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</si>
  <si>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</si>
  <si>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</si>
  <si>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</si>
  <si>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</si>
  <si>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</si>
  <si>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</si>
  <si>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</si>
  <si>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</si>
  <si>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</si>
  <si>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</si>
  <si>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</si>
  <si>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</si>
  <si>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</si>
  <si>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</si>
  <si>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</si>
  <si>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</si>
  <si>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</si>
  <si>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</si>
  <si>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</si>
  <si>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</si>
  <si>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</si>
  <si>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</si>
  <si>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</si>
  <si>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</si>
  <si>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</si>
  <si>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</si>
  <si>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</si>
  <si>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</si>
  <si>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</si>
  <si>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</si>
  <si>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</si>
  <si>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</si>
  <si>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</si>
  <si>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</si>
  <si>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</si>
  <si>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</si>
  <si>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</si>
  <si>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</si>
  <si>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</si>
  <si>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</si>
  <si>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</si>
  <si>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</si>
  <si>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</si>
  <si>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</si>
  <si>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</si>
  <si>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</si>
  <si>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</si>
  <si>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</si>
  <si>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</si>
  <si>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</si>
  <si>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</si>
  <si>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</si>
  <si>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</si>
  <si>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</si>
  <si>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</si>
  <si>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</si>
  <si>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</si>
  <si>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</si>
  <si>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</si>
  <si>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</si>
  <si>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</si>
  <si>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</si>
  <si>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</si>
  <si>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</si>
  <si>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</si>
  <si>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</si>
  <si>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</si>
  <si>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</si>
  <si>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</si>
  <si>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</si>
  <si>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</si>
  <si>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</si>
  <si>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</si>
  <si>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</si>
  <si>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</si>
  <si>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</si>
  <si>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</si>
  <si>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</si>
  <si>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</si>
  <si>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</si>
  <si>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</si>
  <si>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</si>
  <si>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</si>
  <si>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</si>
  <si>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</si>
  <si>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</si>
  <si>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</si>
  <si>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</si>
  <si>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</si>
  <si>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</si>
  <si>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</si>
  <si>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</si>
  <si>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</si>
  <si>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</si>
  <si>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</si>
  <si>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</si>
  <si>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</si>
  <si>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</si>
  <si>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</si>
  <si>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</si>
  <si>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</si>
  <si>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</si>
  <si>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</si>
  <si>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</si>
  <si>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</si>
  <si>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</si>
  <si>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</si>
  <si>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</si>
  <si>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</si>
  <si>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</si>
  <si>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</si>
  <si>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</si>
  <si>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</si>
  <si>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</si>
  <si>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</si>
  <si>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</si>
  <si>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</si>
  <si>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</si>
  <si>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</si>
  <si>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</si>
  <si>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</si>
  <si>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</si>
  <si>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</si>
  <si>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</si>
  <si>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</si>
  <si>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</si>
  <si>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</si>
  <si>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</si>
  <si>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</si>
  <si>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</si>
  <si>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</si>
  <si>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</si>
  <si>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</si>
  <si>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</si>
  <si>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</si>
  <si>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</si>
  <si>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</si>
  <si>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</si>
  <si>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</si>
  <si>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</si>
  <si>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</si>
  <si>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</si>
  <si>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</si>
  <si>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</si>
  <si>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</si>
  <si>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</si>
  <si>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</si>
  <si>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</si>
  <si>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</si>
  <si>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</si>
  <si>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</si>
  <si>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</si>
  <si>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</si>
  <si>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</si>
  <si>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</si>
  <si>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</si>
  <si>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</si>
  <si>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</si>
  <si>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</si>
  <si>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</si>
  <si>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</si>
  <si>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</si>
  <si>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</si>
  <si>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</si>
  <si>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</si>
  <si>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</si>
  <si>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</si>
  <si>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</si>
  <si>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</si>
  <si>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</si>
  <si>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</si>
  <si>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</si>
  <si>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</si>
  <si>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</si>
  <si>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</si>
  <si>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</si>
  <si>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</si>
  <si>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</si>
  <si>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</si>
  <si>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</si>
  <si>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</si>
  <si>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</si>
  <si>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</si>
  <si>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</si>
  <si>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</si>
  <si>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</si>
  <si>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</si>
  <si>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</si>
  <si>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</si>
  <si>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</si>
  <si>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</si>
  <si>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</si>
  <si>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</si>
  <si>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</si>
  <si>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</si>
  <si>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</si>
  <si>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</si>
  <si>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</si>
  <si>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</si>
  <si>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</si>
  <si>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</si>
  <si>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</si>
  <si>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</si>
  <si>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</si>
  <si>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</si>
  <si>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</si>
  <si>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</si>
  <si>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</si>
  <si>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</si>
  <si>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</si>
  <si>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</si>
  <si>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</si>
  <si>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</si>
  <si>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</si>
  <si>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</si>
  <si>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</si>
  <si>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</si>
  <si>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</si>
  <si>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</si>
  <si>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</si>
  <si>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</si>
  <si>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</si>
  <si>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</si>
  <si>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</si>
  <si>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</si>
  <si>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</si>
  <si>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</si>
  <si>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</si>
  <si>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</si>
  <si>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</si>
  <si>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</si>
  <si>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</si>
  <si>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</si>
  <si>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</si>
  <si>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</si>
  <si>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</si>
  <si>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</si>
  <si>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</si>
  <si>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</si>
  <si>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</si>
  <si>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</si>
  <si>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</si>
  <si>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</si>
  <si>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</si>
  <si>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</si>
  <si>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</si>
  <si>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</si>
  <si>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</si>
  <si>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</si>
  <si>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</si>
  <si>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</si>
  <si>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</si>
  <si>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</si>
  <si>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</si>
  <si>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</si>
  <si>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</si>
  <si>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</si>
  <si>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</si>
  <si>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</si>
  <si>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</si>
  <si>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</si>
  <si>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</si>
  <si>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</si>
  <si>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</si>
  <si>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</si>
  <si>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</si>
  <si>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</si>
  <si>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</si>
  <si>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</si>
  <si>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</si>
  <si>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</si>
  <si>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</si>
  <si>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</si>
  <si>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</si>
  <si>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</si>
  <si>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</si>
  <si>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</si>
  <si>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</si>
  <si>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</si>
  <si>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</si>
  <si>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</si>
  <si>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</si>
  <si>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</si>
  <si>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</si>
  <si>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</si>
  <si>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</si>
  <si>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</si>
  <si>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</si>
  <si>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</si>
  <si>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</si>
  <si>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</si>
  <si>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</si>
  <si>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</si>
  <si>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</si>
  <si>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</si>
  <si>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</si>
  <si>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</si>
  <si>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</si>
  <si>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</si>
  <si>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</si>
  <si>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</si>
  <si>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</si>
  <si>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</si>
  <si>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</si>
  <si>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</si>
  <si>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</si>
  <si>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</si>
  <si>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</si>
  <si>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</si>
  <si>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</si>
  <si>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</si>
  <si>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</si>
  <si>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</si>
  <si>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</si>
  <si>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</si>
  <si>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</si>
  <si>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</si>
  <si>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</si>
  <si>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</si>
  <si>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</si>
  <si>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</si>
  <si>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</si>
  <si>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</si>
  <si>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</si>
  <si>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</si>
  <si>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</si>
  <si>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</si>
  <si>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</si>
  <si>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</si>
  <si>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</si>
  <si>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</si>
  <si>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</si>
  <si>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</si>
  <si>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</si>
  <si>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</si>
  <si>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</si>
  <si>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</si>
  <si>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</si>
  <si>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</si>
  <si>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</si>
  <si>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</si>
  <si>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</si>
  <si>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</si>
  <si>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</si>
  <si>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</si>
  <si>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</si>
  <si>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</si>
  <si>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</si>
  <si>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</si>
  <si>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</si>
  <si>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</si>
  <si>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</si>
  <si>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</si>
  <si>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</si>
  <si>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</si>
  <si>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</si>
  <si>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</si>
  <si>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</si>
  <si>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</si>
  <si>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</si>
  <si>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</si>
  <si>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</si>
  <si>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</si>
  <si>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</si>
  <si>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</si>
  <si>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</si>
  <si>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</si>
  <si>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</si>
  <si>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</si>
  <si>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</si>
  <si>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</si>
  <si>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</si>
  <si>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</si>
  <si>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</si>
  <si>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</si>
  <si>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</si>
  <si>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</si>
  <si>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</si>
  <si>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</si>
  <si>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</si>
  <si>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</si>
  <si>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</si>
  <si>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</si>
  <si>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</si>
  <si>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</si>
  <si>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</si>
  <si>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</si>
  <si>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</si>
  <si>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</si>
  <si>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</si>
  <si>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</si>
  <si>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</si>
  <si>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</si>
  <si>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</si>
  <si>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</si>
  <si>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</si>
  <si>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</si>
  <si>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</si>
  <si>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</si>
  <si>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</si>
  <si>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</si>
  <si>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</si>
  <si>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</si>
  <si>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</si>
  <si>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</si>
  <si>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</si>
  <si>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</si>
  <si>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</si>
  <si>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</si>
  <si>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</si>
  <si>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</si>
  <si>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</si>
  <si>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</si>
  <si>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</si>
  <si>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</si>
  <si>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</si>
  <si>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</si>
  <si>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</si>
  <si>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</si>
  <si>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</si>
  <si>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</si>
  <si>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</si>
  <si>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</si>
  <si>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</si>
  <si>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</si>
  <si>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</si>
  <si>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</si>
  <si>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</si>
  <si>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</si>
  <si>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</si>
  <si>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</si>
  <si>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</si>
  <si>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</si>
  <si>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</si>
  <si>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</si>
  <si>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</si>
  <si>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</si>
  <si>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</si>
  <si>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</si>
  <si>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</si>
  <si>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</si>
  <si>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</si>
  <si>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</si>
  <si>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</si>
  <si>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</si>
  <si>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</si>
  <si>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</si>
  <si>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</si>
  <si>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</si>
  <si>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</si>
  <si>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</si>
  <si>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</si>
  <si>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</si>
  <si>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</si>
  <si>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</si>
  <si>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</si>
  <si>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</si>
  <si>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</si>
  <si>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</si>
  <si>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</si>
  <si>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</si>
  <si>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</si>
  <si>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</si>
  <si>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</si>
  <si>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</si>
  <si>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</si>
  <si>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</si>
  <si>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</si>
  <si>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</si>
  <si>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</si>
  <si>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</si>
  <si>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</si>
  <si>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</si>
  <si>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</si>
  <si>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</si>
  <si>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</si>
  <si>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</si>
  <si>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</si>
  <si>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</si>
  <si>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</si>
  <si>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</si>
  <si>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</si>
  <si>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</si>
  <si>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</si>
  <si>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</si>
  <si>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</si>
  <si>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</si>
  <si>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</si>
  <si>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</si>
  <si>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</si>
  <si>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</si>
  <si>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</si>
  <si>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</si>
  <si>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</si>
  <si>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</si>
  <si>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</si>
  <si>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</si>
  <si>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</si>
  <si>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</si>
  <si>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</si>
  <si>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</si>
  <si>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</si>
  <si>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</si>
  <si>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</si>
  <si>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</si>
  <si>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</si>
  <si>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</si>
  <si>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</si>
  <si>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</si>
  <si>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</si>
  <si>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</si>
  <si>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</si>
  <si>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</si>
  <si>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</si>
  <si>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</si>
  <si>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</si>
  <si>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</si>
  <si>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</si>
  <si>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</si>
  <si>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</si>
  <si>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</si>
  <si>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</si>
  <si>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</si>
  <si>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</si>
  <si>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</si>
  <si>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</si>
  <si>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</si>
  <si>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</si>
  <si>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</si>
  <si>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</si>
  <si>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</si>
  <si>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</si>
  <si>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</si>
  <si>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</si>
  <si>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</si>
  <si>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</si>
  <si>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</si>
  <si>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</si>
  <si>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</si>
  <si>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</si>
  <si>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</si>
  <si>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</si>
  <si>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</si>
  <si>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</si>
  <si>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</si>
  <si>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</si>
  <si>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</si>
  <si>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</si>
  <si>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</si>
  <si>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</si>
  <si>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</si>
  <si>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</si>
  <si>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</si>
  <si>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</si>
  <si>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</si>
  <si>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</si>
  <si>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</si>
  <si>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</si>
  <si>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</si>
  <si>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</si>
  <si>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</si>
  <si>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</si>
  <si>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</si>
  <si>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</si>
  <si>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</si>
  <si>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</si>
  <si>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</si>
  <si>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</si>
  <si>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</si>
  <si>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</si>
  <si>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</si>
  <si>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</si>
  <si>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</si>
  <si>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</si>
  <si>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</si>
  <si>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</si>
  <si>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</si>
  <si>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</si>
  <si>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</si>
  <si>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</si>
  <si>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</si>
  <si>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</si>
  <si>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</si>
  <si>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</si>
  <si>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</si>
  <si>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</si>
  <si>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</si>
  <si>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</si>
  <si>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</si>
  <si>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</si>
  <si>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</si>
  <si>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</si>
  <si>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</si>
  <si>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</si>
  <si>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</si>
  <si>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</si>
  <si>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</si>
  <si>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</si>
  <si>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</si>
  <si>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</si>
  <si>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</si>
  <si>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</si>
  <si>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</si>
  <si>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</si>
  <si>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</si>
  <si>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</si>
  <si>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</si>
  <si>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</si>
  <si>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</si>
  <si>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</si>
  <si>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</si>
  <si>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</si>
  <si>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</si>
  <si>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</si>
  <si>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</si>
  <si>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</si>
  <si>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</si>
  <si>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</si>
  <si>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</si>
  <si>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</si>
  <si>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</si>
  <si>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</si>
  <si>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</si>
  <si>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</si>
  <si>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</si>
  <si>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</si>
  <si>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</si>
  <si>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</si>
  <si>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</si>
  <si>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</si>
  <si>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</si>
  <si>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</si>
  <si>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</si>
  <si>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</si>
  <si>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</si>
  <si>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</si>
  <si>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</si>
  <si>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</si>
  <si>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</si>
  <si>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</si>
  <si>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</si>
  <si>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</si>
  <si>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</si>
  <si>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</si>
  <si>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</si>
  <si>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</si>
  <si>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</si>
  <si>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</si>
  <si>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</si>
  <si>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</si>
  <si>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</si>
  <si>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</si>
  <si>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</si>
  <si>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</si>
  <si>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</si>
  <si>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</si>
  <si>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</si>
  <si>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</si>
  <si>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</si>
  <si>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</si>
  <si>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</si>
  <si>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</si>
  <si>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</si>
  <si>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</si>
  <si>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</si>
  <si>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</si>
  <si>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</si>
  <si>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</si>
  <si>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</si>
  <si>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</si>
  <si>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</si>
  <si>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</si>
  <si>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</si>
  <si>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</si>
  <si>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</si>
  <si>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</si>
  <si>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</si>
  <si>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</si>
  <si>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</si>
  <si>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</si>
  <si>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</si>
  <si>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</si>
  <si>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</si>
  <si>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</si>
  <si>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</si>
  <si>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</si>
  <si>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</si>
  <si>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</si>
  <si>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</si>
  <si>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</si>
  <si>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</si>
  <si>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</si>
  <si>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</si>
  <si>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</si>
  <si>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</si>
  <si>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</si>
  <si>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</si>
  <si>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</si>
  <si>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</si>
  <si>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</si>
  <si>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</si>
  <si>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</si>
  <si>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</si>
  <si>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</si>
  <si>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</si>
  <si>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</si>
  <si>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</si>
  <si>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</si>
  <si>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</si>
  <si>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</si>
  <si>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</si>
  <si>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</si>
  <si>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</si>
  <si>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</si>
  <si>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</si>
  <si>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</si>
  <si>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</si>
  <si>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</si>
  <si>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</si>
  <si>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</si>
  <si>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</si>
  <si>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</si>
  <si>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</si>
  <si>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</si>
  <si>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</si>
  <si>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</si>
  <si>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</si>
  <si>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</si>
  <si>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</si>
  <si>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</si>
  <si>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</si>
  <si>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</si>
  <si>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</si>
  <si>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</si>
  <si>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</si>
  <si>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</si>
  <si>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</si>
  <si>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</si>
  <si>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</si>
  <si>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</si>
  <si>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</si>
  <si>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</si>
  <si>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</si>
  <si>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</si>
  <si>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</si>
  <si>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</si>
  <si>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</si>
  <si>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</si>
  <si>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</si>
  <si>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</si>
  <si>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</si>
  <si>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</si>
  <si>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</si>
  <si>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</si>
  <si>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</si>
  <si>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</si>
  <si>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</si>
  <si>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</si>
  <si>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</si>
  <si>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</si>
  <si>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</si>
  <si>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</si>
  <si>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</si>
  <si>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</si>
  <si>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</si>
  <si>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</si>
  <si>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</si>
  <si>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</si>
  <si>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</si>
  <si>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</si>
  <si>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</si>
  <si>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</si>
  <si>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</si>
  <si>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</si>
  <si>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</si>
  <si>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</si>
  <si>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</si>
  <si>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</si>
  <si>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</si>
  <si>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</si>
  <si>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</si>
  <si>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</si>
  <si>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</si>
  <si>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</si>
  <si>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</si>
  <si>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</si>
  <si>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</si>
  <si>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</si>
  <si>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</si>
  <si>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</si>
  <si>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</si>
  <si>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</si>
  <si>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</si>
  <si>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</si>
  <si>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</si>
  <si>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</si>
  <si>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</si>
  <si>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</si>
  <si>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</si>
  <si>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</si>
  <si>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</si>
  <si>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</si>
  <si>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</si>
  <si>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</si>
  <si>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</si>
  <si>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</si>
  <si>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</si>
  <si>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</si>
  <si>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</si>
  <si>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</si>
  <si>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</si>
  <si>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</si>
  <si>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</si>
  <si>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</si>
  <si>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</si>
  <si>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</si>
  <si>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</si>
  <si>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</si>
  <si>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</si>
  <si>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</si>
  <si>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</si>
  <si>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</si>
  <si>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</si>
  <si>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</si>
  <si>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</si>
  <si>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</si>
  <si>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</si>
  <si>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</si>
  <si>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</si>
  <si>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</si>
  <si>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</si>
  <si>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</si>
  <si>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</si>
  <si>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</si>
  <si>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</si>
  <si>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</si>
  <si>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</si>
  <si>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</si>
  <si>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</si>
  <si>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</si>
  <si>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</si>
  <si>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</si>
  <si>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</si>
  <si>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</si>
  <si>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</si>
  <si>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</si>
  <si>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</si>
  <si>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</si>
  <si>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</si>
  <si>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</si>
  <si>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</si>
  <si>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</si>
  <si>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</si>
  <si>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</si>
  <si>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</si>
  <si>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</si>
  <si>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</si>
  <si>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</si>
  <si>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</si>
  <si>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</si>
  <si>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</si>
  <si>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</si>
  <si>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</si>
  <si>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</si>
  <si>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</si>
  <si>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</si>
  <si>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</si>
  <si>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</si>
  <si>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</si>
  <si>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</si>
  <si>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</si>
  <si>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</si>
  <si>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</si>
  <si>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</si>
  <si>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</si>
  <si>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</si>
  <si>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</si>
  <si>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</si>
  <si>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</si>
  <si>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</si>
  <si>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</si>
  <si>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</si>
  <si>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</si>
  <si>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</si>
  <si>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</si>
  <si>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</si>
  <si>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</si>
  <si>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</si>
  <si>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</si>
  <si>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</si>
  <si>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</si>
  <si>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</si>
  <si>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</si>
  <si>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</si>
  <si>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</si>
  <si>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</si>
  <si>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</si>
  <si>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</si>
  <si>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</si>
  <si>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</si>
  <si>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</si>
  <si>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</si>
  <si>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</si>
  <si>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</si>
  <si>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</si>
  <si>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</si>
  <si>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</si>
  <si>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</si>
  <si>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</si>
  <si>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</si>
  <si>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</si>
  <si>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</si>
  <si>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</si>
  <si>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</si>
  <si>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</si>
  <si>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</si>
  <si>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</si>
  <si>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</si>
  <si>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</si>
  <si>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</si>
  <si>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</si>
  <si>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</si>
  <si>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</si>
  <si>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</si>
  <si>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</si>
  <si>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</si>
  <si>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</si>
  <si>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</si>
  <si>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</si>
  <si>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</si>
  <si>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</si>
  <si>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</si>
  <si>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</si>
  <si>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</si>
  <si>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</si>
  <si>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</si>
  <si>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</si>
  <si>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</si>
  <si>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</si>
  <si>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</si>
  <si>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</si>
  <si>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</si>
  <si>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</si>
  <si>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</si>
  <si>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</si>
  <si>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</si>
  <si>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</si>
  <si>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</si>
  <si>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</si>
  <si>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</si>
  <si>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</si>
  <si>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</si>
  <si>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</si>
  <si>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</si>
  <si>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</si>
  <si>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</si>
  <si>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</si>
  <si>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</si>
  <si>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</si>
  <si>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</si>
  <si>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</si>
  <si>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</si>
  <si>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</si>
  <si>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</si>
  <si>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</si>
  <si>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</si>
  <si>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</si>
  <si>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</si>
  <si>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</si>
  <si>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</si>
  <si>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</si>
  <si>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</si>
  <si>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</si>
  <si>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</si>
  <si>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</si>
  <si>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</si>
  <si>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</si>
  <si>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</si>
  <si>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</si>
  <si>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</si>
  <si>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</si>
  <si>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</si>
  <si>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</si>
  <si>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</si>
  <si>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</si>
  <si>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</si>
  <si>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</si>
  <si>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</si>
  <si>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</si>
  <si>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</si>
  <si>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</si>
  <si>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</si>
  <si>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</si>
  <si>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</si>
  <si>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</si>
  <si>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</si>
  <si>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</si>
  <si>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</si>
  <si>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</si>
  <si>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</si>
  <si>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</si>
  <si>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</si>
  <si>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</si>
  <si>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</si>
  <si>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</si>
  <si>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</si>
  <si>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</si>
  <si>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</si>
  <si>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</si>
  <si>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</si>
  <si>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</si>
  <si>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</si>
  <si>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</si>
  <si>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</si>
  <si>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</si>
  <si>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</si>
  <si>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</si>
  <si>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</si>
  <si>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</si>
  <si>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</si>
  <si>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</si>
  <si>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</si>
  <si>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</si>
  <si>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</si>
  <si>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</si>
  <si>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</si>
  <si>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</si>
  <si>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</si>
  <si>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</si>
  <si>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</si>
  <si>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</si>
  <si>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</si>
  <si>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</si>
  <si>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</si>
  <si>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</si>
  <si>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</si>
  <si>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</si>
  <si>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</si>
  <si>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</si>
  <si>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</si>
  <si>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</si>
  <si>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</si>
  <si>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</si>
  <si>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</si>
  <si>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</si>
  <si>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</si>
  <si>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</si>
  <si>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</si>
  <si>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</si>
  <si>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</si>
  <si>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</si>
  <si>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</si>
  <si>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</si>
  <si>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</si>
  <si>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</si>
  <si>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</si>
  <si>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</si>
  <si>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</si>
  <si>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</si>
  <si>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</si>
  <si>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</si>
  <si>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</si>
  <si>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</si>
  <si>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</si>
  <si>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</si>
  <si>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</si>
  <si>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</si>
  <si>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</si>
  <si>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</si>
  <si>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</si>
  <si>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</si>
  <si>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</si>
  <si>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</si>
  <si>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</si>
  <si>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</si>
  <si>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</si>
  <si>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</si>
  <si>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</si>
  <si>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</si>
  <si>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</si>
  <si>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</si>
  <si>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</si>
  <si>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</si>
  <si>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</si>
  <si>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</si>
  <si>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</si>
  <si>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</si>
  <si>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</si>
  <si>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</si>
  <si>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</si>
  <si>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</si>
  <si>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</si>
  <si>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</si>
  <si>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</si>
  <si>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</si>
  <si>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</si>
  <si>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</si>
  <si>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</si>
  <si>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</si>
  <si>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</si>
  <si>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</si>
  <si>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</si>
  <si>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</si>
  <si>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</si>
  <si>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</si>
  <si>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</si>
  <si>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</si>
  <si>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</si>
  <si>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</si>
  <si>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</si>
  <si>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</si>
  <si>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</si>
  <si>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</si>
  <si>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</si>
  <si>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</si>
  <si>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</si>
  <si>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</si>
  <si>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</si>
  <si>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</si>
  <si>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</si>
  <si>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</si>
  <si>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</si>
  <si>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</si>
  <si>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</si>
  <si>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</si>
  <si>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</si>
  <si>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</si>
  <si>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</si>
  <si>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</si>
  <si>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</si>
  <si>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</si>
  <si>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</si>
  <si>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</si>
  <si>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</si>
  <si>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</si>
  <si>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</si>
  <si>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</si>
  <si>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</si>
  <si>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</si>
  <si>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</si>
  <si>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</si>
  <si>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</si>
  <si>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</si>
  <si>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</si>
  <si>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</si>
  <si>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</si>
  <si>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</si>
  <si>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</si>
  <si>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</si>
  <si>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</si>
  <si>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</si>
  <si>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</si>
  <si>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</si>
  <si>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</si>
  <si>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</si>
  <si>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</si>
  <si>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</si>
  <si>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</si>
  <si>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</si>
  <si>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</si>
  <si>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</si>
  <si>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</si>
  <si>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</si>
  <si>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</si>
  <si>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</si>
  <si>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</si>
  <si>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</si>
  <si>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</si>
  <si>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</si>
  <si>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</si>
  <si>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</si>
  <si>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</si>
  <si>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</si>
  <si>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</si>
  <si>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</si>
  <si>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</si>
  <si>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</si>
  <si>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</si>
  <si>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</si>
  <si>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</si>
  <si>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</si>
  <si>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</si>
  <si>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</si>
  <si>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</si>
  <si>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</si>
  <si>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</si>
  <si>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</si>
  <si>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</si>
  <si>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</si>
  <si>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</si>
  <si>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</si>
  <si>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</si>
  <si>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</si>
  <si>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</si>
  <si>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</si>
  <si>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</si>
  <si>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</si>
  <si>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</si>
  <si>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</si>
  <si>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</si>
  <si>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</si>
  <si>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</si>
  <si>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</si>
  <si>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</si>
  <si>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</si>
  <si>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</si>
  <si>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</si>
  <si>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</si>
  <si>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</si>
  <si>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</si>
  <si>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</si>
  <si>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</si>
  <si>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</si>
  <si>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</si>
  <si>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</si>
  <si>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</si>
  <si>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</si>
  <si>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</si>
  <si>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</si>
  <si>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</si>
  <si>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</si>
  <si>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</si>
  <si>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</si>
  <si>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</si>
  <si>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</si>
  <si>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</si>
  <si>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</si>
  <si>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</si>
  <si>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</si>
  <si>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</si>
  <si>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</si>
  <si>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</si>
  <si>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</si>
  <si>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</si>
  <si>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</si>
  <si>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</si>
  <si>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</si>
  <si>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</si>
  <si>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</si>
  <si>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</si>
  <si>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</si>
  <si>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</si>
  <si>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</si>
  <si>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</si>
  <si>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</si>
  <si>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</si>
  <si>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</si>
  <si>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</si>
  <si>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</si>
  <si>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</si>
  <si>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</si>
  <si>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</si>
  <si>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</si>
  <si>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</si>
  <si>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</si>
  <si>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</si>
  <si>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</si>
  <si>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</si>
  <si>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</si>
  <si>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</si>
  <si>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</si>
  <si>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</si>
  <si>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</si>
  <si>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</si>
  <si>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</si>
  <si>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</si>
  <si>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</si>
  <si>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</si>
  <si>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</si>
  <si>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</si>
  <si>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</si>
  <si>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</si>
  <si>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</si>
  <si>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</si>
  <si>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</si>
  <si>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</si>
  <si>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</si>
  <si>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</si>
  <si>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</si>
  <si>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</si>
  <si>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</si>
  <si>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</si>
  <si>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</si>
  <si>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</si>
  <si>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</si>
  <si>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</si>
  <si>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</si>
  <si>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</si>
  <si>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</si>
  <si>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</si>
  <si>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</si>
  <si>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</si>
  <si>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</si>
  <si>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</si>
  <si>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</si>
  <si>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</si>
  <si>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</si>
  <si>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</si>
  <si>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</si>
  <si>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</si>
  <si>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</si>
  <si>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</si>
  <si>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</si>
  <si>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</si>
  <si>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</si>
  <si>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</si>
  <si>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</si>
  <si>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</si>
  <si>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</si>
  <si>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</si>
  <si>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</si>
  <si>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</si>
  <si>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</si>
  <si>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</si>
  <si>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</si>
  <si>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</si>
  <si>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</si>
  <si>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</si>
  <si>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</si>
  <si>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</si>
  <si>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</si>
  <si>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</si>
  <si>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</si>
  <si>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</si>
  <si>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</si>
  <si>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</si>
  <si>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</si>
  <si>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</si>
  <si>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</si>
  <si>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</si>
  <si>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</si>
  <si>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</si>
  <si>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</si>
  <si>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</si>
  <si>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</si>
  <si>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</si>
  <si>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</si>
  <si>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</si>
  <si>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</si>
  <si>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</si>
  <si>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</si>
  <si>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</si>
  <si>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</si>
  <si>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</si>
  <si>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</si>
  <si>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</si>
  <si>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</si>
  <si>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</si>
  <si>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</si>
  <si>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</si>
  <si>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</si>
  <si>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</si>
  <si>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</si>
  <si>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</si>
  <si>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</si>
  <si>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</si>
  <si>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</si>
  <si>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</si>
  <si>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</si>
  <si>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</si>
  <si>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</si>
  <si>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</si>
  <si>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</si>
  <si>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</si>
  <si>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</si>
  <si>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</si>
  <si>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</si>
  <si>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</si>
  <si>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</si>
  <si>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</si>
  <si>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</si>
  <si>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</si>
  <si>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</si>
  <si>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</si>
  <si>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</si>
  <si>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</si>
  <si>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</si>
  <si>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</si>
  <si>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</si>
  <si>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</si>
  <si>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</si>
  <si>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</si>
  <si>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</si>
  <si>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</si>
  <si>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</si>
  <si>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</si>
  <si>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</si>
  <si>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</si>
  <si>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</si>
  <si>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</si>
  <si>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</si>
  <si>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</si>
  <si>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</si>
  <si>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</si>
  <si>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</si>
  <si>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</si>
  <si>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</si>
  <si>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</si>
  <si>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</si>
  <si>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</si>
  <si>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</si>
  <si>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</si>
  <si>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</si>
  <si>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</si>
  <si>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</si>
  <si>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</si>
  <si>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</si>
  <si>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</si>
  <si>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</si>
  <si>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</si>
  <si>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</si>
  <si>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</si>
  <si>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</si>
  <si>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</si>
  <si>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</si>
  <si>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</si>
  <si>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</si>
  <si>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</si>
  <si>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</si>
  <si>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</si>
  <si>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</si>
  <si>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</si>
  <si>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</si>
  <si>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</si>
  <si>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</si>
  <si>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</si>
  <si>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</si>
  <si>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</si>
  <si>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</si>
  <si>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</si>
  <si>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</si>
  <si>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</si>
  <si>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</si>
  <si>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</si>
  <si>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</si>
  <si>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</si>
  <si>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</si>
  <si>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</si>
  <si>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</si>
  <si>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</si>
  <si>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</si>
  <si>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</si>
  <si>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</si>
  <si>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</si>
  <si>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</si>
  <si>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</si>
  <si>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</si>
  <si>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</si>
  <si>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</si>
  <si>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</si>
  <si>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</si>
  <si>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</si>
  <si>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</si>
  <si>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</si>
  <si>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</si>
  <si>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</si>
  <si>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</si>
  <si>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</si>
  <si>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</si>
  <si>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</si>
  <si>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</si>
  <si>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</si>
  <si>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</si>
  <si>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</si>
  <si>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</si>
  <si>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</si>
  <si>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</si>
  <si>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</si>
  <si>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</si>
  <si>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</si>
  <si>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</si>
  <si>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</si>
  <si>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</si>
  <si>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</si>
  <si>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</si>
  <si>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</si>
  <si>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</si>
  <si>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</si>
  <si>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</si>
  <si>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</si>
  <si>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</si>
  <si>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</si>
  <si>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</si>
  <si>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</si>
  <si>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</si>
  <si>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</si>
  <si>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</si>
  <si>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</si>
  <si>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</si>
  <si>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</si>
  <si>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</si>
  <si>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</si>
  <si>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</si>
  <si>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</si>
  <si>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</si>
  <si>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</si>
  <si>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</si>
  <si>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</si>
  <si>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</si>
  <si>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</si>
  <si>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</si>
  <si>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</si>
  <si>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</si>
  <si>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</si>
  <si>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</si>
  <si>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</si>
  <si>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</si>
  <si>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</si>
  <si>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</si>
  <si>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</si>
  <si>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</si>
  <si>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</si>
  <si>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</si>
  <si>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</si>
  <si>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</si>
  <si>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</si>
  <si>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</si>
  <si>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</si>
  <si>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</si>
  <si>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</si>
  <si>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</si>
  <si>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</si>
  <si>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</si>
  <si>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</si>
  <si>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</si>
  <si>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</si>
  <si>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</si>
  <si>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</si>
  <si>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</si>
  <si>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</si>
  <si>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</si>
  <si>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</si>
  <si>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</si>
  <si>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</si>
  <si>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</si>
  <si>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</si>
  <si>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</si>
  <si>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</si>
  <si>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</si>
  <si>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</si>
  <si>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</si>
  <si>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</si>
  <si>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</si>
  <si>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</si>
  <si>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</si>
  <si>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</si>
  <si>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</si>
  <si>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</si>
  <si>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</si>
  <si>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</si>
  <si>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</si>
  <si>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</si>
  <si>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</si>
  <si>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</si>
  <si>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</si>
  <si>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</si>
  <si>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</si>
  <si>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</si>
  <si>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</si>
  <si>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</si>
  <si>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</si>
  <si>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</si>
  <si>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</si>
  <si>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</si>
  <si>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</si>
  <si>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</si>
  <si>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</si>
  <si>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</si>
  <si>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</si>
  <si>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</si>
  <si>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</si>
  <si>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</si>
  <si>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</si>
  <si>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</si>
  <si>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</si>
  <si>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</si>
  <si>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</si>
  <si>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</si>
  <si>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</si>
  <si>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</si>
  <si>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</si>
  <si>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</si>
  <si>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</si>
  <si>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</si>
  <si>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</si>
  <si>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</si>
  <si>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</si>
  <si>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</si>
  <si>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</si>
  <si>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</si>
  <si>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</si>
  <si>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</si>
  <si>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</si>
  <si>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</si>
  <si>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</si>
  <si>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</si>
  <si>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</si>
  <si>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</si>
  <si>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</si>
  <si>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</si>
  <si>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</si>
  <si>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</si>
  <si>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</si>
  <si>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</si>
  <si>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</si>
  <si>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</si>
  <si>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</si>
  <si>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</si>
  <si>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</si>
  <si>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</si>
  <si>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</si>
  <si>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</si>
  <si>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</si>
  <si>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</si>
  <si>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</si>
  <si>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</si>
  <si>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</si>
  <si>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</si>
  <si>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</si>
  <si>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</si>
  <si>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</si>
  <si>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</si>
  <si>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</si>
  <si>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</si>
  <si>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</si>
  <si>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</si>
  <si>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</si>
  <si>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</si>
  <si>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</si>
  <si>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</si>
  <si>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</si>
  <si>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</si>
  <si>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</si>
  <si>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</si>
  <si>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</si>
  <si>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</si>
  <si>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</si>
  <si>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</si>
  <si>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</si>
  <si>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</si>
  <si>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</si>
  <si>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</si>
  <si>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</si>
  <si>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</si>
  <si>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</si>
  <si>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</si>
  <si>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</si>
  <si>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</si>
  <si>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</si>
  <si>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</si>
  <si>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</si>
  <si>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</si>
  <si>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</si>
  <si>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</si>
  <si>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</si>
  <si>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</si>
  <si>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</si>
  <si>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</si>
  <si>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</si>
  <si>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</si>
  <si>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</si>
  <si>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</si>
  <si>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</si>
  <si>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</si>
  <si>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</si>
  <si>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</si>
  <si>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</si>
  <si>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</si>
  <si>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</si>
  <si>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</si>
  <si>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</si>
  <si>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</si>
  <si>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</si>
  <si>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</si>
  <si>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</si>
  <si>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</si>
  <si>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</si>
  <si>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</si>
  <si>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</si>
  <si>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</si>
  <si>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</si>
  <si>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</si>
  <si>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</si>
  <si>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</si>
  <si>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</si>
  <si>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</si>
  <si>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</si>
  <si>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</si>
  <si>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</si>
  <si>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</si>
  <si>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</si>
  <si>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</si>
  <si>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</si>
  <si>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</si>
  <si>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</si>
  <si>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</si>
  <si>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</si>
  <si>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</si>
  <si>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</si>
  <si>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</si>
  <si>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</si>
  <si>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</si>
  <si>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</si>
  <si>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</si>
  <si>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</si>
  <si>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</si>
  <si>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</si>
  <si>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</si>
  <si>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</si>
  <si>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</si>
  <si>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</si>
  <si>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</si>
  <si>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</si>
  <si>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</si>
  <si>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</si>
  <si>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</si>
  <si>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</si>
  <si>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</si>
  <si>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</si>
  <si>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</si>
  <si>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</si>
  <si>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</si>
  <si>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</si>
  <si>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</si>
  <si>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</si>
  <si>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</si>
  <si>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</si>
  <si>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</si>
  <si>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</si>
  <si>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</si>
  <si>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</si>
  <si>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</si>
  <si>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</si>
  <si>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</si>
  <si>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</si>
  <si>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</si>
  <si>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</si>
  <si>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</si>
  <si>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</si>
  <si>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</si>
  <si>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</si>
  <si>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</si>
  <si>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</si>
  <si>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</si>
  <si>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</si>
  <si>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</si>
  <si>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</si>
  <si>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</si>
  <si>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</si>
  <si>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</si>
  <si>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</si>
  <si>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</si>
  <si>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</si>
  <si>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</si>
  <si>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</si>
  <si>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</si>
  <si>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</si>
  <si>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</si>
  <si>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</si>
  <si>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</si>
  <si>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</si>
  <si>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</si>
  <si>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</si>
  <si>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</si>
  <si>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</si>
  <si>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</si>
  <si>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</si>
  <si>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</si>
  <si>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</si>
  <si>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</si>
  <si>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</si>
  <si>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</si>
  <si>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</si>
  <si>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</si>
  <si>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</si>
  <si>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</si>
  <si>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</si>
  <si>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</si>
  <si>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</si>
  <si>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</si>
  <si>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</si>
  <si>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</si>
  <si>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</si>
  <si>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</si>
  <si>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</si>
  <si>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</si>
  <si>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</si>
  <si>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</si>
  <si>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</si>
  <si>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</si>
  <si>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</si>
  <si>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</si>
  <si>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</si>
  <si>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</si>
  <si>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</si>
  <si>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</si>
  <si>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</si>
  <si>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</si>
  <si>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</si>
  <si>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</si>
  <si>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</si>
  <si>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</si>
  <si>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</si>
  <si>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</si>
  <si>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</si>
  <si>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</si>
  <si>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</si>
  <si>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</si>
  <si>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</si>
  <si>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</si>
  <si>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</si>
  <si>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</si>
  <si>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</si>
  <si>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</si>
  <si>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</si>
  <si>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</si>
  <si>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</si>
  <si>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</si>
  <si>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</si>
  <si>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</si>
  <si>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</si>
  <si>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</si>
  <si>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</si>
  <si>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</si>
  <si>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</si>
  <si>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</si>
  <si>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</si>
  <si>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</si>
  <si>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</si>
  <si>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</si>
  <si>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</si>
  <si>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</si>
  <si>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</si>
  <si>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</si>
  <si>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</si>
  <si>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</si>
  <si>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</si>
  <si>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</si>
  <si>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</si>
  <si>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</si>
  <si>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</si>
  <si>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</si>
  <si>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</si>
  <si>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</si>
  <si>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</si>
  <si>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</si>
  <si>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</si>
  <si>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</si>
  <si>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</si>
  <si>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</si>
  <si>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</si>
  <si>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</si>
  <si>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</si>
  <si>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</si>
  <si>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</si>
  <si>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</si>
  <si>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</si>
  <si>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</si>
  <si>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</si>
  <si>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</si>
  <si>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</si>
  <si>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</si>
  <si>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</si>
  <si>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</si>
  <si>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</si>
  <si>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</si>
  <si>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</si>
  <si>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</si>
  <si>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</si>
  <si>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</si>
  <si>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</si>
  <si>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</si>
  <si>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</si>
  <si>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</si>
  <si>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</si>
  <si>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</si>
  <si>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</si>
  <si>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</si>
  <si>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</si>
  <si>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</si>
  <si>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</si>
  <si>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</si>
  <si>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</si>
  <si>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</si>
  <si>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</si>
  <si>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</si>
  <si>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</si>
  <si>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</si>
  <si>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</si>
  <si>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</si>
  <si>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</si>
  <si>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</si>
  <si>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</si>
  <si>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</si>
  <si>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</si>
  <si>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</si>
  <si>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</si>
  <si>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</si>
  <si>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</si>
  <si>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</si>
  <si>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</si>
  <si>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</si>
  <si>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</si>
  <si>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</si>
  <si>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</si>
  <si>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</si>
  <si>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</si>
  <si>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</si>
  <si>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</si>
  <si>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</si>
  <si>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</si>
  <si>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</si>
  <si>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</si>
  <si>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</si>
  <si>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</si>
  <si>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</si>
  <si>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</si>
  <si>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</si>
  <si>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</si>
  <si>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</si>
  <si>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</si>
  <si>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</si>
  <si>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</si>
  <si>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</si>
  <si>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</si>
  <si>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</si>
  <si>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</si>
  <si>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</si>
  <si>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</si>
  <si>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</si>
  <si>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</si>
  <si>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</si>
  <si>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</si>
  <si>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</si>
  <si>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</si>
  <si>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</si>
  <si>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</si>
  <si>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</si>
  <si>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</si>
  <si>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</si>
  <si>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</si>
  <si>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</si>
  <si>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</si>
  <si>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</si>
  <si>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</si>
  <si>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</si>
  <si>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</si>
  <si>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</si>
  <si>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</si>
  <si>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</si>
  <si>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</si>
  <si>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</si>
  <si>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</si>
  <si>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</si>
  <si>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</si>
  <si>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</si>
  <si>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</si>
  <si>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</si>
  <si>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</si>
  <si>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</si>
  <si>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</si>
  <si>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</si>
  <si>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</si>
  <si>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</si>
  <si>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</si>
  <si>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</si>
  <si>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</si>
  <si>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</si>
  <si>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</si>
  <si>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</si>
  <si>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</si>
  <si>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</si>
  <si>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</si>
  <si>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</si>
  <si>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</si>
  <si>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</si>
  <si>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</si>
  <si>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</si>
  <si>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</si>
  <si>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</si>
  <si>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</si>
  <si>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</si>
  <si>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</si>
  <si>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</si>
  <si>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</si>
  <si>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</si>
  <si>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</si>
  <si>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</si>
  <si>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</si>
  <si>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</si>
  <si>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</si>
  <si>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</si>
  <si>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</si>
  <si>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</si>
  <si>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</si>
  <si>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</si>
  <si>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</si>
  <si>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</si>
  <si>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</si>
  <si>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</si>
  <si>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</si>
  <si>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</si>
  <si>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</si>
  <si>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</si>
  <si>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</si>
  <si>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</si>
  <si>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</si>
  <si>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</si>
  <si>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</si>
  <si>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</si>
  <si>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</si>
  <si>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</si>
  <si>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</si>
  <si>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</si>
  <si>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</si>
  <si>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</si>
  <si>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</si>
  <si>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</si>
  <si>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</si>
  <si>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</si>
  <si>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</si>
  <si>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</si>
  <si>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</si>
  <si>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</si>
  <si>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</si>
  <si>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</si>
  <si>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</si>
  <si>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</si>
  <si>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</si>
  <si>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</si>
  <si>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</si>
  <si>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</si>
  <si>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</si>
  <si>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</si>
  <si>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</si>
  <si>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</si>
  <si>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</si>
  <si>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</si>
  <si>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</si>
  <si>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</si>
  <si>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</si>
  <si>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</si>
  <si>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</si>
  <si>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</si>
  <si>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</si>
  <si>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</si>
  <si>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</si>
  <si>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</si>
  <si>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</si>
  <si>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</si>
  <si>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</si>
  <si>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</si>
  <si>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</si>
  <si>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</si>
  <si>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</si>
  <si>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</si>
  <si>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</si>
  <si>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</si>
  <si>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</si>
  <si>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</si>
  <si>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</si>
  <si>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</si>
  <si>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</si>
  <si>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</si>
  <si>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</si>
  <si>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</si>
  <si>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</si>
  <si>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</si>
  <si>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</si>
  <si>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</si>
  <si>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</si>
  <si>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</si>
  <si>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</si>
  <si>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</si>
  <si>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</si>
  <si>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</si>
  <si>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</si>
  <si>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</si>
  <si>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</si>
  <si>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</si>
  <si>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</si>
  <si>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</si>
  <si>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</si>
  <si>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</si>
  <si>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</si>
  <si>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</si>
  <si>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</si>
  <si>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</si>
  <si>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</si>
  <si>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</si>
  <si>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</si>
  <si>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</si>
  <si>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</si>
  <si>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</si>
  <si>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</si>
  <si>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</si>
  <si>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</si>
  <si>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</si>
  <si>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</si>
  <si>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</si>
  <si>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</si>
  <si>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</si>
  <si>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</si>
  <si>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</si>
  <si>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</si>
  <si>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</si>
  <si>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</si>
  <si>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</si>
  <si>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</si>
  <si>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</si>
  <si>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</si>
  <si>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</si>
  <si>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</si>
  <si>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</si>
  <si>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</si>
  <si>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</si>
  <si>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</si>
  <si>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</si>
  <si>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</si>
  <si>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</si>
  <si>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</si>
  <si>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</si>
  <si>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</si>
  <si>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</si>
  <si>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</si>
  <si>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</si>
  <si>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</si>
  <si>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</si>
  <si>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</si>
  <si>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</si>
  <si>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</si>
  <si>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</si>
  <si>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</si>
  <si>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</si>
  <si>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</si>
  <si>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</si>
  <si>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</si>
  <si>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</si>
  <si>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</si>
  <si>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</si>
  <si>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</si>
  <si>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</si>
  <si>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</si>
  <si>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</si>
  <si>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</si>
  <si>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</si>
  <si>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</si>
  <si>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</si>
  <si>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</si>
  <si>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</si>
  <si>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</si>
  <si>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</si>
  <si>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</si>
  <si>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</si>
  <si>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</si>
  <si>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</si>
  <si>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</si>
  <si>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</si>
  <si>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</si>
  <si>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</si>
  <si>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</si>
  <si>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</si>
  <si>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</si>
  <si>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</si>
  <si>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</si>
  <si>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</si>
  <si>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</si>
  <si>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</si>
  <si>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</si>
  <si>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</si>
  <si>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</si>
  <si>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</si>
  <si>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</si>
  <si>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</si>
  <si>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</si>
  <si>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</si>
  <si>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</si>
  <si>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</si>
  <si>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</si>
  <si>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</si>
  <si>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</si>
  <si>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</si>
  <si>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</si>
  <si>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</si>
  <si>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</si>
  <si>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</si>
  <si>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</si>
  <si>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</si>
  <si>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</si>
  <si>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</si>
  <si>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</si>
  <si>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</si>
  <si>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</si>
  <si>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</si>
  <si>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</si>
  <si>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</si>
  <si>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</si>
  <si>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</si>
  <si>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</si>
  <si>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</si>
  <si>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</si>
  <si>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</si>
  <si>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</si>
  <si>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</si>
  <si>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</si>
  <si>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</si>
  <si>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</si>
  <si>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</si>
  <si>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</si>
  <si>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</si>
  <si>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</si>
  <si>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</si>
  <si>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</si>
  <si>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</si>
  <si>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</si>
  <si>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</si>
  <si>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</si>
  <si>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</si>
  <si>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</si>
  <si>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</si>
  <si>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</si>
  <si>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</si>
  <si>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</si>
  <si>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</si>
  <si>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</si>
  <si>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</si>
  <si>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</si>
  <si>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</si>
  <si>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</si>
  <si>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</si>
  <si>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</si>
  <si>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</si>
  <si>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</si>
  <si>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</si>
  <si>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</si>
  <si>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</si>
  <si>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</si>
  <si>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</si>
  <si>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</si>
  <si>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</si>
  <si>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</si>
  <si>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</si>
  <si>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</si>
  <si>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</si>
  <si>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</si>
  <si>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</si>
  <si>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</si>
  <si>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</si>
  <si>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</si>
  <si>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</si>
  <si>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</si>
  <si>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</si>
  <si>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</si>
  <si>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</si>
  <si>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</si>
  <si>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</si>
  <si>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</si>
  <si>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</si>
  <si>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</si>
  <si>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</si>
  <si>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</si>
  <si>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</si>
  <si>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</si>
  <si>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</si>
  <si>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</si>
  <si>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</si>
  <si>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</si>
  <si>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</si>
  <si>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</si>
  <si>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</si>
  <si>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</si>
  <si>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</si>
  <si>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</si>
  <si>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</si>
  <si>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</si>
  <si>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</si>
  <si>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</si>
  <si>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</si>
  <si>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</si>
  <si>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</si>
  <si>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</si>
  <si>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</si>
  <si>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</si>
  <si>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</si>
  <si>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</si>
  <si>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</si>
  <si>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</si>
  <si>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</si>
  <si>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</si>
  <si>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</si>
  <si>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</si>
  <si>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</si>
  <si>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</si>
  <si>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</si>
  <si>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</si>
  <si>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</si>
  <si>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</si>
  <si>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</si>
  <si>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</si>
  <si>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</si>
  <si>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</si>
  <si>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</si>
  <si>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</si>
  <si>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</si>
  <si>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</si>
  <si>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</si>
  <si>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</si>
  <si>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</si>
  <si>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</si>
  <si>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</si>
  <si>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</si>
  <si>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</si>
  <si>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</si>
  <si>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</si>
  <si>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</si>
  <si>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</si>
  <si>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</si>
  <si>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</si>
  <si>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</si>
  <si>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</si>
  <si>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</si>
  <si>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</si>
  <si>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</si>
  <si>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</si>
  <si>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</si>
  <si>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</si>
  <si>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</si>
  <si>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</si>
  <si>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</si>
  <si>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</si>
  <si>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</si>
  <si>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</si>
  <si>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</si>
  <si>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</si>
  <si>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</si>
  <si>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</si>
  <si>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</si>
  <si>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</si>
  <si>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</si>
  <si>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</si>
  <si>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</si>
  <si>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</si>
  <si>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</si>
  <si>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</si>
  <si>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</si>
  <si>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</si>
  <si>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</si>
  <si>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</si>
  <si>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</si>
  <si>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</si>
  <si>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</si>
  <si>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</si>
  <si>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</si>
  <si>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</si>
  <si>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</si>
  <si>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</si>
  <si>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</si>
  <si>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</si>
  <si>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</si>
  <si>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</si>
  <si>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</si>
  <si>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</si>
  <si>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</si>
  <si>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</si>
  <si>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</si>
  <si>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</si>
  <si>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</si>
  <si>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</si>
  <si>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</si>
  <si>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</si>
  <si>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</si>
  <si>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</si>
  <si>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</si>
  <si>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</si>
  <si>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</si>
  <si>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</si>
  <si>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</si>
  <si>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</si>
  <si>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</si>
  <si>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</si>
  <si>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</si>
  <si>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</si>
  <si>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</si>
  <si>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</si>
  <si>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</si>
  <si>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</si>
  <si>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</si>
  <si>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</si>
  <si>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</si>
  <si>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</si>
  <si>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</si>
  <si>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</si>
  <si>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</si>
  <si>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</si>
  <si>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</si>
  <si>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</si>
  <si>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</si>
  <si>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</si>
  <si>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</si>
  <si>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</si>
  <si>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</si>
  <si>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</si>
  <si>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</si>
  <si>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</si>
  <si>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</si>
  <si>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</si>
  <si>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</si>
  <si>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</si>
  <si>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</si>
  <si>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</si>
  <si>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</si>
  <si>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</si>
  <si>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</si>
  <si>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</si>
  <si>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</si>
  <si>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</si>
  <si>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</si>
  <si>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</si>
  <si>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</si>
  <si>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</si>
  <si>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</si>
  <si>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</si>
  <si>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</si>
  <si>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</si>
  <si>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</si>
  <si>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</si>
  <si>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</si>
  <si>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</si>
  <si>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</si>
  <si>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</si>
  <si>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</si>
  <si>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</si>
  <si>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</si>
  <si>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</si>
  <si>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</si>
  <si>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</si>
  <si>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</si>
  <si>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</si>
  <si>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</si>
  <si>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</si>
  <si>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</si>
  <si>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</si>
  <si>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</si>
  <si>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</si>
  <si>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</si>
  <si>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</si>
  <si>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</si>
  <si>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</si>
  <si>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</si>
  <si>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</si>
  <si>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</si>
  <si>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</si>
  <si>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</si>
  <si>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</si>
  <si>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</si>
  <si>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</si>
  <si>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</si>
  <si>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</si>
  <si>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</si>
  <si>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</si>
  <si>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</si>
  <si>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</si>
  <si>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</si>
  <si>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</si>
  <si>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</si>
  <si>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</si>
  <si>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</si>
  <si>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</si>
  <si>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</si>
  <si>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</si>
  <si>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</si>
  <si>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</si>
  <si>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</si>
  <si>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</si>
  <si>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</si>
  <si>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</si>
  <si>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</si>
  <si>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</si>
  <si>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</si>
  <si>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</si>
  <si>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</si>
  <si>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</si>
  <si>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</si>
  <si>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</si>
  <si>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</si>
  <si>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</si>
  <si>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</si>
  <si>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</si>
  <si>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</si>
  <si>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</si>
  <si>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</si>
  <si>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</si>
  <si>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</si>
  <si>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</si>
  <si>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</si>
  <si>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</si>
  <si>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</si>
  <si>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</si>
  <si>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</si>
  <si>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</si>
  <si>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</si>
  <si>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</si>
  <si>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</si>
  <si>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</si>
  <si>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</si>
  <si>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</si>
  <si>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</si>
  <si>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</si>
  <si>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</si>
  <si>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</si>
  <si>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</si>
  <si>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</si>
  <si>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</si>
  <si>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</si>
  <si>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</si>
  <si>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</si>
  <si>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</si>
  <si>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</si>
  <si>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</si>
  <si>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</si>
  <si>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</si>
  <si>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</si>
  <si>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</si>
  <si>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</si>
  <si>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</si>
  <si>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</si>
  <si>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</si>
  <si>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</si>
  <si>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</si>
  <si>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</si>
  <si>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</si>
  <si>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</si>
  <si>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</si>
  <si>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</si>
  <si>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</si>
  <si>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</si>
  <si>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</si>
  <si>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</si>
  <si>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</si>
  <si>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</si>
  <si>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</si>
  <si>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</si>
  <si>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</si>
  <si>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</si>
  <si>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</si>
  <si>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</si>
  <si>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</si>
  <si>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</si>
  <si>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</si>
  <si>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</si>
  <si>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</si>
  <si>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</si>
  <si>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</si>
  <si>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</si>
  <si>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</si>
  <si>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</si>
  <si>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</si>
  <si>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</si>
  <si>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</si>
  <si>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</si>
  <si>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</si>
  <si>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</si>
  <si>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</si>
  <si>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</si>
  <si>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</si>
  <si>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</si>
  <si>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</si>
  <si>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</si>
  <si>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</si>
  <si>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</si>
  <si>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</si>
  <si>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</si>
  <si>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</si>
  <si>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</si>
  <si>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</si>
  <si>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</si>
  <si>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</si>
  <si>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</si>
  <si>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</si>
  <si>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</si>
  <si>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</si>
  <si>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</si>
  <si>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</si>
  <si>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</si>
  <si>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</si>
  <si>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</si>
  <si>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</si>
  <si>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</si>
  <si>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</si>
  <si>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</si>
  <si>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</si>
  <si>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</si>
  <si>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</si>
  <si>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</si>
  <si>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</si>
  <si>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</si>
  <si>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</si>
  <si>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</si>
  <si>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</si>
  <si>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</si>
  <si>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</si>
  <si>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</si>
  <si>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</si>
  <si>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</si>
  <si>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</si>
  <si>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</si>
  <si>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</si>
  <si>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</si>
  <si>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</si>
  <si>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</si>
  <si>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</si>
  <si>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</si>
  <si>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</si>
  <si>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</si>
  <si>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</si>
  <si>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</si>
  <si>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</si>
  <si>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</si>
  <si>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</si>
  <si>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</si>
  <si>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</si>
  <si>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</si>
  <si>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</si>
  <si>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</si>
  <si>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</si>
  <si>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</si>
  <si>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</si>
  <si>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</si>
  <si>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</si>
  <si>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</si>
  <si>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</si>
  <si>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</si>
  <si>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</si>
  <si>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</si>
  <si>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</si>
  <si>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</si>
  <si>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</si>
  <si>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</si>
  <si>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</si>
  <si>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</si>
  <si>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</si>
  <si>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</si>
  <si>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</si>
  <si>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</si>
  <si>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</si>
  <si>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</si>
  <si>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</si>
  <si>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</si>
  <si>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</si>
  <si>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</si>
  <si>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</si>
  <si>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</si>
  <si>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</si>
  <si>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</si>
  <si>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</si>
  <si>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</si>
  <si>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</si>
  <si>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</si>
  <si>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</si>
  <si>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</si>
  <si>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</si>
  <si>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</si>
  <si>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</si>
  <si>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</si>
  <si>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</si>
  <si>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</si>
  <si>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</si>
  <si>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</si>
  <si>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</si>
  <si>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</si>
  <si>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</si>
  <si>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</si>
  <si>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</si>
  <si>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</si>
  <si>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</si>
  <si>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</si>
  <si>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</si>
  <si>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</si>
  <si>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</si>
  <si>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</si>
  <si>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</si>
  <si>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</si>
  <si>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</si>
  <si>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</si>
  <si>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</si>
  <si>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</si>
  <si>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</si>
  <si>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</si>
  <si>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</si>
  <si>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</si>
  <si>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</si>
  <si>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</si>
  <si>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</si>
  <si>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</si>
  <si>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</si>
  <si>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</si>
  <si>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</si>
  <si>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</si>
  <si>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</si>
  <si>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</si>
  <si>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</si>
  <si>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</si>
  <si>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</si>
  <si>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</si>
  <si>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</si>
  <si>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</si>
  <si>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</si>
  <si>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</si>
  <si>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</si>
  <si>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</si>
  <si>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</si>
  <si>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</si>
  <si>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</si>
  <si>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</si>
  <si>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</si>
  <si>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</si>
  <si>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</si>
  <si>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</si>
  <si>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</si>
  <si>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</si>
  <si>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</si>
  <si>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</si>
  <si>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</si>
  <si>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</si>
  <si>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</si>
  <si>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</si>
  <si>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</si>
  <si>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</si>
  <si>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</si>
  <si>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</si>
  <si>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</si>
  <si>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</si>
  <si>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</si>
  <si>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</si>
  <si>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</si>
  <si>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</si>
  <si>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</si>
  <si>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</si>
  <si>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</si>
  <si>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</si>
  <si>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</si>
  <si>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</si>
  <si>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</si>
  <si>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</si>
  <si>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</si>
  <si>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</si>
  <si>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</si>
  <si>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</si>
  <si>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</si>
  <si>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</si>
  <si>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</si>
  <si>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</si>
  <si>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</si>
  <si>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</si>
  <si>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</si>
  <si>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</si>
  <si>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</si>
  <si>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</si>
  <si>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</si>
  <si>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</si>
  <si>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</si>
  <si>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</si>
  <si>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</si>
  <si>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</si>
  <si>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</si>
  <si>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</si>
  <si>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</si>
  <si>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</si>
  <si>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</si>
  <si>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</si>
  <si>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</si>
  <si>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</si>
  <si>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</si>
  <si>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</si>
  <si>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</si>
  <si>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</si>
  <si>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</si>
  <si>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</si>
  <si>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</si>
  <si>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</si>
  <si>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</si>
  <si>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</si>
  <si>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</si>
  <si>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</si>
  <si>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</si>
  <si>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</si>
  <si>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</si>
  <si>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</si>
  <si>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</si>
  <si>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</si>
  <si>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</si>
  <si>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</si>
  <si>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</si>
  <si>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</si>
  <si>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</si>
  <si>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</si>
  <si>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</si>
  <si>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</si>
  <si>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</si>
  <si>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</si>
  <si>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</si>
  <si>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</si>
  <si>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</si>
  <si>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</si>
  <si>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</si>
  <si>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</si>
  <si>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</si>
  <si>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</si>
  <si>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</si>
  <si>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</si>
  <si>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</si>
  <si>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</si>
  <si>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</si>
  <si>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</si>
  <si>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</si>
  <si>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</si>
  <si>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</si>
  <si>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</si>
  <si>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</si>
  <si>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</si>
  <si>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</si>
  <si>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</si>
  <si>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</si>
  <si>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</si>
  <si>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</si>
  <si>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</si>
  <si>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</si>
  <si>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</si>
  <si>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</si>
  <si>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</si>
  <si>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</si>
  <si>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</si>
  <si>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</si>
  <si>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</si>
  <si>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</si>
  <si>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</si>
  <si>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</si>
  <si>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</si>
  <si>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</si>
  <si>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</si>
  <si>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</si>
  <si>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</si>
  <si>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</si>
  <si>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</si>
  <si>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</si>
  <si>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</si>
  <si>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</si>
  <si>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</si>
  <si>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</si>
  <si>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</si>
  <si>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</si>
  <si>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</si>
  <si>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</si>
  <si>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</si>
  <si>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</si>
  <si>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</si>
  <si>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</si>
  <si>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</si>
  <si>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</si>
  <si>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</si>
  <si>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</si>
  <si>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</si>
  <si>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</si>
  <si>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</si>
  <si>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</si>
  <si>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</si>
  <si>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</si>
  <si>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</si>
  <si>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</si>
  <si>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</si>
  <si>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</si>
  <si>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</si>
  <si>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</si>
  <si>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</si>
  <si>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</si>
  <si>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</si>
  <si>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</si>
  <si>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</si>
  <si>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</si>
  <si>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</si>
  <si>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</si>
  <si>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</si>
  <si>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</si>
  <si>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</si>
  <si>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</si>
  <si>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</si>
  <si>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</si>
  <si>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</si>
  <si>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</si>
  <si>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</si>
  <si>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</si>
  <si>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</si>
  <si>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</si>
  <si>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</si>
  <si>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</si>
  <si>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</si>
  <si>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</si>
  <si>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</si>
  <si>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</si>
  <si>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</si>
  <si>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</si>
  <si>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</si>
  <si>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</si>
  <si>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</si>
  <si>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</si>
  <si>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</si>
  <si>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</si>
  <si>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</si>
  <si>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</si>
  <si>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</si>
  <si>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</si>
  <si>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</si>
  <si>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</si>
  <si>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</si>
  <si>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</si>
  <si>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</si>
  <si>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</si>
  <si>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</si>
  <si>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</si>
  <si>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</si>
  <si>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</si>
  <si>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</si>
  <si>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</si>
  <si>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</si>
  <si>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</si>
  <si>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</si>
  <si>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</si>
  <si>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</si>
  <si>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</si>
  <si>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</si>
  <si>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</si>
  <si>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</si>
  <si>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</si>
  <si>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</si>
  <si>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</si>
  <si>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</si>
  <si>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</si>
  <si>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</si>
  <si>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</si>
  <si>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</si>
  <si>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</si>
  <si>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</si>
  <si>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</si>
  <si>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</si>
  <si>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</si>
  <si>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</si>
  <si>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</si>
  <si>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</si>
  <si>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</si>
  <si>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</si>
  <si>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</si>
  <si>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</si>
  <si>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</si>
  <si>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</si>
  <si>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</si>
  <si>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</si>
  <si>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</si>
  <si>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</si>
  <si>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</si>
  <si>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</si>
  <si>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</si>
  <si>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</si>
  <si>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</si>
  <si>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</si>
  <si>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</si>
  <si>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</si>
  <si>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</si>
  <si>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</si>
  <si>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</si>
  <si>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</si>
  <si>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</si>
  <si>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</si>
  <si>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</si>
  <si>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</si>
  <si>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</si>
  <si>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</si>
  <si>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</si>
  <si>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</si>
  <si>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</si>
  <si>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</si>
  <si>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</si>
  <si>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</si>
  <si>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</si>
  <si>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</si>
  <si>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</si>
  <si>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</si>
  <si>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</si>
  <si>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</si>
  <si>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</si>
  <si>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</si>
  <si>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</si>
  <si>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</si>
  <si>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</si>
  <si>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</si>
  <si>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</si>
  <si>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</si>
  <si>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</si>
  <si>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</si>
  <si>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</si>
  <si>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</si>
  <si>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</si>
  <si>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</si>
  <si>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</si>
  <si>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</si>
  <si>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</si>
  <si>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</si>
  <si>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</si>
  <si>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</si>
  <si>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</si>
  <si>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</si>
  <si>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</si>
  <si>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</si>
  <si>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</si>
  <si>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</si>
  <si>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</si>
  <si>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</si>
  <si>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</si>
  <si>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</si>
  <si>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</si>
  <si>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</si>
  <si>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</si>
  <si>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</si>
  <si>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</si>
  <si>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</si>
  <si>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</si>
  <si>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</si>
  <si>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</si>
  <si>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</si>
  <si>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</si>
  <si>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</si>
  <si>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</si>
  <si>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</si>
  <si>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</si>
  <si>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</si>
  <si>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</si>
  <si>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</si>
  <si>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</si>
  <si>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</si>
  <si>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</si>
  <si>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</si>
  <si>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</si>
  <si>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</si>
  <si>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</si>
  <si>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</si>
  <si>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</si>
  <si>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</si>
  <si>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</si>
  <si>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</si>
  <si>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</si>
  <si>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</si>
  <si>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</si>
  <si>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</si>
  <si>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</si>
  <si>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</si>
  <si>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</si>
  <si>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</si>
  <si>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</si>
  <si>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</si>
  <si>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</si>
  <si>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</si>
  <si>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</si>
  <si>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</si>
  <si>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</si>
  <si>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</si>
  <si>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</si>
  <si>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</si>
  <si>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</si>
  <si>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</si>
  <si>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</si>
  <si>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</si>
  <si>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</si>
  <si>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</si>
  <si>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</si>
  <si>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</si>
  <si>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</si>
  <si>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</si>
  <si>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</si>
  <si>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</si>
  <si>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</si>
  <si>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</si>
  <si>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</si>
  <si>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</si>
  <si>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</si>
  <si>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</si>
  <si>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</si>
  <si>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</si>
  <si>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</si>
  <si>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</si>
  <si>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</si>
  <si>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</si>
  <si>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</si>
  <si>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</si>
  <si>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</si>
  <si>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</si>
  <si>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</si>
  <si>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</si>
  <si>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</si>
  <si>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</si>
  <si>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</si>
  <si>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</si>
  <si>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</si>
  <si>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</si>
  <si>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</si>
  <si>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</si>
  <si>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</si>
  <si>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</si>
  <si>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</si>
  <si>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</si>
  <si>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</si>
  <si>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</si>
  <si>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</si>
  <si>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</si>
  <si>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</si>
  <si>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</si>
  <si>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</si>
  <si>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</si>
  <si>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</si>
  <si>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</si>
  <si>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</si>
  <si>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</si>
  <si>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</si>
  <si>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</si>
  <si>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</si>
  <si>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</si>
  <si>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</si>
  <si>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</si>
  <si>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</si>
  <si>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</si>
  <si>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</si>
  <si>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</si>
  <si>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</si>
  <si>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</si>
  <si>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</si>
  <si>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</si>
  <si>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</si>
  <si>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</si>
  <si>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</si>
  <si>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</si>
  <si>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</si>
  <si>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</si>
  <si>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</si>
  <si>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</si>
  <si>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</si>
  <si>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</si>
  <si>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</si>
  <si>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</si>
  <si>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</si>
  <si>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</si>
  <si>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</si>
  <si>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</si>
  <si>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</si>
  <si>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</si>
  <si>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</si>
  <si>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</si>
  <si>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</si>
  <si>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</si>
  <si>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</si>
  <si>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</si>
  <si>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</si>
  <si>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</si>
  <si>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</si>
  <si>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</si>
  <si>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</si>
  <si>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</si>
  <si>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</si>
  <si>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</si>
  <si>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</si>
  <si>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</si>
  <si>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</si>
  <si>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</si>
  <si>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</si>
  <si>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</si>
  <si>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</si>
  <si>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</si>
  <si>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</si>
  <si>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</si>
  <si>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</si>
  <si>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</si>
  <si>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</si>
  <si>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</si>
  <si>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</si>
  <si>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</si>
  <si>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</si>
  <si>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</si>
  <si>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</si>
  <si>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</si>
  <si>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</si>
  <si>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</si>
  <si>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</si>
  <si>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</si>
  <si>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</si>
  <si>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</si>
  <si>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</si>
  <si>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</si>
  <si>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</si>
  <si>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</si>
  <si>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</si>
  <si>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</si>
  <si>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</si>
  <si>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</si>
  <si>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</si>
  <si>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</si>
  <si>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</si>
  <si>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</si>
  <si>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</si>
  <si>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</si>
  <si>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</si>
  <si>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</si>
  <si>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</si>
  <si>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</si>
  <si>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</si>
  <si>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</si>
  <si>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</si>
  <si>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</si>
  <si>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</si>
  <si>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</si>
  <si>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</si>
  <si>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</si>
  <si>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</si>
  <si>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</si>
  <si>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</si>
  <si>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</si>
  <si>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</si>
  <si>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</si>
  <si>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</si>
  <si>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</si>
  <si>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</si>
  <si>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</si>
  <si>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</si>
  <si>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</si>
  <si>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</si>
  <si>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</si>
  <si>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</si>
  <si>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</si>
  <si>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</si>
  <si>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</si>
  <si>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</si>
  <si>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</si>
  <si>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</si>
  <si>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</si>
  <si>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</si>
  <si>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</si>
  <si>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</si>
  <si>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</si>
  <si>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</si>
  <si>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</si>
  <si>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</si>
  <si>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</si>
  <si>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</si>
  <si>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</si>
  <si>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</si>
  <si>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</si>
  <si>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</si>
  <si>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</si>
  <si>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</si>
  <si>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</si>
  <si>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</si>
  <si>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</si>
  <si>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</si>
  <si>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</si>
  <si>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</si>
  <si>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</si>
  <si>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</si>
  <si>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</si>
  <si>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</si>
  <si>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</si>
  <si>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</si>
  <si>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</si>
  <si>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</si>
  <si>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</si>
  <si>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</si>
  <si>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</si>
  <si>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</si>
  <si>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</si>
  <si>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</si>
  <si>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</si>
  <si>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</si>
  <si>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</si>
  <si>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</si>
  <si>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</si>
  <si>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</si>
  <si>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</si>
  <si>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</si>
  <si>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</si>
  <si>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</si>
  <si>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</si>
  <si>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</si>
  <si>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</si>
  <si>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</si>
  <si>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</si>
  <si>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</si>
  <si>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</si>
  <si>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</si>
  <si>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</si>
  <si>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</si>
  <si>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</si>
  <si>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</si>
  <si>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</si>
  <si>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</si>
  <si>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</si>
  <si>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</si>
  <si>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</si>
  <si>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</si>
  <si>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</si>
  <si>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</si>
  <si>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</si>
  <si>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</si>
  <si>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</si>
  <si>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</si>
  <si>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</si>
  <si>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</si>
  <si>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</si>
  <si>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</si>
  <si>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</si>
  <si>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</si>
  <si>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</si>
  <si>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</si>
  <si>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</si>
  <si>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</si>
  <si>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</si>
  <si>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</si>
  <si>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</si>
  <si>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</si>
  <si>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</si>
  <si>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</si>
  <si>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</si>
  <si>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</si>
  <si>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</si>
  <si>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</si>
  <si>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</si>
  <si>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</si>
  <si>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</si>
  <si>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</si>
  <si>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</si>
  <si>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</si>
  <si>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</si>
  <si>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</si>
  <si>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</si>
  <si>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</si>
  <si>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</si>
  <si>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</si>
  <si>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</si>
  <si>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</si>
  <si>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</si>
  <si>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</si>
  <si>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</si>
  <si>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</si>
  <si>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</si>
  <si>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</si>
  <si>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</si>
  <si>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</si>
  <si>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</si>
  <si>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</si>
  <si>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</si>
  <si>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</si>
  <si>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</si>
  <si>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</si>
  <si>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</si>
  <si>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</si>
  <si>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</si>
  <si>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</si>
  <si>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</si>
  <si>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</si>
  <si>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</si>
  <si>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</si>
  <si>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</si>
  <si>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</si>
  <si>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</si>
  <si>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</si>
  <si>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</si>
  <si>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</si>
  <si>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</si>
  <si>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</si>
  <si>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</si>
  <si>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</si>
  <si>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</si>
  <si>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</si>
  <si>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</si>
  <si>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</si>
  <si>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</si>
  <si>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</si>
  <si>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</si>
  <si>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</si>
  <si>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</si>
  <si>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</si>
  <si>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</si>
  <si>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</si>
  <si>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</si>
  <si>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</si>
  <si>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</si>
  <si>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</si>
  <si>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</si>
  <si>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</si>
  <si>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</si>
  <si>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</si>
  <si>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</si>
  <si>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</si>
  <si>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</si>
  <si>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</si>
  <si>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</si>
  <si>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</si>
  <si>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</si>
  <si>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</si>
  <si>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</si>
  <si>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</si>
  <si>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</si>
  <si>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</si>
  <si>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</si>
  <si>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</si>
  <si>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</si>
  <si>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</si>
  <si>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</si>
  <si>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</si>
  <si>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</si>
  <si>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</si>
  <si>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</si>
  <si>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</si>
  <si>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</si>
  <si>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</si>
  <si>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</si>
  <si>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</si>
  <si>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</si>
  <si>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</si>
  <si>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</si>
  <si>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</si>
  <si>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</si>
  <si>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</si>
  <si>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</si>
  <si>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</si>
  <si>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</si>
  <si>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</si>
  <si>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</si>
  <si>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</si>
  <si>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</si>
  <si>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</si>
  <si>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</si>
  <si>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</si>
  <si>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</si>
  <si>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</si>
  <si>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</si>
  <si>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</si>
  <si>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</si>
  <si>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</si>
  <si>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</si>
  <si>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</si>
  <si>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</si>
  <si>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</si>
  <si>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</si>
  <si>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</si>
  <si>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</si>
  <si>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</si>
  <si>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</si>
  <si>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</si>
  <si>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</si>
  <si>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</si>
  <si>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</si>
  <si>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</si>
  <si>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</si>
  <si>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</si>
  <si>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</si>
  <si>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</si>
  <si>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</si>
  <si>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</si>
  <si>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</si>
  <si>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</si>
  <si>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</si>
  <si>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</si>
  <si>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</si>
  <si>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</si>
  <si>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</si>
  <si>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</si>
  <si>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</si>
  <si>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</si>
  <si>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</si>
  <si>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</si>
  <si>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</si>
  <si>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</si>
  <si>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</si>
  <si>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</si>
  <si>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</si>
  <si>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</si>
  <si>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</si>
  <si>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</si>
  <si>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</si>
  <si>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</si>
  <si>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</si>
  <si>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</si>
  <si>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</si>
  <si>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</si>
  <si>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</si>
  <si>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</si>
  <si>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</si>
  <si>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</si>
  <si>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</si>
  <si>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</si>
  <si>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</si>
  <si>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</si>
  <si>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</si>
  <si>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</si>
  <si>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</si>
  <si>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</si>
  <si>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</si>
  <si>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</si>
  <si>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</si>
  <si>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</si>
  <si>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</si>
  <si>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</si>
  <si>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</si>
  <si>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</si>
  <si>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</si>
  <si>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</si>
  <si>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</si>
  <si>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</si>
  <si>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</si>
  <si>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</si>
  <si>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</si>
  <si>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</si>
  <si>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</si>
  <si>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</si>
  <si>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</si>
  <si>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</si>
  <si>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</si>
  <si>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</si>
  <si>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</si>
  <si>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</si>
  <si>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</si>
  <si>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</si>
  <si>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</si>
  <si>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</si>
  <si>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</si>
  <si>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</si>
  <si>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</si>
  <si>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</si>
  <si>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</si>
  <si>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</si>
  <si>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</si>
  <si>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</si>
  <si>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</si>
  <si>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</si>
  <si>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</si>
  <si>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</si>
  <si>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</si>
  <si>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</si>
  <si>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</si>
  <si>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</si>
  <si>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</si>
  <si>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</si>
  <si>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</si>
  <si>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</si>
  <si>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</si>
  <si>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</si>
  <si>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</si>
  <si>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</si>
  <si>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</si>
  <si>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</si>
  <si>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</si>
  <si>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</si>
  <si>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</si>
  <si>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</si>
  <si>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</si>
  <si>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</si>
  <si>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</si>
  <si>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</si>
  <si>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</si>
  <si>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</si>
  <si>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</si>
  <si>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</si>
  <si>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</si>
  <si>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</si>
  <si>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</si>
  <si>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</si>
  <si>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</si>
  <si>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</si>
  <si>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</si>
  <si>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</si>
  <si>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</si>
  <si>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</si>
  <si>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</si>
  <si>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</si>
  <si>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</si>
  <si>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</si>
  <si>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</si>
  <si>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</si>
  <si>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</si>
  <si>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</si>
  <si>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</si>
  <si>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</si>
  <si>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</si>
  <si>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</si>
  <si>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</si>
  <si>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</si>
  <si>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</si>
  <si>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</si>
  <si>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</si>
  <si>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</si>
  <si>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</si>
  <si>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</si>
  <si>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</si>
  <si>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</si>
  <si>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</si>
  <si>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</si>
  <si>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</si>
  <si>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</si>
  <si>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</si>
  <si>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</si>
  <si>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</si>
  <si>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</si>
  <si>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</si>
  <si>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</si>
  <si>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</si>
  <si>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</si>
  <si>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</si>
  <si>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</si>
  <si>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</si>
  <si>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</si>
  <si>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</si>
  <si>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</si>
  <si>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</si>
  <si>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</si>
  <si>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</si>
  <si>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</si>
  <si>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</si>
  <si>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</si>
  <si>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</si>
  <si>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</si>
  <si>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</si>
  <si>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</si>
  <si>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</si>
  <si>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</si>
  <si>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</si>
  <si>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</si>
  <si>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</si>
  <si>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</si>
  <si>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</si>
  <si>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</si>
  <si>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</si>
  <si>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</si>
  <si>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</si>
  <si>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</si>
  <si>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</si>
  <si>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</si>
  <si>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</si>
  <si>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</si>
  <si>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</si>
  <si>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</si>
  <si>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</si>
  <si>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</si>
  <si>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</si>
  <si>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</si>
  <si>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</si>
  <si>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</si>
  <si>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</si>
  <si>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</si>
  <si>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</si>
  <si>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</si>
  <si>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</si>
  <si>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</si>
  <si>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</si>
  <si>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</si>
  <si>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</si>
  <si>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</si>
  <si>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</si>
  <si>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</si>
  <si>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</si>
  <si>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</si>
  <si>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</si>
  <si>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</si>
  <si>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</si>
  <si>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</si>
  <si>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</si>
  <si>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</si>
  <si>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</si>
  <si>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</si>
  <si>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</si>
  <si>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</si>
  <si>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</si>
  <si>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</si>
  <si>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</si>
  <si>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</si>
  <si>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</si>
  <si>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</si>
  <si>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</si>
  <si>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</si>
  <si>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</si>
  <si>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</si>
  <si>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</si>
  <si>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</si>
  <si>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</si>
  <si>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</si>
  <si>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</si>
  <si>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</si>
  <si>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</si>
  <si>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</si>
  <si>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</si>
  <si>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</si>
  <si>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</si>
  <si>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</si>
  <si>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</si>
  <si>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</si>
  <si>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</si>
  <si>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</si>
  <si>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</si>
  <si>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</si>
  <si>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</si>
  <si>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</si>
  <si>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</si>
  <si>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</si>
  <si>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</si>
  <si>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</si>
  <si>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</si>
  <si>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</si>
  <si>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</si>
  <si>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</si>
  <si>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</si>
  <si>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</si>
  <si>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</si>
  <si>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</si>
  <si>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</si>
  <si>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</si>
  <si>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</si>
  <si>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</si>
  <si>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</si>
  <si>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</si>
  <si>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</si>
  <si>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</si>
  <si>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</si>
  <si>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</si>
  <si>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</si>
  <si>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</si>
  <si>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</si>
  <si>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</si>
  <si>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</si>
  <si>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</si>
  <si>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</si>
  <si>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</si>
  <si>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</si>
  <si>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</si>
  <si>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</si>
  <si>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</si>
  <si>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</si>
  <si>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</si>
  <si>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</si>
  <si>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</si>
  <si>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</si>
  <si>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</si>
  <si>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</si>
  <si>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</si>
  <si>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</si>
  <si>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</si>
  <si>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</si>
  <si>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</si>
  <si>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</si>
  <si>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</si>
  <si>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</si>
  <si>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</si>
  <si>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</si>
  <si>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</si>
  <si>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</si>
  <si>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</si>
  <si>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</si>
  <si>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</si>
  <si>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</si>
  <si>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</si>
  <si>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</si>
  <si>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</si>
  <si>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</si>
  <si>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</si>
  <si>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</si>
  <si>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</si>
  <si>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</si>
  <si>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</si>
  <si>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</si>
  <si>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</si>
  <si>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</si>
  <si>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</si>
  <si>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</si>
  <si>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</si>
  <si>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</si>
  <si>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</si>
  <si>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</si>
  <si>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</si>
  <si>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</si>
  <si>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</si>
  <si>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</si>
  <si>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</si>
  <si>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</si>
  <si>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</si>
  <si>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</si>
  <si>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</si>
  <si>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</si>
  <si>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</si>
  <si>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</si>
  <si>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</si>
  <si>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</si>
  <si>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</si>
  <si>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</si>
  <si>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</si>
  <si>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</si>
  <si>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</si>
  <si>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</si>
  <si>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</si>
  <si>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</si>
  <si>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</si>
  <si>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</si>
  <si>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</si>
  <si>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</si>
  <si>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</si>
  <si>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</si>
  <si>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</si>
  <si>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</si>
  <si>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</si>
  <si>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</si>
  <si>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</si>
  <si>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</si>
  <si>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</si>
  <si>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</si>
  <si>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</si>
  <si>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</si>
  <si>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</si>
  <si>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</si>
  <si>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</si>
  <si>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</si>
  <si>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</si>
  <si>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</si>
  <si>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</si>
  <si>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</si>
  <si>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</si>
  <si>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</si>
  <si>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</si>
  <si>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</si>
  <si>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</si>
  <si>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</si>
  <si>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</si>
  <si>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</si>
  <si>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</si>
  <si>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</si>
  <si>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</si>
  <si>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</si>
  <si>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</si>
  <si>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</si>
  <si>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</si>
  <si>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</si>
  <si>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</si>
  <si>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</si>
  <si>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</si>
  <si>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</si>
  <si>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</si>
  <si>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</si>
  <si>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</si>
  <si>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</si>
  <si>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</si>
  <si>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</si>
  <si>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</si>
  <si>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</si>
  <si>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</si>
  <si>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</si>
  <si>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</si>
  <si>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</si>
  <si>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</si>
  <si>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</si>
  <si>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</si>
  <si>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</si>
  <si>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</si>
  <si>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</si>
  <si>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</si>
  <si>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</si>
  <si>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</si>
  <si>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</si>
  <si>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</si>
  <si>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</si>
  <si>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</si>
  <si>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</si>
  <si>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</si>
  <si>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</si>
  <si>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</si>
  <si>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</si>
  <si>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</si>
  <si>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</si>
  <si>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</si>
  <si>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</si>
  <si>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</si>
  <si>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</si>
  <si>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</si>
  <si>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</si>
  <si>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</si>
  <si>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</si>
  <si>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</si>
  <si>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</si>
  <si>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</si>
  <si>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</si>
  <si>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</si>
  <si>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</si>
  <si>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</si>
  <si>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</si>
  <si>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</si>
  <si>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</si>
  <si>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</si>
  <si>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</si>
  <si>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</si>
  <si>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</si>
  <si>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</si>
  <si>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</si>
  <si>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</si>
  <si>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</si>
  <si>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</si>
  <si>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</si>
  <si>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</si>
  <si>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</si>
  <si>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</si>
  <si>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</si>
  <si>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</si>
  <si>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</si>
  <si>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</si>
  <si>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</si>
  <si>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</si>
  <si>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</si>
  <si>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</si>
  <si>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</si>
  <si>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</si>
  <si>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</si>
  <si>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</si>
  <si>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</si>
  <si>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</si>
  <si>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</si>
  <si>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</si>
  <si>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</si>
  <si>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</si>
  <si>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</si>
  <si>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</si>
  <si>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</si>
  <si>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</si>
  <si>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</si>
  <si>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</si>
  <si>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</si>
  <si>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</si>
  <si>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</si>
  <si>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</si>
  <si>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</si>
  <si>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</si>
  <si>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</si>
  <si>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</si>
  <si>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</si>
  <si>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</si>
  <si>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</si>
  <si>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</si>
  <si>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</si>
  <si>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</si>
  <si>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</si>
  <si>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</si>
  <si>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</si>
  <si>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</si>
  <si>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</si>
  <si>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</si>
  <si>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</si>
  <si>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</si>
  <si>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</si>
  <si>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</si>
  <si>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</si>
  <si>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</si>
  <si>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</si>
  <si>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</si>
  <si>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</si>
  <si>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</si>
  <si>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</si>
  <si>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</si>
  <si>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</si>
  <si>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</si>
  <si>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</si>
  <si>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</si>
  <si>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</si>
  <si>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</si>
  <si>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</si>
  <si>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</si>
  <si>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</si>
  <si>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</si>
  <si>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</si>
  <si>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</si>
  <si>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</si>
  <si>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</si>
  <si>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</si>
  <si>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</si>
  <si>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</si>
  <si>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</si>
  <si>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</si>
  <si>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</si>
  <si>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</si>
  <si>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</si>
  <si>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</si>
  <si>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</si>
  <si>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</si>
  <si>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</si>
  <si>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</si>
  <si>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</si>
  <si>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</si>
  <si>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</si>
  <si>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</si>
  <si>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</si>
  <si>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</si>
  <si>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</si>
  <si>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</si>
  <si>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</si>
  <si>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</si>
  <si>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</si>
  <si>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</si>
  <si>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</si>
  <si>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</si>
  <si>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</si>
  <si>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</si>
  <si>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</si>
  <si>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</si>
  <si>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</si>
  <si>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</si>
  <si>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</si>
  <si>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</si>
  <si>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</si>
  <si>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</si>
  <si>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</si>
  <si>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</si>
  <si>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</si>
  <si>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</si>
  <si>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</si>
  <si>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</si>
  <si>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</si>
  <si>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</si>
  <si>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</si>
  <si>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</si>
  <si>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</si>
  <si>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</si>
  <si>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</si>
  <si>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</si>
  <si>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</si>
  <si>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</si>
  <si>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</si>
  <si>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</si>
  <si>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</si>
  <si>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</si>
  <si>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</si>
  <si>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</si>
  <si>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</si>
  <si>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</si>
  <si>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</si>
  <si>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</si>
  <si>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</si>
  <si>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</si>
  <si>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</si>
  <si>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</si>
  <si>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</si>
  <si>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</si>
  <si>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</si>
  <si>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</si>
  <si>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</si>
  <si>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</si>
  <si>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</si>
  <si>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</si>
  <si>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</si>
  <si>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</si>
  <si>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</si>
  <si>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</si>
  <si>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</si>
  <si>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</si>
  <si>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</si>
  <si>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</si>
  <si>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</si>
  <si>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</si>
  <si>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</si>
  <si>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</si>
  <si>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</si>
  <si>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</si>
  <si>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</si>
  <si>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</si>
  <si>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</si>
  <si>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</si>
  <si>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</si>
  <si>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</si>
  <si>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</si>
  <si>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</si>
  <si>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</si>
  <si>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</si>
  <si>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</si>
  <si>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</si>
  <si>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</si>
  <si>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</si>
  <si>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</si>
  <si>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</si>
  <si>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</si>
  <si>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</si>
  <si>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</si>
  <si>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</si>
  <si>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</si>
  <si>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</si>
  <si>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</si>
  <si>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</si>
  <si>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</si>
  <si>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</si>
  <si>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</si>
  <si>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</si>
  <si>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</si>
  <si>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</si>
  <si>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</si>
  <si>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</si>
  <si>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</si>
  <si>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</si>
  <si>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</si>
  <si>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</si>
  <si>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</si>
  <si>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</si>
  <si>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</si>
  <si>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</si>
  <si>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</si>
  <si>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</si>
  <si>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</si>
  <si>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</si>
  <si>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</si>
  <si>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</si>
  <si>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</si>
  <si>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</si>
  <si>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</si>
  <si>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</si>
  <si>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</si>
  <si>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</si>
  <si>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</si>
  <si>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</si>
  <si>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</si>
  <si>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</si>
  <si>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</si>
  <si>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</si>
  <si>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</si>
  <si>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</si>
  <si>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</si>
  <si>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</si>
  <si>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</si>
  <si>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</si>
  <si>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</si>
  <si>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</si>
  <si>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</si>
  <si>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</si>
  <si>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</si>
  <si>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</si>
  <si>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</si>
  <si>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</si>
  <si>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</si>
  <si>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</si>
  <si>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</si>
  <si>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</si>
  <si>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</si>
  <si>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</si>
  <si>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</si>
  <si>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</si>
  <si>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</si>
  <si>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</si>
  <si>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</si>
  <si>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</si>
  <si>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</si>
  <si>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</si>
  <si>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</si>
  <si>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</si>
  <si>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</si>
  <si>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</si>
  <si>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</si>
  <si>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</si>
  <si>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</si>
  <si>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</si>
  <si>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</si>
  <si>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</si>
  <si>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</si>
  <si>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</si>
  <si>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</si>
  <si>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</si>
  <si>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</si>
  <si>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</si>
  <si>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</si>
  <si>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</si>
  <si>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</si>
  <si>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</si>
  <si>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</si>
  <si>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</si>
  <si>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</si>
  <si>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</si>
  <si>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</si>
  <si>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</si>
  <si>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</si>
  <si>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</si>
  <si>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</si>
  <si>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</si>
  <si>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</si>
  <si>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</si>
  <si>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</si>
  <si>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</si>
  <si>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</si>
  <si>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</si>
  <si>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</si>
  <si>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</si>
  <si>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</si>
  <si>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</si>
  <si>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</si>
  <si>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</si>
  <si>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</si>
  <si>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</si>
  <si>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</si>
  <si>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</si>
  <si>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</si>
  <si>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</si>
  <si>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</si>
  <si>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</si>
  <si>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</si>
  <si>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</si>
  <si>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</si>
  <si>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</si>
  <si>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</si>
  <si>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</si>
  <si>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</si>
  <si>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</si>
  <si>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</si>
  <si>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</si>
  <si>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</si>
  <si>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</si>
  <si>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</si>
  <si>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</si>
  <si>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</si>
  <si>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</si>
  <si>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</si>
  <si>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</si>
  <si>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</si>
  <si>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</si>
  <si>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</si>
  <si>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</si>
  <si>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</si>
  <si>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</si>
  <si>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</si>
  <si>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</si>
  <si>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</si>
  <si>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</si>
  <si>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</si>
  <si>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</si>
  <si>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</si>
  <si>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</si>
  <si>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</si>
  <si>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</si>
  <si>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</si>
  <si>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</si>
  <si>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</si>
  <si>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</si>
  <si>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</si>
  <si>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</si>
  <si>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</si>
  <si>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</si>
  <si>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</si>
  <si>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</si>
  <si>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</si>
  <si>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</si>
  <si>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</si>
  <si>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</si>
  <si>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</si>
  <si>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</si>
  <si>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</si>
  <si>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</si>
  <si>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</si>
  <si>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</si>
  <si>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</si>
  <si>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</si>
  <si>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</si>
  <si>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</si>
  <si>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</si>
  <si>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</si>
  <si>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</si>
  <si>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</si>
  <si>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</si>
  <si>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</si>
  <si>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</si>
  <si>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</si>
  <si>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</si>
  <si>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</si>
  <si>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</si>
  <si>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</si>
  <si>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</si>
  <si>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</si>
  <si>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</si>
  <si>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</si>
  <si>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</si>
  <si>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</si>
  <si>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</si>
  <si>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</si>
  <si>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</si>
  <si>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</si>
  <si>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</si>
  <si>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</si>
  <si>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</si>
  <si>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</si>
  <si>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</si>
  <si>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</si>
  <si>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</si>
  <si>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</si>
  <si>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</si>
  <si>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</si>
  <si>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</si>
  <si>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</si>
  <si>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</si>
  <si>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</si>
  <si>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</si>
  <si>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</si>
  <si>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</si>
  <si>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</si>
  <si>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</si>
  <si>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</si>
  <si>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</si>
  <si>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</si>
  <si>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</si>
  <si>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</si>
  <si>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</si>
  <si>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</si>
  <si>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</si>
  <si>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</si>
  <si>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</si>
  <si>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</si>
  <si>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</si>
  <si>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</si>
  <si>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</si>
  <si>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</si>
  <si>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</si>
  <si>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</si>
  <si>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</si>
  <si>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</si>
  <si>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</si>
  <si>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</si>
  <si>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</si>
  <si>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</si>
  <si>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</si>
  <si>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</si>
  <si>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</si>
  <si>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</si>
  <si>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</si>
  <si>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</si>
  <si>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</si>
  <si>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</si>
  <si>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</si>
  <si>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</si>
  <si>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</si>
  <si>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</si>
  <si>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</si>
  <si>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</si>
  <si>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</si>
  <si>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</si>
  <si>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</si>
  <si>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</si>
  <si>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</si>
  <si>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</si>
  <si>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</si>
  <si>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</si>
  <si>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</si>
  <si>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</si>
  <si>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</si>
  <si>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</si>
  <si>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</si>
  <si>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</si>
  <si>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</si>
  <si>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</si>
  <si>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</si>
  <si>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</si>
  <si>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</si>
  <si>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</si>
  <si>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</si>
  <si>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</si>
  <si>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</si>
  <si>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</si>
  <si>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</si>
  <si>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</si>
  <si>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</si>
  <si>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</si>
  <si>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</si>
  <si>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</si>
  <si>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</si>
  <si>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</si>
  <si>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</si>
  <si>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</si>
  <si>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</si>
  <si>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</si>
  <si>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</si>
  <si>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</si>
  <si>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</si>
  <si>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</si>
  <si>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</si>
  <si>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</si>
  <si>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</si>
  <si>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</si>
  <si>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</si>
  <si>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</si>
  <si>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</si>
  <si>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</si>
  <si>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</si>
  <si>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</si>
  <si>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</si>
  <si>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</si>
  <si>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</si>
  <si>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</si>
  <si>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</si>
  <si>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</si>
  <si>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</si>
  <si>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</si>
  <si>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</si>
  <si>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</si>
  <si>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</si>
  <si>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</si>
  <si>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</si>
  <si>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</si>
  <si>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</si>
  <si>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</si>
  <si>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</si>
  <si>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</si>
  <si>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</si>
  <si>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</si>
  <si>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</si>
  <si>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</si>
  <si>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</si>
  <si>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</si>
  <si>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</si>
  <si>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</si>
  <si>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</si>
  <si>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</si>
  <si>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</si>
  <si>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</si>
  <si>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</si>
  <si>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</si>
  <si>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</si>
  <si>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</si>
  <si>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</si>
  <si>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</si>
  <si>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</si>
  <si>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</si>
  <si>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</si>
  <si>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</si>
  <si>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</si>
  <si>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</si>
  <si>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</si>
  <si>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</si>
  <si>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</si>
  <si>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</si>
  <si>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</si>
  <si>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</si>
  <si>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</si>
  <si>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</si>
  <si>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</si>
  <si>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</si>
  <si>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</si>
  <si>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</si>
  <si>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</si>
  <si>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</si>
  <si>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</si>
  <si>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</si>
  <si>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</si>
  <si>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</si>
  <si>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</si>
  <si>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</si>
  <si>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</si>
  <si>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</si>
  <si>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</si>
  <si>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</si>
  <si>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</si>
  <si>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</si>
  <si>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</si>
  <si>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</si>
  <si>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</si>
  <si>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</si>
  <si>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</si>
  <si>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</si>
  <si>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</si>
  <si>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</si>
  <si>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</si>
  <si>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</si>
  <si>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</si>
  <si>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</si>
  <si>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</si>
  <si>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</si>
  <si>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</si>
  <si>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</si>
  <si>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</si>
  <si>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</si>
  <si>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</si>
  <si>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</si>
  <si>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</si>
  <si>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</si>
  <si>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</si>
  <si>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</si>
  <si>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</si>
  <si>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</si>
  <si>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</si>
  <si>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</si>
  <si>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</si>
  <si>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</si>
  <si>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</si>
  <si>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</si>
  <si>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</si>
  <si>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</si>
  <si>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</si>
  <si>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</si>
  <si>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</si>
  <si>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</si>
  <si>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</si>
  <si>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</si>
  <si>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</si>
  <si>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</si>
  <si>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</si>
  <si>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</si>
  <si>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</si>
  <si>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</si>
  <si>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</si>
  <si>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</si>
  <si>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</si>
  <si>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</si>
  <si>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</si>
  <si>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</si>
  <si>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</si>
  <si>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</si>
  <si>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</si>
  <si>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</si>
  <si>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</si>
  <si>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</si>
  <si>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</si>
  <si>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</si>
  <si>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</si>
  <si>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</si>
  <si>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</si>
  <si>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</si>
  <si>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</si>
  <si>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</si>
  <si>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</si>
  <si>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</si>
  <si>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</si>
  <si>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</si>
  <si>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</si>
  <si>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</si>
  <si>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</si>
  <si>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</si>
  <si>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</si>
  <si>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</si>
  <si>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</si>
  <si>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</si>
  <si>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</si>
  <si>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</si>
  <si>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</si>
  <si>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</si>
  <si>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</si>
  <si>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</si>
  <si>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</si>
  <si>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</si>
  <si>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</si>
  <si>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</si>
  <si>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</si>
  <si>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</si>
  <si>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</si>
  <si>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</si>
  <si>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</si>
  <si>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</si>
  <si>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</si>
  <si>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</si>
  <si>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</si>
  <si>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</si>
  <si>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</si>
  <si>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</si>
  <si>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</si>
  <si>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</si>
  <si>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</si>
  <si>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</si>
  <si>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</si>
  <si>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</si>
  <si>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</si>
  <si>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</si>
  <si>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</si>
  <si>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</si>
  <si>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</si>
  <si>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</si>
  <si>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</si>
  <si>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</si>
  <si>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</si>
  <si>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</si>
  <si>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</si>
  <si>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</si>
  <si>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</si>
  <si>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</si>
  <si>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</si>
  <si>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</si>
  <si>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</si>
  <si>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</si>
  <si>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</si>
  <si>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</si>
  <si>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</si>
  <si>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</si>
  <si>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</si>
  <si>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</si>
  <si>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</si>
  <si>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</si>
  <si>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</si>
  <si>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</si>
  <si>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</si>
  <si>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</si>
  <si>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</si>
  <si>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</si>
  <si>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</si>
  <si>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</si>
  <si>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</si>
  <si>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</si>
  <si>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</si>
  <si>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</si>
  <si>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</si>
  <si>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</si>
  <si>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</si>
  <si>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</si>
  <si>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</si>
  <si>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</si>
  <si>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</si>
  <si>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</si>
  <si>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</si>
  <si>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</si>
  <si>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</si>
  <si>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</si>
  <si>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</si>
  <si>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</si>
  <si>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</si>
  <si>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</si>
  <si>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</si>
  <si>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</si>
  <si>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</si>
  <si>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</si>
  <si>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</si>
  <si>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</si>
  <si>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</si>
  <si>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</si>
  <si>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</si>
  <si>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</si>
  <si>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</si>
  <si>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</si>
  <si>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</si>
  <si>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</si>
  <si>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</si>
  <si>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</si>
  <si>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</si>
  <si>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</si>
  <si>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</si>
  <si>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</si>
  <si>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</si>
  <si>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</si>
  <si>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</si>
  <si>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</si>
  <si>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</si>
  <si>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</si>
  <si>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</si>
  <si>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</si>
  <si>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</si>
  <si>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</si>
  <si>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</si>
  <si>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</si>
  <si>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</si>
  <si>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</si>
  <si>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</si>
  <si>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</si>
  <si>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</si>
  <si>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</si>
  <si>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</si>
  <si>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</si>
  <si>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</si>
  <si>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</si>
  <si>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</si>
  <si>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</si>
  <si>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</si>
  <si>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</si>
  <si>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</si>
  <si>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</si>
  <si>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</si>
  <si>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</si>
  <si>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</si>
  <si>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</si>
  <si>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</si>
  <si>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</si>
  <si>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</si>
  <si>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</si>
  <si>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</si>
  <si>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</si>
  <si>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</si>
  <si>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</si>
  <si>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</si>
  <si>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</si>
  <si>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</si>
  <si>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</si>
  <si>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</si>
  <si>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</si>
  <si>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</si>
  <si>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</si>
  <si>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</si>
  <si>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</si>
  <si>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</si>
  <si>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</si>
  <si>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</si>
  <si>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</si>
  <si>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</si>
  <si>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</si>
  <si>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</si>
  <si>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</si>
  <si>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</si>
  <si>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</si>
  <si>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</si>
  <si>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</si>
  <si>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</si>
  <si>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</si>
  <si>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</si>
  <si>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</si>
  <si>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</si>
  <si>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</si>
  <si>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</si>
  <si>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</si>
  <si>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</si>
  <si>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</si>
  <si>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</si>
  <si>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</si>
  <si>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</si>
  <si>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</si>
  <si>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</si>
  <si>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</si>
  <si>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</si>
  <si>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</si>
  <si>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</si>
  <si>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</si>
  <si>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</si>
  <si>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</si>
  <si>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</si>
  <si>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</si>
  <si>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</si>
  <si>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</si>
  <si>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</si>
  <si>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</si>
  <si>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</si>
  <si>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</si>
  <si>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</si>
  <si>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</si>
  <si>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</si>
  <si>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</si>
  <si>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</si>
  <si>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</si>
  <si>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</si>
  <si>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</si>
  <si>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</si>
  <si>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</si>
  <si>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</si>
  <si>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</si>
  <si>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</si>
  <si>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</si>
  <si>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</si>
  <si>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</si>
  <si>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</si>
  <si>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</si>
  <si>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</si>
  <si>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</si>
  <si>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</si>
  <si>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</si>
  <si>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</si>
  <si>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</si>
  <si>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</si>
  <si>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</si>
  <si>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</si>
  <si>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</si>
  <si>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</si>
  <si>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</si>
  <si>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</si>
  <si>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</si>
  <si>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</si>
  <si>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</si>
  <si>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</si>
  <si>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</si>
  <si>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</si>
  <si>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</si>
  <si>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</si>
  <si>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</si>
  <si>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</si>
  <si>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</si>
  <si>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</si>
  <si>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</si>
  <si>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</si>
  <si>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</si>
  <si>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</si>
  <si>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</si>
  <si>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</si>
  <si>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</si>
  <si>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</si>
  <si>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</si>
  <si>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</si>
  <si>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</si>
  <si>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</si>
  <si>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</si>
  <si>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</si>
  <si>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</si>
  <si>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</si>
  <si>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</si>
  <si>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</si>
  <si>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</si>
  <si>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</si>
  <si>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</si>
  <si>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</si>
  <si>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</si>
  <si>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</si>
  <si>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</si>
  <si>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</si>
  <si>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</si>
  <si>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</si>
  <si>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</si>
  <si>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</si>
  <si>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</si>
  <si>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</si>
  <si>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</si>
  <si>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</si>
  <si>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</si>
  <si>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</si>
  <si>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</si>
  <si>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</si>
  <si>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</si>
  <si>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</si>
  <si>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</si>
  <si>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</si>
  <si>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</si>
  <si>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</si>
  <si>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</si>
  <si>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</si>
  <si>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</si>
  <si>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</si>
  <si>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</si>
  <si>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</si>
  <si>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</si>
  <si>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</si>
  <si>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</si>
  <si>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</si>
  <si>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</si>
  <si>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</si>
  <si>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</si>
  <si>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</si>
  <si>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</si>
  <si>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</si>
  <si>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</si>
  <si>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</si>
  <si>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</si>
  <si>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</si>
  <si>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</si>
  <si>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</si>
  <si>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</si>
  <si>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</si>
  <si>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</si>
  <si>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</si>
  <si>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</si>
  <si>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</si>
  <si>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</si>
  <si>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</si>
  <si>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</si>
  <si>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</si>
  <si>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</si>
  <si>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</si>
  <si>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</si>
  <si>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</si>
  <si>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</si>
  <si>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</si>
  <si>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</si>
  <si>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</si>
  <si>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</si>
  <si>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</si>
  <si>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</si>
  <si>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</si>
  <si>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</si>
  <si>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</si>
  <si>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</si>
  <si>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</si>
  <si>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</si>
  <si>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</si>
  <si>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</si>
  <si>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</si>
  <si>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</si>
  <si>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</si>
  <si>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</si>
  <si>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</si>
  <si>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</si>
  <si>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</si>
  <si>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</si>
  <si>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</si>
  <si>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</si>
  <si>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</si>
  <si>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</si>
  <si>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</si>
  <si>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</si>
  <si>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</si>
  <si>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</si>
  <si>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</si>
  <si>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</si>
  <si>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</si>
  <si>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</si>
  <si>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</si>
  <si>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</si>
  <si>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</si>
  <si>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</si>
  <si>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</si>
  <si>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</si>
  <si>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</si>
  <si>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</si>
  <si>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</si>
  <si>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</si>
  <si>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</si>
  <si>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</si>
  <si>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</si>
  <si>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</si>
  <si>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</si>
  <si>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</si>
  <si>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</si>
  <si>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</si>
  <si>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</si>
  <si>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</si>
  <si>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</si>
  <si>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</si>
  <si>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</si>
  <si>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</si>
  <si>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</si>
  <si>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</si>
  <si>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</si>
  <si>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</si>
  <si>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</si>
  <si>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</si>
  <si>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</si>
  <si>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</si>
  <si>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</si>
  <si>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</si>
  <si>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</si>
  <si>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</si>
  <si>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</si>
  <si>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</si>
  <si>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</si>
  <si>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</si>
  <si>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</si>
  <si>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</si>
  <si>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</si>
  <si>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</si>
  <si>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</si>
  <si>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</si>
  <si>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</si>
  <si>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</si>
  <si>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</si>
  <si>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</si>
  <si>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</si>
  <si>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</si>
  <si>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</si>
  <si>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</si>
  <si>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</si>
  <si>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</si>
  <si>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</si>
  <si>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</si>
  <si>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</si>
  <si>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</si>
  <si>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</si>
  <si>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</si>
  <si>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</si>
  <si>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</si>
  <si>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</si>
  <si>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</si>
  <si>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</si>
  <si>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</si>
  <si>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</si>
  <si>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</si>
  <si>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</si>
  <si>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</si>
  <si>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</si>
  <si>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</si>
  <si>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</si>
  <si>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</si>
  <si>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</si>
  <si>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</si>
  <si>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</si>
  <si>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</si>
  <si>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</si>
  <si>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</si>
  <si>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</si>
  <si>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</si>
  <si>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</si>
  <si>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</si>
  <si>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</si>
  <si>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</si>
  <si>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</si>
  <si>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</si>
  <si>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</si>
  <si>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</si>
  <si>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</si>
  <si>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</si>
  <si>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</si>
  <si>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</si>
  <si>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</si>
  <si>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</si>
  <si>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</si>
  <si>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</si>
  <si>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</si>
  <si>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</si>
  <si>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</si>
  <si>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</si>
  <si>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</si>
  <si>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</si>
  <si>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</si>
  <si>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</si>
  <si>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</si>
  <si>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</si>
  <si>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</si>
  <si>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</si>
  <si>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</si>
  <si>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</si>
  <si>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</si>
  <si>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</si>
  <si>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</si>
  <si>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</si>
  <si>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</si>
  <si>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</si>
  <si>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</si>
  <si>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</si>
  <si>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</si>
  <si>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</si>
  <si>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</si>
  <si>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</si>
  <si>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</si>
  <si>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</si>
  <si>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</si>
  <si>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</si>
  <si>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</si>
  <si>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</si>
  <si>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</si>
  <si>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</si>
  <si>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</si>
  <si>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</si>
  <si>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</si>
  <si>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</si>
  <si>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</si>
  <si>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</si>
  <si>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</si>
  <si>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</si>
  <si>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</si>
  <si>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</si>
  <si>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</si>
  <si>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</si>
  <si>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</si>
  <si>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</si>
  <si>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</si>
  <si>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</si>
  <si>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</si>
  <si>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</si>
  <si>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</si>
  <si>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</si>
  <si>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</si>
  <si>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</si>
  <si>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</si>
  <si>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</si>
  <si>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</si>
  <si>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</si>
  <si>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</si>
  <si>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</si>
  <si>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</si>
  <si>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</si>
  <si>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</si>
  <si>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</si>
  <si>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</si>
  <si>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</si>
  <si>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</si>
  <si>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</si>
  <si>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</si>
  <si>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</si>
  <si>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</si>
  <si>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</si>
  <si>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</si>
  <si>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</si>
  <si>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</si>
  <si>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</si>
  <si>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</si>
  <si>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</si>
  <si>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</si>
  <si>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</si>
  <si>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</si>
  <si>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</si>
  <si>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</si>
  <si>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</si>
  <si>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</si>
  <si>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</si>
  <si>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</si>
  <si>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</si>
  <si>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</si>
  <si>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</si>
  <si>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</si>
  <si>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</si>
  <si>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</si>
  <si>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</si>
  <si>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</si>
  <si>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</si>
  <si>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</si>
  <si>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</si>
  <si>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</si>
  <si>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</si>
  <si>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</si>
  <si>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</si>
  <si>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</si>
  <si>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</si>
  <si>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</si>
  <si>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</si>
  <si>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</si>
  <si>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</si>
  <si>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</si>
  <si>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</si>
  <si>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</si>
  <si>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</si>
  <si>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</si>
  <si>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</si>
  <si>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</si>
  <si>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</si>
  <si>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</si>
  <si>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</si>
  <si>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</si>
  <si>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</si>
  <si>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</si>
  <si>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</si>
  <si>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</si>
  <si>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</si>
  <si>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</si>
  <si>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</si>
  <si>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</si>
  <si>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</si>
  <si>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</si>
  <si>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</si>
  <si>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</si>
  <si>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</si>
  <si>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</si>
  <si>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</si>
  <si>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</si>
  <si>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</si>
  <si>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</si>
  <si>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</si>
  <si>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</si>
  <si>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</si>
  <si>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</si>
  <si>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</si>
  <si>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</si>
  <si>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</si>
  <si>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</si>
  <si>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</si>
  <si>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</si>
  <si>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</si>
  <si>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</si>
  <si>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</si>
  <si>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</si>
  <si>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</si>
  <si>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</si>
  <si>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</si>
  <si>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</si>
  <si>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</si>
  <si>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</si>
  <si>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</si>
  <si>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</si>
  <si>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</si>
  <si>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</si>
  <si>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</si>
  <si>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</si>
  <si>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</si>
  <si>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</si>
  <si>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</si>
  <si>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</si>
  <si>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</si>
  <si>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</si>
  <si>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</si>
  <si>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</si>
  <si>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</si>
  <si>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</si>
  <si>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</si>
  <si>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</si>
  <si>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</si>
  <si>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</si>
  <si>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</si>
  <si>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</si>
  <si>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</si>
  <si>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</si>
  <si>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</si>
  <si>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</si>
  <si>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</si>
  <si>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</si>
  <si>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</si>
  <si>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</si>
  <si>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</si>
  <si>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</si>
  <si>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</si>
  <si>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</si>
  <si>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</si>
  <si>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</si>
  <si>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</si>
  <si>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</si>
  <si>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</si>
  <si>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</si>
  <si>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</si>
  <si>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</si>
  <si>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</si>
  <si>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</si>
  <si>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</si>
  <si>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</si>
  <si>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</si>
  <si>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</si>
  <si>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</si>
  <si>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</si>
  <si>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</si>
  <si>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</si>
  <si>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</si>
  <si>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</si>
  <si>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</si>
  <si>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</si>
  <si>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</si>
  <si>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</si>
  <si>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</si>
  <si>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</si>
  <si>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</si>
  <si>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</si>
  <si>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</si>
  <si>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</si>
  <si>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</si>
  <si>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</si>
  <si>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</si>
  <si>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</si>
  <si>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</si>
  <si>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</si>
  <si>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</si>
  <si>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</si>
  <si>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</si>
  <si>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</si>
  <si>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</si>
  <si>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</si>
  <si>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</si>
  <si>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</si>
  <si>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</si>
  <si>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</si>
  <si>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</si>
  <si>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</si>
  <si>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</si>
  <si>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</si>
  <si>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</si>
  <si>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</si>
  <si>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</si>
  <si>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</si>
  <si>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</si>
  <si>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</si>
  <si>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</si>
  <si>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</si>
  <si>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</si>
  <si>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</si>
  <si>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</si>
  <si>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</si>
  <si>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</si>
  <si>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</si>
  <si>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</si>
  <si>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</si>
  <si>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</si>
  <si>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</si>
  <si>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</si>
  <si>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</si>
  <si>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</si>
  <si>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</si>
  <si>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</si>
  <si>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</si>
  <si>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</si>
  <si>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</si>
  <si>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</si>
  <si>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</si>
  <si>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</si>
  <si>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</si>
  <si>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</si>
  <si>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</si>
  <si>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</si>
  <si>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</si>
  <si>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</si>
  <si>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</si>
  <si>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</si>
  <si>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</si>
  <si>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</si>
  <si>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</si>
  <si>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</si>
  <si>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</si>
  <si>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</si>
  <si>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</si>
  <si>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</si>
  <si>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</si>
  <si>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</si>
  <si>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</si>
  <si>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</si>
  <si>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</si>
  <si>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</si>
  <si>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</si>
  <si>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</si>
  <si>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</si>
  <si>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</si>
  <si>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</si>
  <si>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</si>
  <si>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</si>
  <si>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</si>
  <si>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</si>
  <si>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</si>
  <si>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</si>
  <si>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</si>
  <si>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</si>
  <si>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</si>
  <si>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</si>
  <si>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</si>
  <si>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</si>
  <si>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</si>
  <si>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</si>
  <si>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</si>
  <si>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</si>
  <si>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</si>
  <si>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</si>
  <si>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</si>
  <si>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</si>
  <si>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</si>
  <si>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</si>
  <si>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</si>
  <si>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</si>
  <si>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</si>
  <si>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</si>
  <si>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</si>
  <si>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</si>
  <si>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</si>
  <si>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</si>
  <si>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</si>
  <si>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</si>
  <si>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</si>
  <si>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</si>
  <si>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</si>
  <si>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</si>
  <si>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</si>
  <si>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</si>
  <si>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</si>
  <si>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</si>
  <si>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</si>
  <si>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</si>
  <si>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</si>
  <si>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</si>
  <si>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</si>
  <si>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</si>
  <si>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</si>
  <si>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</si>
  <si>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</si>
  <si>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</si>
  <si>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</si>
  <si>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</si>
  <si>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</si>
  <si>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</si>
  <si>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</si>
  <si>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</si>
  <si>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</si>
  <si>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</si>
  <si>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</si>
  <si>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</si>
  <si>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</si>
  <si>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</si>
  <si>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</si>
  <si>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</si>
  <si>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</si>
  <si>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</si>
  <si>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</si>
  <si>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</si>
  <si>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</si>
  <si>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</si>
  <si>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</si>
  <si>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</si>
  <si>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</si>
  <si>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</si>
  <si>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</si>
  <si>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</si>
  <si>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</si>
  <si>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</si>
  <si>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</si>
  <si>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</si>
  <si>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</si>
  <si>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</si>
  <si>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</si>
  <si>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</si>
  <si>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</si>
  <si>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</si>
  <si>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</si>
  <si>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</si>
  <si>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</si>
  <si>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</si>
  <si>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</si>
  <si>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</si>
  <si>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</si>
  <si>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</si>
  <si>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</si>
  <si>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</si>
  <si>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</si>
  <si>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</si>
  <si>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</si>
  <si>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</si>
  <si>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</si>
  <si>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</si>
  <si>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</si>
  <si>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</si>
  <si>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</si>
  <si>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</si>
  <si>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</si>
  <si>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</si>
  <si>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</si>
  <si>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</si>
  <si>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</si>
  <si>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</si>
  <si>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</si>
  <si>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</si>
  <si>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</si>
  <si>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</si>
  <si>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</si>
  <si>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</si>
  <si>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</si>
  <si>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</si>
  <si>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</si>
  <si>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</si>
  <si>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</si>
  <si>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</si>
  <si>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</si>
  <si>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</si>
  <si>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</si>
  <si>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</si>
  <si>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</si>
  <si>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</si>
  <si>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</si>
  <si>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</si>
  <si>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</si>
  <si>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</si>
  <si>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</si>
  <si>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</si>
  <si>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</si>
  <si>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</si>
  <si>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</si>
  <si>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</si>
  <si>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</si>
  <si>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</si>
  <si>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</si>
  <si>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</si>
  <si>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</si>
  <si>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</si>
  <si>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</si>
  <si>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</si>
  <si>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</si>
  <si>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</si>
  <si>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</si>
  <si>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</si>
  <si>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</si>
  <si>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</si>
  <si>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</si>
  <si>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</si>
  <si>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</si>
  <si>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</si>
  <si>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</si>
  <si>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</si>
  <si>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</si>
  <si>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</si>
  <si>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</si>
  <si>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</si>
  <si>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</si>
  <si>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</si>
  <si>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</si>
  <si>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</si>
  <si>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</si>
  <si>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</si>
  <si>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</si>
  <si>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</si>
  <si>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</si>
  <si>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</si>
  <si>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</si>
  <si>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</si>
  <si>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</si>
  <si>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</si>
  <si>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</si>
  <si>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</si>
  <si>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</si>
  <si>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</si>
  <si>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</si>
  <si>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</si>
  <si>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</si>
  <si>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</si>
  <si>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</si>
  <si>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</si>
  <si>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</si>
  <si>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</si>
  <si>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</si>
  <si>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</si>
  <si>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</si>
  <si>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</si>
  <si>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</si>
  <si>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</si>
  <si>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</si>
  <si>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</si>
  <si>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</si>
  <si>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</si>
  <si>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</si>
  <si>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</si>
  <si>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</si>
  <si>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</si>
  <si>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</si>
  <si>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</si>
  <si>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</si>
  <si>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</si>
  <si>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</si>
  <si>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</si>
  <si>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</si>
  <si>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</si>
  <si>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</si>
  <si>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</si>
  <si>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</si>
  <si>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</si>
  <si>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</si>
  <si>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</si>
  <si>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</si>
  <si>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</si>
  <si>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</si>
  <si>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</si>
  <si>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</si>
  <si>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</si>
  <si>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</si>
  <si>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</si>
  <si>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</si>
  <si>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</si>
  <si>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</si>
  <si>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</si>
  <si>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</si>
  <si>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</si>
  <si>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</si>
  <si>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</si>
  <si>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</si>
  <si>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</si>
  <si>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</si>
  <si>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</si>
  <si>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</si>
  <si>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</si>
  <si>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</si>
  <si>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</si>
  <si>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</si>
  <si>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</si>
  <si>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</si>
  <si>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</si>
  <si>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</si>
  <si>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</si>
  <si>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</si>
  <si>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</si>
  <si>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</si>
  <si>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</si>
  <si>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</si>
  <si>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</si>
  <si>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</si>
  <si>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</si>
  <si>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</si>
  <si>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</si>
  <si>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</si>
  <si>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</si>
  <si>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</si>
  <si>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</si>
  <si>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</si>
  <si>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</si>
  <si>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</si>
  <si>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</si>
  <si>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</si>
  <si>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</si>
  <si>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</si>
  <si>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</si>
  <si>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</si>
  <si>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</si>
  <si>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</si>
  <si>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</si>
  <si>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</si>
  <si>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</si>
  <si>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</si>
  <si>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</si>
  <si>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</si>
  <si>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</si>
  <si>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</si>
  <si>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</si>
  <si>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</si>
  <si>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</si>
  <si>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</si>
  <si>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</si>
  <si>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</si>
  <si>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</si>
  <si>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</si>
  <si>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</si>
  <si>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</si>
  <si>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</si>
  <si>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</si>
  <si>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</si>
  <si>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</si>
  <si>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</si>
  <si>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</si>
  <si>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</si>
  <si>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</si>
  <si>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</si>
  <si>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</si>
  <si>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</si>
  <si>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</si>
  <si>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</si>
  <si>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</si>
  <si>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</si>
  <si>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</si>
  <si>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</si>
  <si>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</si>
  <si>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</si>
  <si>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</si>
  <si>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</si>
  <si>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</si>
  <si>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</si>
  <si>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</si>
  <si>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</si>
  <si>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</si>
  <si>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</si>
  <si>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</si>
  <si>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</si>
  <si>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</si>
  <si>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</si>
  <si>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</si>
  <si>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</si>
  <si>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</si>
  <si>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</si>
  <si>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</si>
  <si>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</si>
  <si>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</si>
  <si>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</si>
  <si>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</si>
  <si>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</si>
  <si>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</si>
  <si>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</si>
  <si>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</si>
  <si>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</si>
  <si>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</si>
  <si>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</si>
  <si>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</si>
  <si>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</si>
  <si>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</si>
  <si>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</si>
  <si>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</si>
  <si>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</si>
  <si>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</si>
  <si>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</si>
  <si>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</si>
  <si>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</si>
  <si>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</si>
  <si>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</si>
  <si>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</si>
  <si>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</si>
  <si>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</si>
  <si>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</si>
  <si>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</si>
  <si>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</si>
  <si>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</si>
  <si>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</si>
  <si>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</si>
  <si>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</si>
  <si>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</si>
  <si>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</si>
  <si>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</si>
  <si>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</si>
  <si>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</si>
  <si>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</si>
  <si>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</si>
  <si>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</si>
  <si>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</si>
  <si>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</si>
  <si>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</si>
  <si>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</si>
  <si>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</si>
  <si>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</si>
  <si>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</si>
  <si>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</si>
  <si>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</si>
  <si>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</si>
  <si>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</si>
  <si>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</si>
  <si>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</si>
  <si>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</si>
  <si>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</si>
  <si>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</si>
  <si>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</si>
  <si>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</si>
  <si>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</si>
  <si>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</si>
  <si>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</si>
  <si>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</si>
  <si>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</si>
  <si>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</si>
  <si>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</si>
  <si>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</si>
  <si>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</si>
  <si>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</si>
  <si>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</si>
  <si>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</si>
  <si>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</si>
  <si>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</si>
  <si>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</si>
  <si>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</si>
  <si>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</si>
  <si>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</si>
  <si>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</si>
  <si>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</si>
  <si>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</si>
  <si>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</si>
  <si>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</si>
  <si>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</si>
  <si>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</si>
  <si>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</si>
  <si>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</si>
  <si>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</si>
  <si>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</si>
  <si>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</si>
  <si>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</si>
  <si>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</si>
  <si>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</si>
  <si>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</si>
  <si>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</si>
  <si>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</si>
  <si>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</si>
  <si>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</si>
  <si>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</si>
  <si>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</si>
  <si>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</si>
  <si>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</si>
  <si>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</si>
  <si>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</si>
  <si>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</si>
  <si>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</si>
  <si>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</si>
  <si>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</si>
  <si>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</si>
  <si>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</si>
  <si>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</si>
  <si>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</si>
  <si>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</si>
  <si>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</si>
  <si>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</si>
  <si>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</si>
  <si>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</si>
  <si>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</si>
  <si>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</si>
  <si>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</si>
  <si>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</si>
  <si>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</si>
  <si>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</si>
  <si>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</si>
  <si>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</si>
  <si>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</si>
  <si>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</si>
  <si>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</si>
  <si>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</si>
  <si>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</si>
  <si>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</si>
  <si>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</si>
  <si>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</si>
  <si>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</si>
  <si>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</si>
  <si>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</si>
  <si>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</si>
  <si>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</si>
  <si>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</si>
  <si>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</si>
  <si>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</si>
  <si>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</si>
  <si>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</si>
  <si>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</si>
  <si>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</si>
  <si>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</si>
  <si>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</si>
  <si>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</si>
  <si>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</si>
  <si>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</si>
  <si>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</si>
  <si>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</si>
  <si>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</si>
  <si>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</si>
  <si>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</si>
  <si>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</si>
  <si>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</si>
  <si>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</si>
  <si>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</si>
  <si>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</si>
  <si>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</si>
  <si>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</si>
  <si>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</si>
  <si>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</si>
  <si>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</si>
  <si>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</si>
  <si>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</si>
  <si>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</si>
  <si>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</si>
  <si>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</si>
  <si>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</si>
  <si>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</si>
  <si>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</si>
  <si>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</si>
  <si>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</si>
  <si>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</si>
  <si>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</si>
  <si>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</si>
  <si>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</si>
  <si>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</si>
  <si>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</si>
  <si>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</si>
  <si>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</si>
  <si>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</si>
  <si>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</si>
  <si>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</si>
  <si>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</si>
  <si>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</si>
  <si>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</si>
  <si>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</si>
  <si>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</si>
  <si>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</si>
  <si>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</si>
  <si>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</si>
  <si>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</si>
  <si>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</si>
  <si>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</si>
  <si>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</si>
  <si>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</si>
  <si>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</si>
  <si>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</si>
  <si>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</si>
  <si>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</si>
  <si>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</si>
  <si>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</si>
  <si>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</si>
  <si>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</si>
  <si>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</si>
  <si>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</si>
  <si>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</si>
  <si>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</si>
  <si>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</si>
  <si>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</si>
  <si>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</si>
  <si>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</si>
  <si>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</si>
  <si>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</si>
  <si>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</si>
  <si>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</si>
  <si>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</si>
  <si>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</si>
  <si>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</si>
  <si>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</si>
  <si>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</si>
  <si>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</si>
  <si>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</si>
  <si>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</si>
  <si>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</si>
  <si>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</si>
  <si>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</si>
  <si>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</si>
  <si>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</si>
  <si>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</si>
  <si>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</si>
  <si>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</si>
  <si>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</si>
  <si>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</si>
  <si>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</si>
  <si>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</si>
  <si>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</si>
  <si>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</si>
  <si>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</si>
  <si>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</si>
  <si>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</si>
  <si>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</si>
  <si>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</si>
  <si>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</si>
  <si>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</si>
  <si>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</si>
  <si>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</si>
  <si>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</si>
  <si>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</si>
  <si>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</si>
  <si>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</si>
  <si>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</si>
  <si>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</si>
  <si>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</si>
  <si>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</si>
  <si>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</si>
  <si>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</si>
  <si>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</si>
  <si>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</si>
  <si>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</si>
  <si>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</si>
  <si>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</si>
  <si>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</si>
  <si>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</si>
  <si>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</si>
  <si>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</si>
  <si>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</si>
  <si>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</si>
  <si>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</si>
  <si>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</si>
  <si>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</si>
  <si>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</si>
  <si>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</si>
  <si>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</si>
  <si>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</si>
  <si>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</si>
  <si>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</si>
  <si>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</si>
  <si>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</si>
  <si>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</si>
  <si>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</si>
  <si>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</si>
  <si>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</si>
  <si>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</si>
  <si>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</si>
  <si>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</si>
  <si>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</si>
  <si>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</si>
  <si>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</si>
  <si>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</si>
  <si>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</si>
  <si>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</si>
  <si>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</si>
  <si>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</si>
  <si>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</si>
  <si>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</si>
  <si>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</si>
  <si>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</si>
  <si>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</si>
  <si>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</si>
  <si>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</si>
  <si>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</si>
  <si>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</si>
  <si>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</si>
  <si>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</si>
  <si>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</si>
  <si>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</si>
  <si>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</si>
  <si>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</si>
  <si>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</si>
  <si>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</si>
  <si>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</si>
  <si>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</si>
  <si>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</si>
  <si>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</si>
  <si>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</si>
  <si>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</si>
  <si>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</si>
  <si>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</si>
  <si>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</si>
  <si>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</si>
  <si>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</si>
  <si>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</si>
  <si>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</si>
  <si>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</si>
  <si>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</si>
  <si>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</si>
  <si>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</si>
  <si>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</si>
  <si>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</si>
  <si>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</si>
  <si>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</si>
  <si>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</si>
  <si>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</si>
  <si>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</si>
  <si>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</si>
  <si>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</si>
  <si>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</si>
  <si>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</si>
  <si>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</si>
  <si>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</si>
  <si>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</si>
  <si>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</si>
  <si>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</si>
  <si>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</si>
  <si>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</si>
  <si>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</si>
  <si>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</si>
  <si>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</si>
  <si>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</si>
  <si>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</si>
  <si>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</si>
  <si>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</si>
  <si>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</si>
  <si>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</si>
  <si>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</si>
  <si>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</si>
  <si>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</si>
  <si>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</si>
  <si>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</si>
  <si>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</si>
  <si>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</si>
  <si>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</si>
  <si>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</si>
  <si>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</si>
  <si>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</si>
  <si>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</si>
  <si>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</si>
  <si>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</si>
  <si>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</si>
  <si>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</si>
  <si>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</si>
  <si>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</si>
  <si>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</si>
  <si>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</si>
  <si>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</si>
  <si>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</si>
  <si>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</si>
  <si>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</si>
  <si>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</si>
  <si>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</si>
  <si>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</si>
  <si>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</si>
  <si>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</si>
  <si>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</si>
  <si>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</si>
  <si>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</si>
  <si>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</si>
  <si>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</si>
  <si>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</si>
  <si>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</si>
  <si>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</si>
  <si>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</si>
  <si>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</si>
  <si>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</si>
  <si>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</si>
  <si>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</si>
  <si>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</si>
  <si>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</si>
  <si>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</si>
  <si>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</si>
  <si>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</si>
  <si>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</si>
  <si>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</si>
  <si>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</si>
  <si>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</si>
  <si>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</si>
  <si>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</si>
  <si>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</si>
  <si>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</si>
  <si>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</si>
  <si>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</si>
  <si>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</si>
  <si>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</si>
  <si>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</si>
  <si>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</si>
  <si>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</si>
  <si>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</si>
  <si>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</si>
  <si>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</si>
  <si>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</si>
  <si>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</si>
  <si>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</si>
  <si>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</si>
  <si>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</si>
  <si>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</si>
  <si>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</si>
  <si>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</si>
  <si>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</si>
  <si>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</si>
  <si>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</si>
  <si>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</si>
  <si>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</si>
  <si>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</si>
  <si>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</si>
  <si>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</si>
  <si>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</si>
  <si>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</si>
  <si>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</si>
  <si>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</si>
  <si>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</si>
  <si>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</si>
  <si>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</si>
  <si>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</si>
  <si>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</si>
  <si>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</si>
  <si>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</si>
  <si>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</si>
  <si>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</si>
  <si>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</si>
  <si>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</si>
  <si>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</si>
  <si>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</si>
  <si>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</si>
  <si>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</si>
  <si>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</si>
  <si>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</si>
  <si>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</si>
  <si>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</si>
  <si>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</si>
  <si>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</si>
  <si>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</si>
  <si>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</si>
  <si>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</si>
  <si>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</si>
  <si>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</si>
  <si>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</si>
  <si>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</si>
  <si>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</si>
  <si>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</si>
  <si>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</si>
  <si>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</si>
  <si>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</si>
  <si>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</si>
  <si>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</si>
  <si>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</si>
  <si>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</si>
  <si>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</si>
  <si>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</si>
  <si>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</si>
  <si>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</si>
  <si>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</si>
  <si>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</si>
  <si>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</si>
  <si>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</si>
  <si>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</si>
  <si>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</si>
  <si>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</si>
  <si>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</si>
  <si>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</si>
  <si>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</si>
  <si>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</si>
  <si>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</si>
  <si>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</si>
  <si>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</si>
  <si>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</si>
  <si>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</si>
  <si>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</si>
  <si>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</si>
  <si>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</si>
  <si>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</si>
  <si>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</si>
  <si>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</si>
  <si>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</si>
  <si>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</si>
  <si>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</si>
  <si>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</si>
  <si>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</si>
  <si>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</si>
  <si>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</si>
  <si>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</si>
  <si>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</si>
  <si>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</si>
  <si>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</si>
  <si>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</si>
  <si>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</si>
  <si>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</si>
  <si>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</si>
  <si>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</si>
  <si>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</si>
  <si>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</si>
  <si>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</si>
  <si>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</si>
  <si>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</si>
  <si>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</si>
  <si>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</si>
  <si>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</si>
  <si>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</si>
  <si>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</si>
  <si>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</si>
  <si>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</si>
  <si>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</si>
  <si>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</si>
  <si>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</si>
  <si>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</si>
  <si>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</si>
  <si>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</si>
  <si>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</si>
  <si>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</si>
  <si>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</si>
  <si>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</si>
  <si>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</si>
  <si>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</si>
  <si>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</si>
  <si>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</si>
  <si>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</si>
  <si>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</si>
  <si>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</si>
  <si>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</si>
  <si>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</si>
  <si>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</si>
  <si>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</si>
  <si>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</si>
  <si>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</si>
  <si>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</si>
  <si>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</si>
  <si>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</si>
  <si>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</si>
  <si>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</si>
  <si>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</si>
  <si>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</si>
  <si>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</si>
  <si>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</si>
  <si>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</si>
  <si>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</si>
  <si>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</si>
  <si>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</si>
  <si>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</si>
  <si>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</si>
  <si>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</si>
  <si>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</si>
  <si>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</si>
  <si>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</si>
  <si>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</si>
  <si>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</si>
  <si>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</si>
  <si>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</si>
  <si>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</si>
  <si>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</si>
  <si>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</si>
  <si>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</si>
  <si>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</si>
  <si>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</si>
  <si>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</si>
  <si>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</si>
  <si>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</si>
  <si>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</si>
  <si>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</si>
  <si>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</si>
  <si>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</si>
  <si>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</si>
  <si>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</si>
  <si>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</si>
  <si>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</si>
  <si>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</si>
  <si>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</si>
  <si>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</si>
  <si>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</si>
  <si>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</si>
  <si>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</si>
  <si>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</si>
  <si>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</si>
  <si>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</si>
  <si>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</si>
  <si>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</si>
  <si>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</si>
  <si>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</si>
  <si>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</si>
  <si>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</si>
  <si>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</si>
  <si>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</si>
  <si>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</si>
  <si>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</si>
  <si>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</si>
  <si>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</si>
  <si>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</si>
  <si>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</si>
  <si>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</si>
  <si>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</si>
  <si>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</si>
  <si>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</si>
  <si>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</si>
  <si>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</si>
  <si>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</si>
  <si>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</si>
  <si>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</si>
  <si>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</si>
  <si>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</si>
  <si>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</si>
  <si>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</si>
  <si>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</si>
  <si>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</si>
  <si>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</si>
  <si>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</si>
  <si>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</si>
  <si>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</si>
  <si>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</si>
  <si>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</si>
  <si>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</si>
  <si>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</si>
  <si>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</si>
  <si>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</si>
  <si>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</si>
  <si>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</si>
  <si>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</si>
  <si>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</si>
  <si>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</si>
  <si>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</si>
  <si>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</si>
  <si>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</si>
  <si>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</si>
  <si>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</si>
  <si>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</si>
  <si>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</si>
  <si>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</si>
  <si>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</si>
  <si>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</si>
  <si>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</si>
  <si>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</si>
  <si>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</si>
  <si>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</si>
  <si>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</si>
  <si>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</si>
  <si>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</si>
  <si>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</si>
  <si>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</si>
  <si>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</si>
  <si>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</si>
  <si>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</si>
  <si>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</si>
  <si>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</si>
  <si>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</si>
  <si>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</si>
  <si>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</si>
  <si>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</si>
  <si>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</si>
  <si>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</si>
  <si>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</si>
  <si>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</si>
  <si>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</si>
  <si>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</si>
  <si>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</si>
  <si>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</si>
  <si>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</si>
  <si>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</si>
  <si>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</si>
  <si>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</si>
  <si>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</si>
  <si>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</si>
  <si>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</si>
  <si>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</si>
  <si>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</si>
  <si>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</si>
  <si>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</si>
  <si>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</si>
  <si>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</si>
  <si>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</si>
  <si>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</si>
  <si>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</si>
  <si>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</si>
  <si>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</si>
  <si>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</si>
  <si>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</si>
  <si>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</si>
  <si>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</si>
  <si>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</si>
  <si>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</si>
  <si>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</si>
  <si>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</si>
  <si>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</si>
  <si>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</si>
  <si>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</si>
  <si>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</si>
  <si>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</si>
  <si>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</si>
  <si>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</si>
  <si>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</si>
  <si>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</si>
  <si>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</si>
  <si>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</si>
  <si>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</si>
  <si>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</si>
  <si>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</si>
  <si>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</si>
  <si>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</si>
  <si>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</si>
  <si>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</si>
  <si>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</si>
  <si>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</si>
  <si>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</si>
  <si>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</si>
  <si>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</si>
  <si>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</si>
  <si>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</si>
  <si>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</si>
  <si>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</si>
  <si>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</si>
  <si>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</si>
  <si>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</si>
  <si>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</si>
  <si>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</si>
  <si>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</si>
  <si>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</si>
  <si>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</si>
  <si>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</si>
  <si>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</si>
  <si>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</si>
  <si>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</si>
  <si>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</si>
  <si>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</si>
  <si>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</si>
  <si>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</si>
  <si>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</si>
  <si>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</si>
  <si>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</si>
  <si>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</si>
  <si>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</si>
  <si>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</si>
  <si>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</si>
  <si>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</si>
  <si>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</si>
  <si>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</si>
  <si>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</si>
  <si>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</si>
  <si>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</si>
  <si>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</si>
  <si>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</si>
  <si>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</si>
  <si>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</si>
  <si>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</si>
  <si>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</si>
  <si>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</si>
  <si>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</si>
  <si>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</si>
  <si>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</si>
  <si>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</si>
  <si>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</si>
  <si>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</si>
  <si>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</si>
  <si>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</si>
  <si>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</si>
  <si>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</si>
  <si>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</si>
  <si>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</si>
  <si>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</si>
  <si>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</si>
  <si>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</si>
  <si>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</si>
  <si>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</si>
  <si>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</si>
  <si>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</si>
  <si>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</si>
  <si>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</si>
  <si>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</si>
  <si>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</si>
  <si>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</si>
  <si>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</si>
  <si>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</si>
  <si>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</si>
  <si>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</si>
  <si>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</si>
  <si>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</si>
  <si>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</si>
  <si>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</si>
  <si>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</si>
  <si>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</si>
  <si>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</si>
  <si>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</si>
  <si>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</si>
  <si>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</si>
  <si>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</si>
  <si>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</si>
  <si>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</si>
  <si>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</si>
  <si>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</si>
  <si>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</si>
  <si>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</si>
  <si>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</si>
  <si>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</si>
  <si>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</si>
  <si>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</si>
  <si>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</si>
  <si>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</si>
  <si>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</si>
  <si>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</si>
  <si>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</si>
  <si>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</si>
  <si>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</si>
  <si>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</si>
  <si>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</si>
  <si>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</si>
  <si>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</si>
  <si>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</si>
  <si>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</si>
  <si>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</si>
  <si>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</si>
  <si>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</si>
  <si>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</si>
  <si>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</si>
  <si>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</si>
  <si>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</si>
  <si>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</si>
  <si>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</si>
  <si>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</si>
  <si>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</si>
  <si>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</si>
  <si>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</si>
  <si>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</si>
  <si>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</si>
  <si>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</si>
  <si>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</si>
  <si>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</si>
  <si>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</si>
  <si>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</si>
  <si>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</si>
  <si>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</si>
  <si>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</si>
  <si>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</si>
  <si>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</si>
  <si>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</si>
  <si>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</si>
  <si>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</si>
  <si>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</si>
  <si>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</si>
  <si>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</si>
  <si>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</si>
  <si>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</si>
  <si>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</si>
  <si>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</si>
  <si>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</si>
  <si>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</si>
  <si>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</si>
  <si>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</si>
  <si>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</si>
  <si>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</si>
  <si>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</si>
  <si>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</si>
  <si>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</si>
  <si>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</si>
  <si>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</si>
  <si>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</si>
  <si>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</si>
  <si>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</si>
  <si>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</si>
  <si>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</si>
  <si>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</si>
  <si>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</si>
  <si>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</si>
  <si>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</si>
  <si>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</si>
  <si>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</si>
  <si>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</si>
  <si>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</si>
  <si>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</si>
  <si>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</si>
  <si>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</si>
  <si>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</si>
  <si>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</si>
  <si>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</si>
  <si>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</si>
  <si>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</si>
  <si>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</si>
  <si>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</si>
  <si>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</si>
  <si>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</si>
  <si>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</si>
  <si>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</si>
  <si>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</si>
  <si>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</si>
  <si>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</si>
  <si>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</si>
  <si>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</si>
  <si>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</si>
  <si>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</si>
  <si>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</si>
  <si>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</si>
  <si>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</si>
  <si>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</si>
  <si>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</si>
  <si>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</si>
  <si>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</si>
  <si>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</si>
  <si>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</si>
  <si>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</si>
  <si>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</si>
  <si>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</si>
  <si>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</si>
  <si>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</si>
  <si>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</si>
  <si>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</si>
  <si>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</si>
  <si>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</si>
  <si>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</si>
  <si>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</si>
  <si>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</si>
  <si>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</si>
  <si>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</si>
  <si>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</si>
  <si>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</si>
  <si>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</si>
  <si>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</si>
  <si>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</si>
  <si>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</si>
  <si>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</si>
  <si>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</si>
  <si>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</si>
  <si>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</si>
  <si>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</si>
  <si>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</si>
  <si>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</si>
  <si>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</si>
  <si>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</si>
  <si>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</si>
  <si>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</si>
  <si>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</si>
  <si>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</si>
  <si>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</si>
  <si>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</si>
  <si>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</si>
  <si>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</si>
  <si>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</si>
  <si>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</si>
  <si>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</si>
  <si>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</si>
  <si>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</si>
  <si>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</si>
  <si>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</si>
  <si>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</si>
  <si>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</si>
  <si>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</si>
  <si>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</si>
  <si>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</si>
  <si>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</si>
  <si>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</si>
  <si>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</si>
  <si>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</si>
  <si>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</si>
  <si>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</si>
  <si>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</si>
  <si>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</si>
  <si>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</si>
  <si>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</si>
  <si>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</si>
  <si>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</si>
  <si>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</si>
  <si>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</si>
  <si>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</si>
  <si>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</si>
  <si>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</si>
  <si>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</si>
  <si>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</si>
  <si>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</si>
  <si>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</si>
  <si>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</si>
  <si>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</si>
  <si>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</si>
  <si>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</si>
  <si>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</si>
  <si>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</si>
  <si>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</si>
  <si>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</si>
  <si>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</si>
  <si>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</si>
  <si>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</si>
  <si>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</si>
  <si>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</si>
  <si>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</si>
  <si>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</si>
  <si>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</si>
  <si>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</si>
  <si>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</si>
  <si>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</si>
  <si>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</si>
  <si>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</si>
  <si>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</si>
  <si>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</si>
  <si>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</si>
  <si>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</si>
  <si>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</si>
  <si>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</si>
  <si>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</si>
  <si>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</si>
  <si>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</si>
  <si>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</si>
  <si>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</si>
  <si>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</si>
  <si>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</si>
  <si>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</si>
  <si>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</si>
  <si>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</si>
  <si>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</si>
  <si>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</si>
  <si>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</si>
  <si>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</si>
  <si>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</si>
  <si>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</si>
  <si>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</si>
  <si>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</si>
  <si>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</si>
  <si>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</si>
  <si>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</si>
  <si>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</si>
  <si>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</si>
  <si>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</si>
  <si>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</si>
  <si>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</si>
  <si>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</si>
  <si>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</si>
  <si>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</si>
  <si>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</si>
  <si>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</si>
  <si>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</si>
  <si>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</si>
  <si>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</si>
  <si>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</si>
  <si>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</si>
  <si>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</si>
  <si>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</si>
  <si>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</si>
  <si>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</si>
  <si>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</si>
  <si>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</si>
  <si>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</si>
  <si>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</si>
  <si>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</si>
  <si>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</si>
  <si>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</si>
  <si>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</si>
  <si>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</si>
  <si>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</si>
  <si>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</si>
  <si>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</si>
  <si>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</si>
  <si>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</si>
  <si>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</si>
  <si>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</si>
  <si>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</si>
  <si>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</si>
  <si>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</si>
  <si>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</si>
  <si>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</si>
  <si>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</si>
  <si>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</si>
  <si>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</si>
  <si>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</si>
  <si>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</si>
  <si>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</si>
  <si>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</si>
  <si>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</si>
  <si>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</si>
  <si>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</si>
  <si>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</si>
  <si>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</si>
  <si>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</si>
  <si>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</si>
  <si>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</si>
  <si>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</si>
  <si>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</si>
  <si>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</si>
  <si>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</si>
  <si>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</si>
  <si>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</si>
  <si>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</si>
  <si>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</si>
  <si>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</si>
  <si>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</si>
  <si>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</si>
  <si>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</si>
  <si>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</si>
  <si>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</si>
  <si>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</si>
  <si>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</si>
  <si>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</si>
  <si>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</si>
  <si>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</si>
  <si>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</si>
  <si>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</si>
  <si>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</si>
  <si>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</si>
  <si>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</si>
  <si>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</si>
  <si>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</si>
  <si>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</si>
  <si>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</si>
  <si>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</si>
  <si>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</si>
  <si>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</si>
  <si>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</si>
  <si>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</si>
  <si>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</si>
  <si>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</si>
  <si>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</si>
  <si>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</si>
  <si>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</si>
  <si>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</si>
  <si>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</si>
  <si>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</si>
  <si>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</si>
  <si>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</si>
  <si>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</si>
  <si>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</si>
  <si>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</si>
  <si>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</si>
  <si>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</si>
  <si>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</si>
  <si>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</si>
  <si>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</si>
  <si>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</si>
  <si>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</si>
  <si>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</si>
  <si>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</si>
  <si>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</si>
  <si>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</si>
  <si>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</si>
  <si>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</si>
  <si>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</si>
  <si>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</si>
  <si>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</si>
  <si>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</si>
  <si>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</si>
  <si>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</si>
  <si>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</si>
  <si>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</si>
  <si>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</si>
  <si>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</si>
  <si>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</si>
  <si>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</si>
  <si>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</si>
  <si>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</si>
  <si>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</si>
  <si>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</si>
  <si>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</si>
  <si>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</si>
  <si>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</si>
  <si>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</si>
  <si>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</si>
  <si>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</si>
  <si>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</si>
  <si>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</si>
  <si>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</si>
  <si>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</si>
  <si>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</si>
  <si>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</si>
  <si>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</si>
  <si>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</si>
  <si>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</si>
  <si>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</si>
  <si>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</si>
  <si>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</si>
  <si>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</si>
  <si>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</si>
  <si>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</si>
  <si>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</si>
  <si>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</si>
  <si>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</si>
  <si>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</si>
  <si>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</si>
  <si>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</si>
  <si>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</si>
  <si>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</si>
  <si>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</si>
  <si>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</si>
  <si>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</si>
  <si>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</si>
  <si>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</si>
  <si>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</si>
  <si>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</si>
  <si>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</si>
  <si>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</si>
  <si>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</si>
  <si>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</si>
  <si>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</si>
  <si>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</si>
  <si>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</si>
  <si>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</si>
  <si>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</si>
  <si>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</si>
  <si>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</si>
  <si>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</si>
  <si>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</si>
  <si>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</si>
  <si>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</si>
  <si>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</si>
  <si>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</si>
  <si>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</si>
  <si>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</si>
  <si>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</si>
  <si>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</si>
  <si>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</si>
  <si>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</si>
  <si>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</si>
  <si>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</si>
  <si>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</si>
  <si>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</si>
  <si>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</si>
  <si>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</si>
  <si>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</si>
  <si>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</si>
  <si>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</si>
  <si>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</si>
  <si>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</si>
  <si>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</si>
  <si>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</si>
  <si>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</si>
  <si>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</si>
  <si>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</si>
  <si>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</si>
  <si>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</si>
  <si>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</si>
  <si>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</si>
  <si>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</si>
  <si>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</si>
  <si>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</si>
  <si>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</si>
  <si>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</si>
  <si>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</si>
  <si>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</si>
  <si>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</si>
  <si>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</si>
  <si>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</si>
  <si>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</si>
  <si>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</si>
  <si>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</si>
  <si>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</si>
  <si>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</si>
  <si>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</si>
  <si>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</si>
  <si>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</si>
  <si>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</si>
  <si>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</si>
  <si>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</si>
  <si>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</si>
  <si>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</si>
  <si>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</si>
  <si>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</si>
  <si>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</si>
  <si>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</si>
  <si>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</si>
  <si>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</si>
  <si>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</si>
  <si>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</si>
  <si>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</si>
  <si>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</si>
  <si>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</si>
  <si>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</si>
  <si>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</si>
  <si>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</si>
  <si>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</si>
  <si>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</si>
  <si>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</si>
  <si>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</si>
  <si>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</si>
  <si>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</si>
  <si>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</si>
  <si>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</si>
  <si>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</si>
  <si>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</si>
  <si>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</si>
  <si>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</si>
  <si>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</si>
  <si>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</si>
  <si>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</si>
  <si>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</si>
  <si>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</si>
  <si>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</si>
  <si>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</si>
  <si>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</si>
  <si>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</si>
  <si>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</si>
  <si>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</si>
  <si>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</si>
  <si>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</si>
  <si>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</si>
  <si>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</si>
  <si>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</si>
  <si>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</si>
  <si>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</si>
  <si>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</si>
  <si>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</si>
  <si>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</si>
  <si>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</si>
  <si>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</si>
  <si>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</si>
  <si>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</si>
  <si>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</si>
  <si>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</si>
  <si>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</si>
  <si>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</si>
  <si>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</si>
  <si>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</si>
  <si>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</si>
  <si>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</si>
  <si>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</si>
  <si>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</si>
  <si>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</si>
  <si>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</si>
  <si>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</si>
  <si>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</si>
  <si>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</si>
  <si>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</si>
  <si>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</si>
  <si>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</si>
  <si>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</si>
  <si>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</si>
  <si>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</si>
  <si>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</si>
  <si>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</si>
  <si>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</si>
  <si>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</si>
  <si>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</si>
  <si>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</si>
  <si>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</si>
  <si>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</si>
  <si>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</si>
  <si>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</si>
  <si>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</si>
  <si>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</si>
  <si>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</si>
  <si>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</si>
  <si>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</si>
  <si>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</si>
  <si>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</si>
  <si>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</si>
  <si>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</si>
  <si>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</si>
  <si>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</si>
  <si>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</si>
  <si>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</si>
  <si>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</si>
  <si>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</si>
  <si>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</si>
  <si>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</si>
  <si>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</si>
  <si>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</si>
  <si>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</si>
  <si>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</si>
  <si>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</si>
  <si>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</si>
  <si>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</si>
  <si>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</si>
  <si>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</si>
  <si>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</si>
  <si>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</si>
  <si>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</si>
  <si>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</si>
  <si>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</si>
  <si>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</si>
  <si>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</si>
  <si>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</si>
  <si>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</si>
  <si>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</si>
  <si>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</si>
  <si>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</si>
  <si>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</si>
  <si>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</si>
  <si>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</si>
  <si>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</si>
  <si>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</si>
  <si>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</si>
  <si>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</si>
  <si>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</si>
  <si>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</si>
  <si>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</si>
  <si>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</si>
  <si>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</si>
  <si>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</si>
  <si>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</si>
  <si>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</si>
  <si>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</si>
  <si>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</si>
  <si>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</si>
  <si>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</si>
  <si>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</si>
  <si>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</si>
  <si>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</si>
  <si>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</si>
  <si>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</si>
  <si>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</si>
  <si>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</si>
  <si>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</si>
  <si>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</si>
  <si>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</si>
  <si>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</si>
  <si>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</si>
  <si>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</si>
  <si>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</si>
  <si>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</si>
  <si>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</si>
  <si>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</si>
  <si>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</si>
  <si>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</si>
  <si>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</si>
  <si>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</si>
  <si>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</si>
  <si>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</si>
  <si>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</si>
  <si>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</si>
  <si>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</si>
  <si>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</si>
  <si>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</si>
  <si>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</si>
  <si>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</si>
  <si>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</si>
  <si>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</si>
  <si>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</si>
  <si>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</si>
  <si>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</si>
  <si>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</si>
  <si>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</si>
  <si>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</si>
  <si>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</si>
  <si>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</si>
  <si>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</si>
  <si>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</si>
  <si>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</si>
  <si>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</si>
  <si>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</si>
  <si>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</si>
  <si>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</si>
  <si>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</si>
  <si>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</si>
  <si>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</si>
  <si>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</si>
  <si>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</si>
  <si>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</si>
  <si>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</si>
  <si>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</si>
  <si>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</si>
  <si>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</si>
  <si>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</si>
  <si>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</si>
  <si>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</si>
  <si>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</si>
  <si>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</si>
  <si>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</si>
  <si>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</si>
  <si>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</si>
  <si>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</si>
  <si>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</si>
  <si>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</si>
  <si>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</si>
  <si>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</si>
  <si>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</si>
  <si>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</si>
  <si>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</si>
  <si>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</si>
  <si>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</si>
  <si>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</si>
  <si>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</si>
  <si>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</si>
  <si>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</si>
  <si>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</si>
  <si>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</si>
  <si>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</si>
  <si>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</si>
  <si>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</si>
  <si>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</si>
  <si>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</si>
  <si>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</si>
  <si>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</si>
  <si>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</si>
  <si>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</si>
  <si>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</si>
  <si>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</si>
  <si>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</si>
  <si>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</si>
  <si>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</si>
  <si>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</si>
  <si>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</si>
  <si>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</si>
  <si>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</si>
  <si>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</si>
  <si>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</si>
  <si>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</si>
  <si>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</si>
  <si>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</si>
  <si>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</si>
  <si>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</si>
  <si>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</si>
  <si>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</si>
  <si>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</si>
  <si>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</si>
  <si>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</si>
  <si>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</si>
  <si>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</si>
  <si>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</si>
  <si>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</si>
  <si>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</si>
  <si>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</si>
  <si>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</si>
  <si>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</si>
  <si>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</si>
  <si>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</si>
  <si>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</si>
  <si>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</si>
  <si>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</si>
  <si>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</si>
  <si>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</si>
  <si>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</si>
  <si>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</si>
  <si>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</si>
  <si>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</si>
  <si>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</si>
  <si>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</si>
  <si>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</si>
  <si>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</si>
  <si>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</si>
  <si>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</si>
  <si>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</si>
  <si>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</si>
  <si>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</si>
  <si>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</si>
  <si>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</si>
  <si>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</si>
  <si>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</si>
  <si>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</si>
  <si>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</si>
  <si>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</si>
  <si>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</si>
  <si>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</si>
  <si>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</si>
  <si>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</si>
  <si>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</si>
  <si>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</si>
  <si>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</si>
  <si>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</si>
  <si>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</si>
  <si>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</si>
  <si>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</si>
  <si>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</si>
  <si>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</si>
  <si>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</si>
  <si>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</si>
  <si>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</si>
  <si>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</si>
  <si>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</si>
  <si>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</si>
  <si>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</si>
  <si>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</si>
  <si>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</si>
  <si>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</si>
  <si>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</si>
  <si>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</si>
  <si>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</si>
  <si>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</si>
  <si>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</si>
  <si>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</si>
  <si>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</si>
  <si>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</si>
  <si>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</si>
  <si>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</si>
  <si>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</si>
  <si>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</si>
  <si>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</si>
  <si>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</si>
  <si>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</si>
  <si>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</si>
  <si>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</si>
  <si>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</si>
  <si>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</si>
  <si>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</si>
  <si>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</si>
  <si>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</si>
  <si>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</si>
  <si>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</si>
  <si>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</si>
  <si>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</si>
  <si>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</si>
  <si>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</si>
  <si>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</si>
  <si>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</si>
  <si>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</si>
  <si>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</si>
  <si>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</si>
  <si>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</si>
  <si>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</si>
  <si>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</si>
  <si>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</si>
  <si>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</si>
  <si>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</si>
  <si>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</si>
  <si>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</si>
  <si>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</si>
  <si>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</si>
  <si>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</si>
  <si>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</si>
  <si>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</si>
  <si>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</si>
  <si>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</si>
  <si>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</si>
  <si>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</si>
  <si>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</si>
  <si>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</si>
  <si>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</si>
  <si>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</si>
  <si>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</si>
  <si>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</si>
  <si>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</si>
  <si>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</si>
  <si>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</si>
  <si>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</si>
  <si>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</si>
  <si>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</si>
  <si>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</si>
  <si>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</si>
  <si>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</si>
  <si>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</si>
  <si>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</si>
  <si>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</si>
  <si>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</si>
  <si>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</si>
  <si>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</si>
  <si>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</si>
  <si>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</si>
  <si>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</si>
  <si>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</si>
  <si>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</si>
  <si>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</si>
  <si>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</si>
  <si>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</si>
  <si>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</si>
  <si>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</si>
  <si>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</si>
  <si>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</si>
  <si>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</si>
  <si>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</si>
  <si>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</si>
  <si>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</si>
  <si>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</si>
  <si>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</si>
  <si>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</si>
  <si>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</si>
  <si>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</si>
  <si>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</si>
  <si>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</si>
  <si>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</si>
  <si>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</si>
  <si>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</si>
  <si>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</si>
  <si>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</si>
  <si>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</si>
  <si>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</si>
  <si>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</si>
  <si>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</si>
  <si>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</si>
  <si>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</si>
  <si>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</si>
  <si>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</si>
  <si>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</si>
  <si>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</si>
  <si>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</si>
  <si>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</si>
  <si>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</si>
  <si>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</si>
  <si>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</si>
  <si>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</si>
  <si>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</si>
  <si>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</si>
  <si>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</si>
  <si>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</si>
  <si>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</si>
  <si>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</si>
  <si>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</si>
  <si>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</si>
  <si>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</si>
  <si>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</si>
  <si>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</si>
  <si>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</si>
  <si>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</si>
  <si>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</si>
  <si>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</si>
  <si>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</si>
  <si>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</si>
  <si>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</si>
  <si>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</si>
  <si>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</si>
  <si>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</si>
  <si>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</si>
  <si>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</si>
  <si>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</si>
  <si>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</si>
  <si>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</si>
  <si>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</si>
  <si>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</si>
  <si>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</si>
  <si>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</si>
  <si>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</si>
  <si>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</si>
  <si>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</si>
  <si>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</si>
  <si>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</si>
  <si>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</si>
  <si>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</si>
  <si>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</si>
  <si>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</si>
  <si>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</si>
  <si>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</si>
  <si>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</si>
  <si>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</si>
  <si>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</si>
  <si>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</si>
  <si>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</si>
  <si>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</si>
  <si>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</si>
  <si>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</si>
  <si>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</si>
  <si>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</si>
  <si>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</si>
  <si>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</si>
  <si>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</si>
  <si>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</si>
  <si>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</si>
  <si>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</si>
  <si>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</si>
  <si>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</si>
  <si>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</si>
  <si>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</si>
  <si>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</si>
  <si>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</si>
  <si>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</si>
  <si>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</si>
  <si>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</si>
  <si>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</si>
  <si>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</si>
  <si>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</si>
  <si>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</si>
  <si>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</si>
  <si>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</si>
  <si>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</si>
  <si>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</si>
  <si>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</si>
  <si>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</si>
  <si>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</si>
  <si>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</si>
  <si>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</si>
  <si>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</si>
  <si>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</si>
  <si>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</si>
  <si>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</si>
  <si>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</si>
  <si>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</si>
  <si>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</si>
  <si>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</si>
  <si>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</si>
  <si>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</si>
  <si>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</si>
  <si>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</si>
  <si>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</si>
  <si>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</si>
  <si>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</si>
  <si>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</si>
  <si>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</si>
  <si>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</si>
  <si>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</si>
  <si>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</si>
  <si>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</si>
  <si>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</si>
  <si>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</si>
  <si>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</si>
  <si>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</si>
  <si>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</si>
  <si>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</si>
  <si>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</si>
  <si>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</si>
  <si>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</si>
  <si>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</si>
  <si>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</si>
  <si>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</si>
  <si>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</si>
  <si>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</si>
  <si>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</si>
  <si>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</si>
  <si>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</si>
  <si>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</si>
  <si>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</si>
  <si>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</si>
  <si>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</si>
  <si>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</si>
  <si>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</si>
  <si>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</si>
  <si>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</si>
  <si>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</si>
  <si>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</si>
  <si>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</si>
  <si>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</si>
  <si>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</si>
  <si>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</si>
  <si>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</si>
  <si>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</si>
  <si>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</si>
  <si>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</si>
  <si>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</si>
  <si>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</si>
  <si>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</si>
  <si>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</si>
  <si>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</si>
  <si>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</si>
  <si>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</si>
  <si>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</si>
  <si>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</si>
  <si>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</si>
  <si>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</si>
  <si>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</si>
  <si>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</si>
  <si>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</si>
  <si>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</si>
  <si>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</si>
  <si>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</si>
  <si>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</si>
  <si>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</si>
  <si>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</si>
  <si>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</si>
  <si>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</si>
  <si>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</si>
  <si>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</si>
  <si>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</si>
  <si>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</si>
  <si>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</si>
  <si>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</si>
  <si>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</si>
  <si>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</si>
  <si>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</si>
  <si>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</si>
  <si>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</si>
  <si>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</si>
  <si>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</si>
  <si>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</si>
  <si>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</si>
  <si>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</si>
  <si>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</si>
  <si>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</si>
  <si>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</si>
  <si>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</si>
  <si>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</si>
  <si>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</si>
  <si>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</si>
  <si>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</si>
  <si>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</si>
  <si>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</si>
  <si>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</si>
  <si>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</si>
  <si>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</si>
  <si>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</si>
  <si>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</si>
  <si>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</si>
  <si>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</si>
  <si>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</si>
  <si>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</si>
  <si>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</si>
  <si>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</si>
  <si>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</si>
  <si>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</si>
  <si>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</si>
  <si>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</si>
  <si>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</si>
  <si>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</si>
  <si>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</si>
  <si>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</si>
  <si>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</si>
  <si>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</si>
  <si>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</si>
  <si>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</si>
  <si>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</si>
  <si>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</si>
  <si>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</si>
  <si>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</si>
  <si>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</si>
  <si>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</si>
  <si>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</si>
  <si>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</si>
  <si>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</si>
  <si>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</si>
  <si>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</si>
  <si>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</si>
  <si>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</si>
  <si>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</si>
  <si>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</si>
  <si>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</si>
  <si>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</si>
  <si>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</si>
  <si>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</si>
  <si>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</si>
  <si>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</si>
  <si>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</si>
  <si>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</si>
  <si>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</si>
  <si>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</si>
  <si>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</si>
  <si>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</si>
  <si>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</si>
  <si>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</si>
  <si>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</si>
  <si>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</si>
  <si>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</si>
  <si>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</si>
  <si>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</si>
  <si>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</si>
  <si>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</si>
  <si>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</si>
  <si>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</si>
  <si>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</si>
  <si>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</si>
  <si>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</si>
  <si>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</si>
  <si>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</si>
  <si>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</si>
  <si>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</si>
  <si>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</si>
  <si>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</si>
  <si>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</si>
  <si>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</si>
  <si>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</si>
  <si>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</si>
  <si>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</si>
  <si>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</si>
  <si>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</si>
  <si>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</si>
  <si>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</si>
  <si>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</si>
  <si>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</si>
  <si>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</si>
  <si>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</si>
  <si>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</si>
  <si>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</si>
  <si>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</si>
  <si>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</si>
  <si>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</si>
  <si>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</si>
  <si>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</si>
  <si>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</si>
  <si>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</si>
  <si>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</si>
  <si>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</si>
  <si>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</si>
  <si>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</si>
  <si>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</si>
  <si>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</si>
  <si>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</si>
  <si>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</si>
  <si>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</si>
  <si>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</si>
  <si>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</si>
  <si>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</si>
  <si>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</si>
  <si>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</si>
  <si>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</si>
  <si>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</si>
  <si>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</si>
  <si>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</si>
  <si>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</si>
  <si>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</si>
  <si>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</si>
  <si>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</si>
  <si>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</si>
  <si>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</si>
  <si>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</si>
  <si>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</si>
  <si>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</si>
  <si>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</si>
  <si>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</si>
  <si>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</si>
  <si>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</si>
  <si>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</si>
  <si>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</si>
  <si>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</si>
  <si>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</si>
  <si>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</si>
  <si>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</si>
  <si>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</si>
  <si>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</si>
  <si>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</si>
  <si>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</si>
  <si>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</si>
  <si>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</si>
  <si>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</si>
  <si>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</si>
  <si>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</si>
  <si>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</si>
  <si>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</si>
  <si>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</si>
  <si>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</si>
  <si>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</si>
  <si>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</si>
  <si>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</si>
  <si>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</si>
  <si>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</si>
  <si>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</si>
  <si>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</si>
  <si>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</si>
  <si>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</si>
  <si>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</si>
  <si>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</si>
  <si>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</si>
  <si>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</si>
  <si>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</si>
  <si>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</si>
  <si>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</si>
  <si>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</si>
  <si>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</si>
  <si>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</si>
  <si>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</si>
  <si>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</si>
  <si>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</si>
  <si>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</si>
  <si>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</si>
  <si>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</si>
  <si>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</si>
  <si>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</si>
  <si>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</si>
  <si>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</si>
  <si>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</si>
  <si>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</si>
  <si>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</si>
  <si>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</si>
  <si>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</si>
  <si>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</si>
  <si>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</si>
  <si>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</si>
  <si>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</si>
  <si>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</si>
  <si>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</si>
  <si>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</si>
  <si>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</si>
  <si>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</si>
  <si>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</si>
  <si>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</si>
  <si>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</si>
  <si>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</si>
  <si>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</si>
  <si>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</si>
  <si>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</si>
  <si>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</si>
  <si>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</si>
  <si>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</si>
  <si>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</si>
  <si>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</si>
  <si>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</si>
  <si>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</si>
  <si>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</si>
  <si>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</si>
  <si>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</si>
  <si>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</si>
  <si>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</si>
  <si>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</si>
  <si>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</si>
  <si>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</si>
  <si>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</si>
  <si>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</si>
  <si>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</si>
  <si>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</si>
  <si>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</si>
  <si>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</si>
  <si>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</si>
  <si>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</si>
  <si>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</si>
  <si>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</si>
  <si>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</si>
  <si>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</si>
  <si>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</si>
  <si>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</si>
  <si>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</si>
  <si>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</si>
  <si>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</si>
  <si>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</si>
  <si>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</si>
  <si>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</si>
  <si>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</si>
  <si>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</si>
  <si>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</si>
  <si>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</si>
  <si>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</si>
  <si>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</si>
  <si>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</si>
  <si>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</si>
  <si>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</si>
  <si>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</si>
  <si>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</si>
  <si>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</si>
  <si>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</si>
  <si>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</si>
  <si>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</si>
  <si>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</si>
  <si>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</si>
  <si>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</si>
  <si>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</si>
  <si>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</si>
  <si>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</si>
  <si>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</si>
  <si>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</si>
  <si>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</si>
  <si>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</si>
  <si>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</si>
  <si>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</si>
  <si>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</si>
  <si>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</si>
  <si>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</si>
  <si>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</si>
  <si>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</si>
  <si>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</si>
  <si>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</si>
  <si>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</si>
  <si>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</si>
  <si>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</si>
  <si>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</si>
  <si>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</si>
  <si>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</si>
  <si>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</si>
  <si>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</si>
  <si>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</si>
  <si>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</si>
  <si>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</si>
  <si>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</si>
  <si>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</si>
  <si>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</si>
  <si>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</si>
  <si>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</si>
  <si>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</si>
  <si>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</si>
  <si>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</si>
  <si>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</si>
  <si>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</si>
  <si>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</si>
  <si>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</si>
  <si>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</si>
  <si>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</si>
  <si>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</si>
  <si>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</si>
  <si>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</si>
  <si>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</si>
  <si>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</si>
  <si>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</si>
  <si>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</si>
  <si>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</si>
  <si>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</si>
  <si>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</si>
  <si>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</si>
  <si>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</si>
  <si>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</si>
  <si>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</si>
  <si>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</si>
  <si>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</si>
  <si>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</si>
  <si>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</si>
  <si>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</si>
  <si>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</si>
  <si>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</si>
  <si>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</si>
  <si>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</si>
  <si>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</si>
  <si>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</si>
  <si>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</si>
  <si>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</si>
  <si>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</si>
  <si>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</si>
  <si>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</si>
  <si>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</si>
  <si>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</si>
  <si>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</si>
  <si>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</si>
  <si>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</si>
  <si>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</si>
  <si>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</si>
  <si>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</si>
  <si>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</si>
  <si>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</si>
  <si>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</si>
  <si>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</si>
  <si>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</si>
  <si>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</si>
  <si>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</si>
  <si>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</si>
  <si>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</si>
  <si>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</si>
  <si>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</si>
  <si>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</si>
  <si>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</si>
  <si>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</si>
  <si>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</si>
  <si>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</si>
  <si>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</si>
  <si>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</si>
  <si>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</si>
  <si>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</si>
  <si>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</si>
  <si>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</si>
  <si>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</si>
  <si>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</si>
  <si>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</si>
  <si>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</si>
  <si>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</si>
  <si>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</si>
  <si>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</si>
  <si>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</si>
  <si>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</si>
  <si>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</si>
  <si>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</si>
  <si>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</si>
  <si>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</si>
  <si>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</si>
  <si>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</si>
  <si>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</si>
  <si>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</si>
  <si>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</si>
  <si>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</si>
  <si>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</si>
  <si>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</si>
  <si>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</si>
  <si>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</si>
  <si>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</si>
  <si>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</si>
  <si>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</si>
  <si>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</si>
  <si>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</si>
  <si>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</si>
  <si>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</si>
  <si>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</si>
  <si>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</si>
  <si>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</si>
  <si>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</si>
  <si>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</si>
  <si>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</si>
  <si>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</si>
  <si>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</si>
  <si>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</si>
  <si>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</si>
  <si>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</si>
  <si>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</si>
  <si>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</si>
  <si>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</si>
  <si>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</si>
  <si>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</si>
  <si>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</si>
  <si>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</si>
  <si>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</si>
  <si>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</si>
  <si>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</si>
  <si>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</si>
  <si>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</si>
  <si>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</si>
  <si>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</si>
  <si>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</si>
  <si>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</si>
  <si>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</si>
  <si>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</si>
  <si>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</si>
  <si>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</si>
  <si>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</si>
  <si>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</si>
  <si>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</si>
  <si>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</si>
  <si>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</si>
  <si>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</si>
  <si>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</si>
  <si>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</si>
  <si>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</si>
  <si>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</si>
  <si>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</si>
  <si>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</si>
  <si>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</si>
  <si>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</si>
  <si>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</si>
  <si>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</si>
  <si>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</si>
  <si>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</si>
  <si>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</si>
  <si>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</si>
  <si>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</si>
  <si>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</si>
  <si>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</si>
  <si>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</si>
  <si>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</si>
  <si>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</si>
  <si>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</si>
  <si>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</si>
  <si>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</si>
  <si>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</si>
  <si>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</si>
  <si>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</si>
  <si>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</si>
  <si>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</si>
  <si>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</si>
  <si>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</si>
  <si>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</si>
  <si>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</si>
  <si>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</si>
  <si>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</si>
  <si>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</si>
  <si>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</si>
  <si>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</si>
  <si>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</si>
  <si>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</si>
  <si>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</si>
  <si>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</si>
  <si>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</si>
  <si>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</si>
  <si>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</si>
  <si>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</si>
  <si>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</si>
  <si>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</si>
  <si>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</si>
  <si>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</si>
  <si>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</si>
  <si>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</si>
  <si>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</si>
  <si>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</si>
  <si>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</si>
  <si>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</si>
  <si>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</si>
  <si>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</si>
  <si>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</si>
  <si>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</si>
  <si>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</si>
  <si>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</si>
  <si>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</si>
  <si>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</si>
  <si>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</si>
  <si>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</si>
  <si>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</si>
  <si>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</si>
  <si>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</si>
  <si>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</si>
  <si>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</si>
  <si>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</si>
  <si>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</si>
  <si>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</si>
  <si>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</si>
  <si>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</si>
  <si>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</si>
  <si>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</si>
  <si>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</si>
  <si>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</si>
  <si>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</si>
  <si>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</si>
  <si>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</si>
  <si>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</si>
  <si>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</si>
  <si>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</si>
  <si>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</si>
  <si>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</si>
  <si>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</si>
  <si>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</si>
  <si>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</si>
  <si>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</si>
  <si>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</si>
  <si>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</si>
  <si>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</si>
  <si>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</si>
  <si>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</si>
  <si>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</si>
  <si>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</si>
  <si>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</si>
  <si>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</si>
  <si>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</si>
  <si>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</si>
  <si>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</si>
  <si>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</si>
  <si>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</si>
  <si>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</si>
  <si>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</si>
  <si>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</si>
  <si>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</si>
  <si>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</si>
  <si>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</si>
  <si>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</si>
  <si>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</si>
  <si>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</si>
  <si>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</si>
  <si>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</si>
  <si>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</si>
  <si>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</si>
  <si>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</si>
  <si>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</si>
  <si>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</si>
  <si>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</si>
  <si>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</si>
  <si>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</si>
  <si>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</si>
  <si>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</si>
  <si>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</si>
  <si>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</si>
  <si>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</si>
  <si>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</si>
  <si>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</si>
  <si>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</si>
  <si>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</si>
  <si>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</si>
  <si>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</si>
  <si>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</si>
  <si>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</si>
  <si>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</si>
  <si>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</si>
  <si>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</si>
  <si>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</si>
  <si>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</si>
  <si>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</si>
  <si>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</si>
  <si>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</si>
  <si>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</si>
  <si>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</si>
  <si>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</si>
  <si>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</si>
  <si>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</si>
  <si>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</si>
  <si>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</si>
  <si>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</si>
  <si>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</si>
  <si>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</si>
  <si>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</si>
  <si>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</si>
  <si>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</si>
  <si>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</si>
  <si>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</si>
  <si>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</si>
  <si>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</si>
  <si>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</si>
  <si>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</si>
  <si>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</si>
  <si>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</si>
  <si>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</si>
  <si>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</si>
  <si>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</si>
  <si>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</si>
  <si>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</si>
  <si>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</si>
  <si>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</si>
  <si>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</si>
  <si>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</si>
  <si>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</si>
  <si>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</si>
  <si>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</si>
  <si>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</si>
  <si>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</si>
  <si>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</si>
  <si>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</si>
  <si>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</si>
  <si>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</si>
  <si>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</si>
  <si>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</si>
  <si>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</si>
  <si>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</si>
  <si>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</si>
  <si>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</si>
  <si>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</si>
  <si>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</si>
  <si>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</si>
  <si>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</si>
  <si>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</si>
  <si>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</si>
  <si>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</si>
  <si>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</si>
  <si>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</si>
  <si>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</si>
  <si>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</si>
  <si>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</si>
  <si>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</si>
  <si>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</si>
  <si>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</si>
  <si>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</si>
  <si>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</si>
  <si>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</si>
  <si>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</si>
  <si>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</si>
  <si>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</si>
  <si>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</si>
  <si>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</si>
  <si>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</si>
  <si>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</si>
  <si>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</si>
  <si>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</si>
  <si>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</si>
  <si>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</si>
  <si>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</si>
  <si>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</si>
  <si>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</si>
  <si>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</si>
  <si>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</si>
  <si>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</si>
  <si>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</si>
  <si>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</si>
  <si>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</si>
  <si>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</si>
  <si>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</si>
  <si>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</si>
  <si>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</si>
  <si>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</si>
  <si>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</si>
  <si>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</si>
  <si>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</si>
  <si>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</si>
  <si>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</si>
  <si>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</si>
  <si>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</si>
  <si>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</si>
  <si>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</si>
  <si>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</si>
  <si>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</si>
  <si>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</si>
  <si>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</si>
  <si>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</si>
  <si>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</si>
  <si>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</si>
  <si>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</si>
  <si>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</si>
  <si>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</si>
  <si>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</si>
  <si>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</si>
  <si>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</si>
  <si>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</si>
  <si>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</si>
  <si>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</si>
  <si>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</si>
  <si>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</si>
  <si>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</si>
  <si>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</si>
  <si>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</si>
  <si>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</si>
  <si>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</si>
  <si>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</si>
  <si>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</si>
  <si>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</si>
  <si>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</si>
  <si>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</si>
  <si>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</si>
  <si>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</si>
  <si>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</si>
  <si>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</si>
  <si>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</si>
  <si>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</si>
  <si>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</si>
  <si>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</si>
  <si>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</si>
  <si>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</si>
  <si>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</si>
  <si>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</si>
  <si>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</si>
  <si>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</si>
  <si>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</si>
  <si>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</si>
  <si>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</si>
  <si>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</si>
  <si>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</si>
  <si>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</si>
  <si>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</si>
  <si>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</si>
  <si>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</si>
  <si>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</si>
  <si>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</si>
  <si>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</si>
  <si>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</si>
  <si>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</si>
  <si>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</si>
  <si>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</si>
  <si>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</si>
  <si>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</si>
  <si>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</si>
  <si>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</si>
  <si>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</si>
  <si>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</si>
  <si>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</si>
  <si>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</si>
  <si>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</si>
  <si>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</si>
  <si>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</si>
  <si>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</si>
  <si>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</si>
  <si>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</si>
  <si>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</si>
  <si>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</si>
  <si>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</si>
  <si>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</si>
  <si>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</si>
  <si>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</si>
  <si>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</si>
  <si>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</si>
  <si>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</si>
  <si>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</si>
  <si>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</si>
  <si>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</si>
  <si>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</si>
  <si>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</si>
  <si>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</si>
  <si>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</si>
  <si>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</si>
  <si>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</si>
  <si>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</si>
  <si>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</si>
  <si>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</si>
  <si>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</si>
  <si>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</si>
  <si>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</si>
  <si>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</si>
  <si>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</si>
  <si>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</si>
  <si>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</si>
  <si>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</si>
  <si>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</si>
  <si>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</si>
  <si>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</si>
  <si>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</si>
  <si>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</si>
  <si>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</si>
  <si>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</si>
  <si>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</si>
  <si>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</si>
  <si>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</si>
  <si>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</si>
  <si>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</si>
  <si>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</si>
  <si>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</si>
  <si>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</si>
  <si>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</si>
  <si>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</si>
  <si>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</si>
  <si>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</si>
  <si>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</si>
  <si>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</si>
  <si>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</si>
  <si>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</si>
  <si>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</si>
  <si>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</si>
  <si>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</si>
  <si>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</si>
  <si>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</si>
  <si>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</si>
  <si>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</si>
  <si>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</si>
  <si>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</si>
  <si>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</si>
  <si>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</si>
  <si>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</si>
  <si>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</si>
  <si>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</si>
  <si>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</si>
  <si>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</si>
  <si>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</si>
  <si>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</si>
  <si>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</si>
  <si>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</si>
  <si>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</si>
  <si>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</si>
  <si>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</si>
  <si>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</si>
  <si>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</si>
  <si>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</si>
  <si>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</si>
  <si>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</si>
  <si>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</si>
  <si>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</si>
  <si>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</si>
  <si>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</si>
  <si>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</si>
  <si>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</si>
  <si>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</si>
  <si>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</si>
  <si>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</si>
  <si>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</si>
  <si>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</si>
  <si>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</si>
  <si>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</si>
  <si>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</si>
  <si>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</si>
  <si>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</si>
  <si>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</si>
  <si>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</si>
  <si>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</si>
  <si>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</si>
  <si>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</si>
  <si>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</si>
  <si>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</si>
  <si>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</si>
  <si>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</si>
  <si>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</si>
  <si>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</si>
  <si>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</si>
  <si>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</si>
  <si>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</si>
  <si>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</si>
  <si>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</si>
  <si>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</si>
  <si>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</si>
  <si>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</si>
  <si>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</si>
  <si>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</si>
  <si>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</si>
  <si>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</si>
  <si>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</si>
  <si>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</si>
  <si>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</si>
  <si>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</si>
  <si>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</si>
  <si>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</si>
  <si>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</si>
  <si>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</si>
  <si>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</si>
  <si>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</si>
  <si>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</si>
  <si>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</si>
  <si>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</si>
  <si>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</si>
  <si>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</si>
  <si>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</si>
  <si>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</si>
  <si>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</si>
  <si>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</si>
  <si>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</si>
  <si>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</si>
  <si>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</si>
  <si>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</si>
  <si>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</si>
  <si>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</si>
  <si>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</si>
  <si>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</si>
  <si>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</si>
  <si>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</si>
  <si>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</si>
  <si>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</si>
  <si>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</si>
  <si>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</si>
  <si>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</si>
  <si>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</si>
  <si>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</si>
  <si>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</si>
  <si>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</si>
  <si>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</si>
  <si>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</si>
  <si>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</si>
  <si>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</si>
  <si>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</si>
  <si>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</si>
  <si>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</si>
  <si>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</si>
  <si>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</si>
  <si>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</si>
  <si>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</si>
  <si>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</si>
  <si>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</si>
  <si>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</si>
  <si>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</si>
  <si>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</si>
  <si>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</si>
  <si>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</si>
  <si>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</si>
  <si>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</si>
  <si>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</si>
  <si>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</si>
  <si>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</si>
  <si>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</si>
  <si>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</si>
  <si>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</si>
  <si>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</si>
  <si>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</si>
  <si>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</si>
  <si>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</si>
  <si>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</si>
  <si>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</si>
  <si>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</si>
  <si>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</si>
  <si>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</si>
  <si>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</si>
  <si>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</si>
  <si>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</si>
  <si>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</si>
  <si>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</si>
  <si>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</si>
  <si>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</si>
  <si>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</si>
  <si>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</si>
  <si>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</si>
  <si>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</si>
  <si>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</si>
  <si>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</si>
  <si>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</si>
  <si>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</si>
  <si>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</si>
  <si>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</si>
  <si>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</si>
  <si>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</si>
  <si>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</si>
  <si>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</si>
  <si>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</si>
  <si>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</si>
  <si>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</si>
  <si>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</si>
  <si>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</si>
  <si>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</si>
  <si>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</si>
  <si>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</si>
  <si>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</si>
  <si>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</si>
  <si>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</si>
  <si>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</si>
  <si>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</si>
  <si>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</si>
  <si>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</si>
  <si>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</si>
  <si>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</si>
  <si>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</si>
  <si>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</si>
  <si>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</si>
  <si>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</si>
  <si>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</si>
  <si>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</si>
  <si>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</si>
  <si>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</si>
  <si>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</si>
  <si>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</si>
  <si>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</si>
  <si>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</si>
  <si>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</si>
  <si>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</si>
  <si>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</si>
  <si>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</si>
  <si>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</si>
  <si>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</si>
  <si>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</si>
  <si>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</si>
  <si>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</si>
  <si>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</si>
  <si>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</si>
  <si>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</si>
  <si>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</si>
  <si>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</si>
  <si>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</si>
  <si>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</si>
  <si>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</si>
  <si>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</si>
  <si>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</si>
  <si>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</si>
  <si>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</si>
  <si>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</si>
  <si>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</si>
  <si>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</si>
  <si>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</si>
  <si>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</si>
  <si>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</si>
  <si>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</si>
  <si>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</si>
  <si>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</si>
  <si>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</si>
  <si>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</si>
  <si>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</si>
  <si>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</si>
  <si>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</si>
  <si>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</si>
  <si>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</si>
  <si>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</si>
  <si>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</si>
  <si>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</si>
  <si>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</si>
  <si>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</si>
  <si>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</si>
  <si>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</si>
  <si>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</si>
  <si>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</si>
  <si>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</si>
  <si>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</si>
  <si>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</si>
  <si>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</si>
  <si>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id6757695187</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</si>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</sst>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printerSettings" Target="../printerSettings/printerSettings2.bin"/><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tabSelected="1" zoomScale="85" zoomScaleNormal="85" workbookViewId="0">
      <pane xSplit="1" ySplit="1" topLeftCell="B597" activePane="bottomRight" state="frozen"/>
      <selection pane="topRight" activeCell="B1" sqref="B1"/>
      <selection pane="bottomLeft" activeCell="A2" sqref="A2"/>
      <selection pane="bottomRight" activeCell="H605" sqref="H60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1"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1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10036</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10037</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10038</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10001</v>
      </c>
      <c r="E603" s="9" t="s">
        <v>10000</v>
      </c>
      <c r="F603" s="8" t="str">
        <f t="shared" si="23"/>
        <v>gift-codes.html?game=BanG Dream! 交織的樂章</v>
      </c>
      <c r="G603" s="9" t="s">
        <v>9998</v>
      </c>
      <c r="H603" s="9" t="str">
        <f t="shared" si="22"/>
        <v>https://www.ssbuy.tw/game-detail.html?game=BanG Dream! 交織的樂章</v>
      </c>
      <c r="I603" s="10" t="s">
        <v>10039</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10002</v>
      </c>
      <c r="D604" s="9" t="s">
        <v>10024</v>
      </c>
      <c r="E604" s="9" t="s">
        <v>10025</v>
      </c>
      <c r="F604" s="8" t="str">
        <f t="shared" si="23"/>
        <v>gift-codes.html?game=花物語</v>
      </c>
      <c r="G604" s="9" t="s">
        <v>10003</v>
      </c>
      <c r="H604" s="9" t="str">
        <f t="shared" si="22"/>
        <v>https://www.ssbuy.tw/game-detail.html?game=花物語</v>
      </c>
      <c r="I604" s="10" t="s">
        <v>10040</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10007</v>
      </c>
      <c r="D605" s="9" t="s">
        <v>10004</v>
      </c>
      <c r="E605" s="9" t="s">
        <v>10005</v>
      </c>
      <c r="F605" s="8" t="str">
        <f t="shared" si="23"/>
        <v>gift-codes.html?game=小蝦米闖江湖</v>
      </c>
      <c r="G605" s="9" t="s">
        <v>10006</v>
      </c>
      <c r="H605" s="9" t="str">
        <f t="shared" si="22"/>
        <v>https://www.ssbuy.tw/game-detail.html?game=小蝦米闖江湖</v>
      </c>
      <c r="I605" s="10" t="s">
        <v>10041</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10009</v>
      </c>
      <c r="F606" s="8" t="str">
        <f t="shared" si="23"/>
        <v>gift-codes.html?game=米卡：地城背包客</v>
      </c>
      <c r="G606" s="9" t="s">
        <v>10008</v>
      </c>
      <c r="H606" s="9" t="str">
        <f t="shared" si="22"/>
        <v>https://www.ssbuy.tw/game-detail.html?game=米卡：地城背包客</v>
      </c>
      <c r="I606" s="10" t="s">
        <v>10042</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10010</v>
      </c>
      <c r="E607" s="9" t="s">
        <v>10012</v>
      </c>
      <c r="F607" s="8" t="str">
        <f t="shared" si="23"/>
        <v>gift-codes.html?game=永夜幻想：契約之戰</v>
      </c>
      <c r="G607" s="9" t="s">
        <v>10011</v>
      </c>
      <c r="H607" s="9" t="str">
        <f t="shared" si="22"/>
        <v>https://www.ssbuy.tw/game-detail.html?game=永夜幻想：契約之戰</v>
      </c>
      <c r="I607" s="10" t="s">
        <v>10043</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10026</v>
      </c>
      <c r="F608" s="8" t="str">
        <f t="shared" si="23"/>
        <v>gift-codes.html?game=風之痕跡</v>
      </c>
      <c r="G608" s="9" t="s">
        <v>10014</v>
      </c>
      <c r="H608" s="9" t="str">
        <f t="shared" si="22"/>
        <v>https://www.ssbuy.tw/game-detail.html?game=風之痕跡</v>
      </c>
      <c r="I608" s="10" t="s">
        <v>10044</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10015</v>
      </c>
      <c r="E609" s="9" t="s">
        <v>10016</v>
      </c>
      <c r="F609" s="8" t="str">
        <f t="shared" si="23"/>
        <v>gift-codes.html?game=魔物獵人：旅人</v>
      </c>
      <c r="G609" s="9" t="s">
        <v>10035</v>
      </c>
      <c r="H609" s="9" t="str">
        <f t="shared" si="22"/>
        <v>https://www.ssbuy.tw/game-detail.html?game=魔物獵人：旅人</v>
      </c>
      <c r="I609" s="10" t="s">
        <v>10045</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10018</v>
      </c>
      <c r="D610" s="9" t="s">
        <v>10017</v>
      </c>
      <c r="E610" s="9" t="s">
        <v>10028</v>
      </c>
      <c r="F610" s="8" t="str">
        <f t="shared" si="23"/>
        <v>gift-codes.html?game=屍控防線</v>
      </c>
      <c r="G610" s="9" t="s">
        <v>10027</v>
      </c>
      <c r="H610" s="9" t="str">
        <f t="shared" si="22"/>
        <v>https://www.ssbuy.tw/game-detail.html?game=屍控防線</v>
      </c>
      <c r="I610" s="10" t="s">
        <v>10046</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10023</v>
      </c>
      <c r="D611" s="9" t="s">
        <v>10022</v>
      </c>
      <c r="E611" s="9" t="s">
        <v>10021</v>
      </c>
      <c r="F611" s="8" t="str">
        <f t="shared" si="23"/>
        <v>gift-codes.html?game=雲海之下</v>
      </c>
      <c r="G611" s="9" t="s">
        <v>10020</v>
      </c>
      <c r="H611" s="9" t="str">
        <f t="shared" si="22"/>
        <v>https://www.ssbuy.tw/game-detail.html?game=雲海之下</v>
      </c>
      <c r="I611" s="10" t="s">
        <v>10047</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row r="613" spans="1:29" ht="29.25" customHeight="1"/>
    <row r="614" spans="1:29" ht="29.25" customHeight="1"/>
    <row r="615" spans="1:29" ht="29.25" customHeight="1"/>
    <row r="616" spans="1:29" ht="29.25" customHeight="1"/>
    <row r="617" spans="1:29" ht="29.25" customHeight="1"/>
    <row r="618" spans="1:29" ht="29.25" customHeight="1"/>
    <row r="619" spans="1:29" ht="29.25" customHeight="1"/>
    <row r="620" spans="1:29" ht="29.25" customHeight="1"/>
    <row r="621" spans="1:29" ht="29.25" customHeight="1"/>
    <row r="622" spans="1:29" ht="29.25" customHeight="1"/>
    <row r="623" spans="1:29" ht="29.25" customHeight="1"/>
    <row r="624" spans="1:29"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zoomScale="85" zoomScaleNormal="85" workbookViewId="0">
      <pane xSplit="1" ySplit="1" topLeftCell="B589" activePane="bottomRight" state="frozen"/>
      <selection pane="topRight" activeCell="B1" sqref="B1"/>
      <selection pane="bottomLeft" activeCell="A2" sqref="A2"/>
      <selection pane="bottomRight" activeCell="A601" activeCellId="1" sqref="A600 A60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31"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31"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24">IF(A580="","", "giftcodesbanner/" &amp; A580 &amp; "-禮包碼.jpg")</f>
        <v>giftcodesbanner/永恆聖域-禮包碼.jpg</v>
      </c>
      <c r="D580" s="51" t="str">
        <f t="shared" ref="D580:D642"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31"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31"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31"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31"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31"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31"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31"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41" ht="24.75" customHeight="1">
      <c r="A594" s="67" t="str">
        <f>IF(games!A594="", "", games!A594)</f>
        <v>ARES：THE IRON VANGUARD</v>
      </c>
      <c r="C594" s="51" t="str">
        <f t="shared" si="24"/>
        <v>giftcodesbanner/ARES：THE IRON VANGUARD-禮包碼.jpg</v>
      </c>
      <c r="D594" s="51" t="str">
        <f t="shared" si="25"/>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
        <v>5232</v>
      </c>
      <c r="K594" s="100" t="s">
        <v>5495</v>
      </c>
      <c r="L594" s="51" t="s">
        <v>5496</v>
      </c>
    </row>
    <row r="595" spans="1:41" ht="24.75" customHeight="1">
      <c r="A595" s="67" t="str">
        <f>IF(games!A595="", "", games!A595)</f>
        <v>締造者：放逐之境</v>
      </c>
      <c r="C595" s="51" t="str">
        <f t="shared" si="24"/>
        <v>giftcodesbanner/締造者：放逐之境-禮包碼.jpg</v>
      </c>
      <c r="D595" s="51" t="str">
        <f t="shared" si="25"/>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24"/>
        <v>giftcodesbanner/閃耀吧！嚕咪-禮包碼.jpg</v>
      </c>
      <c r="D596" s="51" t="str">
        <f t="shared" si="25"/>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24"/>
        <v>giftcodesbanner/死神養成：中世篇-禮包碼.jpg</v>
      </c>
      <c r="D597" s="51" t="str">
        <f t="shared" si="25"/>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
        <v>5232</v>
      </c>
      <c r="K597" s="100" t="s">
        <v>5495</v>
      </c>
      <c r="L597" s="51" t="s">
        <v>5496</v>
      </c>
    </row>
    <row r="598" spans="1:41" ht="24.75" customHeight="1">
      <c r="A598" s="67" t="str">
        <f>IF(games!A598="", "", games!A598)</f>
        <v>RO仙境傳說：口袋戰記</v>
      </c>
      <c r="C598" s="51" t="str">
        <f t="shared" si="24"/>
        <v>giftcodesbanner/RO仙境傳說：口袋戰記-禮包碼.jpg</v>
      </c>
      <c r="D598" s="51" t="str">
        <f t="shared" si="25"/>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24"/>
        <v>giftcodesbanner/蠟筆小新：GO！-禮包碼.jpg</v>
      </c>
      <c r="D599" s="51" t="str">
        <f t="shared" si="25"/>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24"/>
        <v>giftcodesbanner/FORTBLOX：荒原堡壘 GO!-禮包碼.jpg</v>
      </c>
      <c r="D600" s="51" t="str">
        <f t="shared" si="25"/>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
        <v>5232</v>
      </c>
      <c r="K600" s="100" t="s">
        <v>5495</v>
      </c>
      <c r="L600" s="51" t="s">
        <v>5496</v>
      </c>
    </row>
    <row r="601" spans="1:41" ht="24.75" customHeight="1">
      <c r="A601" s="67" t="str">
        <f>IF(games!A601="", "", games!A601)</f>
        <v>戰鎚40,000：爆矢槍 Boom</v>
      </c>
      <c r="C601" s="51" t="str">
        <f t="shared" si="24"/>
        <v>giftcodesbanner/戰鎚40,000：爆矢槍 Boom-禮包碼.jpg</v>
      </c>
      <c r="D601" s="51" t="str">
        <f t="shared" si="25"/>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
        <v>5232</v>
      </c>
      <c r="K601" s="100" t="s">
        <v>5495</v>
      </c>
      <c r="L601" s="51" t="s">
        <v>5496</v>
      </c>
    </row>
    <row r="602" spans="1:41" ht="24.75" customHeight="1">
      <c r="A602" s="67" t="str">
        <f>IF(games!A602="", "", games!A602)</f>
        <v>伊莫</v>
      </c>
      <c r="C602" s="51" t="str">
        <f t="shared" si="24"/>
        <v>giftcodesbanner/伊莫-禮包碼.jpg</v>
      </c>
      <c r="D602" s="51" t="str">
        <f t="shared" si="25"/>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5232</v>
      </c>
      <c r="K602" s="100" t="s">
        <v>5495</v>
      </c>
      <c r="L602" s="51" t="s">
        <v>5496</v>
      </c>
    </row>
    <row r="603" spans="1:41" ht="24.75" customHeight="1">
      <c r="A603" s="67" t="str">
        <f>IF(games!A603="", "", games!A603)</f>
        <v>BanG Dream! 交織的樂章</v>
      </c>
      <c r="C603" s="51" t="str">
        <f t="shared" si="24"/>
        <v>giftcodesbanner/BanG Dream! 交織的樂章-禮包碼.jpg</v>
      </c>
      <c r="D603" s="51" t="str">
        <f t="shared" si="25"/>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5232</v>
      </c>
      <c r="K603" s="100" t="s">
        <v>5495</v>
      </c>
      <c r="L603" s="51" t="s">
        <v>5496</v>
      </c>
    </row>
    <row r="604" spans="1:41" ht="24.75" customHeight="1">
      <c r="A604" s="67" t="str">
        <f>IF(games!A604="", "", games!A604)</f>
        <v>花物語</v>
      </c>
      <c r="C604" s="51" t="str">
        <f t="shared" si="24"/>
        <v>giftcodesbanner/花物語-禮包碼.jpg</v>
      </c>
      <c r="D604" s="51" t="str">
        <f t="shared" si="25"/>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
        <v>5232</v>
      </c>
      <c r="K604" s="100" t="s">
        <v>5495</v>
      </c>
      <c r="L604" s="51" t="s">
        <v>5496</v>
      </c>
    </row>
    <row r="605" spans="1:41" ht="24.75" customHeight="1">
      <c r="A605" s="67" t="str">
        <f>IF(games!A605="", "", games!A605)</f>
        <v>小蝦米闖江湖</v>
      </c>
      <c r="C605" s="51" t="str">
        <f t="shared" si="24"/>
        <v>giftcodesbanner/小蝦米闖江湖-禮包碼.jpg</v>
      </c>
      <c r="D605" s="51" t="str">
        <f t="shared" si="25"/>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5232</v>
      </c>
      <c r="K605" s="100" t="s">
        <v>5495</v>
      </c>
      <c r="L605" s="51" t="s">
        <v>5496</v>
      </c>
    </row>
    <row r="606" spans="1:41" ht="24.75" customHeight="1">
      <c r="A606" s="67" t="str">
        <f>IF(games!A606="", "", games!A606)</f>
        <v>米卡：地城背包客</v>
      </c>
      <c r="C606" s="51" t="str">
        <f t="shared" si="24"/>
        <v>giftcodesbanner/米卡：地城背包客-禮包碼.jpg</v>
      </c>
      <c r="D606" s="51" t="str">
        <f t="shared" si="25"/>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
        <v>5232</v>
      </c>
      <c r="K606" s="100" t="s">
        <v>5495</v>
      </c>
      <c r="L606" s="51" t="s">
        <v>5496</v>
      </c>
    </row>
    <row r="607" spans="1:41" ht="24.75" customHeight="1">
      <c r="A607" s="67" t="str">
        <f>IF(games!A607="", "", games!A607)</f>
        <v>永夜幻想：契約之戰</v>
      </c>
      <c r="C607" s="51" t="str">
        <f t="shared" si="24"/>
        <v>giftcodesbanner/永夜幻想：契約之戰-禮包碼.jpg</v>
      </c>
      <c r="D607" s="51" t="str">
        <f t="shared" si="25"/>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
        <v>5232</v>
      </c>
      <c r="K607" s="100" t="s">
        <v>5495</v>
      </c>
      <c r="L607" s="51" t="s">
        <v>5496</v>
      </c>
      <c r="M607" s="6" t="s">
        <v>10013</v>
      </c>
    </row>
    <row r="608" spans="1:41" ht="24.75" customHeight="1">
      <c r="A608" s="67" t="str">
        <f>IF(games!A608="", "", games!A608)</f>
        <v>風之痕跡</v>
      </c>
      <c r="C608" s="51" t="str">
        <f t="shared" si="24"/>
        <v>giftcodesbanner/風之痕跡-禮包碼.jpg</v>
      </c>
      <c r="D608" s="51" t="str">
        <f t="shared" si="25"/>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
        <v>5232</v>
      </c>
      <c r="K608" s="100" t="s">
        <v>5495</v>
      </c>
      <c r="L608" s="51" t="s">
        <v>5496</v>
      </c>
    </row>
    <row r="609" spans="1:21" ht="24.75" customHeight="1">
      <c r="A609" s="67" t="str">
        <f>IF(games!A609="", "", games!A609)</f>
        <v>魔物獵人：旅人</v>
      </c>
      <c r="C609" s="51" t="str">
        <f t="shared" si="24"/>
        <v>giftcodesbanner/魔物獵人：旅人-禮包碼.jpg</v>
      </c>
      <c r="D609" s="51" t="str">
        <f t="shared" si="25"/>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
        <v>5232</v>
      </c>
      <c r="K609" s="100" t="s">
        <v>5495</v>
      </c>
      <c r="L609" s="51" t="s">
        <v>5496</v>
      </c>
    </row>
    <row r="610" spans="1:21" ht="24.75" customHeight="1">
      <c r="A610" s="67" t="str">
        <f>IF(games!A610="", "", games!A610)</f>
        <v>屍控防線</v>
      </c>
      <c r="C610" s="51" t="str">
        <f t="shared" si="24"/>
        <v>giftcodesbanner/屍控防線-禮包碼.jpg</v>
      </c>
      <c r="D610" s="51" t="str">
        <f t="shared" si="25"/>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10029</v>
      </c>
      <c r="G610" s="3" t="s">
        <v>10030</v>
      </c>
      <c r="H610" s="51" t="s">
        <v>6988</v>
      </c>
      <c r="K610" s="100" t="s">
        <v>5495</v>
      </c>
      <c r="L610" s="51" t="s">
        <v>5496</v>
      </c>
      <c r="M610" s="9" t="s">
        <v>10019</v>
      </c>
      <c r="O610" s="6" t="s">
        <v>10031</v>
      </c>
      <c r="Q610" s="6" t="s">
        <v>10032</v>
      </c>
      <c r="S610" s="6" t="s">
        <v>10033</v>
      </c>
      <c r="U610" s="6" t="s">
        <v>10034</v>
      </c>
    </row>
    <row r="611" spans="1:21" ht="24.75" customHeight="1">
      <c r="A611" s="67" t="str">
        <f>IF(games!A611="", "", games!A611)</f>
        <v>雲海之下</v>
      </c>
      <c r="C611" s="51" t="str">
        <f t="shared" si="24"/>
        <v>giftcodesbanner/雲海之下-禮包碼.jpg</v>
      </c>
      <c r="D611" s="51" t="str">
        <f t="shared" si="25"/>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5232</v>
      </c>
      <c r="K611" s="100" t="s">
        <v>5495</v>
      </c>
      <c r="L611" s="51" t="s">
        <v>5496</v>
      </c>
    </row>
    <row r="612" spans="1:21" ht="24.75" customHeight="1">
      <c r="A612" s="67" t="str">
        <f>IF(games!A612="", "", games!A612)</f>
        <v/>
      </c>
      <c r="C612" s="51" t="str">
        <f t="shared" si="24"/>
        <v/>
      </c>
      <c r="D612" s="51" t="str">
        <f t="shared" si="25"/>
        <v/>
      </c>
      <c r="E612" s="91" t="str">
        <f>IF(games!I612&lt;&gt;"", games!I612, "")</f>
        <v/>
      </c>
    </row>
    <row r="613" spans="1:21" ht="24.75" customHeight="1">
      <c r="A613" s="67" t="str">
        <f>IF(games!A613="", "", games!A613)</f>
        <v/>
      </c>
      <c r="C613" s="51" t="str">
        <f t="shared" si="24"/>
        <v/>
      </c>
      <c r="D613" s="51" t="str">
        <f t="shared" si="25"/>
        <v/>
      </c>
      <c r="E613" s="91" t="str">
        <f>IF(games!I613&lt;&gt;"", games!I613, "")</f>
        <v/>
      </c>
    </row>
    <row r="614" spans="1:21" ht="24.75" customHeight="1">
      <c r="A614" s="67" t="str">
        <f>IF(games!A614="", "", games!A614)</f>
        <v/>
      </c>
      <c r="C614" s="51" t="str">
        <f t="shared" si="24"/>
        <v/>
      </c>
      <c r="D614" s="51" t="str">
        <f t="shared" si="25"/>
        <v/>
      </c>
      <c r="E614" s="91" t="str">
        <f>IF(games!I614&lt;&gt;"", games!I614, "")</f>
        <v/>
      </c>
    </row>
    <row r="615" spans="1:21" ht="24.75" customHeight="1">
      <c r="A615" s="67" t="str">
        <f>IF(games!A615="", "", games!A615)</f>
        <v/>
      </c>
      <c r="C615" s="51" t="str">
        <f t="shared" si="24"/>
        <v/>
      </c>
      <c r="D615" s="51" t="str">
        <f t="shared" si="25"/>
        <v/>
      </c>
      <c r="E615" s="91" t="str">
        <f>IF(games!I615&lt;&gt;"", games!I615, "")</f>
        <v/>
      </c>
    </row>
    <row r="616" spans="1:21" ht="24.75" customHeight="1">
      <c r="A616" s="67" t="str">
        <f>IF(games!A616="", "", games!A616)</f>
        <v/>
      </c>
      <c r="C616" s="51" t="str">
        <f t="shared" si="24"/>
        <v/>
      </c>
      <c r="D616" s="51" t="str">
        <f t="shared" si="25"/>
        <v/>
      </c>
      <c r="E616" s="91" t="str">
        <f>IF(games!I616&lt;&gt;"", games!I616, "")</f>
        <v/>
      </c>
    </row>
    <row r="617" spans="1:21" ht="24.75" customHeight="1">
      <c r="A617" s="67" t="str">
        <f>IF(games!A617="", "", games!A617)</f>
        <v/>
      </c>
      <c r="C617" s="51" t="str">
        <f t="shared" si="24"/>
        <v/>
      </c>
      <c r="D617" s="51" t="str">
        <f t="shared" si="25"/>
        <v/>
      </c>
      <c r="E617" s="91" t="str">
        <f>IF(games!I617&lt;&gt;"", games!I617, "")</f>
        <v/>
      </c>
    </row>
    <row r="618" spans="1:21" ht="24.75" customHeight="1">
      <c r="A618" s="67" t="str">
        <f>IF(games!A618="", "", games!A618)</f>
        <v/>
      </c>
      <c r="C618" s="51" t="str">
        <f t="shared" si="24"/>
        <v/>
      </c>
      <c r="D618" s="51" t="str">
        <f t="shared" si="25"/>
        <v/>
      </c>
      <c r="E618" s="91" t="str">
        <f>IF(games!I618&lt;&gt;"", games!I618, "")</f>
        <v/>
      </c>
    </row>
    <row r="619" spans="1:21" ht="24.75" customHeight="1">
      <c r="A619" s="67" t="str">
        <f>IF(games!A619="", "", games!A619)</f>
        <v/>
      </c>
      <c r="C619" s="51" t="str">
        <f t="shared" si="24"/>
        <v/>
      </c>
      <c r="D619" s="51" t="str">
        <f t="shared" si="25"/>
        <v/>
      </c>
      <c r="E619" s="91" t="str">
        <f>IF(games!I619&lt;&gt;"", games!I619, "")</f>
        <v/>
      </c>
    </row>
    <row r="620" spans="1:21" ht="24.75" customHeight="1">
      <c r="A620" s="67" t="str">
        <f>IF(games!A620="", "", games!A620)</f>
        <v/>
      </c>
      <c r="C620" s="51" t="str">
        <f t="shared" si="24"/>
        <v/>
      </c>
      <c r="D620" s="51" t="str">
        <f t="shared" si="25"/>
        <v/>
      </c>
      <c r="E620" s="91" t="str">
        <f>IF(games!I620&lt;&gt;"", games!I620, "")</f>
        <v/>
      </c>
    </row>
    <row r="621" spans="1:21" ht="24.75" customHeight="1">
      <c r="A621" s="67" t="str">
        <f>IF(games!A621="", "", games!A621)</f>
        <v/>
      </c>
      <c r="C621" s="51" t="str">
        <f t="shared" si="24"/>
        <v/>
      </c>
      <c r="D621" s="51" t="str">
        <f t="shared" si="25"/>
        <v/>
      </c>
      <c r="E621" s="91" t="str">
        <f>IF(games!I621&lt;&gt;"", games!I621, "")</f>
        <v/>
      </c>
    </row>
    <row r="622" spans="1:21" ht="24.75" customHeight="1">
      <c r="A622" s="67" t="str">
        <f>IF(games!A622="", "", games!A622)</f>
        <v/>
      </c>
      <c r="C622" s="51" t="str">
        <f t="shared" si="24"/>
        <v/>
      </c>
      <c r="D622" s="51" t="str">
        <f t="shared" si="25"/>
        <v/>
      </c>
      <c r="E622" s="91" t="str">
        <f>IF(games!I622&lt;&gt;"", games!I622, "")</f>
        <v/>
      </c>
    </row>
    <row r="623" spans="1:21" ht="24.75" customHeight="1">
      <c r="A623" s="67" t="str">
        <f>IF(games!A623="", "", games!A623)</f>
        <v/>
      </c>
      <c r="C623" s="51" t="str">
        <f t="shared" si="24"/>
        <v/>
      </c>
      <c r="D623" s="51" t="str">
        <f t="shared" si="25"/>
        <v/>
      </c>
      <c r="E623" s="91" t="str">
        <f>IF(games!I623&lt;&gt;"", games!I623, "")</f>
        <v/>
      </c>
    </row>
    <row r="624" spans="1:21"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ref="C643:C706" si="26">IF(A643="","", "giftcodesbanner/" &amp; A643 &amp; "-禮包碼.jpg")</f>
        <v/>
      </c>
      <c r="D643" s="51" t="str">
        <f t="shared" ref="D643:D706" si="27">IF(A643="","", "https://www.ssbuy.tw/gift-codes.html?game="&amp;A643)</f>
        <v/>
      </c>
      <c r="E643" s="91" t="str">
        <f>IF(games!I643&lt;&gt;"", games!I643, "")</f>
        <v/>
      </c>
    </row>
    <row r="644" spans="1:5" ht="24.75" customHeight="1">
      <c r="A644" s="67" t="str">
        <f>IF(games!A644="", "", games!A644)</f>
        <v/>
      </c>
      <c r="C644" s="51" t="str">
        <f t="shared" si="26"/>
        <v/>
      </c>
      <c r="D644" s="51" t="str">
        <f t="shared" si="27"/>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ref="C707:C725" si="28">IF(A707="","", "giftcodesbanner/" &amp; A707 &amp; "-禮包碼.jpg")</f>
        <v/>
      </c>
      <c r="D707" s="51" t="str">
        <f t="shared" ref="D707:D725" si="29">IF(A707="","", "https://www.ssbuy.tw/gift-codes.html?game="&amp;A707)</f>
        <v/>
      </c>
      <c r="E707" s="91" t="str">
        <f>IF(games!I707&lt;&gt;"", games!I707, "")</f>
        <v/>
      </c>
    </row>
    <row r="708" spans="1:5" ht="24.75" customHeight="1">
      <c r="C708" s="51" t="str">
        <f t="shared" si="28"/>
        <v/>
      </c>
      <c r="D708" s="51" t="str">
        <f t="shared" si="29"/>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s>
  <pageMargins left="0.7" right="0.7" top="0.75" bottom="0.75" header="0.3" footer="0.3"/>
  <pageSetup paperSize="9" orientation="portrait" r:id="rId35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2026-09-21T06:45:42Z</dcterms:modified>
</cp:coreProperties>
</file>