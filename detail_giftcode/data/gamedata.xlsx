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582" i="3" l="1"/>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C580" i="3" l="1"/>
  <c r="D580" i="3"/>
  <c r="E580" i="3"/>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C726" i="3"/>
  <c r="D726" i="3"/>
  <c r="E726"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1" i="3" l="1"/>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<sst xmlns="http://schemas.openxmlformats.org/spreadsheetml/2006/main" count="15901" uniqueCount="9921">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</sst>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339" Type="http://schemas.openxmlformats.org/officeDocument/2006/relationships/printerSettings" Target="../printerSettings/printerSettings2.bin"/><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6"/>
  <sheetViews>
    <sheetView zoomScale="85" zoomScaleNormal="85" workbookViewId="0">
      <pane xSplit="1" ySplit="1" topLeftCell="B587" activePane="bottomRight" state="frozen"/>
      <selection pane="topRight" activeCell="B1" sqref="B1"/>
      <selection pane="bottomLeft" activeCell="A2" sqref="A2"/>
      <selection pane="bottomRight" activeCell="F599" sqref="F599"/>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c r="F598" s="8" t="str">
        <f t="shared" si="23"/>
        <v/>
      </c>
      <c r="H598" s="9" t="str">
        <f t="shared" si="22"/>
        <v/>
      </c>
    </row>
    <row r="599" spans="1:29" ht="29.25" customHeight="1">
      <c r="F599" s="8" t="str">
        <f t="shared" si="23"/>
        <v/>
      </c>
      <c r="H599" s="9" t="str">
        <f t="shared" si="22"/>
        <v/>
      </c>
    </row>
    <row r="600" spans="1:29" ht="29.25" customHeight="1">
      <c r="F600" s="8" t="str">
        <f t="shared" si="23"/>
        <v/>
      </c>
      <c r="H600" s="9" t="str">
        <f t="shared" si="22"/>
        <v/>
      </c>
    </row>
    <row r="601" spans="1:29" ht="29.25" customHeight="1">
      <c r="F601" s="8" t="str">
        <f t="shared" si="23"/>
        <v/>
      </c>
      <c r="H601" s="9" t="str">
        <f t="shared" si="22"/>
        <v/>
      </c>
    </row>
    <row r="602" spans="1:29" ht="29.25" customHeight="1">
      <c r="H602" s="9" t="str">
        <f t="shared" si="22"/>
        <v/>
      </c>
    </row>
    <row r="603" spans="1:29" ht="29.25" customHeight="1">
      <c r="H603" s="9" t="str">
        <f t="shared" si="22"/>
        <v/>
      </c>
    </row>
    <row r="604" spans="1:29" ht="29.25" customHeight="1">
      <c r="H604" s="9" t="str">
        <f t="shared" si="22"/>
        <v/>
      </c>
    </row>
    <row r="605" spans="1:29" ht="29.25" customHeight="1">
      <c r="H605" s="9" t="str">
        <f t="shared" si="22"/>
        <v/>
      </c>
    </row>
    <row r="606" spans="1:29" ht="29.25" customHeight="1">
      <c r="H606" s="9" t="str">
        <f t="shared" si="22"/>
        <v/>
      </c>
    </row>
    <row r="607" spans="1:29" ht="29.25" customHeight="1">
      <c r="H607" s="9" t="str">
        <f t="shared" si="22"/>
        <v/>
      </c>
    </row>
    <row r="608" spans="1:29" ht="29.25" customHeight="1">
      <c r="H608" s="9" t="str">
        <f t="shared" si="22"/>
        <v/>
      </c>
    </row>
    <row r="609" spans="8:8" ht="29.25" customHeight="1">
      <c r="H609" s="9" t="str">
        <f t="shared" si="22"/>
        <v/>
      </c>
    </row>
    <row r="610" spans="8:8" ht="29.25" customHeight="1">
      <c r="H610" s="9" t="str">
        <f t="shared" si="22"/>
        <v/>
      </c>
    </row>
    <row r="611" spans="8:8" ht="29.25" customHeight="1">
      <c r="H611" s="9" t="str">
        <f t="shared" si="22"/>
        <v/>
      </c>
    </row>
    <row r="612" spans="8:8" ht="29.25" customHeight="1">
      <c r="H612" s="9" t="str">
        <f t="shared" si="22"/>
        <v/>
      </c>
    </row>
    <row r="613" spans="8:8" ht="29.25" customHeight="1"/>
    <row r="614" spans="8:8" ht="29.25" customHeight="1"/>
    <row r="615" spans="8:8" ht="29.25" customHeight="1"/>
    <row r="616" spans="8:8" ht="29.25" customHeight="1"/>
    <row r="617" spans="8:8" ht="29.25" customHeight="1"/>
    <row r="618" spans="8:8" ht="29.25" customHeight="1"/>
    <row r="619" spans="8:8" ht="29.25" customHeight="1"/>
    <row r="620" spans="8:8" ht="29.25" customHeight="1"/>
    <row r="621" spans="8:8" ht="29.25" customHeight="1"/>
    <row r="622" spans="8:8" ht="29.25" customHeight="1"/>
    <row r="623" spans="8:8" ht="29.25" customHeight="1"/>
    <row r="624" spans="8:8"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9"/>
  <sheetViews>
    <sheetView tabSelected="1" zoomScale="85" zoomScaleNormal="85" workbookViewId="0">
      <pane xSplit="1" ySplit="1" topLeftCell="E580" activePane="bottomRight" state="frozen"/>
      <selection pane="topRight" activeCell="B1" sqref="B1"/>
      <selection pane="bottomLeft" activeCell="A2" sqref="A2"/>
      <selection pane="bottomRight" activeCell="K594" sqref="K594:L59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24"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24"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5232</v>
      </c>
      <c r="K578" s="100" t="s">
        <v>5495</v>
      </c>
      <c r="L578" s="51" t="s">
        <v>5496</v>
      </c>
    </row>
    <row r="579" spans="1:24"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24" ht="24.75" customHeight="1">
      <c r="A580" s="67" t="str">
        <f>IF(games!A580="", "", games!A580)</f>
        <v>永恆聖域</v>
      </c>
      <c r="C580" s="51" t="str">
        <f t="shared" ref="C580:C643" si="24">IF(A580="","", "giftcodesbanner/" &amp; A580 &amp; "-禮包碼.jpg")</f>
        <v>giftcodesbanner/永恆聖域-禮包碼.jpg</v>
      </c>
      <c r="D580" s="51" t="str">
        <f t="shared" ref="D580:D643"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24"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24"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24"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24"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24"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24"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24"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5232</v>
      </c>
      <c r="K587" s="100" t="s">
        <v>5495</v>
      </c>
      <c r="L587" s="51" t="s">
        <v>5496</v>
      </c>
    </row>
    <row r="588" spans="1:24" ht="24.75" customHeight="1">
      <c r="A588" s="67" t="str">
        <f>IF(games!A588="", "", games!A588)</f>
        <v>劍與盾少女：放置型RPG</v>
      </c>
      <c r="C588" s="51" t="str">
        <f t="shared" si="24"/>
        <v>giftcodesbanner/劍與盾少女：放置型RPG-禮包碼.jpg</v>
      </c>
      <c r="D588" s="51" t="str">
        <f t="shared" si="25"/>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
        <v>5232</v>
      </c>
      <c r="K588" s="100" t="s">
        <v>5495</v>
      </c>
      <c r="L588" s="51" t="s">
        <v>5496</v>
      </c>
    </row>
    <row r="589" spans="1:24" ht="24.75" customHeight="1">
      <c r="A589" s="67" t="str">
        <f>IF(games!A589="", "", games!A589)</f>
        <v>半夜別修仙</v>
      </c>
      <c r="C589" s="51" t="str">
        <f t="shared" si="24"/>
        <v>giftcodesbanner/半夜別修仙-禮包碼.jpg</v>
      </c>
      <c r="D589" s="51" t="str">
        <f t="shared" si="25"/>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
        <v>5232</v>
      </c>
      <c r="K589" s="100" t="s">
        <v>5495</v>
      </c>
      <c r="L589" s="51" t="s">
        <v>5496</v>
      </c>
    </row>
    <row r="590" spans="1:24" ht="24.75" customHeight="1">
      <c r="A590" s="67" t="str">
        <f>IF(games!A590="", "", games!A590)</f>
        <v>少女迷境</v>
      </c>
      <c r="C590" s="51" t="str">
        <f t="shared" si="24"/>
        <v>giftcodesbanner/少女迷境-禮包碼.jpg</v>
      </c>
      <c r="D590" s="51" t="str">
        <f t="shared" si="25"/>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5232</v>
      </c>
      <c r="K590" s="100" t="s">
        <v>5495</v>
      </c>
      <c r="L590" s="51" t="s">
        <v>5496</v>
      </c>
    </row>
    <row r="591" spans="1:24" ht="24.75" customHeight="1">
      <c r="A591" s="67" t="str">
        <f>IF(games!A591="", "", games!A591)</f>
        <v>魔卡紀元</v>
      </c>
      <c r="C591" s="51" t="str">
        <f t="shared" si="24"/>
        <v>giftcodesbanner/魔卡紀元-禮包碼.jpg</v>
      </c>
      <c r="D591" s="51" t="str">
        <f t="shared" si="25"/>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24" ht="24.75" customHeight="1">
      <c r="A592" s="67" t="str">
        <f>IF(games!A592="", "", games!A592)</f>
        <v>牛馬通緝令</v>
      </c>
      <c r="C592" s="51" t="str">
        <f t="shared" si="24"/>
        <v>giftcodesbanner/牛馬通緝令-禮包碼.jpg</v>
      </c>
      <c r="D592" s="51" t="str">
        <f t="shared" si="25"/>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12" ht="24.75" customHeight="1">
      <c r="A593" s="67" t="str">
        <f>IF(games!A593="", "", games!A593)</f>
        <v>我在三國當村長</v>
      </c>
      <c r="C593" s="51" t="str">
        <f t="shared" si="24"/>
        <v>giftcodesbanner/我在三國當村長-禮包碼.jpg</v>
      </c>
      <c r="D593" s="51" t="str">
        <f t="shared" si="25"/>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
        <v>5232</v>
      </c>
      <c r="K593" s="100" t="s">
        <v>5495</v>
      </c>
      <c r="L593" s="51" t="s">
        <v>5496</v>
      </c>
    </row>
    <row r="594" spans="1:12" ht="24.75" customHeight="1">
      <c r="A594" s="67" t="str">
        <f>IF(games!A594="", "", games!A594)</f>
        <v>ARES：THE IRON VANGUARD</v>
      </c>
      <c r="C594" s="51" t="str">
        <f t="shared" si="24"/>
        <v>giftcodesbanner/ARES：THE IRON VANGUARD-禮包碼.jpg</v>
      </c>
      <c r="D594" s="51" t="str">
        <f t="shared" si="25"/>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
        <v>5232</v>
      </c>
      <c r="K594" s="100" t="s">
        <v>5495</v>
      </c>
      <c r="L594" s="51" t="s">
        <v>5496</v>
      </c>
    </row>
    <row r="595" spans="1:12" ht="24.75" customHeight="1">
      <c r="A595" s="67" t="str">
        <f>IF(games!A595="", "", games!A595)</f>
        <v>締造者：放逐之境</v>
      </c>
      <c r="C595" s="51" t="str">
        <f t="shared" si="24"/>
        <v>giftcodesbanner/締造者：放逐之境-禮包碼.jpg</v>
      </c>
      <c r="D595" s="51" t="str">
        <f t="shared" si="25"/>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5232</v>
      </c>
      <c r="K595" s="100" t="s">
        <v>5495</v>
      </c>
      <c r="L595" s="51" t="s">
        <v>5496</v>
      </c>
    </row>
    <row r="596" spans="1:12" ht="24.75" customHeight="1">
      <c r="A596" s="67" t="str">
        <f>IF(games!A596="", "", games!A596)</f>
        <v>閃耀吧！嚕咪</v>
      </c>
      <c r="C596" s="51" t="str">
        <f t="shared" si="24"/>
        <v>giftcodesbanner/閃耀吧！嚕咪-禮包碼.jpg</v>
      </c>
      <c r="D596" s="51" t="str">
        <f t="shared" si="25"/>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5232</v>
      </c>
      <c r="K596" s="100" t="s">
        <v>5495</v>
      </c>
      <c r="L596" s="51" t="s">
        <v>5496</v>
      </c>
    </row>
    <row r="597" spans="1:12" ht="24.75" customHeight="1">
      <c r="A597" s="67" t="str">
        <f>IF(games!A597="", "", games!A597)</f>
        <v>死神養成：中世篇</v>
      </c>
      <c r="C597" s="51" t="str">
        <f t="shared" si="24"/>
        <v>giftcodesbanner/死神養成：中世篇-禮包碼.jpg</v>
      </c>
      <c r="D597" s="51" t="str">
        <f t="shared" si="25"/>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
        <v>5232</v>
      </c>
      <c r="K597" s="100" t="s">
        <v>5495</v>
      </c>
      <c r="L597" s="51" t="s">
        <v>5496</v>
      </c>
    </row>
    <row r="598" spans="1:12" ht="24.75" customHeight="1">
      <c r="A598" s="67" t="str">
        <f>IF(games!A598="", "", games!A598)</f>
        <v/>
      </c>
      <c r="C598" s="51" t="str">
        <f t="shared" si="24"/>
        <v/>
      </c>
      <c r="D598" s="51" t="str">
        <f t="shared" si="25"/>
        <v/>
      </c>
      <c r="E598" s="91" t="str">
        <f>IF(games!I598&lt;&gt;"", games!I598, "")</f>
        <v/>
      </c>
    </row>
    <row r="599" spans="1:12" ht="24.75" customHeight="1">
      <c r="A599" s="67" t="str">
        <f>IF(games!A599="", "", games!A599)</f>
        <v/>
      </c>
      <c r="C599" s="51" t="str">
        <f t="shared" si="24"/>
        <v/>
      </c>
      <c r="D599" s="51" t="str">
        <f t="shared" si="25"/>
        <v/>
      </c>
      <c r="E599" s="91" t="str">
        <f>IF(games!I599&lt;&gt;"", games!I599, "")</f>
        <v/>
      </c>
    </row>
    <row r="600" spans="1:12" ht="24.75" customHeight="1">
      <c r="A600" s="67" t="str">
        <f>IF(games!A600="", "", games!A600)</f>
        <v/>
      </c>
      <c r="C600" s="51" t="str">
        <f t="shared" si="24"/>
        <v/>
      </c>
      <c r="D600" s="51" t="str">
        <f t="shared" si="25"/>
        <v/>
      </c>
      <c r="E600" s="91" t="str">
        <f>IF(games!I600&lt;&gt;"", games!I600, "")</f>
        <v/>
      </c>
    </row>
    <row r="601" spans="1:12" ht="24.75" customHeight="1">
      <c r="A601" s="67" t="str">
        <f>IF(games!A601="", "", games!A601)</f>
        <v/>
      </c>
      <c r="C601" s="51" t="str">
        <f t="shared" si="24"/>
        <v/>
      </c>
      <c r="D601" s="51" t="str">
        <f t="shared" si="25"/>
        <v/>
      </c>
      <c r="E601" s="91" t="str">
        <f>IF(games!I601&lt;&gt;"", games!I601, "")</f>
        <v/>
      </c>
    </row>
    <row r="602" spans="1:12" ht="24.75" customHeight="1">
      <c r="A602" s="67" t="str">
        <f>IF(games!A602="", "", games!A602)</f>
        <v/>
      </c>
      <c r="C602" s="51" t="str">
        <f t="shared" si="24"/>
        <v/>
      </c>
      <c r="D602" s="51" t="str">
        <f t="shared" si="25"/>
        <v/>
      </c>
      <c r="E602" s="91" t="str">
        <f>IF(games!I602&lt;&gt;"", games!I602, "")</f>
        <v/>
      </c>
    </row>
    <row r="603" spans="1:12" ht="24.75" customHeight="1">
      <c r="A603" s="67" t="str">
        <f>IF(games!A603="", "", games!A603)</f>
        <v/>
      </c>
      <c r="C603" s="51" t="str">
        <f t="shared" si="24"/>
        <v/>
      </c>
      <c r="D603" s="51" t="str">
        <f t="shared" si="25"/>
        <v/>
      </c>
      <c r="E603" s="91" t="str">
        <f>IF(games!I603&lt;&gt;"", games!I603, "")</f>
        <v/>
      </c>
    </row>
    <row r="604" spans="1:12" ht="24.75" customHeight="1">
      <c r="A604" s="67" t="str">
        <f>IF(games!A604="", "", games!A604)</f>
        <v/>
      </c>
      <c r="C604" s="51" t="str">
        <f t="shared" si="24"/>
        <v/>
      </c>
      <c r="D604" s="51" t="str">
        <f t="shared" si="25"/>
        <v/>
      </c>
      <c r="E604" s="91" t="str">
        <f>IF(games!I604&lt;&gt;"", games!I604, "")</f>
        <v/>
      </c>
    </row>
    <row r="605" spans="1:12" ht="24.75" customHeight="1">
      <c r="A605" s="67" t="str">
        <f>IF(games!A605="", "", games!A605)</f>
        <v/>
      </c>
      <c r="C605" s="51" t="str">
        <f t="shared" si="24"/>
        <v/>
      </c>
      <c r="D605" s="51" t="str">
        <f t="shared" si="25"/>
        <v/>
      </c>
      <c r="E605" s="91" t="str">
        <f>IF(games!I605&lt;&gt;"", games!I605, "")</f>
        <v/>
      </c>
    </row>
    <row r="606" spans="1:12" ht="24.75" customHeight="1">
      <c r="A606" s="67" t="str">
        <f>IF(games!A606="", "", games!A606)</f>
        <v/>
      </c>
      <c r="C606" s="51" t="str">
        <f t="shared" si="24"/>
        <v/>
      </c>
      <c r="D606" s="51" t="str">
        <f t="shared" si="25"/>
        <v/>
      </c>
      <c r="E606" s="91" t="str">
        <f>IF(games!I606&lt;&gt;"", games!I606, "")</f>
        <v/>
      </c>
    </row>
    <row r="607" spans="1:12" ht="24.75" customHeight="1">
      <c r="A607" s="67" t="str">
        <f>IF(games!A607="", "", games!A607)</f>
        <v/>
      </c>
      <c r="C607" s="51" t="str">
        <f t="shared" si="24"/>
        <v/>
      </c>
      <c r="D607" s="51" t="str">
        <f t="shared" si="25"/>
        <v/>
      </c>
      <c r="E607" s="91" t="str">
        <f>IF(games!I607&lt;&gt;"", games!I607, "")</f>
        <v/>
      </c>
    </row>
    <row r="608" spans="1:12" ht="24.75" customHeight="1">
      <c r="A608" s="67" t="str">
        <f>IF(games!A608="", "", games!A608)</f>
        <v/>
      </c>
      <c r="C608" s="51" t="str">
        <f t="shared" si="24"/>
        <v/>
      </c>
      <c r="D608" s="51" t="str">
        <f t="shared" si="25"/>
        <v/>
      </c>
      <c r="E608" s="91" t="str">
        <f>IF(games!I608&lt;&gt;"", games!I608, "")</f>
        <v/>
      </c>
    </row>
    <row r="609" spans="1:5" ht="24.75" customHeight="1">
      <c r="A609" s="67" t="str">
        <f>IF(games!A609="", "", games!A609)</f>
        <v/>
      </c>
      <c r="C609" s="51" t="str">
        <f t="shared" si="24"/>
        <v/>
      </c>
      <c r="D609" s="51" t="str">
        <f t="shared" si="25"/>
        <v/>
      </c>
      <c r="E609" s="91" t="str">
        <f>IF(games!I609&lt;&gt;"", games!I609, "")</f>
        <v/>
      </c>
    </row>
    <row r="610" spans="1:5" ht="24.75" customHeight="1">
      <c r="A610" s="67" t="str">
        <f>IF(games!A610="", "", games!A610)</f>
        <v/>
      </c>
      <c r="C610" s="51" t="str">
        <f t="shared" si="24"/>
        <v/>
      </c>
      <c r="D610" s="51" t="str">
        <f t="shared" si="25"/>
        <v/>
      </c>
      <c r="E610" s="91" t="str">
        <f>IF(games!I610&lt;&gt;"", games!I610, "")</f>
        <v/>
      </c>
    </row>
    <row r="611" spans="1:5" ht="24.75" customHeight="1">
      <c r="A611" s="67" t="str">
        <f>IF(games!A611="", "", games!A611)</f>
        <v/>
      </c>
      <c r="C611" s="51" t="str">
        <f t="shared" si="24"/>
        <v/>
      </c>
      <c r="D611" s="51" t="str">
        <f t="shared" si="25"/>
        <v/>
      </c>
      <c r="E611" s="91" t="str">
        <f>IF(games!I611&lt;&gt;"", games!I611, "")</f>
        <v/>
      </c>
    </row>
    <row r="612" spans="1:5" ht="24.75" customHeight="1">
      <c r="A612" s="67" t="str">
        <f>IF(games!A612="", "", games!A612)</f>
        <v/>
      </c>
      <c r="C612" s="51" t="str">
        <f t="shared" si="24"/>
        <v/>
      </c>
      <c r="D612" s="51" t="str">
        <f t="shared" si="25"/>
        <v/>
      </c>
      <c r="E612" s="91" t="str">
        <f>IF(games!I612&lt;&gt;"", games!I612, "")</f>
        <v/>
      </c>
    </row>
    <row r="613" spans="1:5" ht="24.75" customHeight="1">
      <c r="A613" s="67" t="str">
        <f>IF(games!A613="", "", games!A613)</f>
        <v/>
      </c>
      <c r="C613" s="51" t="str">
        <f t="shared" si="24"/>
        <v/>
      </c>
      <c r="D613" s="51" t="str">
        <f t="shared" si="25"/>
        <v/>
      </c>
      <c r="E613" s="91" t="str">
        <f>IF(games!I613&lt;&gt;"", games!I613, "")</f>
        <v/>
      </c>
    </row>
    <row r="614" spans="1:5" ht="24.75" customHeight="1">
      <c r="A614" s="67" t="str">
        <f>IF(games!A614="", "", games!A614)</f>
        <v/>
      </c>
      <c r="C614" s="51" t="str">
        <f t="shared" si="24"/>
        <v/>
      </c>
      <c r="D614" s="51" t="str">
        <f t="shared" si="25"/>
        <v/>
      </c>
      <c r="E614" s="91" t="str">
        <f>IF(games!I614&lt;&gt;"", games!I614, "")</f>
        <v/>
      </c>
    </row>
    <row r="615" spans="1:5" ht="24.75" customHeight="1">
      <c r="A615" s="67" t="str">
        <f>IF(games!A615="", "", games!A615)</f>
        <v/>
      </c>
      <c r="C615" s="51" t="str">
        <f t="shared" si="24"/>
        <v/>
      </c>
      <c r="D615" s="51" t="str">
        <f t="shared" si="25"/>
        <v/>
      </c>
      <c r="E615" s="91" t="str">
        <f>IF(games!I615&lt;&gt;"", games!I615, "")</f>
        <v/>
      </c>
    </row>
    <row r="616" spans="1:5" ht="24.75" customHeight="1">
      <c r="A616" s="67" t="str">
        <f>IF(games!A616="", "", games!A616)</f>
        <v/>
      </c>
      <c r="C616" s="51" t="str">
        <f t="shared" si="24"/>
        <v/>
      </c>
      <c r="D616" s="51" t="str">
        <f t="shared" si="25"/>
        <v/>
      </c>
      <c r="E616" s="91" t="str">
        <f>IF(games!I616&lt;&gt;"", games!I616, "")</f>
        <v/>
      </c>
    </row>
    <row r="617" spans="1:5" ht="24.75" customHeight="1">
      <c r="A617" s="67" t="str">
        <f>IF(games!A617="", "", games!A617)</f>
        <v/>
      </c>
      <c r="C617" s="51" t="str">
        <f t="shared" si="24"/>
        <v/>
      </c>
      <c r="D617" s="51" t="str">
        <f t="shared" si="25"/>
        <v/>
      </c>
      <c r="E617" s="91" t="str">
        <f>IF(games!I617&lt;&gt;"", games!I617, "")</f>
        <v/>
      </c>
    </row>
    <row r="618" spans="1:5" ht="24.75" customHeight="1">
      <c r="A618" s="67" t="str">
        <f>IF(games!A618="", "", games!A618)</f>
        <v/>
      </c>
      <c r="C618" s="51" t="str">
        <f t="shared" si="24"/>
        <v/>
      </c>
      <c r="D618" s="51" t="str">
        <f t="shared" si="25"/>
        <v/>
      </c>
      <c r="E618" s="91" t="str">
        <f>IF(games!I618&lt;&gt;"", games!I618, "")</f>
        <v/>
      </c>
    </row>
    <row r="619" spans="1:5" ht="24.75" customHeight="1">
      <c r="A619" s="67" t="str">
        <f>IF(games!A619="", "", games!A619)</f>
        <v/>
      </c>
      <c r="C619" s="51" t="str">
        <f t="shared" si="24"/>
        <v/>
      </c>
      <c r="D619" s="51" t="str">
        <f t="shared" si="25"/>
        <v/>
      </c>
      <c r="E619" s="91" t="str">
        <f>IF(games!I619&lt;&gt;"", games!I619, "")</f>
        <v/>
      </c>
    </row>
    <row r="620" spans="1:5" ht="24.75" customHeight="1">
      <c r="A620" s="67" t="str">
        <f>IF(games!A620="", "", games!A620)</f>
        <v/>
      </c>
      <c r="C620" s="51" t="str">
        <f t="shared" si="24"/>
        <v/>
      </c>
      <c r="D620" s="51" t="str">
        <f t="shared" si="25"/>
        <v/>
      </c>
      <c r="E620" s="91" t="str">
        <f>IF(games!I620&lt;&gt;"", games!I620, "")</f>
        <v/>
      </c>
    </row>
    <row r="621" spans="1:5" ht="24.75" customHeight="1">
      <c r="A621" s="67" t="str">
        <f>IF(games!A621="", "", games!A621)</f>
        <v/>
      </c>
      <c r="C621" s="51" t="str">
        <f t="shared" si="24"/>
        <v/>
      </c>
      <c r="D621" s="51" t="str">
        <f t="shared" si="25"/>
        <v/>
      </c>
      <c r="E621" s="91" t="str">
        <f>IF(games!I621&lt;&gt;"", games!I621, "")</f>
        <v/>
      </c>
    </row>
    <row r="622" spans="1:5" ht="24.75" customHeight="1">
      <c r="A622" s="67" t="str">
        <f>IF(games!A622="", "", games!A622)</f>
        <v/>
      </c>
      <c r="C622" s="51" t="str">
        <f t="shared" si="24"/>
        <v/>
      </c>
      <c r="D622" s="51" t="str">
        <f t="shared" si="25"/>
        <v/>
      </c>
      <c r="E622" s="91" t="str">
        <f>IF(games!I622&lt;&gt;"", games!I622, "")</f>
        <v/>
      </c>
    </row>
    <row r="623" spans="1:5" ht="24.75" customHeight="1">
      <c r="A623" s="67" t="str">
        <f>IF(games!A623="", "", games!A623)</f>
        <v/>
      </c>
      <c r="C623" s="51" t="str">
        <f t="shared" si="24"/>
        <v/>
      </c>
      <c r="D623" s="51" t="str">
        <f t="shared" si="25"/>
        <v/>
      </c>
      <c r="E623" s="91" t="str">
        <f>IF(games!I623&lt;&gt;"", games!I623, "")</f>
        <v/>
      </c>
    </row>
    <row r="624" spans="1:5"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si="24"/>
        <v/>
      </c>
      <c r="D643" s="51" t="str">
        <f t="shared" si="25"/>
        <v/>
      </c>
      <c r="E643" s="91" t="str">
        <f>IF(games!I643&lt;&gt;"", games!I643, "")</f>
        <v/>
      </c>
    </row>
    <row r="644" spans="1:5" ht="24.75" customHeight="1">
      <c r="A644" s="67" t="str">
        <f>IF(games!A644="", "", games!A644)</f>
        <v/>
      </c>
      <c r="C644" s="51" t="str">
        <f t="shared" ref="C644:C707" si="26">IF(A644="","", "giftcodesbanner/" &amp; A644 &amp; "-禮包碼.jpg")</f>
        <v/>
      </c>
      <c r="D644" s="51" t="str">
        <f t="shared" ref="D644:D707" si="27">IF(A644="","", "https://www.ssbuy.tw/gift-codes.html?game="&amp;A644)</f>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si="26"/>
        <v/>
      </c>
      <c r="D707" s="51" t="str">
        <f t="shared" si="27"/>
        <v/>
      </c>
      <c r="E707" s="91" t="str">
        <f>IF(games!I707&lt;&gt;"", games!I707, "")</f>
        <v/>
      </c>
    </row>
    <row r="708" spans="1:5" ht="24.75" customHeight="1">
      <c r="A708" s="67" t="str">
        <f>IF(games!A708="", "", games!A708)</f>
        <v/>
      </c>
      <c r="C708" s="51" t="str">
        <f t="shared" ref="C708:C726" si="28">IF(A708="","", "giftcodesbanner/" &amp; A708 &amp; "-禮包碼.jpg")</f>
        <v/>
      </c>
      <c r="D708" s="51" t="str">
        <f t="shared" ref="D708:D726" si="29">IF(A708="","", "https://www.ssbuy.tw/gift-codes.html?game="&amp;A708)</f>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c r="C726" s="51" t="str">
        <f t="shared" si="28"/>
        <v/>
      </c>
      <c r="D726" s="51" t="str">
        <f t="shared" si="29"/>
        <v/>
      </c>
      <c r="E726" s="91" t="str">
        <f>IF(games!I726&lt;&gt;"", games!I726, "")</f>
        <v/>
      </c>
    </row>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row r="739"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s>
  <pageMargins left="0.7" right="0.7" top="0.75" bottom="0.75" header="0.3" footer="0.3"/>
  <pageSetup paperSize="9" orientation="portrait" r:id="rId33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2026-09-16T15:11:49Z</dcterms:modified>
</cp:coreProperties>
</file>