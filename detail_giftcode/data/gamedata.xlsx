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<sst xmlns="http://schemas.openxmlformats.org/spreadsheetml/2006/main" count="9352" uniqueCount="6392">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</sst>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 fillId="0" borderId="7" xfId="1" applyFill="1" applyBorder="1"/>
    <xf numFmtId="0" fontId="1" fillId="0" borderId="0" xfId="1" applyFill="1" applyAlignment="1">
      <alignment vertical="center" wrapText="1"/>
    </xf>
    <xf numFmtId="0" fontId="18" fillId="0" borderId="1" xfId="0" applyFont="1" applyBorder="1" applyAlignment="1">
      <alignment wrapText="1"/>
    </xf>
    <xf numFmtId="0" fontId="18" fillId="2" borderId="1" xfId="0" applyFont="1" applyFill="1" applyBorder="1" applyAlignment="1">
      <alignment wrapText="1"/>
    </xf>
    <xf numFmtId="0" fontId="18" fillId="0" borderId="0" xfId="0" applyFont="1"/>
    <xf numFmtId="0" fontId="19" fillId="0" borderId="0" xfId="0" applyFont="1"/>
    <xf numFmtId="0" fontId="14"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L333" activePane="bottomRight" state="frozen"/>
      <selection pane="topRight" activeCell="B1" sqref="B1"/>
      <selection pane="bottomLeft" activeCell="A2" sqref="A2"/>
      <selection pane="bottomRight" activeCell="A338" sqref="A338"/>
    </sheetView>
  </sheetViews>
  <sheetFormatPr defaultColWidth="8.875" defaultRowHeight="16.5"/>
  <cols>
    <col min="1" max="1" width="19.125"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6296</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5422</v>
      </c>
      <c r="AI223" s="86" t="s">
        <v>5451</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5422</v>
      </c>
      <c r="W224" s="86" t="s">
        <v>5451</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5422</v>
      </c>
      <c r="W226" s="86" t="s">
        <v>5451</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5422</v>
      </c>
      <c r="AG227" s="86" t="s">
        <v>5451</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5422</v>
      </c>
      <c r="AE228" s="86" t="s">
        <v>5451</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5133</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5422</v>
      </c>
      <c r="AE229" s="86" t="s">
        <v>5451</v>
      </c>
    </row>
    <row r="230" spans="1:35" ht="22.5" customHeight="1" thickBot="1">
      <c r="A230" s="54" t="s">
        <v>5125</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5134</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5422</v>
      </c>
      <c r="AI230" s="86" t="s">
        <v>5451</v>
      </c>
    </row>
    <row r="231" spans="1:35" ht="22.5" customHeight="1" thickBot="1">
      <c r="A231" s="54" t="s">
        <v>5126</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5135</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5422</v>
      </c>
      <c r="AC231" s="86" t="s">
        <v>5451</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5136</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5422</v>
      </c>
      <c r="AE232" s="86" t="s">
        <v>5451</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5137</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5422</v>
      </c>
      <c r="AE234" s="86" t="s">
        <v>5451</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5422</v>
      </c>
      <c r="AC235" s="86" t="s">
        <v>5451</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5422</v>
      </c>
      <c r="AG236" s="86" t="s">
        <v>5451</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5422</v>
      </c>
      <c r="AE237" s="86" t="s">
        <v>5451</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5422</v>
      </c>
      <c r="Y238" s="86" t="s">
        <v>5451</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5422</v>
      </c>
      <c r="AC239" s="86" t="s">
        <v>5451</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5422</v>
      </c>
      <c r="W240" s="86" t="s">
        <v>5451</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5138</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5422</v>
      </c>
      <c r="AC241" s="86" t="s">
        <v>5451</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5139</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5422</v>
      </c>
      <c r="Y242" s="86" t="s">
        <v>5451</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5140</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5422</v>
      </c>
      <c r="AC243" s="86" t="s">
        <v>5451</v>
      </c>
    </row>
    <row r="244" spans="1:33" ht="22.5" customHeight="1" thickBot="1">
      <c r="A244" s="54" t="s">
        <v>5127</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5141</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5422</v>
      </c>
      <c r="AE244" s="86" t="s">
        <v>5451</v>
      </c>
    </row>
    <row r="245" spans="1:33" ht="22.5" customHeight="1" thickBot="1">
      <c r="A245" s="54" t="s">
        <v>5128</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5422</v>
      </c>
      <c r="Y245" s="86" t="s">
        <v>5451</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5129</v>
      </c>
      <c r="K246" s="51">
        <v>1139</v>
      </c>
      <c r="L246" s="52" t="s">
        <v>4497</v>
      </c>
      <c r="M246" s="51">
        <v>225</v>
      </c>
      <c r="N246" s="52" t="s">
        <v>4498</v>
      </c>
      <c r="O246" s="51">
        <v>99</v>
      </c>
      <c r="P246" s="52" t="s">
        <v>4499</v>
      </c>
      <c r="Q246" s="51">
        <v>25</v>
      </c>
      <c r="R246" s="83" t="s">
        <v>5422</v>
      </c>
      <c r="S246" s="86" t="s">
        <v>5451</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5422</v>
      </c>
      <c r="Y247" s="86" t="s">
        <v>5451</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5422</v>
      </c>
      <c r="AC248" s="86" t="s">
        <v>5451</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5422</v>
      </c>
      <c r="AA249" s="86" t="s">
        <v>5451</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5422</v>
      </c>
      <c r="Y250" s="86" t="s">
        <v>5451</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5422</v>
      </c>
      <c r="W251" s="86" t="s">
        <v>5451</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5422</v>
      </c>
      <c r="AE252" s="86" t="s">
        <v>5451</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5422</v>
      </c>
      <c r="AG253" s="86" t="s">
        <v>5451</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5130</v>
      </c>
      <c r="Q254" s="54">
        <v>194</v>
      </c>
      <c r="R254" s="52" t="s">
        <v>4657</v>
      </c>
      <c r="S254" s="54">
        <v>74</v>
      </c>
      <c r="T254" s="52" t="s">
        <v>4658</v>
      </c>
      <c r="U254" s="54">
        <v>17</v>
      </c>
      <c r="V254" s="52" t="s">
        <v>4659</v>
      </c>
      <c r="W254" s="54">
        <v>194</v>
      </c>
      <c r="X254" s="52" t="s">
        <v>4660</v>
      </c>
      <c r="Y254" s="54">
        <v>74</v>
      </c>
      <c r="Z254" s="83" t="s">
        <v>5422</v>
      </c>
      <c r="AA254" s="86" t="s">
        <v>5451</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5422</v>
      </c>
      <c r="Y255" s="86" t="s">
        <v>5451</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5422</v>
      </c>
      <c r="Y256" s="86" t="s">
        <v>5451</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5422</v>
      </c>
      <c r="AE257" s="86" t="s">
        <v>5451</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5422</v>
      </c>
      <c r="AG258" s="86" t="s">
        <v>5451</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5422</v>
      </c>
      <c r="AC259" s="86" t="s">
        <v>5451</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5422</v>
      </c>
      <c r="AE260" s="86" t="s">
        <v>5451</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5422</v>
      </c>
      <c r="AA261" s="86" t="s">
        <v>5451</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5422</v>
      </c>
      <c r="W262" s="86" t="s">
        <v>5451</v>
      </c>
    </row>
    <row r="263" spans="1:35" ht="22.5" customHeight="1" thickBot="1">
      <c r="A263" s="66" t="s">
        <v>5131</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4855</v>
      </c>
      <c r="K263" s="54">
        <v>2371</v>
      </c>
      <c r="L263" s="52" t="s">
        <v>4856</v>
      </c>
      <c r="M263" s="54">
        <v>1204</v>
      </c>
      <c r="N263" s="52" t="s">
        <v>4857</v>
      </c>
      <c r="O263" s="54">
        <v>563</v>
      </c>
      <c r="P263" s="52" t="s">
        <v>4858</v>
      </c>
      <c r="Q263" s="54">
        <v>261</v>
      </c>
      <c r="R263" s="52" t="s">
        <v>4859</v>
      </c>
      <c r="S263" s="54">
        <v>128</v>
      </c>
      <c r="T263" s="52" t="s">
        <v>4860</v>
      </c>
      <c r="U263" s="54">
        <v>26</v>
      </c>
      <c r="V263" s="52" t="s">
        <v>4861</v>
      </c>
      <c r="W263" s="54">
        <v>400</v>
      </c>
      <c r="X263" s="52" t="s">
        <v>4862</v>
      </c>
      <c r="Y263" s="54">
        <v>128</v>
      </c>
      <c r="Z263" s="52" t="s">
        <v>4863</v>
      </c>
      <c r="AA263" s="54">
        <v>2371</v>
      </c>
      <c r="AB263" s="52" t="s">
        <v>4864</v>
      </c>
      <c r="AC263" s="54">
        <v>1204</v>
      </c>
      <c r="AD263" s="52" t="s">
        <v>4865</v>
      </c>
      <c r="AE263" s="54">
        <v>400</v>
      </c>
      <c r="AF263" s="52" t="s">
        <v>4866</v>
      </c>
      <c r="AG263" s="54">
        <v>26</v>
      </c>
      <c r="AH263" s="83" t="s">
        <v>5422</v>
      </c>
      <c r="AI263" s="86" t="s">
        <v>5451</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5142</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4867</v>
      </c>
      <c r="W265" s="54">
        <v>247</v>
      </c>
      <c r="X265" s="52" t="s">
        <v>196</v>
      </c>
      <c r="Y265" s="54">
        <v>261</v>
      </c>
      <c r="Z265" s="52" t="s">
        <v>4833</v>
      </c>
      <c r="AA265" s="54">
        <v>162</v>
      </c>
      <c r="AB265" s="52" t="s">
        <v>4832</v>
      </c>
      <c r="AC265" s="54">
        <v>162</v>
      </c>
      <c r="AD265" s="83" t="s">
        <v>5422</v>
      </c>
      <c r="AE265" s="86" t="s">
        <v>5451</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5422</v>
      </c>
      <c r="AA266" s="86" t="s">
        <v>5451</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4916</v>
      </c>
      <c r="K267" s="54">
        <v>2371</v>
      </c>
      <c r="L267" s="52" t="s">
        <v>4917</v>
      </c>
      <c r="M267" s="54">
        <v>1204</v>
      </c>
      <c r="N267" s="52" t="s">
        <v>4918</v>
      </c>
      <c r="O267" s="54">
        <v>807</v>
      </c>
      <c r="P267" s="52" t="s">
        <v>4919</v>
      </c>
      <c r="Q267" s="54">
        <v>530</v>
      </c>
      <c r="R267" s="52" t="s">
        <v>4920</v>
      </c>
      <c r="S267" s="54">
        <v>294</v>
      </c>
      <c r="T267" s="52" t="s">
        <v>4921</v>
      </c>
      <c r="U267" s="54">
        <v>136</v>
      </c>
      <c r="V267" s="52" t="s">
        <v>4922</v>
      </c>
      <c r="W267" s="54">
        <v>29</v>
      </c>
      <c r="X267" s="52" t="s">
        <v>4923</v>
      </c>
      <c r="Y267" s="54">
        <v>136</v>
      </c>
      <c r="Z267" s="52" t="s">
        <v>4924</v>
      </c>
      <c r="AA267" s="54">
        <v>136</v>
      </c>
      <c r="AB267" s="52" t="s">
        <v>4925</v>
      </c>
      <c r="AC267" s="54">
        <v>196</v>
      </c>
      <c r="AD267" s="83" t="s">
        <v>5422</v>
      </c>
      <c r="AE267" s="86" t="s">
        <v>5451</v>
      </c>
    </row>
    <row r="268" spans="1:35" ht="22.5" customHeight="1" thickBot="1">
      <c r="A268" s="54" t="s">
        <v>4893</v>
      </c>
      <c r="C268" s="79" t="s">
        <v>4895</v>
      </c>
      <c r="D268" s="44" t="s">
        <v>4878</v>
      </c>
      <c r="E268" s="44" t="s">
        <v>4879</v>
      </c>
      <c r="F268" s="36" t="str">
        <f t="shared" ref="F268:F311" si="12">IF(A268="", "", "gift-codes.html?game=" &amp; A268)</f>
        <v>gift-codes.html?game=我的花園世界</v>
      </c>
      <c r="G268" s="44" t="s">
        <v>4894</v>
      </c>
      <c r="H268" s="37" t="str">
        <f t="shared" si="11"/>
        <v>https://www.ssbuy.tw/detail_giftcode/dist/gamedetail/我的花園世界.html</v>
      </c>
      <c r="I268" s="38" t="s">
        <v>4896</v>
      </c>
      <c r="J268" s="52" t="s">
        <v>4888</v>
      </c>
      <c r="K268" s="54">
        <v>2609</v>
      </c>
      <c r="L268" s="52" t="s">
        <v>204</v>
      </c>
      <c r="M268" s="54">
        <v>1365</v>
      </c>
      <c r="N268" s="52" t="s">
        <v>4889</v>
      </c>
      <c r="O268" s="54">
        <v>807</v>
      </c>
      <c r="P268" s="52" t="s">
        <v>4447</v>
      </c>
      <c r="Q268" s="54">
        <v>546</v>
      </c>
      <c r="R268" s="52" t="s">
        <v>4890</v>
      </c>
      <c r="S268" s="54">
        <v>400</v>
      </c>
      <c r="T268" s="52" t="s">
        <v>205</v>
      </c>
      <c r="U268" s="54">
        <v>269</v>
      </c>
      <c r="V268" s="52" t="s">
        <v>239</v>
      </c>
      <c r="W268" s="54">
        <v>145</v>
      </c>
      <c r="X268" s="52" t="s">
        <v>240</v>
      </c>
      <c r="Y268" s="54">
        <v>29</v>
      </c>
      <c r="Z268" s="52" t="s">
        <v>4891</v>
      </c>
      <c r="AA268" s="54">
        <v>29</v>
      </c>
      <c r="AB268" s="52" t="s">
        <v>4892</v>
      </c>
      <c r="AC268" s="54">
        <v>145</v>
      </c>
      <c r="AD268" s="83" t="s">
        <v>5422</v>
      </c>
      <c r="AE268" s="86" t="s">
        <v>5451</v>
      </c>
    </row>
    <row r="269" spans="1:35" ht="22.5" customHeight="1" thickBot="1">
      <c r="A269" s="54" t="s">
        <v>4926</v>
      </c>
      <c r="C269" s="79" t="s">
        <v>4931</v>
      </c>
      <c r="D269" s="37" t="s">
        <v>4933</v>
      </c>
      <c r="E269" s="37" t="s">
        <v>4932</v>
      </c>
      <c r="F269" s="36" t="str">
        <f t="shared" si="12"/>
        <v>gift-codes.html?game=Awakenloop</v>
      </c>
      <c r="G269" s="37" t="s">
        <v>4934</v>
      </c>
      <c r="H269" s="37" t="str">
        <f t="shared" si="11"/>
        <v>https://www.ssbuy.tw/detail_giftcode/dist/gamedetail/Awakenloop.html</v>
      </c>
      <c r="I269" s="38" t="s">
        <v>4950</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4968</v>
      </c>
      <c r="Y269" s="54">
        <v>52</v>
      </c>
      <c r="Z269" s="52" t="s">
        <v>4841</v>
      </c>
      <c r="AA269" s="54">
        <v>26</v>
      </c>
      <c r="AB269" s="83" t="s">
        <v>5422</v>
      </c>
      <c r="AC269" s="86" t="s">
        <v>5451</v>
      </c>
    </row>
    <row r="270" spans="1:35" ht="22.5" customHeight="1" thickBot="1">
      <c r="A270" s="54" t="s">
        <v>4927</v>
      </c>
      <c r="C270" s="36" t="s">
        <v>4938</v>
      </c>
      <c r="D270" s="37" t="s">
        <v>4935</v>
      </c>
      <c r="E270" s="37" t="s">
        <v>4936</v>
      </c>
      <c r="F270" s="36" t="str">
        <f t="shared" si="12"/>
        <v>gift-codes.html?game=Astellia</v>
      </c>
      <c r="G270" s="37" t="s">
        <v>4937</v>
      </c>
      <c r="H270" s="37" t="str">
        <f t="shared" si="11"/>
        <v>https://www.ssbuy.tw/detail_giftcode/dist/gamedetail/Astellia.html</v>
      </c>
      <c r="I270" s="38" t="s">
        <v>4951</v>
      </c>
      <c r="J270" s="52" t="s">
        <v>4969</v>
      </c>
      <c r="K270" s="54">
        <v>2076</v>
      </c>
      <c r="L270" s="52" t="s">
        <v>261</v>
      </c>
      <c r="M270" s="54">
        <v>1030</v>
      </c>
      <c r="N270" s="52" t="s">
        <v>263</v>
      </c>
      <c r="O270" s="54">
        <v>637</v>
      </c>
      <c r="P270" s="52" t="s">
        <v>3699</v>
      </c>
      <c r="Q270" s="54">
        <v>227</v>
      </c>
      <c r="R270" s="83" t="s">
        <v>5422</v>
      </c>
      <c r="S270" s="86" t="s">
        <v>5451</v>
      </c>
    </row>
    <row r="271" spans="1:35" ht="22.5" customHeight="1" thickBot="1">
      <c r="A271" s="54" t="s">
        <v>4928</v>
      </c>
      <c r="C271" s="36" t="s">
        <v>4948</v>
      </c>
      <c r="D271" s="36" t="s">
        <v>4948</v>
      </c>
      <c r="E271" s="37" t="s">
        <v>4949</v>
      </c>
      <c r="F271" s="36" t="str">
        <f t="shared" si="12"/>
        <v>gift-codes.html?game=華夏千秋</v>
      </c>
      <c r="G271" s="37" t="s">
        <v>4939</v>
      </c>
      <c r="H271" s="37" t="str">
        <f t="shared" si="11"/>
        <v>https://www.ssbuy.tw/detail_giftcode/dist/gamedetail/華夏千秋.html</v>
      </c>
      <c r="I271" s="38" t="s">
        <v>4952</v>
      </c>
      <c r="J271" s="52" t="s">
        <v>4970</v>
      </c>
      <c r="K271" s="54">
        <v>2579</v>
      </c>
      <c r="L271" s="52" t="s">
        <v>4971</v>
      </c>
      <c r="M271" s="54">
        <v>1988</v>
      </c>
      <c r="N271" s="52" t="s">
        <v>4972</v>
      </c>
      <c r="O271" s="54">
        <v>1349</v>
      </c>
      <c r="P271" s="52" t="s">
        <v>4973</v>
      </c>
      <c r="Q271" s="54">
        <v>950</v>
      </c>
      <c r="R271" s="52" t="s">
        <v>4974</v>
      </c>
      <c r="S271" s="54">
        <v>798</v>
      </c>
      <c r="T271" s="52" t="s">
        <v>4975</v>
      </c>
      <c r="U271" s="54">
        <v>749</v>
      </c>
      <c r="V271" s="52" t="s">
        <v>4976</v>
      </c>
      <c r="W271" s="54">
        <v>540</v>
      </c>
      <c r="X271" s="52" t="s">
        <v>4977</v>
      </c>
      <c r="Y271" s="54">
        <v>395</v>
      </c>
      <c r="Z271" s="52" t="s">
        <v>4978</v>
      </c>
      <c r="AA271" s="54">
        <v>346</v>
      </c>
      <c r="AB271" s="52" t="s">
        <v>4979</v>
      </c>
      <c r="AC271" s="54">
        <v>314</v>
      </c>
      <c r="AD271" s="83" t="s">
        <v>5422</v>
      </c>
      <c r="AE271" s="86" t="s">
        <v>5451</v>
      </c>
    </row>
    <row r="272" spans="1:35" ht="22.5" customHeight="1" thickBot="1">
      <c r="A272" s="54" t="s">
        <v>4929</v>
      </c>
      <c r="C272" s="36" t="s">
        <v>4940</v>
      </c>
      <c r="D272" s="37" t="s">
        <v>4943</v>
      </c>
      <c r="E272" s="37" t="s">
        <v>4942</v>
      </c>
      <c r="F272" s="36" t="str">
        <f t="shared" si="12"/>
        <v>gift-codes.html?game=萌塔娘</v>
      </c>
      <c r="G272" s="37" t="s">
        <v>4941</v>
      </c>
      <c r="H272" s="37" t="str">
        <f t="shared" si="11"/>
        <v>https://www.ssbuy.tw/detail_giftcode/dist/gamedetail/萌塔娘.html</v>
      </c>
      <c r="I272" s="38" t="s">
        <v>4953</v>
      </c>
      <c r="J272" s="52" t="s">
        <v>4980</v>
      </c>
      <c r="K272" s="54">
        <v>2579</v>
      </c>
      <c r="L272" s="52" t="s">
        <v>4981</v>
      </c>
      <c r="M272" s="54">
        <v>1349</v>
      </c>
      <c r="N272" s="52" t="s">
        <v>4982</v>
      </c>
      <c r="O272" s="54">
        <v>798</v>
      </c>
      <c r="P272" s="52" t="s">
        <v>4983</v>
      </c>
      <c r="Q272" s="54">
        <v>395</v>
      </c>
      <c r="R272" s="52" t="s">
        <v>4984</v>
      </c>
      <c r="S272" s="54">
        <v>266</v>
      </c>
      <c r="T272" s="52" t="s">
        <v>4985</v>
      </c>
      <c r="U272" s="54">
        <v>143</v>
      </c>
      <c r="V272" s="52" t="s">
        <v>4986</v>
      </c>
      <c r="W272" s="54">
        <v>29</v>
      </c>
      <c r="X272" s="83" t="s">
        <v>5422</v>
      </c>
      <c r="Y272" s="86" t="s">
        <v>5451</v>
      </c>
    </row>
    <row r="273" spans="1:31" ht="22.5" customHeight="1" thickBot="1">
      <c r="A273" s="54" t="s">
        <v>4930</v>
      </c>
      <c r="C273" s="36" t="s">
        <v>4944</v>
      </c>
      <c r="D273" s="37" t="s">
        <v>4945</v>
      </c>
      <c r="E273" s="37" t="s">
        <v>4946</v>
      </c>
      <c r="F273" s="36" t="str">
        <f t="shared" si="12"/>
        <v>gift-codes.html?game=盜夢英雄2：幻野</v>
      </c>
      <c r="G273" s="37" t="s">
        <v>4947</v>
      </c>
      <c r="H273" s="37" t="str">
        <f t="shared" si="11"/>
        <v>https://www.ssbuy.tw/detail_giftcode/dist/gamedetail/盜夢英雄2：幻野.html</v>
      </c>
      <c r="I273" s="38" t="s">
        <v>4954</v>
      </c>
      <c r="J273" s="52" t="s">
        <v>4987</v>
      </c>
      <c r="K273" s="54">
        <v>2579</v>
      </c>
      <c r="L273" s="52" t="s">
        <v>1675</v>
      </c>
      <c r="M273" s="54">
        <v>1828</v>
      </c>
      <c r="N273" s="52" t="s">
        <v>1676</v>
      </c>
      <c r="O273" s="54">
        <v>1349</v>
      </c>
      <c r="P273" s="52" t="s">
        <v>1678</v>
      </c>
      <c r="Q273" s="54">
        <v>950</v>
      </c>
      <c r="R273" s="52" t="s">
        <v>151</v>
      </c>
      <c r="S273" s="54">
        <v>798</v>
      </c>
      <c r="T273" s="52" t="s">
        <v>4988</v>
      </c>
      <c r="U273" s="54">
        <v>669</v>
      </c>
      <c r="V273" s="52" t="s">
        <v>1679</v>
      </c>
      <c r="W273" s="54">
        <v>540</v>
      </c>
      <c r="X273" s="52" t="s">
        <v>153</v>
      </c>
      <c r="Y273" s="54">
        <v>395</v>
      </c>
      <c r="Z273" s="52" t="s">
        <v>4989</v>
      </c>
      <c r="AA273" s="54">
        <v>314</v>
      </c>
      <c r="AB273" s="52" t="s">
        <v>154</v>
      </c>
      <c r="AC273" s="54">
        <v>160</v>
      </c>
      <c r="AD273" s="83" t="s">
        <v>5422</v>
      </c>
      <c r="AE273" s="86" t="s">
        <v>5451</v>
      </c>
    </row>
    <row r="274" spans="1:31" ht="22.5" customHeight="1" thickBot="1">
      <c r="A274" s="66" t="s">
        <v>5004</v>
      </c>
      <c r="C274" s="36" t="s">
        <v>5001</v>
      </c>
      <c r="D274" s="37" t="s">
        <v>5002</v>
      </c>
      <c r="E274" s="37" t="s">
        <v>5003</v>
      </c>
      <c r="F274" s="36" t="str">
        <f t="shared" si="12"/>
        <v>gift-codes.html?game=貪婪洞窟：重生</v>
      </c>
      <c r="G274" s="44" t="s">
        <v>5005</v>
      </c>
      <c r="H274" s="37" t="str">
        <f t="shared" si="11"/>
        <v>https://www.ssbuy.tw/detail_giftcode/dist/gamedetail/貪婪洞窟：重生.html</v>
      </c>
      <c r="I274" s="38" t="s">
        <v>5006</v>
      </c>
      <c r="J274" s="52" t="s">
        <v>5007</v>
      </c>
      <c r="K274" s="54">
        <v>2343</v>
      </c>
      <c r="L274" s="52" t="s">
        <v>5008</v>
      </c>
      <c r="M274" s="54">
        <v>1190</v>
      </c>
      <c r="N274" s="52" t="s">
        <v>5009</v>
      </c>
      <c r="O274" s="54">
        <v>556</v>
      </c>
      <c r="P274" s="52" t="s">
        <v>5010</v>
      </c>
      <c r="Q274" s="54">
        <v>258</v>
      </c>
      <c r="R274" s="52" t="s">
        <v>5011</v>
      </c>
      <c r="S274" s="54">
        <v>126</v>
      </c>
      <c r="T274" s="52" t="s">
        <v>1377</v>
      </c>
      <c r="U274" s="54">
        <v>26</v>
      </c>
      <c r="V274" s="52" t="s">
        <v>5012</v>
      </c>
      <c r="W274" s="54">
        <v>556</v>
      </c>
      <c r="X274" s="52" t="s">
        <v>5013</v>
      </c>
      <c r="Y274" s="54">
        <v>556</v>
      </c>
      <c r="Z274" s="52" t="s">
        <v>5014</v>
      </c>
      <c r="AA274" s="54">
        <v>1190</v>
      </c>
      <c r="AB274" s="52" t="s">
        <v>5015</v>
      </c>
      <c r="AC274" s="54">
        <v>2343</v>
      </c>
      <c r="AD274" s="83" t="s">
        <v>5422</v>
      </c>
      <c r="AE274" s="86" t="s">
        <v>5451</v>
      </c>
    </row>
    <row r="275" spans="1:31" ht="22.5" customHeight="1" thickBot="1">
      <c r="A275" s="66" t="s">
        <v>5056</v>
      </c>
      <c r="C275" s="36" t="s">
        <v>5050</v>
      </c>
      <c r="D275" s="37" t="s">
        <v>5053</v>
      </c>
      <c r="E275" s="37" t="s">
        <v>5054</v>
      </c>
      <c r="F275" s="36" t="str">
        <f t="shared" si="12"/>
        <v>gift-codes.html?game=小兵特攻隊</v>
      </c>
      <c r="G275" s="37" t="s">
        <v>5055</v>
      </c>
      <c r="H275" s="37" t="str">
        <f t="shared" si="11"/>
        <v>https://www.ssbuy.tw/detail_giftcode/dist/gamedetail/小兵特攻隊.html</v>
      </c>
      <c r="I275" s="38" t="s">
        <v>5058</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5057</v>
      </c>
      <c r="Y275" s="54">
        <v>141</v>
      </c>
      <c r="Z275" s="83" t="s">
        <v>5422</v>
      </c>
      <c r="AA275" s="86" t="s">
        <v>5451</v>
      </c>
    </row>
    <row r="276" spans="1:31" ht="22.5" customHeight="1" thickBot="1">
      <c r="A276" s="54" t="s">
        <v>5067</v>
      </c>
      <c r="C276" s="36" t="s">
        <v>5070</v>
      </c>
      <c r="D276" s="37" t="s">
        <v>5083</v>
      </c>
      <c r="E276" s="37" t="s">
        <v>5084</v>
      </c>
      <c r="F276" s="36" t="str">
        <f t="shared" si="12"/>
        <v>gift-codes.html?game=星塔旅人</v>
      </c>
      <c r="G276" s="44" t="s">
        <v>5085</v>
      </c>
      <c r="H276" s="37" t="str">
        <f t="shared" si="11"/>
        <v>https://www.ssbuy.tw/detail_giftcode/dist/gamedetail/星塔旅人.html</v>
      </c>
      <c r="I276" s="38" t="s">
        <v>5086</v>
      </c>
      <c r="J276" s="92" t="s">
        <v>5257</v>
      </c>
      <c r="K276" s="93">
        <v>2477</v>
      </c>
      <c r="L276" s="92" t="s">
        <v>5258</v>
      </c>
      <c r="M276" s="93">
        <v>1346</v>
      </c>
      <c r="N276" s="92" t="s">
        <v>5259</v>
      </c>
      <c r="O276" s="93">
        <v>713</v>
      </c>
      <c r="P276" s="92" t="s">
        <v>5260</v>
      </c>
      <c r="Q276" s="93">
        <v>340</v>
      </c>
      <c r="R276" s="92" t="s">
        <v>5261</v>
      </c>
      <c r="S276" s="93">
        <v>169</v>
      </c>
      <c r="T276" s="92" t="s">
        <v>5262</v>
      </c>
      <c r="U276" s="93">
        <v>82</v>
      </c>
      <c r="V276" s="92" t="s">
        <v>5263</v>
      </c>
      <c r="W276" s="93">
        <v>30</v>
      </c>
      <c r="X276" s="92" t="s">
        <v>5264</v>
      </c>
      <c r="Y276" s="93">
        <v>133</v>
      </c>
      <c r="Z276" s="83" t="s">
        <v>5422</v>
      </c>
      <c r="AA276" s="86" t="s">
        <v>5451</v>
      </c>
    </row>
    <row r="277" spans="1:31" ht="22.5" customHeight="1" thickBot="1">
      <c r="A277" s="54" t="s">
        <v>4668</v>
      </c>
      <c r="C277" s="36" t="s">
        <v>5073</v>
      </c>
      <c r="D277" s="37" t="s">
        <v>5074</v>
      </c>
      <c r="E277" s="37" t="s">
        <v>5076</v>
      </c>
      <c r="F277" s="36" t="str">
        <f t="shared" si="12"/>
        <v>gift-codes.html?game=卡厄斯夢境</v>
      </c>
      <c r="G277" s="37" t="s">
        <v>5075</v>
      </c>
      <c r="H277" s="37" t="str">
        <f t="shared" si="11"/>
        <v>https://www.ssbuy.tw/detail_giftcode/dist/gamedetail/卡厄斯夢境.html</v>
      </c>
      <c r="I277" s="38" t="s">
        <v>5087</v>
      </c>
      <c r="J277" s="84" t="s">
        <v>5007</v>
      </c>
      <c r="K277" s="85">
        <v>2230</v>
      </c>
      <c r="L277" s="84" t="s">
        <v>5008</v>
      </c>
      <c r="M277" s="85">
        <v>1389</v>
      </c>
      <c r="N277" s="84" t="s">
        <v>5161</v>
      </c>
      <c r="O277" s="85">
        <v>821</v>
      </c>
      <c r="P277" s="84" t="s">
        <v>5162</v>
      </c>
      <c r="Q277" s="85">
        <v>407</v>
      </c>
      <c r="R277" s="84" t="s">
        <v>5011</v>
      </c>
      <c r="S277" s="85">
        <v>147</v>
      </c>
      <c r="T277" s="84" t="s">
        <v>1377</v>
      </c>
      <c r="U277" s="85">
        <v>29</v>
      </c>
      <c r="V277" s="84" t="s">
        <v>5163</v>
      </c>
      <c r="W277" s="85">
        <v>147</v>
      </c>
      <c r="X277" s="52"/>
      <c r="Y277" s="54"/>
      <c r="Z277" s="83" t="s">
        <v>5422</v>
      </c>
      <c r="AA277" s="86" t="s">
        <v>5451</v>
      </c>
    </row>
    <row r="278" spans="1:31" ht="22.5" customHeight="1" thickBot="1">
      <c r="A278" s="54" t="s">
        <v>5068</v>
      </c>
      <c r="C278" s="36" t="s">
        <v>5072</v>
      </c>
      <c r="D278" s="37" t="s">
        <v>5077</v>
      </c>
      <c r="E278" s="37" t="s">
        <v>5079</v>
      </c>
      <c r="F278" s="36" t="str">
        <f t="shared" si="12"/>
        <v>gift-codes.html?game=星痕共鳴</v>
      </c>
      <c r="G278" s="37" t="s">
        <v>5078</v>
      </c>
      <c r="H278" s="37" t="str">
        <f t="shared" si="11"/>
        <v>https://www.ssbuy.tw/detail_giftcode/dist/gamedetail/星痕共鳴.html</v>
      </c>
      <c r="I278" s="38" t="s">
        <v>5088</v>
      </c>
      <c r="J278" s="52" t="s">
        <v>5092</v>
      </c>
      <c r="K278" s="54">
        <v>2533</v>
      </c>
      <c r="L278" s="52" t="s">
        <v>5093</v>
      </c>
      <c r="M278" s="54">
        <v>1325</v>
      </c>
      <c r="N278" s="52" t="s">
        <v>3515</v>
      </c>
      <c r="O278" s="54">
        <v>783</v>
      </c>
      <c r="P278" s="52" t="s">
        <v>5094</v>
      </c>
      <c r="Q278" s="54">
        <v>388</v>
      </c>
      <c r="R278" s="52" t="s">
        <v>5095</v>
      </c>
      <c r="S278" s="54">
        <v>261</v>
      </c>
      <c r="T278" s="52" t="s">
        <v>28</v>
      </c>
      <c r="U278" s="54">
        <v>141</v>
      </c>
      <c r="V278" s="52" t="s">
        <v>4713</v>
      </c>
      <c r="W278" s="54">
        <v>28</v>
      </c>
      <c r="X278" s="52" t="s">
        <v>178</v>
      </c>
      <c r="Y278" s="54">
        <v>141</v>
      </c>
      <c r="Z278" s="52" t="s">
        <v>5096</v>
      </c>
      <c r="AA278" s="54">
        <v>522</v>
      </c>
      <c r="AB278" s="52" t="s">
        <v>5097</v>
      </c>
      <c r="AC278" s="54">
        <v>261</v>
      </c>
      <c r="AD278" s="83" t="s">
        <v>5422</v>
      </c>
      <c r="AE278" s="86" t="s">
        <v>5451</v>
      </c>
    </row>
    <row r="279" spans="1:31" ht="22.5" customHeight="1" thickBot="1">
      <c r="A279" s="54" t="s">
        <v>5069</v>
      </c>
      <c r="C279" s="36" t="s">
        <v>5071</v>
      </c>
      <c r="D279" s="37" t="s">
        <v>5080</v>
      </c>
      <c r="E279" s="37" t="s">
        <v>5082</v>
      </c>
      <c r="F279" s="36" t="str">
        <f t="shared" si="12"/>
        <v>gift-codes.html?game=二重螺旋</v>
      </c>
      <c r="G279" s="37" t="s">
        <v>5081</v>
      </c>
      <c r="H279" s="37" t="str">
        <f t="shared" si="11"/>
        <v>https://www.ssbuy.tw/detail_giftcode/dist/gamedetail/二重螺旋.html</v>
      </c>
      <c r="I279" s="38" t="s">
        <v>5089</v>
      </c>
      <c r="J279" s="92" t="s">
        <v>5098</v>
      </c>
      <c r="K279" s="93">
        <v>2717</v>
      </c>
      <c r="L279" s="92" t="s">
        <v>5099</v>
      </c>
      <c r="M279" s="93">
        <v>1422</v>
      </c>
      <c r="N279" s="92" t="s">
        <v>5100</v>
      </c>
      <c r="O279" s="93">
        <v>840</v>
      </c>
      <c r="P279" s="92" t="s">
        <v>5101</v>
      </c>
      <c r="Q279" s="93">
        <v>416</v>
      </c>
      <c r="R279" s="92" t="s">
        <v>5102</v>
      </c>
      <c r="S279" s="93">
        <v>151</v>
      </c>
      <c r="T279" s="92" t="s">
        <v>5103</v>
      </c>
      <c r="U279" s="93">
        <v>30</v>
      </c>
      <c r="V279" s="92" t="s">
        <v>5365</v>
      </c>
      <c r="W279" s="93">
        <v>151</v>
      </c>
      <c r="X279" s="83" t="s">
        <v>5422</v>
      </c>
      <c r="Y279" s="86" t="s">
        <v>5451</v>
      </c>
      <c r="Z279" s="52"/>
      <c r="AA279" s="54"/>
      <c r="AB279" s="83"/>
      <c r="AC279" s="86"/>
    </row>
    <row r="280" spans="1:31" ht="22.5" customHeight="1" thickBot="1">
      <c r="A280" s="54" t="s">
        <v>5122</v>
      </c>
      <c r="C280" s="36" t="s">
        <v>5119</v>
      </c>
      <c r="D280" s="37" t="s">
        <v>5120</v>
      </c>
      <c r="E280" s="37" t="s">
        <v>5118</v>
      </c>
      <c r="F280" s="36" t="str">
        <f t="shared" si="12"/>
        <v>gift-codes.html?game=電馭跑酷</v>
      </c>
      <c r="G280" s="44" t="s">
        <v>5123</v>
      </c>
      <c r="H280" s="37" t="str">
        <f t="shared" si="11"/>
        <v>https://www.ssbuy.tw/detail_giftcode/dist/gamedetail/電馭跑酷.html</v>
      </c>
      <c r="I280" s="66" t="s">
        <v>5159</v>
      </c>
      <c r="J280" s="84" t="s">
        <v>5143</v>
      </c>
      <c r="K280" s="85">
        <v>2302</v>
      </c>
      <c r="L280" s="84" t="s">
        <v>5144</v>
      </c>
      <c r="M280" s="85">
        <v>1168</v>
      </c>
      <c r="N280" s="84" t="s">
        <v>5145</v>
      </c>
      <c r="O280" s="85">
        <v>467</v>
      </c>
      <c r="P280" s="84" t="s">
        <v>5146</v>
      </c>
      <c r="Q280" s="85">
        <v>248</v>
      </c>
      <c r="R280" s="84" t="s">
        <v>5147</v>
      </c>
      <c r="S280" s="85">
        <v>124</v>
      </c>
      <c r="T280" s="84" t="s">
        <v>5148</v>
      </c>
      <c r="U280" s="85">
        <v>51</v>
      </c>
      <c r="V280" s="84" t="s">
        <v>5149</v>
      </c>
      <c r="W280" s="85">
        <v>248</v>
      </c>
      <c r="X280" s="83" t="s">
        <v>5422</v>
      </c>
      <c r="Y280" s="86" t="s">
        <v>5451</v>
      </c>
    </row>
    <row r="281" spans="1:31" ht="22.5" customHeight="1" thickBot="1">
      <c r="A281" s="54" t="s">
        <v>5132</v>
      </c>
      <c r="C281" s="36" t="s">
        <v>5121</v>
      </c>
      <c r="D281" s="37" t="s">
        <v>5117</v>
      </c>
      <c r="E281" s="37" t="s">
        <v>5116</v>
      </c>
      <c r="F281" s="36" t="str">
        <f t="shared" si="12"/>
        <v>gift-codes.html?game=火焰紋章Shadows</v>
      </c>
      <c r="G281" s="44" t="s">
        <v>5124</v>
      </c>
      <c r="H281" s="37" t="str">
        <f t="shared" si="11"/>
        <v>https://www.ssbuy.tw/detail_giftcode/dist/gamedetail/火焰紋章Shadows.html</v>
      </c>
      <c r="I281" s="66" t="s">
        <v>5160</v>
      </c>
      <c r="J281" s="84" t="s">
        <v>5150</v>
      </c>
      <c r="K281" s="85">
        <v>1549</v>
      </c>
      <c r="L281" s="84" t="s">
        <v>5151</v>
      </c>
      <c r="M281" s="85">
        <v>1030</v>
      </c>
      <c r="N281" s="84" t="s">
        <v>5152</v>
      </c>
      <c r="O281" s="85">
        <v>673</v>
      </c>
      <c r="P281" s="84" t="s">
        <v>5153</v>
      </c>
      <c r="Q281" s="85">
        <v>344</v>
      </c>
      <c r="R281" s="84" t="s">
        <v>5154</v>
      </c>
      <c r="S281" s="85">
        <v>157</v>
      </c>
      <c r="T281" s="84" t="s">
        <v>5155</v>
      </c>
      <c r="U281" s="85">
        <v>81</v>
      </c>
      <c r="V281" s="84" t="s">
        <v>5156</v>
      </c>
      <c r="W281" s="85">
        <v>17</v>
      </c>
      <c r="X281" s="84" t="s">
        <v>5157</v>
      </c>
      <c r="Y281" s="85">
        <v>244</v>
      </c>
      <c r="Z281" s="84" t="s">
        <v>5158</v>
      </c>
      <c r="AA281" s="85">
        <v>139</v>
      </c>
      <c r="AB281" s="83" t="s">
        <v>5422</v>
      </c>
      <c r="AC281" s="86" t="s">
        <v>5451</v>
      </c>
    </row>
    <row r="282" spans="1:31" ht="22.5" customHeight="1" thickBot="1">
      <c r="A282" s="85" t="s">
        <v>5203</v>
      </c>
      <c r="C282" s="36" t="s">
        <v>5164</v>
      </c>
      <c r="D282" s="37" t="s">
        <v>5165</v>
      </c>
      <c r="E282" s="37" t="s">
        <v>5166</v>
      </c>
      <c r="F282" s="36" t="str">
        <f t="shared" si="12"/>
        <v>gift-codes.html?game=石器時代：寵物世界</v>
      </c>
      <c r="G282" s="83" t="s">
        <v>5180</v>
      </c>
      <c r="H282" s="37" t="str">
        <f t="shared" si="11"/>
        <v>https://www.ssbuy.tw/detail_giftcode/dist/gamedetail/石器時代：寵物世界.html</v>
      </c>
      <c r="I282" s="38" t="s">
        <v>5183</v>
      </c>
      <c r="J282" s="84" t="s">
        <v>4987</v>
      </c>
      <c r="K282" s="85">
        <v>2655</v>
      </c>
      <c r="L282" s="84" t="s">
        <v>1674</v>
      </c>
      <c r="M282" s="85">
        <v>2047</v>
      </c>
      <c r="N282" s="84" t="s">
        <v>5173</v>
      </c>
      <c r="O282" s="85">
        <v>1357</v>
      </c>
      <c r="P282" s="84" t="s">
        <v>5174</v>
      </c>
      <c r="Q282" s="85">
        <v>1085</v>
      </c>
      <c r="R282" s="84" t="s">
        <v>5175</v>
      </c>
      <c r="S282" s="85">
        <v>822</v>
      </c>
      <c r="T282" s="84" t="s">
        <v>5176</v>
      </c>
      <c r="U282" s="85">
        <v>680</v>
      </c>
      <c r="V282" s="84" t="s">
        <v>152</v>
      </c>
      <c r="W282" s="85">
        <v>572</v>
      </c>
      <c r="X282" s="84" t="s">
        <v>153</v>
      </c>
      <c r="Y282" s="85">
        <v>407</v>
      </c>
      <c r="Z282" s="84" t="s">
        <v>5177</v>
      </c>
      <c r="AA282" s="85">
        <v>357</v>
      </c>
      <c r="AB282" s="84" t="s">
        <v>1680</v>
      </c>
      <c r="AC282" s="85">
        <v>274</v>
      </c>
      <c r="AD282" s="83" t="s">
        <v>5422</v>
      </c>
      <c r="AE282" s="86" t="s">
        <v>5451</v>
      </c>
    </row>
    <row r="283" spans="1:31" ht="22.5" customHeight="1" thickBot="1">
      <c r="A283" s="85" t="s">
        <v>5178</v>
      </c>
      <c r="C283" s="36" t="s">
        <v>5167</v>
      </c>
      <c r="D283" s="37" t="s">
        <v>5168</v>
      </c>
      <c r="E283" s="37" t="s">
        <v>5169</v>
      </c>
      <c r="F283" s="36" t="str">
        <f t="shared" si="12"/>
        <v>gift-codes.html?game=蔚藍星球：國王很忙</v>
      </c>
      <c r="G283" s="83" t="s">
        <v>5181</v>
      </c>
      <c r="H283" s="37" t="str">
        <f t="shared" si="11"/>
        <v>https://www.ssbuy.tw/detail_giftcode/dist/gamedetail/蔚藍星球：國王很忙.html</v>
      </c>
      <c r="I283" s="38" t="s">
        <v>5184</v>
      </c>
      <c r="J283" s="92" t="s">
        <v>5325</v>
      </c>
      <c r="K283" s="93">
        <v>2717</v>
      </c>
      <c r="L283" s="92" t="s">
        <v>5326</v>
      </c>
      <c r="M283" s="93">
        <v>1422</v>
      </c>
      <c r="N283" s="92" t="s">
        <v>5327</v>
      </c>
      <c r="O283" s="93">
        <v>586</v>
      </c>
      <c r="P283" s="92" t="s">
        <v>5328</v>
      </c>
      <c r="Q283" s="93">
        <v>416</v>
      </c>
      <c r="R283" s="92" t="s">
        <v>1302</v>
      </c>
      <c r="S283" s="93">
        <v>151</v>
      </c>
      <c r="T283" s="92" t="s">
        <v>7</v>
      </c>
      <c r="U283" s="93">
        <v>30</v>
      </c>
      <c r="V283" s="92" t="s">
        <v>5329</v>
      </c>
      <c r="W283" s="93">
        <v>151</v>
      </c>
      <c r="X283" s="92" t="s">
        <v>5330</v>
      </c>
      <c r="Y283" s="93">
        <v>89</v>
      </c>
      <c r="Z283" s="83" t="s">
        <v>5422</v>
      </c>
      <c r="AA283" s="86" t="s">
        <v>5451</v>
      </c>
    </row>
    <row r="284" spans="1:31" ht="22.5" customHeight="1" thickBot="1">
      <c r="A284" s="85" t="s">
        <v>5179</v>
      </c>
      <c r="C284" s="36" t="s">
        <v>5170</v>
      </c>
      <c r="D284" s="37" t="s">
        <v>5171</v>
      </c>
      <c r="E284" s="37" t="s">
        <v>5172</v>
      </c>
      <c r="F284" s="36" t="str">
        <f t="shared" si="12"/>
        <v>gift-codes.html?game=胸懷三國：美人計</v>
      </c>
      <c r="G284" s="83" t="s">
        <v>5182</v>
      </c>
      <c r="H284" s="37" t="str">
        <f t="shared" ref="H284:H311" si="13">IF(A284="", "", "https://www.ssbuy.tw/game-detail.html?game="&amp;A284)</f>
        <v>https://www.ssbuy.tw/game-detail.html?game=胸懷三國：美人計</v>
      </c>
      <c r="I284" s="38" t="s">
        <v>5185</v>
      </c>
      <c r="J284" s="92" t="s">
        <v>5272</v>
      </c>
      <c r="K284" s="93">
        <v>2717</v>
      </c>
      <c r="L284" s="92" t="s">
        <v>5273</v>
      </c>
      <c r="M284" s="93">
        <v>1388</v>
      </c>
      <c r="N284" s="92" t="s">
        <v>5274</v>
      </c>
      <c r="O284" s="93">
        <v>841</v>
      </c>
      <c r="P284" s="92" t="s">
        <v>5275</v>
      </c>
      <c r="Q284" s="93">
        <v>586</v>
      </c>
      <c r="R284" s="92" t="s">
        <v>5276</v>
      </c>
      <c r="S284" s="93">
        <v>416</v>
      </c>
      <c r="T284" s="92" t="s">
        <v>5277</v>
      </c>
      <c r="U284" s="93">
        <v>280</v>
      </c>
      <c r="V284" s="92" t="s">
        <v>5278</v>
      </c>
      <c r="W284" s="93">
        <v>146</v>
      </c>
      <c r="X284" s="92" t="s">
        <v>5279</v>
      </c>
      <c r="Y284" s="93">
        <v>30</v>
      </c>
      <c r="Z284" s="92" t="s">
        <v>5280</v>
      </c>
      <c r="AA284" s="93">
        <v>416</v>
      </c>
      <c r="AB284" s="92" t="s">
        <v>5281</v>
      </c>
      <c r="AC284" s="93">
        <v>586</v>
      </c>
      <c r="AD284" s="83" t="s">
        <v>5422</v>
      </c>
      <c r="AE284" s="86" t="s">
        <v>5451</v>
      </c>
    </row>
    <row r="285" spans="1:31" ht="22.5" customHeight="1" thickBot="1">
      <c r="A285" s="85" t="s">
        <v>5229</v>
      </c>
      <c r="C285" s="36" t="s">
        <v>5227</v>
      </c>
      <c r="D285" s="37" t="s">
        <v>5228</v>
      </c>
      <c r="E285" s="37" t="s">
        <v>5217</v>
      </c>
      <c r="F285" s="36" t="str">
        <f t="shared" si="12"/>
        <v>gift-codes.html?game=弓箭英雄：塔防</v>
      </c>
      <c r="G285" s="83" t="s">
        <v>5230</v>
      </c>
      <c r="H285" s="37" t="str">
        <f t="shared" si="13"/>
        <v>https://www.ssbuy.tw/game-detail.html?game=弓箭英雄：塔防</v>
      </c>
      <c r="I285" s="38" t="s">
        <v>5256</v>
      </c>
      <c r="J285" s="92" t="s">
        <v>5252</v>
      </c>
      <c r="K285" s="93">
        <v>2469</v>
      </c>
      <c r="L285" s="92" t="s">
        <v>1466</v>
      </c>
      <c r="M285" s="93">
        <v>1253</v>
      </c>
      <c r="N285" s="92" t="s">
        <v>1294</v>
      </c>
      <c r="O285" s="93">
        <v>501</v>
      </c>
      <c r="P285" s="92" t="s">
        <v>64</v>
      </c>
      <c r="Q285" s="93">
        <v>257</v>
      </c>
      <c r="R285" s="92" t="s">
        <v>6</v>
      </c>
      <c r="S285" s="93">
        <v>133</v>
      </c>
      <c r="T285" s="92" t="s">
        <v>5253</v>
      </c>
      <c r="U285" s="93">
        <v>27</v>
      </c>
      <c r="V285" s="83" t="s">
        <v>5422</v>
      </c>
      <c r="W285" s="86" t="s">
        <v>5451</v>
      </c>
    </row>
    <row r="286" spans="1:31" ht="22.5" customHeight="1" thickBot="1">
      <c r="A286" s="85" t="s">
        <v>5235</v>
      </c>
      <c r="C286" s="36" t="s">
        <v>5219</v>
      </c>
      <c r="D286" s="37" t="s">
        <v>5218</v>
      </c>
      <c r="E286" s="37" t="s">
        <v>5220</v>
      </c>
      <c r="F286" s="36" t="str">
        <f t="shared" si="12"/>
        <v>gift-codes.html?game=十二之天M</v>
      </c>
      <c r="G286" s="83" t="s">
        <v>5231</v>
      </c>
      <c r="H286" s="37" t="str">
        <f t="shared" si="13"/>
        <v>https://www.ssbuy.tw/game-detail.html?game=十二之天M</v>
      </c>
      <c r="I286" s="66" t="s">
        <v>5249</v>
      </c>
      <c r="J286" s="92" t="s">
        <v>5265</v>
      </c>
      <c r="K286" s="93">
        <v>2717</v>
      </c>
      <c r="L286" s="92" t="s">
        <v>5266</v>
      </c>
      <c r="M286" s="93">
        <v>1422</v>
      </c>
      <c r="N286" s="92" t="s">
        <v>5267</v>
      </c>
      <c r="O286" s="93">
        <v>840</v>
      </c>
      <c r="P286" s="92" t="s">
        <v>5268</v>
      </c>
      <c r="Q286" s="93">
        <v>416</v>
      </c>
      <c r="R286" s="92" t="s">
        <v>1536</v>
      </c>
      <c r="S286" s="93">
        <v>151</v>
      </c>
      <c r="T286" s="92" t="s">
        <v>1538</v>
      </c>
      <c r="U286" s="93">
        <v>30</v>
      </c>
      <c r="V286" s="92" t="s">
        <v>5269</v>
      </c>
      <c r="W286" s="93">
        <v>213</v>
      </c>
      <c r="X286" s="92" t="s">
        <v>5270</v>
      </c>
      <c r="Y286" s="93">
        <v>357</v>
      </c>
      <c r="Z286" s="92" t="s">
        <v>5271</v>
      </c>
      <c r="AA286" s="93">
        <v>705</v>
      </c>
      <c r="AB286" s="83" t="s">
        <v>5422</v>
      </c>
      <c r="AC286" s="86" t="s">
        <v>5451</v>
      </c>
    </row>
    <row r="287" spans="1:31" ht="22.5" customHeight="1" thickBot="1">
      <c r="A287" s="85" t="s">
        <v>5236</v>
      </c>
      <c r="C287" s="36" t="s">
        <v>5223</v>
      </c>
      <c r="D287" s="37" t="s">
        <v>5222</v>
      </c>
      <c r="E287" s="37" t="s">
        <v>5221</v>
      </c>
      <c r="F287" s="36" t="str">
        <f t="shared" si="12"/>
        <v>gift-codes.html?game=NBA巔峰對決</v>
      </c>
      <c r="G287" s="83" t="s">
        <v>5232</v>
      </c>
      <c r="H287" s="37" t="str">
        <f t="shared" si="13"/>
        <v>https://www.ssbuy.tw/game-detail.html?game=NBA巔峰對決</v>
      </c>
      <c r="I287" s="38" t="s">
        <v>5250</v>
      </c>
      <c r="J287" s="92" t="s">
        <v>5376</v>
      </c>
      <c r="K287" s="93">
        <v>2717</v>
      </c>
      <c r="L287" s="92" t="s">
        <v>5377</v>
      </c>
      <c r="M287" s="93">
        <v>1422</v>
      </c>
      <c r="N287" s="92" t="s">
        <v>5378</v>
      </c>
      <c r="O287" s="93">
        <v>840</v>
      </c>
      <c r="P287" s="92" t="s">
        <v>5379</v>
      </c>
      <c r="Q287" s="93">
        <v>586</v>
      </c>
      <c r="R287" s="92" t="s">
        <v>5380</v>
      </c>
      <c r="S287" s="93">
        <v>297</v>
      </c>
      <c r="T287" s="92" t="s">
        <v>5381</v>
      </c>
      <c r="U287" s="93">
        <v>146</v>
      </c>
      <c r="V287" s="92" t="s">
        <v>5382</v>
      </c>
      <c r="W287" s="93">
        <v>30</v>
      </c>
      <c r="X287" s="92" t="s">
        <v>5383</v>
      </c>
      <c r="Y287" s="93">
        <v>9</v>
      </c>
      <c r="Z287" s="92" t="s">
        <v>1295</v>
      </c>
      <c r="AA287" s="93">
        <v>146</v>
      </c>
      <c r="AB287" s="83" t="s">
        <v>5422</v>
      </c>
      <c r="AC287" s="86" t="s">
        <v>5451</v>
      </c>
    </row>
    <row r="288" spans="1:31" ht="22.5" customHeight="1" thickBot="1">
      <c r="A288" s="85" t="s">
        <v>5233</v>
      </c>
      <c r="C288" s="36" t="s">
        <v>5226</v>
      </c>
      <c r="D288" s="37" t="s">
        <v>5225</v>
      </c>
      <c r="E288" s="37" t="s">
        <v>5224</v>
      </c>
      <c r="F288" s="36" t="str">
        <f t="shared" si="12"/>
        <v>gift-codes.html?game=三國志：王戰</v>
      </c>
      <c r="G288" s="83" t="s">
        <v>5234</v>
      </c>
      <c r="H288" s="37" t="str">
        <f t="shared" si="13"/>
        <v>https://www.ssbuy.tw/game-detail.html?game=三國志：王戰</v>
      </c>
      <c r="I288" s="38" t="s">
        <v>5251</v>
      </c>
      <c r="J288" s="83" t="s">
        <v>5422</v>
      </c>
      <c r="K288" s="86" t="s">
        <v>5451</v>
      </c>
    </row>
    <row r="289" spans="1:31" ht="22.5" customHeight="1" thickBot="1">
      <c r="A289" s="94" t="s">
        <v>5339</v>
      </c>
      <c r="C289" s="36" t="s">
        <v>5343</v>
      </c>
      <c r="D289" s="37" t="s">
        <v>5340</v>
      </c>
      <c r="E289" s="37" t="s">
        <v>5342</v>
      </c>
      <c r="F289" s="36" t="str">
        <f t="shared" si="12"/>
        <v>gift-codes.html?game=信長 霸道</v>
      </c>
      <c r="G289" s="37" t="s">
        <v>5341</v>
      </c>
      <c r="H289" s="37" t="str">
        <f t="shared" si="13"/>
        <v>https://www.ssbuy.tw/game-detail.html?game=信長 霸道</v>
      </c>
      <c r="I289" s="38" t="s">
        <v>5354</v>
      </c>
      <c r="J289" s="92" t="s">
        <v>5344</v>
      </c>
      <c r="K289" s="93">
        <v>2086</v>
      </c>
      <c r="L289" s="92" t="s">
        <v>5345</v>
      </c>
      <c r="M289" s="93">
        <v>1051</v>
      </c>
      <c r="N289" s="92" t="s">
        <v>5346</v>
      </c>
      <c r="O289" s="93">
        <v>531</v>
      </c>
      <c r="P289" s="92" t="s">
        <v>5347</v>
      </c>
      <c r="Q289" s="93">
        <v>357</v>
      </c>
      <c r="R289" s="92" t="s">
        <v>5348</v>
      </c>
      <c r="S289" s="93">
        <v>149</v>
      </c>
      <c r="T289" s="92" t="s">
        <v>5349</v>
      </c>
      <c r="U289" s="93">
        <v>32</v>
      </c>
      <c r="V289" s="92" t="s">
        <v>5350</v>
      </c>
      <c r="W289" s="93">
        <v>1051</v>
      </c>
      <c r="X289" s="92" t="s">
        <v>5351</v>
      </c>
      <c r="Y289" s="93">
        <v>531</v>
      </c>
      <c r="Z289" s="92" t="s">
        <v>5352</v>
      </c>
      <c r="AA289" s="93">
        <v>186</v>
      </c>
      <c r="AB289" s="92" t="s">
        <v>5353</v>
      </c>
      <c r="AC289" s="93">
        <v>357</v>
      </c>
      <c r="AD289" s="83" t="s">
        <v>5422</v>
      </c>
      <c r="AE289" s="86" t="s">
        <v>5451</v>
      </c>
    </row>
    <row r="290" spans="1:31" ht="22.5" customHeight="1" thickBot="1">
      <c r="A290" s="93" t="s">
        <v>6297</v>
      </c>
      <c r="C290" s="36" t="s">
        <v>5386</v>
      </c>
      <c r="D290" s="37" t="s">
        <v>5385</v>
      </c>
      <c r="E290" s="37" t="s">
        <v>5384</v>
      </c>
      <c r="F290" s="36" t="str">
        <f t="shared" si="12"/>
        <v>gift-codes.html?game=勇者前線Versus</v>
      </c>
      <c r="G290" s="37" t="s">
        <v>5409</v>
      </c>
      <c r="H290" s="37" t="str">
        <f t="shared" si="13"/>
        <v>https://www.ssbuy.tw/game-detail.html?game=勇者前線Versus</v>
      </c>
      <c r="I290" s="38" t="s">
        <v>5444</v>
      </c>
      <c r="J290" s="83" t="s">
        <v>5423</v>
      </c>
      <c r="K290" s="86" t="s">
        <v>5451</v>
      </c>
    </row>
    <row r="291" spans="1:31" ht="22.5" customHeight="1" thickBot="1">
      <c r="A291" s="93" t="s">
        <v>5439</v>
      </c>
      <c r="C291" s="36" t="s">
        <v>5387</v>
      </c>
      <c r="D291" s="37" t="s">
        <v>5388</v>
      </c>
      <c r="E291" s="37" t="s">
        <v>5389</v>
      </c>
      <c r="F291" s="36" t="str">
        <f t="shared" si="12"/>
        <v>gift-codes.html?game=幻域方舟</v>
      </c>
      <c r="G291" s="37" t="s">
        <v>5390</v>
      </c>
      <c r="H291" s="37" t="str">
        <f t="shared" si="13"/>
        <v>https://www.ssbuy.tw/game-detail.html?game=幻域方舟</v>
      </c>
      <c r="I291" s="38" t="s">
        <v>5445</v>
      </c>
      <c r="J291" s="83" t="s">
        <v>5423</v>
      </c>
      <c r="K291" s="86" t="s">
        <v>5451</v>
      </c>
      <c r="L291" s="92" t="s">
        <v>5696</v>
      </c>
      <c r="M291" s="93">
        <v>2585</v>
      </c>
      <c r="N291" s="92" t="s">
        <v>5697</v>
      </c>
      <c r="O291" s="93">
        <v>1295</v>
      </c>
      <c r="P291" s="92" t="s">
        <v>5698</v>
      </c>
      <c r="Q291" s="93">
        <v>800</v>
      </c>
      <c r="R291" s="92" t="s">
        <v>5699</v>
      </c>
      <c r="S291" s="93">
        <v>400</v>
      </c>
      <c r="T291" s="92" t="s">
        <v>5700</v>
      </c>
      <c r="U291" s="93">
        <v>139</v>
      </c>
      <c r="V291" s="92" t="s">
        <v>5701</v>
      </c>
      <c r="W291" s="93">
        <v>29</v>
      </c>
      <c r="X291" s="92" t="s">
        <v>5702</v>
      </c>
      <c r="Y291" s="93">
        <v>533</v>
      </c>
      <c r="Z291" s="92" t="s">
        <v>5703</v>
      </c>
      <c r="AA291" s="93">
        <v>139</v>
      </c>
    </row>
    <row r="292" spans="1:31" ht="22.5" customHeight="1" thickBot="1">
      <c r="A292" s="93" t="s">
        <v>5440</v>
      </c>
      <c r="C292" s="36" t="s">
        <v>5391</v>
      </c>
      <c r="D292" s="37" t="s">
        <v>5392</v>
      </c>
      <c r="E292" s="37" t="s">
        <v>5393</v>
      </c>
      <c r="F292" s="36" t="str">
        <f t="shared" si="12"/>
        <v>gift-codes.html?game=開天</v>
      </c>
      <c r="G292" s="37" t="s">
        <v>5394</v>
      </c>
      <c r="H292" s="37" t="str">
        <f t="shared" si="13"/>
        <v>https://www.ssbuy.tw/game-detail.html?game=開天</v>
      </c>
      <c r="I292" s="38" t="s">
        <v>5446</v>
      </c>
      <c r="J292" s="83" t="s">
        <v>5423</v>
      </c>
      <c r="K292" s="86" t="s">
        <v>5451</v>
      </c>
      <c r="L292" s="92" t="s">
        <v>1514</v>
      </c>
      <c r="M292" s="93">
        <v>2717</v>
      </c>
      <c r="N292" s="92" t="s">
        <v>5410</v>
      </c>
      <c r="O292" s="93">
        <v>2095</v>
      </c>
      <c r="P292" s="92" t="s">
        <v>1515</v>
      </c>
      <c r="Q292" s="93">
        <v>1388</v>
      </c>
      <c r="R292" s="92" t="s">
        <v>5411</v>
      </c>
      <c r="S292" s="93">
        <v>1194</v>
      </c>
      <c r="T292" s="92" t="s">
        <v>5412</v>
      </c>
      <c r="U292" s="93">
        <v>840</v>
      </c>
      <c r="V292" s="92" t="s">
        <v>5413</v>
      </c>
      <c r="W292" s="93">
        <v>815</v>
      </c>
      <c r="X292" s="92" t="s">
        <v>5414</v>
      </c>
      <c r="Y292" s="93">
        <v>756</v>
      </c>
      <c r="Z292" s="92" t="s">
        <v>1630</v>
      </c>
      <c r="AA292" s="93">
        <v>280</v>
      </c>
      <c r="AB292" s="92" t="s">
        <v>318</v>
      </c>
      <c r="AC292" s="93">
        <v>146</v>
      </c>
    </row>
    <row r="293" spans="1:31" ht="22.5" customHeight="1" thickBot="1">
      <c r="A293" s="93" t="s">
        <v>5441</v>
      </c>
      <c r="C293" s="36" t="s">
        <v>5395</v>
      </c>
      <c r="D293" s="37" t="s">
        <v>5398</v>
      </c>
      <c r="E293" s="37" t="s">
        <v>5397</v>
      </c>
      <c r="F293" s="36" t="str">
        <f t="shared" si="12"/>
        <v>gift-codes.html?game=人人有功練：腸仔江湖見</v>
      </c>
      <c r="G293" s="37" t="s">
        <v>5396</v>
      </c>
      <c r="H293" s="37" t="str">
        <f t="shared" si="13"/>
        <v>https://www.ssbuy.tw/game-detail.html?game=人人有功練：腸仔江湖見</v>
      </c>
      <c r="I293" s="38" t="s">
        <v>5447</v>
      </c>
      <c r="J293" s="83" t="s">
        <v>5423</v>
      </c>
      <c r="K293" s="86" t="s">
        <v>5451</v>
      </c>
      <c r="L293" s="92" t="s">
        <v>5415</v>
      </c>
      <c r="M293" s="93">
        <v>2717</v>
      </c>
      <c r="N293" s="92" t="s">
        <v>5416</v>
      </c>
      <c r="O293" s="93">
        <v>1422</v>
      </c>
      <c r="P293" s="92" t="s">
        <v>5417</v>
      </c>
      <c r="Q293" s="93">
        <v>840</v>
      </c>
      <c r="R293" s="92" t="s">
        <v>5418</v>
      </c>
      <c r="S293" s="93">
        <v>620</v>
      </c>
      <c r="T293" s="92" t="s">
        <v>5419</v>
      </c>
      <c r="U293" s="93">
        <v>318</v>
      </c>
      <c r="V293" s="92" t="s">
        <v>5420</v>
      </c>
      <c r="W293" s="93">
        <v>151</v>
      </c>
      <c r="X293" s="92" t="s">
        <v>5421</v>
      </c>
      <c r="Y293" s="93">
        <v>30</v>
      </c>
    </row>
    <row r="294" spans="1:31" ht="22.5" customHeight="1" thickBot="1">
      <c r="A294" s="93" t="s">
        <v>5442</v>
      </c>
      <c r="C294" s="37" t="s">
        <v>5401</v>
      </c>
      <c r="D294" s="37" t="s">
        <v>5401</v>
      </c>
      <c r="E294" s="37" t="s">
        <v>5399</v>
      </c>
      <c r="F294" s="36" t="str">
        <f t="shared" si="12"/>
        <v>gift-codes.html?game=楓之谷：放置冒險記</v>
      </c>
      <c r="G294" s="37" t="s">
        <v>5400</v>
      </c>
      <c r="H294" s="37" t="str">
        <f t="shared" si="13"/>
        <v>https://www.ssbuy.tw/game-detail.html?game=楓之谷：放置冒險記</v>
      </c>
      <c r="I294" s="38" t="s">
        <v>5448</v>
      </c>
      <c r="J294" s="83" t="s">
        <v>5423</v>
      </c>
      <c r="K294" s="86" t="s">
        <v>5451</v>
      </c>
      <c r="L294" s="92" t="s">
        <v>5424</v>
      </c>
      <c r="M294" s="93">
        <v>2469</v>
      </c>
      <c r="N294" s="92" t="s">
        <v>5425</v>
      </c>
      <c r="O294" s="93">
        <v>1253</v>
      </c>
      <c r="P294" s="92" t="s">
        <v>5426</v>
      </c>
      <c r="Q294" s="93">
        <v>1085</v>
      </c>
      <c r="R294" s="92" t="s">
        <v>5427</v>
      </c>
      <c r="S294" s="93">
        <v>840</v>
      </c>
      <c r="T294" s="92" t="s">
        <v>5428</v>
      </c>
      <c r="U294" s="93">
        <v>569</v>
      </c>
      <c r="V294" s="92" t="s">
        <v>5429</v>
      </c>
      <c r="W294" s="93">
        <v>272</v>
      </c>
      <c r="X294" s="92" t="s">
        <v>5430</v>
      </c>
      <c r="Y294" s="93">
        <v>195</v>
      </c>
      <c r="Z294" s="92" t="s">
        <v>5431</v>
      </c>
      <c r="AA294" s="93">
        <v>106</v>
      </c>
    </row>
    <row r="295" spans="1:31" ht="22.5" customHeight="1" thickBot="1">
      <c r="A295" s="93" t="s">
        <v>6298</v>
      </c>
      <c r="C295" s="36" t="s">
        <v>5408</v>
      </c>
      <c r="D295" s="37" t="s">
        <v>5407</v>
      </c>
      <c r="E295" s="37" t="s">
        <v>5403</v>
      </c>
      <c r="F295" s="36" t="str">
        <f t="shared" si="12"/>
        <v>gift-codes.html?game=Shiba Wars：Goddess Link TD</v>
      </c>
      <c r="G295" s="37" t="s">
        <v>5402</v>
      </c>
      <c r="H295" s="37" t="str">
        <f t="shared" si="13"/>
        <v>https://www.ssbuy.tw/game-detail.html?game=Shiba Wars：Goddess Link TD</v>
      </c>
      <c r="I295" s="38" t="s">
        <v>5449</v>
      </c>
      <c r="J295" s="83" t="s">
        <v>5423</v>
      </c>
      <c r="K295" s="86" t="s">
        <v>5451</v>
      </c>
      <c r="L295" s="92" t="s">
        <v>5432</v>
      </c>
      <c r="M295" s="93">
        <v>1926</v>
      </c>
      <c r="N295" s="92" t="s">
        <v>5433</v>
      </c>
      <c r="O295" s="93">
        <v>1253</v>
      </c>
      <c r="P295" s="92" t="s">
        <v>5434</v>
      </c>
      <c r="Q295" s="93">
        <v>586</v>
      </c>
      <c r="R295" s="92" t="s">
        <v>5435</v>
      </c>
      <c r="S295" s="93">
        <v>272</v>
      </c>
      <c r="T295" s="92" t="s">
        <v>5436</v>
      </c>
      <c r="U295" s="93">
        <v>195</v>
      </c>
      <c r="V295" s="92" t="s">
        <v>5437</v>
      </c>
      <c r="W295" s="93">
        <v>82</v>
      </c>
      <c r="X295" s="92" t="s">
        <v>5438</v>
      </c>
      <c r="Y295" s="93">
        <v>55</v>
      </c>
      <c r="Z295" s="92" t="s">
        <v>3730</v>
      </c>
      <c r="AA295" s="93">
        <v>331</v>
      </c>
    </row>
    <row r="296" spans="1:31" ht="22.5" customHeight="1" thickBot="1">
      <c r="A296" s="93" t="s">
        <v>5443</v>
      </c>
      <c r="C296" s="36" t="s">
        <v>5404</v>
      </c>
      <c r="D296" s="37" t="s">
        <v>5485</v>
      </c>
      <c r="E296" s="37" t="s">
        <v>5405</v>
      </c>
      <c r="F296" s="36" t="str">
        <f t="shared" si="12"/>
        <v>gift-codes.html?game=熱血江湖：福利加強版</v>
      </c>
      <c r="G296" s="37" t="s">
        <v>5406</v>
      </c>
      <c r="H296" s="37" t="str">
        <f t="shared" si="13"/>
        <v>https://www.ssbuy.tw/game-detail.html?game=熱血江湖：福利加強版</v>
      </c>
      <c r="I296" s="38" t="s">
        <v>5450</v>
      </c>
      <c r="J296" s="83" t="s">
        <v>5423</v>
      </c>
      <c r="K296" s="86" t="s">
        <v>5451</v>
      </c>
      <c r="L296" s="92" t="s">
        <v>4888</v>
      </c>
      <c r="M296" s="93">
        <v>2763</v>
      </c>
      <c r="N296" s="92" t="s">
        <v>204</v>
      </c>
      <c r="O296" s="93">
        <v>1446</v>
      </c>
      <c r="P296" s="92" t="s">
        <v>4889</v>
      </c>
      <c r="Q296" s="93">
        <v>855</v>
      </c>
      <c r="R296" s="92" t="s">
        <v>4447</v>
      </c>
      <c r="S296" s="93">
        <v>578</v>
      </c>
      <c r="T296" s="92" t="s">
        <v>4890</v>
      </c>
      <c r="U296" s="93">
        <v>423</v>
      </c>
      <c r="V296" s="92" t="s">
        <v>205</v>
      </c>
      <c r="W296" s="93">
        <v>285</v>
      </c>
      <c r="X296" s="92" t="s">
        <v>239</v>
      </c>
      <c r="Y296" s="93">
        <v>153</v>
      </c>
      <c r="Z296" s="92" t="s">
        <v>240</v>
      </c>
      <c r="AA296" s="93">
        <v>31</v>
      </c>
    </row>
    <row r="297" spans="1:31" ht="22.5" customHeight="1" thickBot="1">
      <c r="A297" s="36" t="s">
        <v>5509</v>
      </c>
      <c r="C297" s="36" t="s">
        <v>5486</v>
      </c>
      <c r="D297" s="36" t="s">
        <v>5486</v>
      </c>
      <c r="E297" s="37" t="s">
        <v>5487</v>
      </c>
      <c r="F297" s="36" t="str">
        <f t="shared" si="12"/>
        <v>gift-codes.html?game=熱血主公Go</v>
      </c>
      <c r="G297" s="83" t="s">
        <v>5496</v>
      </c>
      <c r="H297" s="37" t="str">
        <f t="shared" si="13"/>
        <v>https://www.ssbuy.tw/game-detail.html?game=熱血主公Go</v>
      </c>
      <c r="I297" s="38" t="s">
        <v>5497</v>
      </c>
      <c r="J297" s="83" t="s">
        <v>5423</v>
      </c>
      <c r="K297" s="86" t="s">
        <v>5451</v>
      </c>
      <c r="L297" s="92" t="s">
        <v>5498</v>
      </c>
      <c r="M297" s="93">
        <v>2511</v>
      </c>
      <c r="N297" s="92" t="s">
        <v>5499</v>
      </c>
      <c r="O297" s="93">
        <v>1275</v>
      </c>
      <c r="P297" s="92" t="s">
        <v>5500</v>
      </c>
      <c r="Q297" s="93">
        <v>855</v>
      </c>
      <c r="R297" s="92" t="s">
        <v>5501</v>
      </c>
      <c r="S297" s="93">
        <v>423</v>
      </c>
      <c r="T297" s="92" t="s">
        <v>5502</v>
      </c>
      <c r="U297" s="93">
        <v>153</v>
      </c>
      <c r="V297" s="92" t="s">
        <v>5503</v>
      </c>
      <c r="W297" s="93">
        <v>31</v>
      </c>
    </row>
    <row r="298" spans="1:31" ht="22.5" customHeight="1" thickBot="1">
      <c r="A298" s="93" t="s">
        <v>5545</v>
      </c>
      <c r="C298" s="36" t="s">
        <v>5531</v>
      </c>
      <c r="D298" s="37" t="s">
        <v>5533</v>
      </c>
      <c r="E298" s="37" t="s">
        <v>5532</v>
      </c>
      <c r="F298" s="36" t="str">
        <f t="shared" si="12"/>
        <v>gift-codes.html?game=歡迎來到夢樂園</v>
      </c>
      <c r="G298" s="83" t="s">
        <v>5549</v>
      </c>
      <c r="H298" s="37" t="str">
        <f t="shared" si="13"/>
        <v>https://www.ssbuy.tw/game-detail.html?game=歡迎來到夢樂園</v>
      </c>
      <c r="I298" s="38" t="s">
        <v>5550</v>
      </c>
      <c r="J298" s="83" t="s">
        <v>5423</v>
      </c>
      <c r="K298" s="86" t="s">
        <v>5451</v>
      </c>
      <c r="L298" s="92" t="s">
        <v>5554</v>
      </c>
      <c r="M298" s="93">
        <v>2763</v>
      </c>
      <c r="N298" s="92" t="s">
        <v>5555</v>
      </c>
      <c r="O298" s="93">
        <v>1446</v>
      </c>
      <c r="P298" s="92" t="s">
        <v>5556</v>
      </c>
      <c r="Q298" s="93">
        <v>751</v>
      </c>
      <c r="R298" s="92" t="s">
        <v>5557</v>
      </c>
      <c r="S298" s="93">
        <v>371</v>
      </c>
      <c r="T298" s="92" t="s">
        <v>5558</v>
      </c>
      <c r="U298" s="93">
        <v>319</v>
      </c>
      <c r="V298" s="92" t="s">
        <v>5559</v>
      </c>
      <c r="W298" s="93">
        <v>117</v>
      </c>
      <c r="X298" s="92" t="s">
        <v>5560</v>
      </c>
      <c r="Y298" s="93">
        <v>46</v>
      </c>
      <c r="Z298" s="92" t="s">
        <v>5561</v>
      </c>
      <c r="AA298" s="93">
        <v>117</v>
      </c>
      <c r="AB298" s="92" t="s">
        <v>5562</v>
      </c>
      <c r="AC298" s="93">
        <v>90</v>
      </c>
      <c r="AD298" s="92" t="s">
        <v>98</v>
      </c>
      <c r="AE298" s="93">
        <v>319</v>
      </c>
    </row>
    <row r="299" spans="1:31" ht="22.5" customHeight="1" thickBot="1">
      <c r="A299" s="93" t="s">
        <v>5546</v>
      </c>
      <c r="C299" s="36" t="s">
        <v>5536</v>
      </c>
      <c r="D299" s="37" t="s">
        <v>5535</v>
      </c>
      <c r="E299" s="37" t="s">
        <v>5537</v>
      </c>
      <c r="F299" s="36" t="str">
        <f t="shared" si="12"/>
        <v>gift-codes.html?game=Cryowar</v>
      </c>
      <c r="G299" s="37" t="s">
        <v>5534</v>
      </c>
      <c r="H299" s="37" t="str">
        <f t="shared" si="13"/>
        <v>https://www.ssbuy.tw/game-detail.html?game=Cryowar</v>
      </c>
      <c r="I299" s="38" t="s">
        <v>5551</v>
      </c>
      <c r="J299" s="83" t="s">
        <v>5423</v>
      </c>
      <c r="K299" s="86" t="s">
        <v>5451</v>
      </c>
    </row>
    <row r="300" spans="1:31" ht="22.5" customHeight="1" thickBot="1">
      <c r="A300" s="93" t="s">
        <v>5547</v>
      </c>
      <c r="C300" s="36" t="s">
        <v>5540</v>
      </c>
      <c r="D300" s="37" t="s">
        <v>5541</v>
      </c>
      <c r="E300" s="37" t="s">
        <v>5539</v>
      </c>
      <c r="F300" s="36" t="str">
        <f t="shared" si="12"/>
        <v>gift-codes.html?game=深岩銀河：倖存者</v>
      </c>
      <c r="G300" s="37" t="s">
        <v>5538</v>
      </c>
      <c r="H300" s="37" t="str">
        <f t="shared" si="13"/>
        <v>https://www.ssbuy.tw/game-detail.html?game=深岩銀河：倖存者</v>
      </c>
      <c r="I300" s="38" t="s">
        <v>5552</v>
      </c>
      <c r="J300" s="83" t="s">
        <v>5423</v>
      </c>
      <c r="K300" s="86" t="s">
        <v>5451</v>
      </c>
    </row>
    <row r="301" spans="1:31" ht="22.5" customHeight="1" thickBot="1">
      <c r="A301" s="94" t="s">
        <v>5548</v>
      </c>
      <c r="C301" s="95" t="s">
        <v>5544</v>
      </c>
      <c r="D301" s="37" t="s">
        <v>3688</v>
      </c>
      <c r="E301" s="37" t="s">
        <v>5542</v>
      </c>
      <c r="F301" s="36" t="str">
        <f t="shared" si="12"/>
        <v>gift-codes.html?game=熱血排球少女</v>
      </c>
      <c r="G301" s="37" t="s">
        <v>5543</v>
      </c>
      <c r="H301" s="37" t="str">
        <f t="shared" si="13"/>
        <v>https://www.ssbuy.tw/game-detail.html?game=熱血排球少女</v>
      </c>
      <c r="I301" s="38" t="s">
        <v>5553</v>
      </c>
      <c r="J301" s="83" t="s">
        <v>5423</v>
      </c>
      <c r="K301" s="86" t="s">
        <v>5451</v>
      </c>
      <c r="L301" s="92" t="s">
        <v>5563</v>
      </c>
      <c r="M301" s="93">
        <v>1959</v>
      </c>
      <c r="N301" s="92" t="s">
        <v>5564</v>
      </c>
      <c r="O301" s="93">
        <v>1104</v>
      </c>
      <c r="P301" s="92" t="s">
        <v>5565</v>
      </c>
      <c r="Q301" s="93">
        <v>682</v>
      </c>
      <c r="R301" s="92" t="s">
        <v>5566</v>
      </c>
      <c r="S301" s="93">
        <v>262</v>
      </c>
      <c r="T301" s="92" t="s">
        <v>5567</v>
      </c>
      <c r="U301" s="93">
        <v>108</v>
      </c>
      <c r="V301" s="92" t="s">
        <v>5568</v>
      </c>
      <c r="W301" s="93">
        <v>1104</v>
      </c>
      <c r="X301" s="92" t="s">
        <v>5569</v>
      </c>
      <c r="Y301" s="93">
        <v>276</v>
      </c>
      <c r="Z301" s="92" t="s">
        <v>5570</v>
      </c>
      <c r="AA301" s="93">
        <v>108</v>
      </c>
    </row>
    <row r="302" spans="1:31" ht="22.5" customHeight="1" thickBot="1">
      <c r="A302" s="93" t="s">
        <v>5622</v>
      </c>
      <c r="C302" s="36" t="s">
        <v>5576</v>
      </c>
      <c r="D302" s="37" t="s">
        <v>5575</v>
      </c>
      <c r="E302" s="37" t="s">
        <v>5573</v>
      </c>
      <c r="F302" s="36" t="str">
        <f t="shared" si="12"/>
        <v>gift-codes.html?game=Jetpack Joyride Racing</v>
      </c>
      <c r="G302" s="37" t="s">
        <v>5574</v>
      </c>
      <c r="H302" s="37" t="str">
        <f t="shared" si="13"/>
        <v>https://www.ssbuy.tw/game-detail.html?game=Jetpack Joyride Racing</v>
      </c>
      <c r="I302" s="38" t="s">
        <v>5626</v>
      </c>
      <c r="J302" s="83" t="s">
        <v>5423</v>
      </c>
      <c r="K302" s="86" t="s">
        <v>5451</v>
      </c>
      <c r="L302" s="92" t="s">
        <v>5606</v>
      </c>
      <c r="M302" s="93">
        <v>864</v>
      </c>
      <c r="N302" s="92" t="s">
        <v>107</v>
      </c>
      <c r="O302" s="93">
        <v>84</v>
      </c>
    </row>
    <row r="303" spans="1:31" ht="22.5" customHeight="1" thickBot="1">
      <c r="A303" s="93" t="s">
        <v>5623</v>
      </c>
      <c r="C303" s="36" t="s">
        <v>5580</v>
      </c>
      <c r="D303" s="37" t="s">
        <v>5579</v>
      </c>
      <c r="E303" s="37" t="s">
        <v>5577</v>
      </c>
      <c r="F303" s="36" t="str">
        <f t="shared" si="12"/>
        <v>gift-codes.html?game=三國格子爭奪戰</v>
      </c>
      <c r="G303" s="37" t="s">
        <v>5578</v>
      </c>
      <c r="H303" s="37" t="str">
        <f t="shared" si="13"/>
        <v>https://www.ssbuy.tw/game-detail.html?game=三國格子爭奪戰</v>
      </c>
      <c r="I303" s="38" t="s">
        <v>5627</v>
      </c>
      <c r="J303" s="83" t="s">
        <v>5423</v>
      </c>
      <c r="K303" s="86" t="s">
        <v>5451</v>
      </c>
      <c r="L303" s="92" t="s">
        <v>5007</v>
      </c>
      <c r="M303" s="93">
        <v>2793</v>
      </c>
      <c r="N303" s="92" t="s">
        <v>5008</v>
      </c>
      <c r="O303" s="93">
        <v>1462</v>
      </c>
      <c r="P303" s="92" t="s">
        <v>5009</v>
      </c>
      <c r="Q303" s="93">
        <v>585</v>
      </c>
      <c r="R303" s="92" t="s">
        <v>5010</v>
      </c>
      <c r="S303" s="93">
        <v>288</v>
      </c>
      <c r="T303" s="92" t="s">
        <v>5011</v>
      </c>
      <c r="U303" s="93">
        <v>155</v>
      </c>
      <c r="V303" s="92" t="s">
        <v>1377</v>
      </c>
      <c r="W303" s="93">
        <v>31</v>
      </c>
    </row>
    <row r="304" spans="1:31" ht="22.5" customHeight="1" thickBot="1">
      <c r="A304" s="93" t="s">
        <v>5624</v>
      </c>
      <c r="C304" s="36" t="s">
        <v>5583</v>
      </c>
      <c r="D304" s="37" t="s">
        <v>5582</v>
      </c>
      <c r="E304" s="37" t="s">
        <v>5584</v>
      </c>
      <c r="F304" s="36" t="str">
        <f t="shared" si="12"/>
        <v>gift-codes.html?game=貓茶小當家：掌櫃養成記</v>
      </c>
      <c r="G304" s="37" t="s">
        <v>5581</v>
      </c>
      <c r="H304" s="37" t="str">
        <f t="shared" si="13"/>
        <v>https://www.ssbuy.tw/game-detail.html?game=貓茶小當家：掌櫃養成記</v>
      </c>
      <c r="I304" s="38" t="s">
        <v>5628</v>
      </c>
      <c r="J304" s="83" t="s">
        <v>5423</v>
      </c>
      <c r="K304" s="86" t="s">
        <v>5451</v>
      </c>
      <c r="L304" s="92" t="s">
        <v>5676</v>
      </c>
      <c r="M304" s="93">
        <v>2539</v>
      </c>
      <c r="N304" s="92" t="s">
        <v>5677</v>
      </c>
      <c r="O304" s="93">
        <v>1289</v>
      </c>
      <c r="P304" s="92" t="s">
        <v>5678</v>
      </c>
      <c r="Q304" s="93">
        <v>864</v>
      </c>
      <c r="R304" s="92" t="s">
        <v>5679</v>
      </c>
      <c r="S304" s="93">
        <v>602</v>
      </c>
      <c r="T304" s="92" t="s">
        <v>5680</v>
      </c>
      <c r="U304" s="93">
        <v>279</v>
      </c>
      <c r="V304" s="92" t="s">
        <v>5681</v>
      </c>
      <c r="W304" s="93">
        <v>56</v>
      </c>
      <c r="X304" s="92"/>
      <c r="Y304" s="93"/>
      <c r="Z304" s="92"/>
      <c r="AA304" s="93"/>
      <c r="AB304" s="92"/>
      <c r="AC304" s="93"/>
    </row>
    <row r="305" spans="1:31" ht="22.5" customHeight="1" thickBot="1">
      <c r="A305" s="93" t="s">
        <v>5571</v>
      </c>
      <c r="C305" s="36" t="s">
        <v>5591</v>
      </c>
      <c r="D305" s="37" t="s">
        <v>5587</v>
      </c>
      <c r="E305" s="37" t="s">
        <v>5585</v>
      </c>
      <c r="F305" s="36" t="str">
        <f t="shared" si="12"/>
        <v>gift-codes.html?game=Viladia：精靈村的時光</v>
      </c>
      <c r="G305" s="37" t="s">
        <v>5586</v>
      </c>
      <c r="H305" s="37" t="str">
        <f t="shared" si="13"/>
        <v>https://www.ssbuy.tw/game-detail.html?game=Viladia：精靈村的時光</v>
      </c>
      <c r="I305" s="38" t="s">
        <v>5629</v>
      </c>
      <c r="J305" s="83" t="s">
        <v>5423</v>
      </c>
      <c r="K305" s="86" t="s">
        <v>5454</v>
      </c>
      <c r="L305" s="92" t="s">
        <v>1268</v>
      </c>
      <c r="M305" s="93">
        <v>2539</v>
      </c>
      <c r="N305" s="92" t="s">
        <v>5632</v>
      </c>
      <c r="O305" s="93">
        <v>1116</v>
      </c>
      <c r="P305" s="92" t="s">
        <v>65</v>
      </c>
      <c r="Q305" s="93">
        <v>602</v>
      </c>
      <c r="R305" s="92" t="s">
        <v>1327</v>
      </c>
      <c r="S305" s="93">
        <v>279</v>
      </c>
      <c r="T305" s="92" t="s">
        <v>5633</v>
      </c>
      <c r="U305" s="93">
        <v>137</v>
      </c>
      <c r="V305" s="92" t="s">
        <v>5634</v>
      </c>
      <c r="W305" s="93">
        <v>56</v>
      </c>
    </row>
    <row r="306" spans="1:31" ht="22.5" customHeight="1" thickBot="1">
      <c r="A306" s="93" t="s">
        <v>5572</v>
      </c>
      <c r="C306" s="36" t="s">
        <v>5590</v>
      </c>
      <c r="D306" s="37" t="s">
        <v>5588</v>
      </c>
      <c r="E306" s="37" t="s">
        <v>5589</v>
      </c>
      <c r="F306" s="36" t="str">
        <f t="shared" si="12"/>
        <v>gift-codes.html?game=G9：特功聯盟</v>
      </c>
      <c r="G306" s="83" t="s">
        <v>5625</v>
      </c>
      <c r="H306" s="37" t="str">
        <f t="shared" si="13"/>
        <v>https://www.ssbuy.tw/game-detail.html?game=G9：特功聯盟</v>
      </c>
      <c r="I306" s="38" t="s">
        <v>5630</v>
      </c>
      <c r="J306" s="83" t="s">
        <v>5423</v>
      </c>
      <c r="K306" s="86" t="s">
        <v>5451</v>
      </c>
      <c r="L306" s="92" t="s">
        <v>5682</v>
      </c>
      <c r="M306" s="93">
        <v>2793</v>
      </c>
      <c r="N306" s="92" t="s">
        <v>5683</v>
      </c>
      <c r="O306" s="93">
        <v>1462</v>
      </c>
      <c r="P306" s="92" t="s">
        <v>5684</v>
      </c>
      <c r="Q306" s="93">
        <v>585</v>
      </c>
      <c r="R306" s="92" t="s">
        <v>5685</v>
      </c>
      <c r="S306" s="93">
        <v>288</v>
      </c>
      <c r="T306" s="92" t="s">
        <v>5686</v>
      </c>
      <c r="U306" s="93">
        <v>155</v>
      </c>
      <c r="V306" s="92" t="s">
        <v>5687</v>
      </c>
      <c r="W306" s="93">
        <v>31</v>
      </c>
      <c r="X306" s="92" t="s">
        <v>5688</v>
      </c>
      <c r="Y306" s="93">
        <v>288</v>
      </c>
      <c r="Z306" s="92" t="s">
        <v>5689</v>
      </c>
      <c r="AA306" s="93">
        <v>93</v>
      </c>
    </row>
    <row r="307" spans="1:31" ht="22.5" customHeight="1" thickBot="1">
      <c r="A307" s="93" t="s">
        <v>5650</v>
      </c>
      <c r="C307" s="36" t="s">
        <v>5636</v>
      </c>
      <c r="D307" s="37" t="s">
        <v>5642</v>
      </c>
      <c r="E307" s="37" t="s">
        <v>5643</v>
      </c>
      <c r="F307" s="36" t="str">
        <f t="shared" si="12"/>
        <v>gift-codes.html?game=AION2</v>
      </c>
      <c r="G307" s="37" t="s">
        <v>5644</v>
      </c>
      <c r="H307" s="37" t="str">
        <f t="shared" si="13"/>
        <v>https://www.ssbuy.tw/game-detail.html?game=AION2</v>
      </c>
      <c r="I307" s="38" t="s">
        <v>5662</v>
      </c>
      <c r="J307" s="83" t="s">
        <v>5423</v>
      </c>
      <c r="K307" s="86" t="s">
        <v>5451</v>
      </c>
    </row>
    <row r="308" spans="1:31" ht="22.5" customHeight="1" thickBot="1">
      <c r="A308" s="93" t="s">
        <v>6299</v>
      </c>
      <c r="C308" s="36" t="s">
        <v>5637</v>
      </c>
      <c r="D308" s="37" t="s">
        <v>5645</v>
      </c>
      <c r="E308" s="37" t="s">
        <v>5647</v>
      </c>
      <c r="F308" s="36" t="str">
        <f t="shared" si="12"/>
        <v>gift-codes.html?game=信長之野望 真戰</v>
      </c>
      <c r="G308" s="37" t="s">
        <v>5646</v>
      </c>
      <c r="H308" s="37" t="str">
        <f t="shared" si="13"/>
        <v>https://www.ssbuy.tw/game-detail.html?game=信長之野望 真戰</v>
      </c>
      <c r="I308" s="38" t="s">
        <v>5663</v>
      </c>
      <c r="J308" s="83" t="s">
        <v>5423</v>
      </c>
      <c r="K308" s="86" t="s">
        <v>5451</v>
      </c>
      <c r="L308" s="92" t="s">
        <v>5653</v>
      </c>
      <c r="M308" s="93">
        <v>2793</v>
      </c>
      <c r="N308" s="92" t="s">
        <v>5654</v>
      </c>
      <c r="O308" s="93">
        <v>1462</v>
      </c>
      <c r="P308" s="92" t="s">
        <v>5655</v>
      </c>
      <c r="Q308" s="93">
        <v>864</v>
      </c>
      <c r="R308" s="92" t="s">
        <v>5656</v>
      </c>
      <c r="S308" s="93">
        <v>428</v>
      </c>
      <c r="T308" s="92" t="s">
        <v>5657</v>
      </c>
      <c r="U308" s="93">
        <v>155</v>
      </c>
      <c r="V308" s="92" t="s">
        <v>5658</v>
      </c>
      <c r="W308" s="93">
        <v>31</v>
      </c>
      <c r="X308" s="92" t="s">
        <v>5659</v>
      </c>
      <c r="Y308" s="93">
        <v>2793</v>
      </c>
      <c r="Z308" s="92" t="s">
        <v>5660</v>
      </c>
      <c r="AA308" s="93">
        <v>1462</v>
      </c>
      <c r="AB308" s="92" t="s">
        <v>5661</v>
      </c>
      <c r="AC308" s="93">
        <v>864</v>
      </c>
    </row>
    <row r="309" spans="1:31" ht="22.5" customHeight="1" thickBot="1">
      <c r="A309" s="93" t="s">
        <v>6300</v>
      </c>
      <c r="C309" s="36" t="s">
        <v>5638</v>
      </c>
      <c r="D309" s="37" t="s">
        <v>5648</v>
      </c>
      <c r="E309" s="37" t="s">
        <v>5649</v>
      </c>
      <c r="F309" s="36" t="str">
        <f t="shared" si="12"/>
        <v>gift-codes.html?game=BLEACH：刀鳴</v>
      </c>
      <c r="G309" s="37" t="s">
        <v>5641</v>
      </c>
      <c r="H309" s="37" t="str">
        <f t="shared" si="13"/>
        <v>https://www.ssbuy.tw/game-detail.html?game=BLEACH：刀鳴</v>
      </c>
      <c r="I309" s="38" t="s">
        <v>5664</v>
      </c>
      <c r="J309" s="83" t="s">
        <v>5423</v>
      </c>
      <c r="K309" s="86" t="s">
        <v>5451</v>
      </c>
      <c r="L309" s="92" t="s">
        <v>4654</v>
      </c>
      <c r="M309" s="93">
        <v>2867</v>
      </c>
      <c r="N309" s="92" t="s">
        <v>4655</v>
      </c>
      <c r="O309" s="93">
        <v>1500</v>
      </c>
      <c r="P309" s="92" t="s">
        <v>4656</v>
      </c>
      <c r="Q309" s="93">
        <v>887</v>
      </c>
      <c r="R309" s="92" t="s">
        <v>5799</v>
      </c>
      <c r="S309" s="93">
        <v>439</v>
      </c>
      <c r="T309" s="92" t="s">
        <v>4657</v>
      </c>
      <c r="U309" s="93">
        <v>159</v>
      </c>
      <c r="V309" s="92" t="s">
        <v>4658</v>
      </c>
      <c r="W309" s="93">
        <v>32</v>
      </c>
      <c r="X309" s="92" t="s">
        <v>5800</v>
      </c>
      <c r="Y309" s="93">
        <v>159</v>
      </c>
      <c r="Z309" s="92" t="s">
        <v>5801</v>
      </c>
      <c r="AA309" s="93">
        <v>296</v>
      </c>
      <c r="AB309" s="92" t="s">
        <v>5802</v>
      </c>
      <c r="AC309" s="93">
        <v>600</v>
      </c>
    </row>
    <row r="310" spans="1:31" ht="22.5" customHeight="1" thickBot="1">
      <c r="A310" s="93" t="s">
        <v>5651</v>
      </c>
      <c r="C310" s="36" t="s">
        <v>5639</v>
      </c>
      <c r="D310" s="37" t="s">
        <v>5635</v>
      </c>
      <c r="E310" s="37" t="s">
        <v>5640</v>
      </c>
      <c r="F310" s="36" t="str">
        <f t="shared" si="12"/>
        <v>gift-codes.html?game=不朽龍裔</v>
      </c>
      <c r="G310" s="83" t="s">
        <v>5652</v>
      </c>
      <c r="H310" s="37" t="str">
        <f t="shared" si="13"/>
        <v>https://www.ssbuy.tw/game-detail.html?game=不朽龍裔</v>
      </c>
      <c r="I310" s="38" t="s">
        <v>5665</v>
      </c>
      <c r="J310" s="83" t="s">
        <v>5423</v>
      </c>
      <c r="K310" s="86" t="s">
        <v>5451</v>
      </c>
      <c r="L310" s="92" t="s">
        <v>5913</v>
      </c>
      <c r="M310" s="93">
        <v>2867</v>
      </c>
      <c r="N310" s="92" t="s">
        <v>5914</v>
      </c>
      <c r="O310" s="93">
        <v>1500</v>
      </c>
      <c r="P310" s="92" t="s">
        <v>5915</v>
      </c>
      <c r="Q310" s="93">
        <v>887</v>
      </c>
      <c r="R310" s="92" t="s">
        <v>5916</v>
      </c>
      <c r="S310" s="93">
        <v>439</v>
      </c>
      <c r="T310" s="92" t="s">
        <v>5917</v>
      </c>
      <c r="U310" s="93">
        <v>159</v>
      </c>
      <c r="V310" s="92" t="s">
        <v>5918</v>
      </c>
      <c r="W310" s="93">
        <v>32</v>
      </c>
      <c r="X310" s="92"/>
      <c r="Y310" s="93"/>
      <c r="Z310" s="92"/>
      <c r="AA310" s="93"/>
      <c r="AB310" s="92"/>
      <c r="AC310" s="93"/>
      <c r="AD310" s="92"/>
      <c r="AE310" s="93"/>
    </row>
    <row r="311" spans="1:31" ht="22.5" customHeight="1" thickBot="1">
      <c r="A311" s="36" t="s">
        <v>5693</v>
      </c>
      <c r="C311" s="36" t="s">
        <v>5692</v>
      </c>
      <c r="D311" s="37" t="s">
        <v>5691</v>
      </c>
      <c r="E311" s="37" t="s">
        <v>5690</v>
      </c>
      <c r="F311" s="36" t="str">
        <f t="shared" si="12"/>
        <v>gift-codes.html?game=NBA籃球世界</v>
      </c>
      <c r="G311" s="83" t="s">
        <v>5694</v>
      </c>
      <c r="H311" s="37" t="str">
        <f t="shared" si="13"/>
        <v>https://www.ssbuy.tw/game-detail.html?game=NBA籃球世界</v>
      </c>
      <c r="I311" s="38" t="s">
        <v>5695</v>
      </c>
      <c r="J311" s="83" t="s">
        <v>5423</v>
      </c>
      <c r="K311" s="86" t="s">
        <v>5451</v>
      </c>
      <c r="L311" s="92" t="s">
        <v>5740</v>
      </c>
      <c r="M311" s="93">
        <v>2591</v>
      </c>
      <c r="N311" s="92" t="s">
        <v>5741</v>
      </c>
      <c r="O311" s="93">
        <v>1315</v>
      </c>
      <c r="P311" s="92" t="s">
        <v>5742</v>
      </c>
      <c r="Q311" s="93">
        <v>882</v>
      </c>
      <c r="R311" s="92" t="s">
        <v>5743</v>
      </c>
      <c r="S311" s="93">
        <v>437</v>
      </c>
      <c r="T311" s="92" t="s">
        <v>5744</v>
      </c>
      <c r="U311" s="93">
        <v>158</v>
      </c>
      <c r="V311" s="92" t="s">
        <v>5745</v>
      </c>
      <c r="W311" s="93">
        <v>32</v>
      </c>
      <c r="X311" s="92" t="s">
        <v>98</v>
      </c>
      <c r="Y311" s="93">
        <v>158</v>
      </c>
      <c r="Z311" s="92" t="s">
        <v>5746</v>
      </c>
      <c r="AA311" s="93">
        <v>93</v>
      </c>
      <c r="AB311" s="92"/>
      <c r="AC311" s="93"/>
      <c r="AD311" s="92"/>
      <c r="AE311" s="93"/>
    </row>
    <row r="312" spans="1:31" ht="22.5" customHeight="1" thickBot="1">
      <c r="A312" s="94" t="s">
        <v>5728</v>
      </c>
      <c r="C312" s="36" t="s">
        <v>5725</v>
      </c>
      <c r="D312" s="37" t="s">
        <v>5726</v>
      </c>
      <c r="E312" s="37" t="s">
        <v>5727</v>
      </c>
      <c r="F312" s="36" t="str">
        <f t="shared" ref="F312:F370" si="14">IF(A312="", "", "gift-codes.html?game=" &amp; A312)</f>
        <v>gift-codes.html?game=英雄來搞鬼</v>
      </c>
      <c r="G312" s="83" t="s">
        <v>5729</v>
      </c>
      <c r="H312" s="37" t="str">
        <f t="shared" ref="H312:H370" si="15">IF(A312="", "", "https://www.ssbuy.tw/game-detail.html?game="&amp;A312)</f>
        <v>https://www.ssbuy.tw/game-detail.html?game=英雄來搞鬼</v>
      </c>
      <c r="I312" s="38" t="s">
        <v>5730</v>
      </c>
      <c r="J312" s="83" t="s">
        <v>5423</v>
      </c>
      <c r="K312" s="86" t="s">
        <v>5451</v>
      </c>
      <c r="L312" s="92" t="s">
        <v>5731</v>
      </c>
      <c r="M312" s="93">
        <v>2851</v>
      </c>
      <c r="N312" s="92" t="s">
        <v>5732</v>
      </c>
      <c r="O312" s="93">
        <v>1492</v>
      </c>
      <c r="P312" s="92" t="s">
        <v>5733</v>
      </c>
      <c r="Q312" s="93">
        <v>882</v>
      </c>
      <c r="R312" s="92" t="s">
        <v>5734</v>
      </c>
      <c r="S312" s="93">
        <v>775</v>
      </c>
      <c r="T312" s="92" t="s">
        <v>5735</v>
      </c>
      <c r="U312" s="93">
        <v>597</v>
      </c>
      <c r="V312" s="92" t="s">
        <v>5736</v>
      </c>
      <c r="W312" s="93">
        <v>437</v>
      </c>
      <c r="X312" s="92" t="s">
        <v>5737</v>
      </c>
      <c r="Y312" s="93">
        <v>294</v>
      </c>
      <c r="Z312" s="92" t="s">
        <v>5738</v>
      </c>
      <c r="AA312" s="93">
        <v>224</v>
      </c>
      <c r="AB312" s="92" t="s">
        <v>5739</v>
      </c>
      <c r="AC312" s="93">
        <v>158</v>
      </c>
    </row>
    <row r="313" spans="1:31" ht="22.5" customHeight="1" thickBot="1">
      <c r="A313" s="93" t="s">
        <v>6301</v>
      </c>
      <c r="C313" s="36" t="s">
        <v>5761</v>
      </c>
      <c r="D313" s="37" t="s">
        <v>5767</v>
      </c>
      <c r="E313" s="37" t="s">
        <v>5768</v>
      </c>
      <c r="F313" s="36" t="str">
        <f t="shared" si="14"/>
        <v>gift-codes.html?game=RO新世代：攜手同行</v>
      </c>
      <c r="G313" s="83" t="s">
        <v>5786</v>
      </c>
      <c r="H313" s="37" t="str">
        <f t="shared" si="15"/>
        <v>https://www.ssbuy.tw/game-detail.html?game=RO新世代：攜手同行</v>
      </c>
      <c r="I313" s="38" t="s">
        <v>5803</v>
      </c>
      <c r="J313" s="83" t="s">
        <v>5423</v>
      </c>
      <c r="K313" s="86" t="s">
        <v>5451</v>
      </c>
    </row>
    <row r="314" spans="1:31" ht="22.5" customHeight="1" thickBot="1">
      <c r="A314" s="93" t="s">
        <v>5783</v>
      </c>
      <c r="C314" s="36" t="s">
        <v>5758</v>
      </c>
      <c r="D314" s="37" t="s">
        <v>5759</v>
      </c>
      <c r="E314" s="37" t="s">
        <v>5760</v>
      </c>
      <c r="F314" s="36" t="str">
        <f t="shared" si="14"/>
        <v>gift-codes.html?game=星落</v>
      </c>
      <c r="G314" s="83" t="s">
        <v>5787</v>
      </c>
      <c r="H314" s="37" t="str">
        <f t="shared" si="15"/>
        <v>https://www.ssbuy.tw/game-detail.html?game=星落</v>
      </c>
      <c r="I314" s="38" t="s">
        <v>5805</v>
      </c>
      <c r="J314" s="83" t="s">
        <v>5423</v>
      </c>
      <c r="K314" s="86" t="s">
        <v>5451</v>
      </c>
      <c r="L314" s="92" t="s">
        <v>5868</v>
      </c>
      <c r="M314" s="93">
        <v>3721</v>
      </c>
      <c r="N314" s="92" t="s">
        <v>5869</v>
      </c>
      <c r="O314" s="93">
        <v>2323</v>
      </c>
      <c r="P314" s="92" t="s">
        <v>5870</v>
      </c>
      <c r="Q314" s="93">
        <v>1545</v>
      </c>
      <c r="R314" s="92" t="s">
        <v>5871</v>
      </c>
      <c r="S314" s="93">
        <v>941</v>
      </c>
      <c r="T314" s="92" t="s">
        <v>5872</v>
      </c>
      <c r="U314" s="93">
        <v>427</v>
      </c>
      <c r="V314" s="92" t="s">
        <v>5873</v>
      </c>
      <c r="W314" s="93">
        <v>93</v>
      </c>
      <c r="X314" s="92" t="s">
        <v>5874</v>
      </c>
      <c r="Y314" s="93">
        <v>137</v>
      </c>
      <c r="Z314" s="92" t="s">
        <v>5875</v>
      </c>
      <c r="AA314" s="93">
        <v>636</v>
      </c>
      <c r="AB314" s="92" t="s">
        <v>5876</v>
      </c>
      <c r="AC314" s="93">
        <v>288</v>
      </c>
      <c r="AD314" s="92" t="s">
        <v>5877</v>
      </c>
      <c r="AE314" s="93">
        <v>427</v>
      </c>
    </row>
    <row r="315" spans="1:31" ht="22.5" customHeight="1" thickBot="1">
      <c r="A315" s="93" t="s">
        <v>5784</v>
      </c>
      <c r="C315" s="36" t="s">
        <v>5762</v>
      </c>
      <c r="D315" s="37" t="s">
        <v>5763</v>
      </c>
      <c r="E315" s="37" t="s">
        <v>5769</v>
      </c>
      <c r="F315" s="36" t="str">
        <f t="shared" si="14"/>
        <v>gift-codes.html?game=超自然行動組</v>
      </c>
      <c r="G315" s="83" t="s">
        <v>5788</v>
      </c>
      <c r="H315" s="37" t="str">
        <f t="shared" si="15"/>
        <v>https://www.ssbuy.tw/game-detail.html?game=超自然行動組</v>
      </c>
      <c r="I315" s="38" t="s">
        <v>5806</v>
      </c>
      <c r="J315" s="83" t="s">
        <v>5423</v>
      </c>
      <c r="K315" s="86" t="s">
        <v>5451</v>
      </c>
      <c r="L315" s="92" t="s">
        <v>5790</v>
      </c>
      <c r="M315" s="93">
        <v>2605</v>
      </c>
      <c r="N315" s="92" t="s">
        <v>5791</v>
      </c>
      <c r="O315" s="93">
        <v>1323</v>
      </c>
      <c r="P315" s="92" t="s">
        <v>5792</v>
      </c>
      <c r="Q315" s="93">
        <v>797</v>
      </c>
      <c r="R315" s="92" t="s">
        <v>5793</v>
      </c>
      <c r="S315" s="93">
        <v>600</v>
      </c>
      <c r="T315" s="92" t="s">
        <v>5794</v>
      </c>
      <c r="U315" s="93">
        <v>281</v>
      </c>
      <c r="V315" s="92" t="s">
        <v>5795</v>
      </c>
      <c r="W315" s="93">
        <v>140</v>
      </c>
      <c r="X315" s="92" t="s">
        <v>5796</v>
      </c>
      <c r="Y315" s="93">
        <v>86</v>
      </c>
      <c r="Z315" s="92" t="s">
        <v>5797</v>
      </c>
      <c r="AA315" s="93">
        <v>591</v>
      </c>
      <c r="AB315" s="92" t="s">
        <v>5798</v>
      </c>
      <c r="AC315" s="93">
        <v>314</v>
      </c>
    </row>
    <row r="316" spans="1:31" ht="22.5" customHeight="1" thickBot="1">
      <c r="A316" s="93" t="s">
        <v>5785</v>
      </c>
      <c r="C316" s="36" t="s">
        <v>5764</v>
      </c>
      <c r="D316" s="37" t="s">
        <v>5765</v>
      </c>
      <c r="E316" s="37" t="s">
        <v>5766</v>
      </c>
      <c r="F316" s="36" t="str">
        <f t="shared" si="14"/>
        <v>gift-codes.html?game=問劍長生</v>
      </c>
      <c r="G316" s="83" t="s">
        <v>5789</v>
      </c>
      <c r="H316" s="37" t="str">
        <f t="shared" si="15"/>
        <v>https://www.ssbuy.tw/game-detail.html?game=問劍長生</v>
      </c>
      <c r="I316" s="38" t="s">
        <v>5804</v>
      </c>
      <c r="J316" s="83" t="s">
        <v>5423</v>
      </c>
      <c r="K316" s="86" t="s">
        <v>5451</v>
      </c>
      <c r="L316" s="92" t="s">
        <v>5859</v>
      </c>
      <c r="M316" s="93">
        <v>2788</v>
      </c>
      <c r="N316" s="92" t="s">
        <v>5860</v>
      </c>
      <c r="O316" s="93">
        <v>1459</v>
      </c>
      <c r="P316" s="92" t="s">
        <v>5861</v>
      </c>
      <c r="Q316" s="93">
        <v>887</v>
      </c>
      <c r="R316" s="92" t="s">
        <v>5862</v>
      </c>
      <c r="S316" s="93">
        <v>439</v>
      </c>
      <c r="T316" s="92" t="s">
        <v>5863</v>
      </c>
      <c r="U316" s="93">
        <v>159</v>
      </c>
      <c r="V316" s="92" t="s">
        <v>5864</v>
      </c>
      <c r="W316" s="93">
        <v>32</v>
      </c>
      <c r="X316" s="92" t="s">
        <v>107</v>
      </c>
      <c r="Y316" s="93">
        <v>131</v>
      </c>
      <c r="Z316" s="92" t="s">
        <v>1436</v>
      </c>
      <c r="AA316" s="93">
        <v>600</v>
      </c>
      <c r="AB316" s="92" t="s">
        <v>5865</v>
      </c>
      <c r="AC316" s="93">
        <v>842</v>
      </c>
    </row>
    <row r="317" spans="1:31" ht="22.5" customHeight="1" thickBot="1">
      <c r="A317" s="93" t="s">
        <v>5821</v>
      </c>
      <c r="C317" s="36" t="s">
        <v>5814</v>
      </c>
      <c r="D317" s="37" t="s">
        <v>5815</v>
      </c>
      <c r="E317" s="37" t="s">
        <v>5816</v>
      </c>
      <c r="F317" s="36" t="str">
        <f t="shared" si="14"/>
        <v>gift-codes.html?game=道友你好劍：群英集結</v>
      </c>
      <c r="G317" s="37" t="s">
        <v>5817</v>
      </c>
      <c r="H317" s="37" t="str">
        <f t="shared" si="15"/>
        <v>https://www.ssbuy.tw/game-detail.html?game=道友你好劍：群英集結</v>
      </c>
      <c r="I317" s="38" t="s">
        <v>5824</v>
      </c>
      <c r="J317" s="83" t="s">
        <v>5423</v>
      </c>
      <c r="K317" s="86" t="s">
        <v>5451</v>
      </c>
      <c r="L317" s="92" t="s">
        <v>5833</v>
      </c>
      <c r="M317" s="93">
        <v>2867</v>
      </c>
      <c r="N317" s="92" t="s">
        <v>5834</v>
      </c>
      <c r="O317" s="93">
        <v>1500</v>
      </c>
      <c r="P317" s="92" t="s">
        <v>5835</v>
      </c>
      <c r="Q317" s="93">
        <v>887</v>
      </c>
      <c r="R317" s="92" t="s">
        <v>5836</v>
      </c>
      <c r="S317" s="93">
        <v>573</v>
      </c>
      <c r="T317" s="92" t="s">
        <v>5837</v>
      </c>
      <c r="U317" s="93">
        <v>296</v>
      </c>
      <c r="V317" s="92" t="s">
        <v>5838</v>
      </c>
      <c r="W317" s="93">
        <v>159</v>
      </c>
      <c r="X317" s="92" t="s">
        <v>5839</v>
      </c>
      <c r="Y317" s="93">
        <v>32</v>
      </c>
    </row>
    <row r="318" spans="1:31" ht="22.5" customHeight="1" thickBot="1">
      <c r="A318" s="93" t="s">
        <v>5822</v>
      </c>
      <c r="C318" s="36" t="s">
        <v>5818</v>
      </c>
      <c r="D318" s="37" t="s">
        <v>5819</v>
      </c>
      <c r="E318" s="37" t="s">
        <v>5820</v>
      </c>
      <c r="F318" s="36" t="str">
        <f t="shared" si="14"/>
        <v>gift-codes.html?game=荒島求生：重建家園</v>
      </c>
      <c r="G318" s="83" t="s">
        <v>5823</v>
      </c>
      <c r="H318" s="37" t="str">
        <f t="shared" si="15"/>
        <v>https://www.ssbuy.tw/game-detail.html?game=荒島求生：重建家園</v>
      </c>
      <c r="I318" s="38" t="s">
        <v>5825</v>
      </c>
      <c r="J318" s="83" t="s">
        <v>5423</v>
      </c>
      <c r="K318" s="86" t="s">
        <v>5451</v>
      </c>
      <c r="L318" s="92" t="s">
        <v>5826</v>
      </c>
      <c r="M318" s="93">
        <v>2605</v>
      </c>
      <c r="N318" s="92" t="s">
        <v>63</v>
      </c>
      <c r="O318" s="93">
        <v>1323</v>
      </c>
      <c r="P318" s="92" t="s">
        <v>1326</v>
      </c>
      <c r="Q318" s="93">
        <v>618</v>
      </c>
      <c r="R318" s="92" t="s">
        <v>5827</v>
      </c>
      <c r="S318" s="93">
        <v>287</v>
      </c>
      <c r="T318" s="92" t="s">
        <v>5828</v>
      </c>
      <c r="U318" s="93">
        <v>140</v>
      </c>
      <c r="V318" s="92" t="s">
        <v>7</v>
      </c>
      <c r="W318" s="93">
        <v>58</v>
      </c>
      <c r="X318" s="92" t="s">
        <v>3847</v>
      </c>
      <c r="Y318" s="93">
        <v>287</v>
      </c>
      <c r="Z318" s="92" t="s">
        <v>5829</v>
      </c>
      <c r="AA318" s="93">
        <v>140</v>
      </c>
    </row>
    <row r="319" spans="1:31" ht="22.5" customHeight="1" thickBot="1">
      <c r="A319" s="93" t="s">
        <v>5892</v>
      </c>
      <c r="C319" s="36" t="s">
        <v>5891</v>
      </c>
      <c r="D319" s="37" t="s">
        <v>5890</v>
      </c>
      <c r="E319" s="37" t="s">
        <v>5889</v>
      </c>
      <c r="F319" s="36" t="str">
        <f t="shared" si="14"/>
        <v>gift-codes.html?game=絕地鴨衛</v>
      </c>
      <c r="G319" s="83" t="s">
        <v>5894</v>
      </c>
      <c r="H319" s="37" t="str">
        <f t="shared" si="15"/>
        <v>https://www.ssbuy.tw/game-detail.html?game=絕地鴨衛</v>
      </c>
      <c r="I319" s="38" t="s">
        <v>5896</v>
      </c>
      <c r="J319" s="83" t="s">
        <v>5423</v>
      </c>
      <c r="K319" s="86" t="s">
        <v>5451</v>
      </c>
      <c r="L319" s="92" t="s">
        <v>5897</v>
      </c>
      <c r="M319" s="93">
        <v>529</v>
      </c>
      <c r="N319" s="92" t="s">
        <v>5898</v>
      </c>
      <c r="O319" s="93">
        <v>287</v>
      </c>
      <c r="P319" s="92" t="s">
        <v>5899</v>
      </c>
      <c r="Q319" s="93">
        <v>178</v>
      </c>
      <c r="R319" s="92" t="s">
        <v>5900</v>
      </c>
      <c r="S319" s="93">
        <v>86</v>
      </c>
      <c r="T319" s="92" t="s">
        <v>5901</v>
      </c>
      <c r="U319" s="93">
        <v>29</v>
      </c>
      <c r="V319" s="92" t="s">
        <v>5902</v>
      </c>
      <c r="W319" s="93">
        <v>140</v>
      </c>
      <c r="X319" s="92" t="s">
        <v>5903</v>
      </c>
      <c r="Y319" s="93">
        <v>287</v>
      </c>
    </row>
    <row r="320" spans="1:31" ht="22.5" customHeight="1" thickBot="1">
      <c r="A320" s="93" t="s">
        <v>5893</v>
      </c>
      <c r="C320" s="36" t="s">
        <v>5888</v>
      </c>
      <c r="D320" s="37" t="s">
        <v>5886</v>
      </c>
      <c r="E320" s="37" t="s">
        <v>5887</v>
      </c>
      <c r="F320" s="36" t="str">
        <f t="shared" si="14"/>
        <v>gift-codes.html?game=NBA 2K26 Myteam</v>
      </c>
      <c r="G320" s="83" t="s">
        <v>5895</v>
      </c>
      <c r="H320" s="37" t="str">
        <f t="shared" si="15"/>
        <v>https://www.ssbuy.tw/game-detail.html?game=NBA 2K26 Myteam</v>
      </c>
      <c r="I320" s="38" t="s">
        <v>5904</v>
      </c>
      <c r="J320" s="83" t="s">
        <v>5423</v>
      </c>
      <c r="K320" s="86" t="s">
        <v>5451</v>
      </c>
      <c r="L320" s="92" t="s">
        <v>5905</v>
      </c>
      <c r="M320" s="93">
        <v>4008</v>
      </c>
      <c r="N320" s="92" t="s">
        <v>5906</v>
      </c>
      <c r="O320" s="93">
        <v>2692</v>
      </c>
      <c r="P320" s="92" t="s">
        <v>5907</v>
      </c>
      <c r="Q320" s="93">
        <v>1323</v>
      </c>
      <c r="R320" s="92" t="s">
        <v>5908</v>
      </c>
      <c r="S320" s="93">
        <v>529</v>
      </c>
      <c r="T320" s="92" t="s">
        <v>5909</v>
      </c>
      <c r="U320" s="93">
        <v>281</v>
      </c>
      <c r="V320" s="92" t="s">
        <v>5910</v>
      </c>
      <c r="W320" s="93">
        <v>140</v>
      </c>
      <c r="X320" s="92" t="s">
        <v>5911</v>
      </c>
      <c r="Y320" s="93">
        <v>58</v>
      </c>
    </row>
    <row r="321" spans="1:31" ht="22.5" customHeight="1" thickBot="1">
      <c r="A321" s="93" t="s">
        <v>5945</v>
      </c>
      <c r="C321" s="36" t="s">
        <v>5920</v>
      </c>
      <c r="D321" s="36" t="s">
        <v>5920</v>
      </c>
      <c r="E321" s="37" t="s">
        <v>5921</v>
      </c>
      <c r="F321" s="36" t="str">
        <f t="shared" si="14"/>
        <v>gift-codes.html?game=放置法陣</v>
      </c>
      <c r="G321" s="83" t="s">
        <v>5925</v>
      </c>
      <c r="H321" s="37" t="str">
        <f t="shared" si="15"/>
        <v>https://www.ssbuy.tw/game-detail.html?game=放置法陣</v>
      </c>
      <c r="I321" s="38" t="s">
        <v>5944</v>
      </c>
      <c r="J321" s="83" t="s">
        <v>5423</v>
      </c>
      <c r="K321" s="86" t="s">
        <v>5451</v>
      </c>
      <c r="L321" s="92" t="s">
        <v>5948</v>
      </c>
      <c r="M321" s="93">
        <v>2987</v>
      </c>
      <c r="N321" s="92" t="s">
        <v>61</v>
      </c>
      <c r="O321" s="93">
        <v>1517</v>
      </c>
      <c r="P321" s="92" t="s">
        <v>5949</v>
      </c>
      <c r="Q321" s="93">
        <v>616</v>
      </c>
      <c r="R321" s="92" t="s">
        <v>3978</v>
      </c>
      <c r="S321" s="93">
        <v>308</v>
      </c>
      <c r="T321" s="92" t="s">
        <v>5950</v>
      </c>
      <c r="U321" s="93">
        <v>161</v>
      </c>
      <c r="V321" s="92" t="s">
        <v>4760</v>
      </c>
      <c r="W321" s="93">
        <v>65</v>
      </c>
      <c r="X321" s="92" t="s">
        <v>3730</v>
      </c>
      <c r="Y321" s="93">
        <v>308</v>
      </c>
      <c r="Z321" s="92" t="s">
        <v>5902</v>
      </c>
      <c r="AA321" s="93">
        <v>294</v>
      </c>
      <c r="AB321" s="92" t="s">
        <v>107</v>
      </c>
      <c r="AC321" s="93">
        <v>161</v>
      </c>
    </row>
    <row r="322" spans="1:31" ht="22.5" customHeight="1" thickBot="1">
      <c r="A322" s="93" t="s">
        <v>6302</v>
      </c>
      <c r="C322" s="36" t="s">
        <v>5924</v>
      </c>
      <c r="D322" s="37" t="s">
        <v>5923</v>
      </c>
      <c r="E322" s="37" t="s">
        <v>5922</v>
      </c>
      <c r="F322" s="36" t="str">
        <f t="shared" si="14"/>
        <v>gift-codes.html?game=魔導少年 魔導士編年史</v>
      </c>
      <c r="G322" s="83" t="s">
        <v>5926</v>
      </c>
      <c r="H322" s="37" t="str">
        <f t="shared" si="15"/>
        <v>https://www.ssbuy.tw/game-detail.html?game=魔導少年 魔導士編年史</v>
      </c>
      <c r="I322" s="38" t="s">
        <v>5927</v>
      </c>
      <c r="J322" s="83" t="s">
        <v>5423</v>
      </c>
      <c r="K322" s="86" t="s">
        <v>5451</v>
      </c>
      <c r="L322" s="92" t="s">
        <v>4167</v>
      </c>
      <c r="M322" s="93">
        <v>2635</v>
      </c>
      <c r="N322" s="92" t="s">
        <v>5977</v>
      </c>
      <c r="O322" s="93">
        <v>1337</v>
      </c>
      <c r="P322" s="92" t="s">
        <v>4710</v>
      </c>
      <c r="Q322" s="93">
        <v>625</v>
      </c>
      <c r="R322" s="92" t="s">
        <v>5978</v>
      </c>
      <c r="S322" s="93">
        <v>290</v>
      </c>
      <c r="T322" s="92" t="s">
        <v>27</v>
      </c>
      <c r="U322" s="93">
        <v>87</v>
      </c>
      <c r="V322" s="92" t="s">
        <v>5979</v>
      </c>
      <c r="W322" s="93">
        <v>29</v>
      </c>
      <c r="X322" s="92" t="s">
        <v>5980</v>
      </c>
      <c r="Y322" s="93">
        <v>290</v>
      </c>
      <c r="Z322" s="92" t="s">
        <v>5981</v>
      </c>
      <c r="AA322" s="93">
        <v>897</v>
      </c>
      <c r="AB322" s="92" t="s">
        <v>5982</v>
      </c>
      <c r="AC322" s="93">
        <v>290</v>
      </c>
    </row>
    <row r="323" spans="1:31" ht="22.5" customHeight="1" thickBot="1">
      <c r="A323" s="93" t="s">
        <v>5941</v>
      </c>
      <c r="C323" s="36" t="s">
        <v>5934</v>
      </c>
      <c r="D323" s="37" t="s">
        <v>5933</v>
      </c>
      <c r="E323" s="83" t="s">
        <v>5939</v>
      </c>
      <c r="F323" s="36" t="str">
        <f t="shared" si="14"/>
        <v>gift-codes.html?game=獵風傳說：石器大作戰</v>
      </c>
      <c r="G323" s="37" t="s">
        <v>5940</v>
      </c>
      <c r="H323" s="37" t="str">
        <f t="shared" si="15"/>
        <v>https://www.ssbuy.tw/game-detail.html?game=獵風傳說：石器大作戰</v>
      </c>
      <c r="I323" s="38" t="s">
        <v>5942</v>
      </c>
      <c r="J323" s="83" t="s">
        <v>5423</v>
      </c>
      <c r="K323" s="86" t="s">
        <v>5451</v>
      </c>
      <c r="L323" s="92" t="s">
        <v>6096</v>
      </c>
      <c r="M323" s="93">
        <v>2899</v>
      </c>
      <c r="N323" s="92" t="s">
        <v>6097</v>
      </c>
      <c r="O323" s="93">
        <v>1481</v>
      </c>
      <c r="P323" s="92" t="s">
        <v>6098</v>
      </c>
      <c r="Q323" s="93">
        <v>898</v>
      </c>
      <c r="R323" s="92" t="s">
        <v>6099</v>
      </c>
      <c r="S323" s="93">
        <v>625</v>
      </c>
      <c r="T323" s="92" t="s">
        <v>6100</v>
      </c>
      <c r="U323" s="93">
        <v>299</v>
      </c>
      <c r="V323" s="92" t="s">
        <v>6101</v>
      </c>
      <c r="W323" s="93">
        <v>156</v>
      </c>
      <c r="X323" s="92"/>
      <c r="Y323" s="93"/>
      <c r="Z323" s="92"/>
      <c r="AA323" s="93"/>
      <c r="AB323" s="92"/>
      <c r="AC323" s="93"/>
    </row>
    <row r="324" spans="1:31" ht="22.5" customHeight="1" thickBot="1">
      <c r="A324" s="93" t="s">
        <v>5946</v>
      </c>
      <c r="C324" s="36" t="s">
        <v>5936</v>
      </c>
      <c r="D324" s="37" t="s">
        <v>5935</v>
      </c>
      <c r="E324" s="37" t="s">
        <v>5937</v>
      </c>
      <c r="F324" s="36" t="str">
        <f t="shared" si="14"/>
        <v>gift-codes.html?game=依露希爾</v>
      </c>
      <c r="G324" s="37" t="s">
        <v>5938</v>
      </c>
      <c r="H324" s="37" t="str">
        <f t="shared" si="15"/>
        <v>https://www.ssbuy.tw/game-detail.html?game=依露希爾</v>
      </c>
      <c r="I324" s="38" t="s">
        <v>5943</v>
      </c>
      <c r="J324" s="83" t="s">
        <v>5423</v>
      </c>
      <c r="K324" s="86" t="s">
        <v>5451</v>
      </c>
      <c r="L324" s="92" t="s">
        <v>6102</v>
      </c>
      <c r="M324" s="93">
        <v>2899</v>
      </c>
      <c r="N324" s="92" t="s">
        <v>6103</v>
      </c>
      <c r="O324" s="93">
        <v>1517</v>
      </c>
      <c r="P324" s="92" t="s">
        <v>6104</v>
      </c>
      <c r="Q324" s="93">
        <v>897</v>
      </c>
      <c r="R324" s="92" t="s">
        <v>6105</v>
      </c>
      <c r="S324" s="93">
        <v>598</v>
      </c>
      <c r="T324" s="92" t="s">
        <v>6106</v>
      </c>
      <c r="U324" s="93">
        <v>317</v>
      </c>
      <c r="V324" s="92" t="s">
        <v>6107</v>
      </c>
      <c r="W324" s="93">
        <v>161</v>
      </c>
      <c r="X324" s="92" t="s">
        <v>6108</v>
      </c>
      <c r="Y324" s="93">
        <v>161</v>
      </c>
      <c r="Z324" s="92" t="s">
        <v>6109</v>
      </c>
      <c r="AA324" s="93">
        <v>444</v>
      </c>
      <c r="AB324" s="92"/>
      <c r="AC324" s="93"/>
    </row>
    <row r="325" spans="1:31" ht="22.5" customHeight="1" thickBot="1">
      <c r="A325" s="36" t="s">
        <v>5976</v>
      </c>
      <c r="C325" s="36" t="s">
        <v>5961</v>
      </c>
      <c r="D325" s="37" t="s">
        <v>5962</v>
      </c>
      <c r="E325" s="37" t="s">
        <v>5960</v>
      </c>
      <c r="F325" s="36" t="str">
        <f t="shared" si="14"/>
        <v>gift-codes.html?game=契約吧！精靈少女</v>
      </c>
      <c r="G325" s="83" t="s">
        <v>5967</v>
      </c>
      <c r="H325" s="37" t="str">
        <f t="shared" si="15"/>
        <v>https://www.ssbuy.tw/game-detail.html?game=契約吧！精靈少女</v>
      </c>
      <c r="I325" s="38" t="s">
        <v>5968</v>
      </c>
      <c r="J325" s="83" t="s">
        <v>5423</v>
      </c>
      <c r="K325" s="86" t="s">
        <v>5451</v>
      </c>
      <c r="L325" s="92" t="s">
        <v>12</v>
      </c>
      <c r="M325" s="93">
        <v>2635</v>
      </c>
      <c r="N325" s="92" t="s">
        <v>13</v>
      </c>
      <c r="O325" s="93">
        <v>1337</v>
      </c>
      <c r="P325" s="92" t="s">
        <v>24</v>
      </c>
      <c r="Q325" s="93">
        <v>897</v>
      </c>
      <c r="R325" s="92" t="s">
        <v>15</v>
      </c>
      <c r="S325" s="93">
        <v>444</v>
      </c>
      <c r="T325" s="92" t="s">
        <v>16</v>
      </c>
      <c r="U325" s="93">
        <v>142</v>
      </c>
      <c r="V325" s="92" t="s">
        <v>7</v>
      </c>
      <c r="W325" s="93">
        <v>32</v>
      </c>
    </row>
    <row r="326" spans="1:31" ht="22.5" customHeight="1" thickBot="1">
      <c r="A326" s="93" t="s">
        <v>6054</v>
      </c>
      <c r="C326" s="36" t="s">
        <v>6029</v>
      </c>
      <c r="D326" s="37" t="s">
        <v>6030</v>
      </c>
      <c r="E326" s="37" t="s">
        <v>6032</v>
      </c>
      <c r="F326" s="36" t="str">
        <f t="shared" si="14"/>
        <v>gift-codes.html?game=曹操不囉嗦</v>
      </c>
      <c r="G326" s="37" t="s">
        <v>6031</v>
      </c>
      <c r="H326" s="37" t="str">
        <f t="shared" si="15"/>
        <v>https://www.ssbuy.tw/game-detail.html?game=曹操不囉嗦</v>
      </c>
      <c r="I326" s="38" t="s">
        <v>6055</v>
      </c>
      <c r="J326" s="83" t="s">
        <v>5423</v>
      </c>
      <c r="K326" s="86" t="s">
        <v>5451</v>
      </c>
      <c r="L326" s="92" t="s">
        <v>5951</v>
      </c>
      <c r="M326" s="93">
        <v>2902</v>
      </c>
      <c r="N326" s="92" t="s">
        <v>5952</v>
      </c>
      <c r="O326" s="93">
        <v>1519</v>
      </c>
      <c r="P326" s="92" t="s">
        <v>5953</v>
      </c>
      <c r="Q326" s="93">
        <v>898</v>
      </c>
      <c r="R326" s="92" t="s">
        <v>5954</v>
      </c>
      <c r="S326" s="93">
        <v>762</v>
      </c>
      <c r="T326" s="92" t="s">
        <v>5955</v>
      </c>
      <c r="U326" s="93">
        <v>608</v>
      </c>
      <c r="V326" s="92" t="s">
        <v>5956</v>
      </c>
      <c r="W326" s="93">
        <v>444</v>
      </c>
      <c r="X326" s="92" t="s">
        <v>5957</v>
      </c>
      <c r="Y326" s="93">
        <v>299</v>
      </c>
      <c r="Z326" s="92" t="s">
        <v>6303</v>
      </c>
      <c r="AA326" s="93">
        <v>161</v>
      </c>
      <c r="AB326" s="92" t="s">
        <v>5959</v>
      </c>
      <c r="AC326" s="93">
        <v>32</v>
      </c>
    </row>
    <row r="327" spans="1:31" ht="22.5" customHeight="1" thickBot="1">
      <c r="A327" s="93" t="s">
        <v>6008</v>
      </c>
      <c r="C327" s="36" t="s">
        <v>6033</v>
      </c>
      <c r="D327" s="37" t="s">
        <v>6034</v>
      </c>
      <c r="E327" s="37" t="s">
        <v>6035</v>
      </c>
      <c r="F327" s="36" t="str">
        <f t="shared" si="14"/>
        <v>gift-codes.html?game=江湖有詭</v>
      </c>
      <c r="G327" s="37" t="s">
        <v>6036</v>
      </c>
      <c r="H327" s="37" t="str">
        <f t="shared" si="15"/>
        <v>https://www.ssbuy.tw/game-detail.html?game=江湖有詭</v>
      </c>
      <c r="I327" s="38" t="s">
        <v>6056</v>
      </c>
      <c r="J327" s="83" t="s">
        <v>5423</v>
      </c>
      <c r="K327" s="86" t="s">
        <v>5451</v>
      </c>
      <c r="L327" s="92" t="s">
        <v>1514</v>
      </c>
      <c r="M327" s="93">
        <v>2899</v>
      </c>
      <c r="N327" s="92" t="s">
        <v>1515</v>
      </c>
      <c r="O327" s="93">
        <v>1517</v>
      </c>
      <c r="P327" s="92" t="s">
        <v>5412</v>
      </c>
      <c r="Q327" s="93">
        <v>897</v>
      </c>
      <c r="R327" s="92" t="s">
        <v>1516</v>
      </c>
      <c r="S327" s="93">
        <v>607</v>
      </c>
      <c r="T327" s="92" t="s">
        <v>1517</v>
      </c>
      <c r="U327" s="93">
        <v>444</v>
      </c>
      <c r="V327" s="92" t="s">
        <v>1630</v>
      </c>
      <c r="W327" s="93">
        <v>299</v>
      </c>
      <c r="X327" s="92" t="s">
        <v>318</v>
      </c>
      <c r="Y327" s="93">
        <v>161</v>
      </c>
      <c r="Z327" s="92" t="s">
        <v>1518</v>
      </c>
      <c r="AA327" s="93">
        <v>32</v>
      </c>
    </row>
    <row r="328" spans="1:31" ht="22.5" customHeight="1" thickBot="1">
      <c r="A328" s="93" t="s">
        <v>6009</v>
      </c>
      <c r="C328" s="36" t="s">
        <v>6037</v>
      </c>
      <c r="D328" s="37" t="s">
        <v>6038</v>
      </c>
      <c r="E328" s="37" t="s">
        <v>6039</v>
      </c>
      <c r="F328" s="36" t="str">
        <f t="shared" si="14"/>
        <v>gift-codes.html?game=將軍請息怒</v>
      </c>
      <c r="G328" s="37" t="s">
        <v>6040</v>
      </c>
      <c r="H328" s="37" t="str">
        <f t="shared" si="15"/>
        <v>https://www.ssbuy.tw/game-detail.html?game=將軍請息怒</v>
      </c>
      <c r="I328" s="38" t="s">
        <v>6057</v>
      </c>
      <c r="J328" s="83" t="s">
        <v>5423</v>
      </c>
      <c r="K328" s="86" t="s">
        <v>5451</v>
      </c>
      <c r="L328" s="92" t="s">
        <v>235</v>
      </c>
      <c r="M328" s="93">
        <v>2899</v>
      </c>
      <c r="N328" s="92" t="s">
        <v>236</v>
      </c>
      <c r="O328" s="93">
        <v>1517</v>
      </c>
      <c r="P328" s="92" t="s">
        <v>1292</v>
      </c>
      <c r="Q328" s="93">
        <v>897</v>
      </c>
      <c r="R328" s="92" t="s">
        <v>237</v>
      </c>
      <c r="S328" s="93">
        <v>607</v>
      </c>
      <c r="T328" s="92" t="s">
        <v>238</v>
      </c>
      <c r="U328" s="93">
        <v>299</v>
      </c>
      <c r="V328" s="92" t="s">
        <v>239</v>
      </c>
      <c r="W328" s="93">
        <v>161</v>
      </c>
      <c r="X328" s="92" t="s">
        <v>240</v>
      </c>
      <c r="Y328" s="93">
        <v>32</v>
      </c>
      <c r="Z328" s="92" t="s">
        <v>6130</v>
      </c>
      <c r="AA328" s="93">
        <v>299</v>
      </c>
      <c r="AB328" s="92" t="s">
        <v>6131</v>
      </c>
      <c r="AC328" s="93">
        <v>161</v>
      </c>
    </row>
    <row r="329" spans="1:31" ht="22.5" customHeight="1" thickBot="1">
      <c r="A329" s="93" t="s">
        <v>6304</v>
      </c>
      <c r="C329" s="36" t="s">
        <v>6041</v>
      </c>
      <c r="D329" s="37" t="s">
        <v>6043</v>
      </c>
      <c r="E329" s="37" t="s">
        <v>6042</v>
      </c>
      <c r="F329" s="36" t="str">
        <f t="shared" si="14"/>
        <v>gift-codes.html?game=RO：世界之旅</v>
      </c>
      <c r="G329" s="37" t="s">
        <v>6044</v>
      </c>
      <c r="H329" s="37" t="str">
        <f t="shared" si="15"/>
        <v>https://www.ssbuy.tw/game-detail.html?game=RO：世界之旅</v>
      </c>
      <c r="I329" s="38" t="s">
        <v>6058</v>
      </c>
      <c r="J329" s="83" t="s">
        <v>5423</v>
      </c>
      <c r="K329" s="86" t="s">
        <v>5451</v>
      </c>
      <c r="L329" s="92" t="s">
        <v>6079</v>
      </c>
      <c r="M329" s="93">
        <v>2638</v>
      </c>
      <c r="N329" s="92" t="s">
        <v>6080</v>
      </c>
      <c r="O329" s="93">
        <v>1339</v>
      </c>
      <c r="P329" s="92" t="s">
        <v>6081</v>
      </c>
      <c r="Q329" s="93">
        <v>898</v>
      </c>
      <c r="R329" s="92" t="s">
        <v>6082</v>
      </c>
      <c r="S329" s="93">
        <v>444</v>
      </c>
      <c r="T329" s="92" t="s">
        <v>6083</v>
      </c>
      <c r="U329" s="93">
        <v>142</v>
      </c>
      <c r="V329" s="92" t="s">
        <v>6084</v>
      </c>
      <c r="W329" s="93">
        <v>29</v>
      </c>
      <c r="X329" s="92" t="s">
        <v>141</v>
      </c>
      <c r="Y329" s="93">
        <v>290</v>
      </c>
      <c r="Z329" s="92" t="s">
        <v>107</v>
      </c>
      <c r="AA329" s="93">
        <v>142</v>
      </c>
    </row>
    <row r="330" spans="1:31" ht="22.5" customHeight="1" thickBot="1">
      <c r="A330" s="93" t="s">
        <v>6010</v>
      </c>
      <c r="C330" s="36" t="s">
        <v>6045</v>
      </c>
      <c r="D330" s="37" t="s">
        <v>6046</v>
      </c>
      <c r="E330" s="37" t="s">
        <v>6047</v>
      </c>
      <c r="F330" s="36" t="str">
        <f t="shared" si="14"/>
        <v>gift-codes.html?game=燕雲十六聲</v>
      </c>
      <c r="G330" s="37" t="s">
        <v>6048</v>
      </c>
      <c r="H330" s="37" t="str">
        <f t="shared" si="15"/>
        <v>https://www.ssbuy.tw/game-detail.html?game=燕雲十六聲</v>
      </c>
      <c r="I330" s="38" t="s">
        <v>6059</v>
      </c>
      <c r="J330" s="83" t="s">
        <v>5423</v>
      </c>
      <c r="K330" s="86" t="s">
        <v>5451</v>
      </c>
      <c r="L330" s="92" t="s">
        <v>6085</v>
      </c>
      <c r="M330" s="93">
        <v>2779</v>
      </c>
      <c r="N330" s="92" t="s">
        <v>6086</v>
      </c>
      <c r="O330" s="93">
        <v>1429</v>
      </c>
      <c r="P330" s="92" t="s">
        <v>6087</v>
      </c>
      <c r="Q330" s="93">
        <v>861</v>
      </c>
      <c r="R330" s="92" t="s">
        <v>6088</v>
      </c>
      <c r="S330" s="93">
        <v>431</v>
      </c>
      <c r="T330" s="92" t="s">
        <v>6089</v>
      </c>
      <c r="U330" s="93">
        <v>299</v>
      </c>
      <c r="V330" s="92" t="s">
        <v>6090</v>
      </c>
      <c r="W330" s="93">
        <v>152</v>
      </c>
      <c r="X330" s="92" t="s">
        <v>6091</v>
      </c>
      <c r="Y330" s="93">
        <v>32</v>
      </c>
      <c r="Z330" s="92" t="s">
        <v>6092</v>
      </c>
      <c r="AA330" s="93">
        <v>571</v>
      </c>
      <c r="AB330" s="92" t="s">
        <v>6093</v>
      </c>
      <c r="AC330" s="93">
        <v>299</v>
      </c>
      <c r="AD330" s="92" t="s">
        <v>107</v>
      </c>
      <c r="AE330" s="93">
        <v>152</v>
      </c>
    </row>
    <row r="331" spans="1:31" ht="22.5" customHeight="1" thickBot="1">
      <c r="A331" s="93" t="s">
        <v>6011</v>
      </c>
      <c r="C331" s="36" t="s">
        <v>6052</v>
      </c>
      <c r="D331" s="37" t="s">
        <v>6053</v>
      </c>
      <c r="E331" s="37" t="s">
        <v>6051</v>
      </c>
      <c r="F331" s="36" t="str">
        <f t="shared" si="14"/>
        <v>gift-codes.html?game=99強化木棒</v>
      </c>
      <c r="G331" s="37" t="s">
        <v>6050</v>
      </c>
      <c r="H331" s="37" t="str">
        <f t="shared" si="15"/>
        <v>https://www.ssbuy.tw/game-detail.html?game=99強化木棒</v>
      </c>
      <c r="I331" s="38" t="s">
        <v>6060</v>
      </c>
      <c r="J331" s="83" t="s">
        <v>5423</v>
      </c>
      <c r="K331" s="86" t="s">
        <v>5451</v>
      </c>
      <c r="L331" s="92" t="s">
        <v>5951</v>
      </c>
      <c r="M331" s="93">
        <v>2902</v>
      </c>
      <c r="N331" s="92" t="s">
        <v>5952</v>
      </c>
      <c r="O331" s="93">
        <v>1519</v>
      </c>
      <c r="P331" s="92" t="s">
        <v>6132</v>
      </c>
      <c r="Q331" s="93">
        <v>2235</v>
      </c>
      <c r="R331" s="92" t="s">
        <v>6133</v>
      </c>
      <c r="S331" s="93">
        <v>1158</v>
      </c>
      <c r="T331" s="92" t="s">
        <v>6134</v>
      </c>
      <c r="U331" s="93">
        <v>716</v>
      </c>
      <c r="V331" s="92" t="s">
        <v>6135</v>
      </c>
      <c r="W331" s="93">
        <v>290</v>
      </c>
      <c r="X331" s="92" t="s">
        <v>6136</v>
      </c>
      <c r="Y331" s="93">
        <v>2235</v>
      </c>
      <c r="Z331" s="92" t="s">
        <v>6137</v>
      </c>
      <c r="AA331" s="93">
        <v>716</v>
      </c>
      <c r="AB331" s="92" t="s">
        <v>6138</v>
      </c>
      <c r="AC331" s="93">
        <v>275</v>
      </c>
      <c r="AD331" s="92" t="s">
        <v>6139</v>
      </c>
      <c r="AE331" s="93">
        <v>716</v>
      </c>
    </row>
    <row r="332" spans="1:31" ht="22.5" customHeight="1" thickBot="1">
      <c r="A332" s="94" t="s">
        <v>6174</v>
      </c>
      <c r="C332" s="36" t="s">
        <v>6127</v>
      </c>
      <c r="D332" s="37" t="s">
        <v>6126</v>
      </c>
      <c r="E332" s="37" t="s">
        <v>6125</v>
      </c>
      <c r="F332" s="36" t="str">
        <f t="shared" si="14"/>
        <v>gift-codes.html?game=天龍八部榮耀版</v>
      </c>
      <c r="G332" s="37" t="s">
        <v>6128</v>
      </c>
      <c r="H332" s="37" t="str">
        <f t="shared" si="15"/>
        <v>https://www.ssbuy.tw/game-detail.html?game=天龍八部榮耀版</v>
      </c>
      <c r="I332" s="38" t="s">
        <v>6129</v>
      </c>
      <c r="J332" s="83" t="s">
        <v>5423</v>
      </c>
      <c r="K332" s="86" t="s">
        <v>5451</v>
      </c>
      <c r="L332" s="92" t="s">
        <v>6175</v>
      </c>
      <c r="M332" s="93">
        <v>2899</v>
      </c>
      <c r="N332" s="92" t="s">
        <v>6176</v>
      </c>
      <c r="O332" s="93">
        <v>2235</v>
      </c>
      <c r="P332" s="92" t="s">
        <v>6177</v>
      </c>
      <c r="Q332" s="93">
        <v>1517</v>
      </c>
      <c r="R332" s="92" t="s">
        <v>6178</v>
      </c>
      <c r="S332" s="93">
        <v>897</v>
      </c>
      <c r="T332" s="92" t="s">
        <v>6179</v>
      </c>
      <c r="U332" s="93">
        <v>625</v>
      </c>
      <c r="V332" s="92" t="s">
        <v>6180</v>
      </c>
      <c r="W332" s="93">
        <v>290</v>
      </c>
      <c r="X332" s="92" t="s">
        <v>6181</v>
      </c>
      <c r="Y332" s="93">
        <v>142</v>
      </c>
      <c r="Z332" s="92" t="s">
        <v>6182</v>
      </c>
      <c r="AA332" s="93">
        <v>29</v>
      </c>
    </row>
    <row r="333" spans="1:31" ht="22.5" customHeight="1" thickBot="1">
      <c r="A333" s="94" t="s">
        <v>6305</v>
      </c>
      <c r="C333" s="36" t="s">
        <v>6140</v>
      </c>
      <c r="D333" s="37" t="s">
        <v>6141</v>
      </c>
      <c r="E333" s="37" t="s">
        <v>6142</v>
      </c>
      <c r="F333" s="36" t="str">
        <f t="shared" si="14"/>
        <v>gift-codes.html?game=SD鋼彈 G世代 永恆</v>
      </c>
      <c r="G333" s="83" t="s">
        <v>6143</v>
      </c>
      <c r="H333" s="37" t="str">
        <f t="shared" si="15"/>
        <v>https://www.ssbuy.tw/game-detail.html?game=SD鋼彈 G世代 永恆</v>
      </c>
      <c r="I333" s="38" t="s">
        <v>6169</v>
      </c>
      <c r="J333" s="83" t="s">
        <v>5423</v>
      </c>
      <c r="K333" s="86" t="s">
        <v>5451</v>
      </c>
      <c r="L333" s="92" t="s">
        <v>4</v>
      </c>
      <c r="M333" s="93">
        <v>1759</v>
      </c>
      <c r="N333" s="92" t="s">
        <v>5</v>
      </c>
      <c r="O333" s="93">
        <v>843</v>
      </c>
      <c r="P333" s="92" t="s">
        <v>62</v>
      </c>
      <c r="Q333" s="93">
        <v>506</v>
      </c>
      <c r="R333" s="92" t="s">
        <v>6170</v>
      </c>
      <c r="S333" s="93">
        <v>233</v>
      </c>
      <c r="T333" s="92" t="s">
        <v>6171</v>
      </c>
      <c r="U333" s="93">
        <v>153</v>
      </c>
      <c r="V333" s="92" t="s">
        <v>6172</v>
      </c>
      <c r="W333" s="93">
        <v>80</v>
      </c>
      <c r="X333" s="92" t="s">
        <v>6173</v>
      </c>
      <c r="Y333" s="93">
        <v>27</v>
      </c>
      <c r="Z333" s="92" t="s">
        <v>3957</v>
      </c>
      <c r="AA333" s="93">
        <v>153</v>
      </c>
    </row>
    <row r="334" spans="1:31" ht="22.5" customHeight="1" thickBot="1">
      <c r="A334" s="93" t="s">
        <v>6211</v>
      </c>
      <c r="C334" s="36" t="s">
        <v>6222</v>
      </c>
      <c r="D334" s="37" t="s">
        <v>6223</v>
      </c>
      <c r="E334" s="37" t="s">
        <v>6224</v>
      </c>
      <c r="F334" s="36" t="str">
        <f t="shared" si="14"/>
        <v>gift-codes.html?game=純被動大師：放置型養成</v>
      </c>
      <c r="G334" s="83" t="s">
        <v>6231</v>
      </c>
      <c r="H334" s="37" t="str">
        <f t="shared" si="15"/>
        <v>https://www.ssbuy.tw/game-detail.html?game=純被動大師：放置型養成</v>
      </c>
      <c r="I334" s="38" t="s">
        <v>6237</v>
      </c>
      <c r="J334" s="83" t="s">
        <v>5423</v>
      </c>
      <c r="K334" s="86" t="s">
        <v>5451</v>
      </c>
      <c r="L334" s="92" t="s">
        <v>6241</v>
      </c>
      <c r="M334" s="93">
        <v>2235</v>
      </c>
      <c r="N334" s="92" t="s">
        <v>6242</v>
      </c>
      <c r="O334" s="93">
        <v>1158</v>
      </c>
      <c r="P334" s="92" t="s">
        <v>6243</v>
      </c>
      <c r="Q334" s="93">
        <v>275</v>
      </c>
      <c r="R334" s="92" t="s">
        <v>3519</v>
      </c>
      <c r="S334" s="93">
        <v>1158</v>
      </c>
      <c r="T334" s="92" t="s">
        <v>6244</v>
      </c>
      <c r="U334" s="93">
        <v>716</v>
      </c>
      <c r="V334" s="92" t="s">
        <v>6245</v>
      </c>
      <c r="W334" s="93">
        <v>716</v>
      </c>
    </row>
    <row r="335" spans="1:31" ht="22.5" customHeight="1" thickBot="1">
      <c r="A335" s="93" t="s">
        <v>6212</v>
      </c>
      <c r="C335" s="36" t="s">
        <v>6225</v>
      </c>
      <c r="D335" s="37" t="s">
        <v>6226</v>
      </c>
      <c r="E335" s="37" t="s">
        <v>6227</v>
      </c>
      <c r="F335" s="36" t="str">
        <f t="shared" si="14"/>
        <v>gift-codes.html?game=超次元三國</v>
      </c>
      <c r="G335" s="83" t="s">
        <v>6233</v>
      </c>
      <c r="H335" s="37" t="str">
        <f t="shared" si="15"/>
        <v>https://www.ssbuy.tw/game-detail.html?game=超次元三國</v>
      </c>
      <c r="I335" s="38" t="s">
        <v>6238</v>
      </c>
      <c r="J335" s="83" t="s">
        <v>5423</v>
      </c>
      <c r="K335" s="86" t="s">
        <v>5451</v>
      </c>
      <c r="L335" s="92" t="s">
        <v>6246</v>
      </c>
      <c r="M335" s="93">
        <v>2864</v>
      </c>
      <c r="N335" s="92" t="s">
        <v>6247</v>
      </c>
      <c r="O335" s="93">
        <v>2154</v>
      </c>
      <c r="P335" s="92" t="s">
        <v>6248</v>
      </c>
      <c r="Q335" s="93">
        <v>1885</v>
      </c>
      <c r="R335" s="92" t="s">
        <v>6249</v>
      </c>
      <c r="S335" s="93">
        <v>1347</v>
      </c>
      <c r="T335" s="92" t="s">
        <v>6250</v>
      </c>
      <c r="U335" s="93">
        <v>815</v>
      </c>
      <c r="V335" s="92" t="s">
        <v>6251</v>
      </c>
      <c r="W335" s="93">
        <v>544</v>
      </c>
      <c r="X335" s="92" t="s">
        <v>6252</v>
      </c>
      <c r="Y335" s="93">
        <v>408</v>
      </c>
      <c r="Z335" s="92" t="s">
        <v>6253</v>
      </c>
      <c r="AA335" s="93">
        <v>284</v>
      </c>
      <c r="AB335" s="92" t="s">
        <v>6254</v>
      </c>
      <c r="AC335" s="93">
        <v>227</v>
      </c>
      <c r="AD335" s="92" t="s">
        <v>6255</v>
      </c>
      <c r="AE335" s="93">
        <v>58</v>
      </c>
    </row>
    <row r="336" spans="1:31" ht="22.5" customHeight="1" thickBot="1">
      <c r="A336" s="93" t="s">
        <v>6213</v>
      </c>
      <c r="C336" s="96" t="s">
        <v>3511</v>
      </c>
      <c r="D336" s="37" t="s">
        <v>6228</v>
      </c>
      <c r="E336" s="37" t="s">
        <v>6229</v>
      </c>
      <c r="F336" s="36" t="str">
        <f t="shared" si="14"/>
        <v>gift-codes.html?game=poker fate</v>
      </c>
      <c r="G336" s="83" t="s">
        <v>6232</v>
      </c>
      <c r="H336" s="37" t="str">
        <f t="shared" si="15"/>
        <v>https://www.ssbuy.tw/game-detail.html?game=poker fate</v>
      </c>
      <c r="I336" s="38" t="s">
        <v>6236</v>
      </c>
      <c r="J336" s="83" t="s">
        <v>5423</v>
      </c>
      <c r="K336" s="86" t="s">
        <v>5451</v>
      </c>
      <c r="L336" s="92" t="s">
        <v>6256</v>
      </c>
      <c r="M336" s="93">
        <v>2908</v>
      </c>
      <c r="N336" s="92" t="s">
        <v>6257</v>
      </c>
      <c r="O336" s="93">
        <v>1481</v>
      </c>
      <c r="P336" s="92" t="s">
        <v>6258</v>
      </c>
      <c r="Q336" s="93">
        <v>1185</v>
      </c>
      <c r="R336" s="92" t="s">
        <v>6259</v>
      </c>
      <c r="S336" s="93">
        <v>897</v>
      </c>
      <c r="T336" s="92" t="s">
        <v>6260</v>
      </c>
      <c r="U336" s="93">
        <v>598</v>
      </c>
      <c r="V336" s="92" t="s">
        <v>6261</v>
      </c>
      <c r="W336" s="93">
        <v>299</v>
      </c>
      <c r="X336" s="92" t="s">
        <v>6306</v>
      </c>
      <c r="Y336" s="93">
        <v>63</v>
      </c>
    </row>
    <row r="337" spans="1:29" ht="22.5" customHeight="1" thickBot="1">
      <c r="A337" s="93" t="s">
        <v>6214</v>
      </c>
      <c r="C337" s="36" t="s">
        <v>6215</v>
      </c>
      <c r="D337" s="37" t="s">
        <v>6217</v>
      </c>
      <c r="E337" s="37" t="s">
        <v>6216</v>
      </c>
      <c r="F337" s="36" t="str">
        <f t="shared" si="14"/>
        <v>gift-codes.html?game=時空心語</v>
      </c>
      <c r="G337" s="83" t="s">
        <v>6235</v>
      </c>
      <c r="H337" s="37" t="str">
        <f t="shared" si="15"/>
        <v>https://www.ssbuy.tw/game-detail.html?game=時空心語</v>
      </c>
      <c r="I337" s="38" t="s">
        <v>6240</v>
      </c>
      <c r="J337" s="83" t="s">
        <v>5423</v>
      </c>
      <c r="K337" s="86" t="s">
        <v>5451</v>
      </c>
      <c r="L337" s="92" t="s">
        <v>6281</v>
      </c>
      <c r="M337" s="93">
        <v>2908</v>
      </c>
      <c r="N337" s="92" t="s">
        <v>6282</v>
      </c>
      <c r="O337" s="93">
        <v>2379</v>
      </c>
      <c r="P337" s="92" t="s">
        <v>6283</v>
      </c>
      <c r="Q337" s="93">
        <v>1490</v>
      </c>
      <c r="R337" s="92" t="s">
        <v>6284</v>
      </c>
      <c r="S337" s="93">
        <v>598</v>
      </c>
      <c r="T337" s="92" t="s">
        <v>6285</v>
      </c>
      <c r="U337" s="93">
        <v>299</v>
      </c>
      <c r="V337" s="92" t="s">
        <v>6286</v>
      </c>
      <c r="W337" s="93">
        <v>156</v>
      </c>
      <c r="X337" s="92" t="s">
        <v>6287</v>
      </c>
      <c r="Y337" s="93">
        <v>299</v>
      </c>
      <c r="Z337" s="92" t="s">
        <v>176</v>
      </c>
      <c r="AA337" s="93">
        <v>299</v>
      </c>
      <c r="AB337" s="92"/>
      <c r="AC337" s="93"/>
    </row>
    <row r="338" spans="1:29" ht="22.5" customHeight="1" thickBot="1">
      <c r="A338" s="93" t="s">
        <v>6218</v>
      </c>
      <c r="C338" s="36" t="s">
        <v>6219</v>
      </c>
      <c r="D338" s="37" t="s">
        <v>6220</v>
      </c>
      <c r="E338" s="37" t="s">
        <v>6221</v>
      </c>
      <c r="F338" s="36" t="str">
        <f t="shared" si="14"/>
        <v>gift-codes.html?game=Archeland Re：阿契蘭</v>
      </c>
      <c r="G338" s="83" t="s">
        <v>6234</v>
      </c>
      <c r="H338" s="37" t="str">
        <f t="shared" si="15"/>
        <v>https://www.ssbuy.tw/game-detail.html?game=Archeland Re：阿契蘭</v>
      </c>
      <c r="I338" s="38" t="s">
        <v>6239</v>
      </c>
      <c r="J338" s="83" t="s">
        <v>5423</v>
      </c>
      <c r="K338" s="86" t="s">
        <v>5451</v>
      </c>
      <c r="L338" s="92" t="s">
        <v>5951</v>
      </c>
      <c r="M338" s="93">
        <v>2899</v>
      </c>
      <c r="N338" s="92" t="s">
        <v>5952</v>
      </c>
      <c r="O338" s="93">
        <v>1517</v>
      </c>
      <c r="P338" s="92" t="s">
        <v>5953</v>
      </c>
      <c r="Q338" s="93">
        <v>897</v>
      </c>
      <c r="R338" s="92" t="s">
        <v>5954</v>
      </c>
      <c r="S338" s="93">
        <v>761</v>
      </c>
      <c r="T338" s="92" t="s">
        <v>5955</v>
      </c>
      <c r="U338" s="93">
        <v>607</v>
      </c>
      <c r="V338" s="92" t="s">
        <v>5956</v>
      </c>
      <c r="W338" s="93">
        <v>444</v>
      </c>
      <c r="X338" s="92" t="s">
        <v>5957</v>
      </c>
      <c r="Y338" s="93">
        <v>299</v>
      </c>
      <c r="Z338" s="92" t="s">
        <v>5958</v>
      </c>
      <c r="AA338" s="93">
        <v>161</v>
      </c>
      <c r="AB338" s="92" t="s">
        <v>5959</v>
      </c>
      <c r="AC338" s="93">
        <v>32</v>
      </c>
    </row>
    <row r="339" spans="1:29" ht="22.5" customHeight="1" thickBot="1">
      <c r="A339" s="94" t="s">
        <v>6279</v>
      </c>
      <c r="C339" s="36" t="s">
        <v>6273</v>
      </c>
      <c r="D339" s="37" t="s">
        <v>6271</v>
      </c>
      <c r="E339" s="37" t="s">
        <v>6274</v>
      </c>
      <c r="F339" s="36" t="str">
        <f t="shared" si="14"/>
        <v>gift-codes.html?game=幻獸寶貝</v>
      </c>
      <c r="G339" s="37" t="s">
        <v>6272</v>
      </c>
      <c r="H339" s="37" t="str">
        <f t="shared" si="15"/>
        <v>https://www.ssbuy.tw/game-detail.html?game=幻獸寶貝</v>
      </c>
      <c r="I339" s="38" t="s">
        <v>6280</v>
      </c>
      <c r="J339" s="83" t="s">
        <v>5423</v>
      </c>
      <c r="K339" s="86" t="s">
        <v>5451</v>
      </c>
      <c r="L339" s="1" t="s">
        <v>6380</v>
      </c>
      <c r="M339" s="58">
        <v>2899</v>
      </c>
      <c r="N339" s="1" t="s">
        <v>6381</v>
      </c>
      <c r="O339" s="58">
        <v>1517</v>
      </c>
      <c r="P339" s="1" t="s">
        <v>6382</v>
      </c>
      <c r="Q339" s="58">
        <v>607</v>
      </c>
      <c r="R339" s="1" t="s">
        <v>6383</v>
      </c>
      <c r="S339" s="58">
        <v>299</v>
      </c>
      <c r="T339" s="1" t="s">
        <v>6384</v>
      </c>
      <c r="U339" s="58">
        <v>161</v>
      </c>
      <c r="V339" s="1" t="s">
        <v>6385</v>
      </c>
      <c r="W339" s="58">
        <v>32</v>
      </c>
      <c r="X339" s="1" t="s">
        <v>6386</v>
      </c>
      <c r="Y339" s="58">
        <v>969</v>
      </c>
      <c r="Z339" s="92"/>
      <c r="AA339" s="93"/>
      <c r="AB339" s="92"/>
      <c r="AC339" s="93"/>
    </row>
    <row r="340" spans="1:29" ht="22.5" customHeight="1" thickBot="1">
      <c r="A340" s="82" t="s">
        <v>6331</v>
      </c>
      <c r="C340" s="91" t="s">
        <v>3511</v>
      </c>
      <c r="D340" s="37" t="s">
        <v>6316</v>
      </c>
      <c r="E340" s="37" t="s">
        <v>6049</v>
      </c>
      <c r="F340" s="36" t="str">
        <f t="shared" si="14"/>
        <v>gift-codes.html?game=齒輪束縛</v>
      </c>
      <c r="G340" s="37" t="s">
        <v>6315</v>
      </c>
      <c r="H340" s="37" t="str">
        <f t="shared" si="15"/>
        <v>https://www.ssbuy.tw/game-detail.html?game=齒輪束縛</v>
      </c>
      <c r="I340" s="38" t="s">
        <v>6334</v>
      </c>
      <c r="J340" s="83" t="s">
        <v>5423</v>
      </c>
      <c r="K340" s="86" t="s">
        <v>5451</v>
      </c>
      <c r="L340" s="92" t="s">
        <v>5951</v>
      </c>
      <c r="M340" s="93">
        <v>2899</v>
      </c>
      <c r="N340" s="92" t="s">
        <v>5952</v>
      </c>
      <c r="O340" s="93">
        <v>1517</v>
      </c>
      <c r="P340" s="92" t="s">
        <v>5953</v>
      </c>
      <c r="Q340" s="93">
        <v>897</v>
      </c>
      <c r="R340" s="92" t="s">
        <v>5954</v>
      </c>
      <c r="S340" s="93">
        <v>761</v>
      </c>
      <c r="T340" s="92" t="s">
        <v>5955</v>
      </c>
      <c r="U340" s="93">
        <v>607</v>
      </c>
      <c r="V340" s="92" t="s">
        <v>5956</v>
      </c>
      <c r="W340" s="93">
        <v>444</v>
      </c>
      <c r="X340" s="92" t="s">
        <v>5957</v>
      </c>
      <c r="Y340" s="93">
        <v>299</v>
      </c>
      <c r="Z340" s="92" t="s">
        <v>5958</v>
      </c>
      <c r="AA340" s="93">
        <v>161</v>
      </c>
      <c r="AB340" s="92" t="s">
        <v>5959</v>
      </c>
      <c r="AC340" s="93">
        <v>32</v>
      </c>
    </row>
    <row r="341" spans="1:29" ht="22.5" customHeight="1" thickBot="1">
      <c r="A341" s="82" t="s">
        <v>6332</v>
      </c>
      <c r="C341" s="36" t="s">
        <v>6327</v>
      </c>
      <c r="D341" s="37" t="s">
        <v>6317</v>
      </c>
      <c r="E341" s="37" t="s">
        <v>6319</v>
      </c>
      <c r="F341" s="36" t="str">
        <f t="shared" si="14"/>
        <v>gift-codes.html?game=仙境傳說：怪獸廚房</v>
      </c>
      <c r="G341" s="37" t="s">
        <v>6318</v>
      </c>
      <c r="H341" s="37" t="str">
        <f t="shared" si="15"/>
        <v>https://www.ssbuy.tw/game-detail.html?game=仙境傳說：怪獸廚房</v>
      </c>
      <c r="I341" s="38" t="s">
        <v>6335</v>
      </c>
      <c r="J341" s="83" t="s">
        <v>5423</v>
      </c>
      <c r="K341" s="86" t="s">
        <v>5451</v>
      </c>
      <c r="L341" s="92" t="s">
        <v>5951</v>
      </c>
      <c r="M341" s="93">
        <v>2899</v>
      </c>
      <c r="N341" s="92" t="s">
        <v>5952</v>
      </c>
      <c r="O341" s="93">
        <v>1517</v>
      </c>
      <c r="P341" s="92" t="s">
        <v>5953</v>
      </c>
      <c r="Q341" s="93">
        <v>897</v>
      </c>
      <c r="R341" s="92" t="s">
        <v>5954</v>
      </c>
      <c r="S341" s="93">
        <v>761</v>
      </c>
      <c r="T341" s="92" t="s">
        <v>5955</v>
      </c>
      <c r="U341" s="93">
        <v>607</v>
      </c>
      <c r="V341" s="92" t="s">
        <v>5956</v>
      </c>
      <c r="W341" s="93">
        <v>444</v>
      </c>
      <c r="X341" s="92" t="s">
        <v>5957</v>
      </c>
      <c r="Y341" s="93">
        <v>299</v>
      </c>
      <c r="Z341" s="92" t="s">
        <v>5958</v>
      </c>
      <c r="AA341" s="93">
        <v>161</v>
      </c>
      <c r="AB341" s="92" t="s">
        <v>5959</v>
      </c>
      <c r="AC341" s="93">
        <v>32</v>
      </c>
    </row>
    <row r="342" spans="1:29" ht="22.5" customHeight="1" thickBot="1">
      <c r="A342" s="82" t="s">
        <v>6333</v>
      </c>
      <c r="C342" s="36" t="s">
        <v>6322</v>
      </c>
      <c r="D342" s="37" t="s">
        <v>6321</v>
      </c>
      <c r="E342" s="37" t="s">
        <v>6320</v>
      </c>
      <c r="F342" s="36" t="str">
        <f t="shared" si="14"/>
        <v>gift-codes.html?game=掌心宮略</v>
      </c>
      <c r="G342" s="37" t="s">
        <v>6323</v>
      </c>
      <c r="H342" s="37" t="str">
        <f t="shared" si="15"/>
        <v>https://www.ssbuy.tw/game-detail.html?game=掌心宮略</v>
      </c>
      <c r="I342" s="38" t="s">
        <v>6336</v>
      </c>
      <c r="J342" s="83" t="s">
        <v>5423</v>
      </c>
      <c r="K342" s="86" t="s">
        <v>5451</v>
      </c>
      <c r="L342" s="1" t="s">
        <v>6373</v>
      </c>
      <c r="M342" s="58">
        <v>2626</v>
      </c>
      <c r="N342" s="1" t="s">
        <v>6374</v>
      </c>
      <c r="O342" s="58">
        <v>1338</v>
      </c>
      <c r="P342" s="1" t="s">
        <v>6375</v>
      </c>
      <c r="Q342" s="58">
        <v>806</v>
      </c>
      <c r="R342" s="1" t="s">
        <v>6376</v>
      </c>
      <c r="S342" s="58">
        <v>534</v>
      </c>
      <c r="T342" s="1" t="s">
        <v>6377</v>
      </c>
      <c r="U342" s="58">
        <v>299</v>
      </c>
      <c r="V342" s="1" t="s">
        <v>6378</v>
      </c>
      <c r="W342" s="58">
        <v>123</v>
      </c>
      <c r="X342" s="1" t="s">
        <v>6379</v>
      </c>
      <c r="Y342" s="58">
        <v>32</v>
      </c>
      <c r="Z342" s="92"/>
      <c r="AA342" s="93"/>
      <c r="AB342" s="92"/>
      <c r="AC342" s="93"/>
    </row>
    <row r="343" spans="1:29" ht="22.5" customHeight="1" thickBot="1">
      <c r="A343" s="58" t="s">
        <v>6338</v>
      </c>
      <c r="D343" s="37" t="s">
        <v>6324</v>
      </c>
      <c r="E343" s="37" t="s">
        <v>6325</v>
      </c>
      <c r="F343" s="36" t="str">
        <f t="shared" si="14"/>
        <v>gift-codes.html?game=God Breaker：弒神者</v>
      </c>
      <c r="G343" s="37" t="s">
        <v>6326</v>
      </c>
      <c r="H343" s="37" t="str">
        <f t="shared" si="15"/>
        <v>https://www.ssbuy.tw/game-detail.html?game=God Breaker：弒神者</v>
      </c>
      <c r="I343" s="38" t="s">
        <v>6337</v>
      </c>
      <c r="J343" s="83" t="s">
        <v>5423</v>
      </c>
      <c r="K343" s="86" t="s">
        <v>5451</v>
      </c>
      <c r="L343" s="92" t="s">
        <v>5951</v>
      </c>
      <c r="M343" s="93">
        <v>2899</v>
      </c>
      <c r="N343" s="92" t="s">
        <v>5952</v>
      </c>
      <c r="O343" s="93">
        <v>1517</v>
      </c>
      <c r="P343" s="92" t="s">
        <v>5953</v>
      </c>
      <c r="Q343" s="93">
        <v>897</v>
      </c>
      <c r="R343" s="92" t="s">
        <v>5954</v>
      </c>
      <c r="S343" s="93">
        <v>761</v>
      </c>
      <c r="T343" s="92" t="s">
        <v>5955</v>
      </c>
      <c r="U343" s="93">
        <v>607</v>
      </c>
      <c r="V343" s="92" t="s">
        <v>5956</v>
      </c>
      <c r="W343" s="93">
        <v>444</v>
      </c>
      <c r="X343" s="92" t="s">
        <v>5957</v>
      </c>
      <c r="Y343" s="93">
        <v>299</v>
      </c>
      <c r="Z343" s="92" t="s">
        <v>5958</v>
      </c>
      <c r="AA343" s="93">
        <v>161</v>
      </c>
      <c r="AB343" s="92" t="s">
        <v>5959</v>
      </c>
      <c r="AC343" s="93">
        <v>32</v>
      </c>
    </row>
    <row r="344" spans="1:29" ht="22.5" customHeight="1" thickBot="1">
      <c r="A344" s="36" t="s">
        <v>6362</v>
      </c>
      <c r="C344" s="36" t="s">
        <v>6361</v>
      </c>
      <c r="D344" s="37" t="s">
        <v>6365</v>
      </c>
      <c r="E344" s="37" t="s">
        <v>6363</v>
      </c>
      <c r="F344" s="36" t="str">
        <f t="shared" si="14"/>
        <v>gift-codes.html?game=美食手札</v>
      </c>
      <c r="G344" s="37" t="s">
        <v>6364</v>
      </c>
      <c r="H344" s="37" t="str">
        <f t="shared" si="15"/>
        <v>https://www.ssbuy.tw/game-detail.html?game=美食手札</v>
      </c>
      <c r="I344" s="38" t="s">
        <v>6368</v>
      </c>
      <c r="J344" s="83" t="s">
        <v>5423</v>
      </c>
      <c r="K344" s="86" t="s">
        <v>5451</v>
      </c>
    </row>
    <row r="345" spans="1:29" ht="22.5" customHeight="1" thickBot="1">
      <c r="A345" s="36" t="s">
        <v>6366</v>
      </c>
      <c r="C345" s="36" t="s">
        <v>6357</v>
      </c>
      <c r="D345" s="37" t="s">
        <v>6358</v>
      </c>
      <c r="E345" s="37" t="s">
        <v>6360</v>
      </c>
      <c r="F345" s="36" t="str">
        <f t="shared" si="14"/>
        <v>gift-codes.html?game=超次元驅動</v>
      </c>
      <c r="G345" s="37" t="s">
        <v>6359</v>
      </c>
      <c r="H345" s="37" t="str">
        <f t="shared" si="15"/>
        <v>https://www.ssbuy.tw/game-detail.html?game=超次元驅動</v>
      </c>
      <c r="I345" s="38" t="s">
        <v>6369</v>
      </c>
      <c r="J345" s="83" t="s">
        <v>5423</v>
      </c>
      <c r="K345" s="86" t="s">
        <v>5451</v>
      </c>
      <c r="L345" s="1" t="s">
        <v>4</v>
      </c>
      <c r="M345" s="58">
        <v>2635</v>
      </c>
      <c r="N345" s="1" t="s">
        <v>5</v>
      </c>
      <c r="O345" s="58">
        <v>1338</v>
      </c>
      <c r="P345" s="1" t="s">
        <v>1294</v>
      </c>
      <c r="Q345" s="58">
        <v>897</v>
      </c>
      <c r="R345" s="1" t="s">
        <v>1477</v>
      </c>
      <c r="S345" s="58">
        <v>87</v>
      </c>
      <c r="T345" s="1" t="s">
        <v>6371</v>
      </c>
      <c r="U345" s="58">
        <v>142</v>
      </c>
      <c r="V345" s="1" t="s">
        <v>6372</v>
      </c>
      <c r="W345" s="58">
        <v>290</v>
      </c>
    </row>
    <row r="346" spans="1:29" ht="22.5" customHeight="1">
      <c r="F346" s="36" t="str">
        <f t="shared" si="14"/>
        <v/>
      </c>
      <c r="H346" s="37" t="str">
        <f t="shared" si="15"/>
        <v/>
      </c>
    </row>
    <row r="347" spans="1:29" ht="22.5" customHeight="1">
      <c r="F347" s="36" t="str">
        <f t="shared" si="14"/>
        <v/>
      </c>
      <c r="H347" s="37" t="str">
        <f t="shared" si="15"/>
        <v/>
      </c>
    </row>
    <row r="348" spans="1:29" ht="22.5" customHeight="1">
      <c r="F348" s="36" t="str">
        <f t="shared" si="14"/>
        <v/>
      </c>
      <c r="H348" s="37" t="str">
        <f t="shared" si="15"/>
        <v/>
      </c>
    </row>
    <row r="349" spans="1:29" ht="22.5" customHeight="1">
      <c r="F349" s="36" t="str">
        <f t="shared" si="14"/>
        <v/>
      </c>
      <c r="H349" s="37" t="str">
        <f t="shared" si="15"/>
        <v/>
      </c>
    </row>
    <row r="350" spans="1:29" ht="22.5" customHeight="1">
      <c r="F350" s="36" t="str">
        <f t="shared" si="14"/>
        <v/>
      </c>
      <c r="H350" s="37" t="str">
        <f t="shared" si="15"/>
        <v/>
      </c>
    </row>
    <row r="351" spans="1:29" ht="22.5" customHeight="1">
      <c r="F351" s="36" t="str">
        <f t="shared" si="14"/>
        <v/>
      </c>
      <c r="H351" s="37" t="str">
        <f t="shared" si="15"/>
        <v/>
      </c>
    </row>
    <row r="352" spans="1:29"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ref="F371:F434" si="16">IF(A371="", "", "gift-codes.html?game=" &amp; A371)</f>
        <v/>
      </c>
      <c r="H371" s="37" t="str">
        <f t="shared" ref="H371:H434" si="17">IF(A371="", "", "https://www.ssbuy.tw/game-detail.html?game="&amp;A371)</f>
        <v/>
      </c>
    </row>
    <row r="372" spans="6:8" ht="22.5" customHeight="1">
      <c r="F372" s="36" t="str">
        <f t="shared" si="16"/>
        <v/>
      </c>
      <c r="H372" s="37" t="str">
        <f t="shared" si="17"/>
        <v/>
      </c>
    </row>
    <row r="373" spans="6:8" ht="22.5" customHeight="1">
      <c r="F373" s="36" t="str">
        <f t="shared" si="16"/>
        <v/>
      </c>
      <c r="H373" s="37" t="str">
        <f t="shared" si="17"/>
        <v/>
      </c>
    </row>
    <row r="374" spans="6:8" ht="22.5" customHeight="1">
      <c r="F374" s="36" t="str">
        <f t="shared" si="16"/>
        <v/>
      </c>
      <c r="H374" s="37" t="str">
        <f t="shared" si="17"/>
        <v/>
      </c>
    </row>
    <row r="375" spans="6:8" ht="22.5" customHeight="1">
      <c r="F375" s="36" t="str">
        <f t="shared" si="16"/>
        <v/>
      </c>
      <c r="H375" s="37" t="str">
        <f t="shared" si="17"/>
        <v/>
      </c>
    </row>
    <row r="376" spans="6:8" ht="22.5" customHeight="1">
      <c r="F376" s="36" t="str">
        <f t="shared" si="16"/>
        <v/>
      </c>
      <c r="H376" s="37" t="str">
        <f t="shared" si="17"/>
        <v/>
      </c>
    </row>
    <row r="377" spans="6:8" ht="22.5" customHeight="1">
      <c r="F377" s="36" t="str">
        <f t="shared" si="16"/>
        <v/>
      </c>
      <c r="H377" s="37" t="str">
        <f t="shared" si="17"/>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c r="F427" s="36" t="str">
        <f t="shared" si="16"/>
        <v/>
      </c>
      <c r="H427" s="37" t="str">
        <f t="shared" si="17"/>
        <v/>
      </c>
    </row>
    <row r="428" spans="6:8">
      <c r="F428" s="36" t="str">
        <f t="shared" si="16"/>
        <v/>
      </c>
      <c r="H428" s="37" t="str">
        <f t="shared" si="17"/>
        <v/>
      </c>
    </row>
    <row r="429" spans="6:8">
      <c r="F429" s="36" t="str">
        <f t="shared" si="16"/>
        <v/>
      </c>
      <c r="H429" s="37" t="str">
        <f t="shared" si="17"/>
        <v/>
      </c>
    </row>
    <row r="430" spans="6:8">
      <c r="F430" s="36" t="str">
        <f t="shared" si="16"/>
        <v/>
      </c>
      <c r="H430" s="37" t="str">
        <f t="shared" si="17"/>
        <v/>
      </c>
    </row>
    <row r="431" spans="6:8">
      <c r="F431" s="36" t="str">
        <f t="shared" si="16"/>
        <v/>
      </c>
      <c r="H431" s="37" t="str">
        <f t="shared" si="17"/>
        <v/>
      </c>
    </row>
    <row r="432" spans="6:8">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ref="F435:F498" si="18">IF(A435="", "", "gift-codes.html?game=" &amp; A435)</f>
        <v/>
      </c>
      <c r="H435" s="37" t="str">
        <f t="shared" ref="H435:H498" si="19">IF(A435="", "", "https://www.ssbuy.tw/game-detail.html?game="&amp;A435)</f>
        <v/>
      </c>
    </row>
    <row r="436" spans="6:8">
      <c r="F436" s="36" t="str">
        <f t="shared" si="18"/>
        <v/>
      </c>
      <c r="H436" s="37" t="str">
        <f t="shared" si="19"/>
        <v/>
      </c>
    </row>
    <row r="437" spans="6:8">
      <c r="F437" s="36" t="str">
        <f t="shared" si="18"/>
        <v/>
      </c>
      <c r="H437" s="37" t="str">
        <f t="shared" si="19"/>
        <v/>
      </c>
    </row>
    <row r="438" spans="6:8">
      <c r="F438" s="36" t="str">
        <f t="shared" si="18"/>
        <v/>
      </c>
      <c r="H438" s="37" t="str">
        <f t="shared" si="19"/>
        <v/>
      </c>
    </row>
    <row r="439" spans="6:8">
      <c r="F439" s="36" t="str">
        <f t="shared" si="18"/>
        <v/>
      </c>
      <c r="H439" s="37" t="str">
        <f t="shared" si="19"/>
        <v/>
      </c>
    </row>
    <row r="440" spans="6:8">
      <c r="F440" s="36" t="str">
        <f t="shared" si="18"/>
        <v/>
      </c>
      <c r="H440" s="37" t="str">
        <f t="shared" si="19"/>
        <v/>
      </c>
    </row>
    <row r="441" spans="6:8">
      <c r="F441" s="36" t="str">
        <f t="shared" si="18"/>
        <v/>
      </c>
      <c r="H441" s="37" t="str">
        <f t="shared" si="19"/>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ref="F499:F562" si="20">IF(A499="", "", "gift-codes.html?game=" &amp; A499)</f>
        <v/>
      </c>
      <c r="H499" s="37" t="str">
        <f t="shared" ref="H499:H562" si="21">IF(A499="", "", "https://www.ssbuy.tw/game-detail.html?game="&amp;A499)</f>
        <v/>
      </c>
    </row>
    <row r="500" spans="6:8">
      <c r="F500" s="36" t="str">
        <f t="shared" si="20"/>
        <v/>
      </c>
      <c r="H500" s="37" t="str">
        <f t="shared" si="21"/>
        <v/>
      </c>
    </row>
    <row r="501" spans="6:8">
      <c r="F501" s="36" t="str">
        <f t="shared" si="20"/>
        <v/>
      </c>
      <c r="H501" s="37" t="str">
        <f t="shared" si="21"/>
        <v/>
      </c>
    </row>
    <row r="502" spans="6:8">
      <c r="F502" s="36" t="str">
        <f t="shared" si="20"/>
        <v/>
      </c>
      <c r="H502" s="37" t="str">
        <f t="shared" si="21"/>
        <v/>
      </c>
    </row>
    <row r="503" spans="6:8">
      <c r="F503" s="36" t="str">
        <f t="shared" si="20"/>
        <v/>
      </c>
      <c r="H503" s="37" t="str">
        <f t="shared" si="21"/>
        <v/>
      </c>
    </row>
    <row r="504" spans="6:8">
      <c r="F504" s="36" t="str">
        <f t="shared" si="20"/>
        <v/>
      </c>
      <c r="H504" s="37" t="str">
        <f t="shared" si="21"/>
        <v/>
      </c>
    </row>
    <row r="505" spans="6:8">
      <c r="F505" s="36" t="str">
        <f t="shared" si="20"/>
        <v/>
      </c>
      <c r="H505" s="37" t="str">
        <f t="shared" si="21"/>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IF(A563="", "", "gift-codes.html?game=" &amp; A563)</f>
        <v/>
      </c>
      <c r="H563" s="37" t="str">
        <f t="shared" ref="H563:H621" si="22">IF(A563="", "", "https://www.ssbuy.tw/game-detail.html?game="&amp;A563)</f>
        <v/>
      </c>
    </row>
    <row r="564" spans="6:8">
      <c r="F564" s="36" t="str">
        <f>IF(A564="", "", "gift-codes.html?game=" &amp; A564)</f>
        <v/>
      </c>
      <c r="H564" s="37" t="str">
        <f t="shared" si="22"/>
        <v/>
      </c>
    </row>
    <row r="565" spans="6:8">
      <c r="F565" s="36" t="str">
        <f>IF(A565="", "", "gift-codes.html?game=" &amp; A565)</f>
        <v/>
      </c>
      <c r="H565" s="37" t="str">
        <f t="shared" si="22"/>
        <v/>
      </c>
    </row>
    <row r="566" spans="6:8">
      <c r="H566" s="37" t="str">
        <f t="shared" si="22"/>
        <v/>
      </c>
    </row>
    <row r="567" spans="6:8">
      <c r="H567" s="37" t="str">
        <f t="shared" si="22"/>
        <v/>
      </c>
    </row>
    <row r="568" spans="6:8">
      <c r="H568" s="37" t="str">
        <f t="shared" si="22"/>
        <v/>
      </c>
    </row>
    <row r="569" spans="6:8">
      <c r="H569" s="37" t="str">
        <f t="shared" si="22"/>
        <v/>
      </c>
    </row>
    <row r="570" spans="6:8">
      <c r="H570" s="37" t="str">
        <f t="shared" si="22"/>
        <v/>
      </c>
    </row>
    <row r="571" spans="6:8">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workbookViewId="0">
      <pane xSplit="1" ySplit="1" topLeftCell="T337" activePane="bottomRight" state="frozen"/>
      <selection pane="topRight" activeCell="B1" sqref="B1"/>
      <selection pane="bottomLeft" activeCell="A2" sqref="A2"/>
      <selection pane="bottomRight" activeCell="AB340" sqref="AB340"/>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4.75" style="13" customWidth="1"/>
    <col min="12" max="12" width="14.75" style="9" customWidth="1"/>
    <col min="13" max="13" width="14.75" style="14" customWidth="1"/>
    <col min="14" max="14" width="14.75" style="9" customWidth="1"/>
    <col min="15" max="15" width="14.75" style="14" customWidth="1"/>
    <col min="16" max="16" width="14.75" style="9" customWidth="1"/>
    <col min="17" max="17" width="14.75" style="14" customWidth="1"/>
    <col min="18" max="18" width="14.75" style="9" customWidth="1"/>
    <col min="19" max="19" width="14.75" style="14" customWidth="1"/>
    <col min="20" max="20" width="14.75" style="9" customWidth="1"/>
    <col min="21" max="21" width="14.75" style="14" customWidth="1"/>
    <col min="22" max="22" width="14.75" style="9" customWidth="1"/>
    <col min="23" max="23" width="14.75" style="14" customWidth="1"/>
    <col min="24" max="24" width="14.75" style="9" customWidth="1"/>
    <col min="25" max="25" width="14.75" style="14" customWidth="1"/>
    <col min="26" max="26" width="14.75" style="9" customWidth="1"/>
    <col min="27" max="27" width="14.75" style="14" customWidth="1"/>
    <col min="28" max="28" width="14.75" style="9" customWidth="1"/>
    <col min="29" max="29" width="14.75" style="14" customWidth="1"/>
    <col min="30" max="30" width="14.75" style="9" customWidth="1"/>
    <col min="31" max="31" width="14.75" style="14" customWidth="1"/>
    <col min="32" max="32" width="14.75" style="9" customWidth="1"/>
    <col min="33" max="33" width="14.75" style="14" customWidth="1"/>
    <col min="34" max="34" width="14.75" style="9" customWidth="1"/>
    <col min="35" max="35" width="14.75" style="14" customWidth="1"/>
    <col min="36" max="36" width="14.75" style="9" customWidth="1"/>
    <col min="37" max="37" width="14.75" style="14" customWidth="1"/>
    <col min="38" max="38" width="14.75" style="9" customWidth="1"/>
    <col min="39" max="39" width="14.75" style="14" customWidth="1"/>
    <col min="40" max="40" width="14.75" style="9" customWidth="1"/>
    <col min="41" max="41" width="14.75" style="14" customWidth="1"/>
    <col min="42" max="42" width="14.75" style="9" customWidth="1"/>
    <col min="43" max="43" width="14.75" style="14" customWidth="1"/>
    <col min="44" max="44" width="14.75" style="9" customWidth="1"/>
    <col min="45" max="45" width="14.75" style="14" customWidth="1"/>
    <col min="46" max="46" width="14.75" style="9" customWidth="1"/>
    <col min="47" max="47" width="14.75" style="14" customWidth="1"/>
    <col min="48" max="48" width="14.75" style="9" customWidth="1"/>
    <col min="49" max="49" width="14.75" style="14" customWidth="1"/>
    <col min="50" max="50" width="14.75" style="9" customWidth="1"/>
    <col min="51" max="51" width="14.75" style="14" customWidth="1"/>
    <col min="52" max="52" width="14.75" style="9" customWidth="1"/>
    <col min="53" max="53" width="14.75" style="14" customWidth="1"/>
    <col min="54" max="54" width="14.75" style="9" customWidth="1"/>
    <col min="55" max="55" width="14.75" style="14" customWidth="1"/>
    <col min="56" max="56" width="14.75" style="9" customWidth="1"/>
    <col min="57" max="57" width="14.75" style="14" customWidth="1"/>
    <col min="58" max="58" width="14.75" style="9" customWidth="1"/>
    <col min="59" max="59" width="14.75" style="14" customWidth="1"/>
    <col min="60" max="60" width="14.75" style="9" customWidth="1"/>
    <col min="61" max="61" width="14.75" style="14" customWidth="1"/>
    <col min="62" max="62" width="14.75" style="9" customWidth="1"/>
    <col min="63" max="63" width="14.75" style="14" customWidth="1"/>
    <col min="64" max="64" width="14.75" style="9" customWidth="1"/>
    <col min="65" max="65" width="14.75" style="14" customWidth="1"/>
    <col min="66" max="66" width="14.75" style="9" customWidth="1"/>
    <col min="67" max="67" width="14.75" style="14" customWidth="1"/>
    <col min="68" max="68" width="14.75" style="9" customWidth="1"/>
    <col min="69" max="69" width="14.75" style="14" customWidth="1"/>
    <col min="70" max="70" width="14.75" style="9" customWidth="1"/>
    <col min="71" max="16384" width="7.875" style="9"/>
  </cols>
  <sheetData>
    <row r="1" spans="1:7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c r="AY1" s="7" t="s">
        <v>6189</v>
      </c>
      <c r="AZ1" s="2" t="s">
        <v>6190</v>
      </c>
      <c r="BA1" s="7" t="s">
        <v>6191</v>
      </c>
      <c r="BB1" s="2" t="s">
        <v>6192</v>
      </c>
      <c r="BC1" s="7" t="s">
        <v>6193</v>
      </c>
      <c r="BD1" s="2" t="s">
        <v>6194</v>
      </c>
      <c r="BE1" s="7" t="s">
        <v>6195</v>
      </c>
      <c r="BF1" s="2" t="s">
        <v>6196</v>
      </c>
      <c r="BG1" s="7" t="s">
        <v>6197</v>
      </c>
      <c r="BH1" s="2" t="s">
        <v>6198</v>
      </c>
      <c r="BI1" s="7" t="s">
        <v>6199</v>
      </c>
      <c r="BJ1" s="2" t="s">
        <v>6200</v>
      </c>
      <c r="BK1" s="7" t="s">
        <v>6201</v>
      </c>
      <c r="BL1" s="2" t="s">
        <v>6202</v>
      </c>
      <c r="BM1" s="7" t="s">
        <v>6203</v>
      </c>
      <c r="BN1" s="2" t="s">
        <v>6204</v>
      </c>
      <c r="BO1" s="7" t="s">
        <v>6205</v>
      </c>
      <c r="BP1" s="2" t="s">
        <v>6206</v>
      </c>
      <c r="BQ1" s="7" t="s">
        <v>6207</v>
      </c>
      <c r="BR1" s="2" t="s">
        <v>6208</v>
      </c>
    </row>
    <row r="2" spans="1:7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7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7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7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7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7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7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7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7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7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7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7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7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7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7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5026</v>
      </c>
      <c r="AM127" s="14" t="s">
        <v>5027</v>
      </c>
      <c r="AN127" s="9" t="s">
        <v>5032</v>
      </c>
      <c r="AO127" s="14" t="s">
        <v>5028</v>
      </c>
      <c r="AP127" s="9" t="s">
        <v>5031</v>
      </c>
      <c r="AQ127" s="14" t="s">
        <v>5029</v>
      </c>
      <c r="AR127" s="9" t="s">
        <v>5030</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50"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50"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50"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50"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50"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50"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50"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50"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50"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50"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50"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50"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50"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50"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5714</v>
      </c>
      <c r="AN190" s="9" t="s">
        <v>5715</v>
      </c>
      <c r="AO190" s="14" t="s">
        <v>5704</v>
      </c>
      <c r="AP190" s="9" t="s">
        <v>5705</v>
      </c>
      <c r="AQ190" s="14" t="s">
        <v>5706</v>
      </c>
      <c r="AR190" s="9" t="s">
        <v>5707</v>
      </c>
      <c r="AS190" s="14" t="s">
        <v>5708</v>
      </c>
      <c r="AT190" s="9" t="s">
        <v>5709</v>
      </c>
      <c r="AU190" s="14" t="s">
        <v>5710</v>
      </c>
      <c r="AV190" s="9" t="s">
        <v>5711</v>
      </c>
      <c r="AW190" s="14" t="s">
        <v>5712</v>
      </c>
      <c r="AX190" s="9" t="s">
        <v>5713</v>
      </c>
    </row>
    <row r="191" spans="1:50"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50"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4965</v>
      </c>
      <c r="AE227" s="14" t="s">
        <v>4966</v>
      </c>
      <c r="AG227" s="14" t="s">
        <v>4967</v>
      </c>
      <c r="AI227" s="14" t="s">
        <v>4990</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4991</v>
      </c>
      <c r="L236" s="9" t="s">
        <v>5016</v>
      </c>
      <c r="M236" s="68" t="s">
        <v>5017</v>
      </c>
      <c r="N236" s="9" t="s">
        <v>5018</v>
      </c>
      <c r="O236" s="68" t="s">
        <v>5019</v>
      </c>
      <c r="P236" s="9" t="s">
        <v>5020</v>
      </c>
      <c r="Q236" s="68" t="s">
        <v>5021</v>
      </c>
      <c r="R236" s="9" t="s">
        <v>4992</v>
      </c>
      <c r="S236" s="68" t="s">
        <v>5022</v>
      </c>
      <c r="T236" s="9" t="s">
        <v>5023</v>
      </c>
      <c r="U236" s="14" t="s">
        <v>5024</v>
      </c>
      <c r="V236" s="9" t="s">
        <v>5025</v>
      </c>
      <c r="W236" s="14" t="s">
        <v>5204</v>
      </c>
      <c r="X236" s="9" t="s">
        <v>5216</v>
      </c>
      <c r="Y236" s="14" t="s">
        <v>5205</v>
      </c>
      <c r="Z236" s="9" t="s">
        <v>5215</v>
      </c>
      <c r="AA236" s="14" t="s">
        <v>5206</v>
      </c>
      <c r="AB236" s="9" t="s">
        <v>5214</v>
      </c>
      <c r="AC236" s="14" t="s">
        <v>5207</v>
      </c>
      <c r="AD236" s="9" t="s">
        <v>5213</v>
      </c>
      <c r="AE236" s="14" t="s">
        <v>5208</v>
      </c>
      <c r="AF236" s="9" t="s">
        <v>5212</v>
      </c>
      <c r="AG236" s="14" t="s">
        <v>5209</v>
      </c>
      <c r="AH236" s="9" t="s">
        <v>5211</v>
      </c>
      <c r="AI236" s="14" t="s">
        <v>5210</v>
      </c>
      <c r="AJ236" s="9" t="s">
        <v>5594</v>
      </c>
      <c r="AK236" s="14" t="s">
        <v>5592</v>
      </c>
      <c r="AL236" s="9" t="s">
        <v>5595</v>
      </c>
      <c r="AM236" s="14" t="s">
        <v>4991</v>
      </c>
      <c r="AN236" s="9" t="s">
        <v>5596</v>
      </c>
      <c r="AO236" s="14" t="s">
        <v>5593</v>
      </c>
      <c r="AP236" s="9" t="s">
        <v>5597</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4876</v>
      </c>
      <c r="L259" s="9" t="s">
        <v>4877</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4872</v>
      </c>
      <c r="G265" s="9" t="s">
        <v>4873</v>
      </c>
      <c r="H265" s="9" t="s">
        <v>4874</v>
      </c>
      <c r="I265" s="9" t="s">
        <v>4875</v>
      </c>
      <c r="K265" s="13" t="s">
        <v>4870</v>
      </c>
      <c r="L265" s="9" t="s">
        <v>4871</v>
      </c>
      <c r="M265" s="14" t="s">
        <v>4955</v>
      </c>
      <c r="O265" s="14" t="s">
        <v>4956</v>
      </c>
      <c r="Q265" s="14" t="s">
        <v>4957</v>
      </c>
      <c r="S265" s="14" t="s">
        <v>4958</v>
      </c>
      <c r="U265" s="14" t="s">
        <v>4959</v>
      </c>
      <c r="W265" s="14" t="s">
        <v>4960</v>
      </c>
      <c r="Y265" s="14" t="s">
        <v>4961</v>
      </c>
      <c r="AA265" s="14" t="s">
        <v>4962</v>
      </c>
      <c r="AC265" s="14" t="s">
        <v>4963</v>
      </c>
      <c r="AE265" s="14" t="s">
        <v>4964</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4905</v>
      </c>
      <c r="G267" s="9" t="s">
        <v>4906</v>
      </c>
      <c r="H267" s="9" t="s">
        <v>4907</v>
      </c>
      <c r="I267" s="9" t="s">
        <v>4908</v>
      </c>
      <c r="J267" s="9" t="s">
        <v>4909</v>
      </c>
      <c r="K267" s="13" t="s">
        <v>4897</v>
      </c>
      <c r="L267" s="9" t="s">
        <v>4910</v>
      </c>
      <c r="M267" s="14" t="s">
        <v>4898</v>
      </c>
      <c r="N267" s="9" t="s">
        <v>4911</v>
      </c>
      <c r="O267" s="14" t="s">
        <v>4899</v>
      </c>
      <c r="P267" s="9" t="s">
        <v>4912</v>
      </c>
      <c r="Q267" s="14" t="s">
        <v>4900</v>
      </c>
      <c r="R267" s="9" t="s">
        <v>4913</v>
      </c>
      <c r="S267" s="14" t="s">
        <v>4901</v>
      </c>
      <c r="T267" s="9" t="s">
        <v>4914</v>
      </c>
      <c r="U267" s="14" t="s">
        <v>4902</v>
      </c>
      <c r="V267" s="9" t="s">
        <v>4915</v>
      </c>
      <c r="W267" s="14" t="s">
        <v>4903</v>
      </c>
      <c r="X267" s="9" t="s">
        <v>4915</v>
      </c>
      <c r="Y267" s="14" t="s">
        <v>4904</v>
      </c>
      <c r="Z267" s="9" t="s">
        <v>4915</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5039</v>
      </c>
      <c r="G268" s="9" t="s">
        <v>5040</v>
      </c>
      <c r="H268" s="9" t="s">
        <v>2625</v>
      </c>
      <c r="I268" s="9" t="s">
        <v>4360</v>
      </c>
      <c r="K268" s="13" t="s">
        <v>4868</v>
      </c>
      <c r="L268" s="9" t="s">
        <v>4869</v>
      </c>
      <c r="M268" s="14" t="s">
        <v>4880</v>
      </c>
      <c r="N268" s="9" t="s">
        <v>4884</v>
      </c>
      <c r="O268" s="14" t="s">
        <v>4881</v>
      </c>
      <c r="P268" s="9" t="s">
        <v>4885</v>
      </c>
      <c r="Q268" s="14" t="s">
        <v>4882</v>
      </c>
      <c r="R268" s="9" t="s">
        <v>4886</v>
      </c>
      <c r="S268" s="14" t="s">
        <v>4883</v>
      </c>
      <c r="T268" s="9" t="s">
        <v>4887</v>
      </c>
    </row>
    <row r="269" spans="1:31">
      <c r="A269" s="9" t="str">
        <f>IF(games!A269="", "", games!A269)</f>
        <v>Awakenloop</v>
      </c>
      <c r="C269" s="9" t="str">
        <f t="shared" ref="C269:C311" si="12">IF(A269="","", "giftcodesbanner/" &amp; A269 &amp; "-禮包碼.jpg")</f>
        <v>giftcodesbanner/Awakenloop-禮包碼.jpg</v>
      </c>
      <c r="D269" s="9" t="str">
        <f t="shared" ref="D269:D311"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5190</v>
      </c>
      <c r="G269" s="9" t="s">
        <v>5191</v>
      </c>
      <c r="H269" s="9" t="s">
        <v>2625</v>
      </c>
      <c r="I269" s="9" t="s">
        <v>4360</v>
      </c>
      <c r="K269" s="13" t="s">
        <v>5186</v>
      </c>
      <c r="L269" s="9" t="s">
        <v>5189</v>
      </c>
      <c r="M269" s="14" t="s">
        <v>5187</v>
      </c>
      <c r="N269" s="9" t="s">
        <v>5188</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5049</v>
      </c>
      <c r="G272" s="9" t="s">
        <v>5066</v>
      </c>
      <c r="H272" s="9" t="s">
        <v>2625</v>
      </c>
      <c r="I272" s="9" t="s">
        <v>4360</v>
      </c>
      <c r="K272" s="13" t="s">
        <v>5047</v>
      </c>
      <c r="L272" s="9" t="s">
        <v>5048</v>
      </c>
    </row>
    <row r="273" spans="1:42">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5061</v>
      </c>
      <c r="G273" s="9" t="s">
        <v>2625</v>
      </c>
      <c r="H273" s="9" t="s">
        <v>4360</v>
      </c>
      <c r="K273" s="13" t="s">
        <v>5041</v>
      </c>
      <c r="L273" s="9" t="s">
        <v>5059</v>
      </c>
      <c r="M273" s="14" t="s">
        <v>5042</v>
      </c>
      <c r="N273" s="9" t="s">
        <v>5060</v>
      </c>
      <c r="O273" s="14" t="s">
        <v>5043</v>
      </c>
      <c r="P273" s="9" t="s">
        <v>5062</v>
      </c>
      <c r="Q273" s="14" t="s">
        <v>5044</v>
      </c>
      <c r="R273" s="9" t="s">
        <v>5063</v>
      </c>
      <c r="S273" s="14" t="s">
        <v>5045</v>
      </c>
      <c r="T273" s="9" t="s">
        <v>5064</v>
      </c>
      <c r="U273" s="14" t="s">
        <v>5046</v>
      </c>
      <c r="V273" s="9" t="s">
        <v>5065</v>
      </c>
      <c r="W273" s="14" t="s">
        <v>5195</v>
      </c>
      <c r="X273" s="9" t="s">
        <v>5199</v>
      </c>
      <c r="Y273" s="14" t="s">
        <v>5196</v>
      </c>
      <c r="Z273" s="9" t="s">
        <v>5200</v>
      </c>
      <c r="AA273" s="14" t="s">
        <v>5197</v>
      </c>
      <c r="AB273" s="9" t="s">
        <v>5201</v>
      </c>
      <c r="AC273" s="14" t="s">
        <v>5198</v>
      </c>
      <c r="AD273" s="9" t="s">
        <v>5202</v>
      </c>
    </row>
    <row r="274" spans="1:42">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4993</v>
      </c>
      <c r="G274" s="9" t="s">
        <v>4994</v>
      </c>
      <c r="H274" s="9" t="s">
        <v>2625</v>
      </c>
      <c r="I274" s="9" t="s">
        <v>4360</v>
      </c>
      <c r="K274" s="13" t="s">
        <v>4995</v>
      </c>
      <c r="L274" s="9" t="s">
        <v>4996</v>
      </c>
      <c r="M274" s="14" t="s">
        <v>4997</v>
      </c>
      <c r="N274" s="9" t="s">
        <v>4998</v>
      </c>
      <c r="O274" s="14" t="s">
        <v>4999</v>
      </c>
      <c r="P274" s="9" t="s">
        <v>5000</v>
      </c>
      <c r="Q274" s="87" t="s">
        <v>5458</v>
      </c>
      <c r="R274" s="9" t="s">
        <v>5452</v>
      </c>
    </row>
    <row r="275" spans="1:42">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5035</v>
      </c>
      <c r="G275" s="9" t="s">
        <v>5036</v>
      </c>
      <c r="H275" s="9" t="s">
        <v>5037</v>
      </c>
      <c r="I275" s="9" t="s">
        <v>2625</v>
      </c>
      <c r="J275" s="9" t="s">
        <v>5038</v>
      </c>
      <c r="K275" s="14" t="s">
        <v>5033</v>
      </c>
      <c r="L275" s="9" t="s">
        <v>5034</v>
      </c>
      <c r="M275" s="14" t="s">
        <v>5051</v>
      </c>
      <c r="N275" s="9" t="s">
        <v>5052</v>
      </c>
      <c r="O275" s="14" t="s">
        <v>5104</v>
      </c>
      <c r="Q275" s="14" t="s">
        <v>5105</v>
      </c>
      <c r="S275" s="14" t="s">
        <v>5106</v>
      </c>
      <c r="U275" s="14" t="s">
        <v>2056</v>
      </c>
      <c r="W275" s="14" t="s">
        <v>4560</v>
      </c>
      <c r="Y275" s="14" t="s">
        <v>5107</v>
      </c>
      <c r="AA275" s="87" t="s">
        <v>5458</v>
      </c>
      <c r="AB275" s="9" t="s">
        <v>5452</v>
      </c>
    </row>
    <row r="276" spans="1:42">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5112</v>
      </c>
      <c r="G276" s="9" t="s">
        <v>5113</v>
      </c>
      <c r="H276" s="9" t="s">
        <v>5114</v>
      </c>
      <c r="I276" s="9" t="s">
        <v>5115</v>
      </c>
      <c r="K276" s="13" t="s">
        <v>5108</v>
      </c>
      <c r="L276" s="9" t="s">
        <v>5110</v>
      </c>
      <c r="M276" s="14" t="s">
        <v>5109</v>
      </c>
      <c r="N276" s="9" t="s">
        <v>5111</v>
      </c>
      <c r="Q276" s="87" t="s">
        <v>5458</v>
      </c>
      <c r="R276" s="9" t="s">
        <v>5452</v>
      </c>
    </row>
    <row r="277" spans="1:42">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5090</v>
      </c>
      <c r="G277" s="9" t="s">
        <v>5091</v>
      </c>
      <c r="H277" s="9" t="s">
        <v>2625</v>
      </c>
      <c r="I277" s="9" t="s">
        <v>4360</v>
      </c>
      <c r="K277" s="87" t="s">
        <v>5458</v>
      </c>
      <c r="L277" s="9" t="s">
        <v>5452</v>
      </c>
    </row>
    <row r="278" spans="1:42">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5242</v>
      </c>
      <c r="G278" s="9" t="s">
        <v>5243</v>
      </c>
      <c r="H278" s="9" t="s">
        <v>5244</v>
      </c>
      <c r="K278" s="13" t="s">
        <v>5238</v>
      </c>
      <c r="L278" s="9" t="s">
        <v>5241</v>
      </c>
      <c r="M278" s="14" t="s">
        <v>5239</v>
      </c>
      <c r="N278" s="9" t="s">
        <v>5240</v>
      </c>
      <c r="O278" s="87" t="s">
        <v>5458</v>
      </c>
      <c r="P278" s="9" t="s">
        <v>5452</v>
      </c>
    </row>
    <row r="279" spans="1:42">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5316</v>
      </c>
      <c r="G279" s="9" t="s">
        <v>5317</v>
      </c>
      <c r="H279" s="9" t="s">
        <v>5318</v>
      </c>
      <c r="I279" s="9" t="s">
        <v>2625</v>
      </c>
      <c r="J279" s="9" t="s">
        <v>4360</v>
      </c>
      <c r="K279" s="13" t="s">
        <v>5245</v>
      </c>
      <c r="L279" s="9" t="s">
        <v>5355</v>
      </c>
      <c r="M279" s="14" t="s">
        <v>5246</v>
      </c>
      <c r="N279" s="9" t="s">
        <v>5356</v>
      </c>
      <c r="O279" s="14" t="s">
        <v>5247</v>
      </c>
      <c r="P279" s="9" t="s">
        <v>5357</v>
      </c>
      <c r="Q279" s="14" t="s">
        <v>5248</v>
      </c>
      <c r="R279" s="9" t="s">
        <v>5358</v>
      </c>
      <c r="S279" s="14" t="s">
        <v>5319</v>
      </c>
      <c r="T279" s="9" t="s">
        <v>5359</v>
      </c>
      <c r="U279" s="14" t="s">
        <v>5320</v>
      </c>
      <c r="V279" s="9" t="s">
        <v>5360</v>
      </c>
      <c r="W279" s="14" t="s">
        <v>5321</v>
      </c>
      <c r="X279" s="9" t="s">
        <v>5361</v>
      </c>
      <c r="Y279" s="14" t="s">
        <v>5322</v>
      </c>
      <c r="Z279" s="9" t="s">
        <v>5362</v>
      </c>
      <c r="AA279" s="14" t="s">
        <v>5324</v>
      </c>
      <c r="AB279" s="9" t="s">
        <v>5363</v>
      </c>
      <c r="AC279" s="14" t="s">
        <v>5323</v>
      </c>
      <c r="AD279" s="9" t="s">
        <v>5364</v>
      </c>
      <c r="AG279" s="87" t="s">
        <v>5458</v>
      </c>
      <c r="AH279" s="9" t="s">
        <v>5452</v>
      </c>
    </row>
    <row r="280" spans="1:42">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5237</v>
      </c>
      <c r="K280" s="77" t="s">
        <v>5453</v>
      </c>
      <c r="L280" s="9" t="s">
        <v>5454</v>
      </c>
    </row>
    <row r="281" spans="1:42">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5237</v>
      </c>
      <c r="K281" s="77" t="s">
        <v>5453</v>
      </c>
      <c r="L281" s="9" t="s">
        <v>5454</v>
      </c>
    </row>
    <row r="282" spans="1:42">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5237</v>
      </c>
      <c r="K282" s="77" t="s">
        <v>5453</v>
      </c>
      <c r="L282" s="9" t="s">
        <v>5454</v>
      </c>
    </row>
    <row r="283" spans="1:42">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5307</v>
      </c>
      <c r="G283" s="9" t="s">
        <v>5308</v>
      </c>
      <c r="H283" s="9" t="s">
        <v>2625</v>
      </c>
      <c r="I283" s="9" t="s">
        <v>4360</v>
      </c>
      <c r="K283" s="13" t="s">
        <v>5309</v>
      </c>
      <c r="L283" s="9" t="s">
        <v>5331</v>
      </c>
      <c r="M283" s="14" t="s">
        <v>4141</v>
      </c>
      <c r="N283" s="9" t="s">
        <v>5332</v>
      </c>
      <c r="O283" s="14" t="s">
        <v>4140</v>
      </c>
      <c r="P283" s="9" t="s">
        <v>5333</v>
      </c>
      <c r="Q283" s="14" t="s">
        <v>5310</v>
      </c>
      <c r="R283" s="9" t="s">
        <v>5334</v>
      </c>
      <c r="S283" s="14" t="s">
        <v>5311</v>
      </c>
      <c r="T283" s="9" t="s">
        <v>5335</v>
      </c>
      <c r="U283" s="14" t="s">
        <v>5312</v>
      </c>
      <c r="V283" s="9" t="s">
        <v>5335</v>
      </c>
      <c r="W283" s="14" t="s">
        <v>5313</v>
      </c>
      <c r="X283" s="9" t="s">
        <v>5335</v>
      </c>
      <c r="Y283" s="14" t="s">
        <v>5314</v>
      </c>
      <c r="Z283" s="9" t="s">
        <v>5336</v>
      </c>
      <c r="AA283" s="14" t="s">
        <v>2056</v>
      </c>
      <c r="AB283" s="9" t="s">
        <v>5337</v>
      </c>
      <c r="AC283" s="14" t="s">
        <v>5315</v>
      </c>
      <c r="AD283" s="9" t="s">
        <v>5338</v>
      </c>
      <c r="AE283" s="14" t="s">
        <v>5477</v>
      </c>
      <c r="AG283" s="14" t="s">
        <v>5478</v>
      </c>
      <c r="AI283" s="87" t="s">
        <v>5458</v>
      </c>
      <c r="AJ283" s="9" t="s">
        <v>5452</v>
      </c>
    </row>
    <row r="284" spans="1:42">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5192</v>
      </c>
      <c r="G284" s="9" t="s">
        <v>5193</v>
      </c>
      <c r="H284" s="9" t="s">
        <v>5194</v>
      </c>
      <c r="K284" s="13" t="s">
        <v>5254</v>
      </c>
      <c r="L284" s="9" t="s">
        <v>5306</v>
      </c>
      <c r="M284" s="14" t="s">
        <v>5255</v>
      </c>
      <c r="N284" s="9" t="s">
        <v>5305</v>
      </c>
      <c r="O284" s="14" t="s">
        <v>5282</v>
      </c>
      <c r="P284" s="9" t="s">
        <v>5304</v>
      </c>
      <c r="Q284" s="14" t="s">
        <v>5283</v>
      </c>
      <c r="R284" s="9" t="s">
        <v>5303</v>
      </c>
      <c r="S284" s="14" t="s">
        <v>5284</v>
      </c>
      <c r="T284" s="9" t="s">
        <v>5302</v>
      </c>
      <c r="U284" s="14" t="s">
        <v>5285</v>
      </c>
      <c r="V284" s="9" t="s">
        <v>5301</v>
      </c>
      <c r="W284" s="14" t="s">
        <v>5286</v>
      </c>
      <c r="X284" s="9" t="s">
        <v>5300</v>
      </c>
      <c r="Y284" s="14" t="s">
        <v>5287</v>
      </c>
      <c r="Z284" s="9" t="s">
        <v>5299</v>
      </c>
      <c r="AA284" s="14" t="s">
        <v>5288</v>
      </c>
      <c r="AB284" s="9" t="s">
        <v>5298</v>
      </c>
      <c r="AC284" s="14" t="s">
        <v>1932</v>
      </c>
      <c r="AD284" s="9" t="s">
        <v>5297</v>
      </c>
      <c r="AE284" s="14" t="s">
        <v>5289</v>
      </c>
      <c r="AF284" s="9" t="s">
        <v>5296</v>
      </c>
      <c r="AG284" s="14" t="s">
        <v>5290</v>
      </c>
      <c r="AH284" s="9" t="s">
        <v>5295</v>
      </c>
      <c r="AI284" s="14" t="s">
        <v>5291</v>
      </c>
      <c r="AJ284" s="9" t="s">
        <v>5294</v>
      </c>
      <c r="AK284" s="14" t="s">
        <v>2199</v>
      </c>
      <c r="AL284" s="9" t="s">
        <v>5293</v>
      </c>
      <c r="AM284" s="14" t="s">
        <v>2200</v>
      </c>
      <c r="AN284" s="9" t="s">
        <v>5292</v>
      </c>
      <c r="AO284" s="87" t="s">
        <v>5458</v>
      </c>
      <c r="AP284" s="9" t="s">
        <v>5452</v>
      </c>
    </row>
    <row r="285" spans="1:42">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5237</v>
      </c>
      <c r="K285" s="87" t="s">
        <v>5507</v>
      </c>
      <c r="L285" s="9" t="s">
        <v>5508</v>
      </c>
    </row>
    <row r="286" spans="1:42">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5237</v>
      </c>
      <c r="K286" s="87" t="s">
        <v>5507</v>
      </c>
      <c r="L286" s="9" t="s">
        <v>5508</v>
      </c>
    </row>
    <row r="287" spans="1:42">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5372</v>
      </c>
      <c r="G287" s="9" t="s">
        <v>5373</v>
      </c>
      <c r="H287" s="9" t="s">
        <v>2625</v>
      </c>
      <c r="I287" s="9" t="s">
        <v>4360</v>
      </c>
      <c r="K287" s="14" t="s">
        <v>5366</v>
      </c>
      <c r="L287" s="9" t="s">
        <v>5369</v>
      </c>
      <c r="M287" s="14" t="s">
        <v>5367</v>
      </c>
      <c r="N287" s="9" t="s">
        <v>5370</v>
      </c>
      <c r="O287" s="14" t="s">
        <v>5368</v>
      </c>
      <c r="P287" s="9" t="s">
        <v>5371</v>
      </c>
      <c r="Q287" s="14" t="s">
        <v>5374</v>
      </c>
      <c r="R287" s="9" t="s">
        <v>5375</v>
      </c>
      <c r="S287" t="s">
        <v>5475</v>
      </c>
      <c r="U287" t="s">
        <v>5476</v>
      </c>
      <c r="W287" s="87" t="s">
        <v>5458</v>
      </c>
      <c r="X287" s="9" t="s">
        <v>5452</v>
      </c>
    </row>
    <row r="288" spans="1:42">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5237</v>
      </c>
      <c r="K288" s="87" t="s">
        <v>5507</v>
      </c>
      <c r="L288" s="9" t="s">
        <v>5508</v>
      </c>
    </row>
    <row r="289" spans="1:49">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5237</v>
      </c>
      <c r="K289" s="87" t="s">
        <v>5507</v>
      </c>
      <c r="L289" s="9" t="s">
        <v>5508</v>
      </c>
    </row>
    <row r="290" spans="1:49">
      <c r="A290" s="9" t="str">
        <f>IF(games!A290="", "", games!A290)</f>
        <v>勇者前線Versus</v>
      </c>
      <c r="C290" s="9" t="str">
        <f t="shared" si="12"/>
        <v>giftcodesbanner/勇者前線Versus-禮包碼.jpg</v>
      </c>
      <c r="D290" s="9" t="str">
        <f t="shared" si="13"/>
        <v>https://www.ssbuy.tw/gift-codes.html?game=勇者前線Versus</v>
      </c>
      <c r="E290" s="1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3" t="s">
        <v>5237</v>
      </c>
      <c r="K290" s="87" t="s">
        <v>5507</v>
      </c>
      <c r="L290" s="9" t="s">
        <v>5508</v>
      </c>
    </row>
    <row r="291" spans="1:49">
      <c r="A291" s="9" t="str">
        <f>IF(games!A291="", "", games!A291)</f>
        <v>幻域方舟</v>
      </c>
      <c r="C291" s="9" t="str">
        <f t="shared" si="12"/>
        <v>giftcodesbanner/幻域方舟-禮包碼.jpg</v>
      </c>
      <c r="D291" s="9" t="str">
        <f t="shared" si="13"/>
        <v>https://www.ssbuy.tw/gift-codes.html?game=幻域方舟</v>
      </c>
      <c r="E291" s="1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3" t="s">
        <v>5456</v>
      </c>
      <c r="G291" s="9" t="s">
        <v>5455</v>
      </c>
      <c r="H291" s="9" t="s">
        <v>5457</v>
      </c>
      <c r="K291" s="77" t="s">
        <v>5459</v>
      </c>
      <c r="L291" s="9" t="s">
        <v>5460</v>
      </c>
      <c r="M291" s="87" t="s">
        <v>5507</v>
      </c>
      <c r="N291" s="9" t="s">
        <v>5508</v>
      </c>
      <c r="AC291" s="87" t="s">
        <v>5458</v>
      </c>
      <c r="AD291" s="9" t="s">
        <v>5452</v>
      </c>
    </row>
    <row r="292" spans="1:49">
      <c r="A292" s="9" t="str">
        <f>IF(games!A292="", "", games!A292)</f>
        <v>開天</v>
      </c>
      <c r="C292" s="9" t="str">
        <f t="shared" si="12"/>
        <v>giftcodesbanner/開天-禮包碼.jpg</v>
      </c>
      <c r="D292" s="9" t="str">
        <f t="shared" si="13"/>
        <v>https://www.ssbuy.tw/gift-codes.html?game=開天</v>
      </c>
      <c r="E292" s="1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3" t="s">
        <v>5469</v>
      </c>
      <c r="G292" s="9" t="s">
        <v>5470</v>
      </c>
      <c r="H292" s="9" t="s">
        <v>2625</v>
      </c>
      <c r="K292" s="87" t="s">
        <v>5461</v>
      </c>
      <c r="M292" s="14" t="s">
        <v>5462</v>
      </c>
      <c r="N292" s="88"/>
      <c r="O292" s="14" t="s">
        <v>5463</v>
      </c>
      <c r="Q292" s="14" t="s">
        <v>5464</v>
      </c>
      <c r="S292" s="14" t="s">
        <v>5465</v>
      </c>
      <c r="U292" s="14" t="s">
        <v>1933</v>
      </c>
      <c r="W292" s="14" t="s">
        <v>5466</v>
      </c>
      <c r="Y292" s="14" t="s">
        <v>5467</v>
      </c>
      <c r="AA292" s="14" t="s">
        <v>5468</v>
      </c>
      <c r="AC292" s="14" t="s">
        <v>5520</v>
      </c>
      <c r="AE292" s="14" t="s">
        <v>5521</v>
      </c>
      <c r="AG292" s="14" t="s">
        <v>5522</v>
      </c>
      <c r="AI292" s="14" t="s">
        <v>5523</v>
      </c>
      <c r="AK292" s="14" t="s">
        <v>5524</v>
      </c>
      <c r="AM292" s="14" t="s">
        <v>5525</v>
      </c>
      <c r="AO292" s="14" t="s">
        <v>5526</v>
      </c>
      <c r="AQ292" s="14" t="s">
        <v>5527</v>
      </c>
      <c r="AS292" s="14" t="s">
        <v>5528</v>
      </c>
      <c r="AU292" s="14" t="s">
        <v>5529</v>
      </c>
      <c r="AW292" s="14" t="s">
        <v>5530</v>
      </c>
    </row>
    <row r="293" spans="1:49">
      <c r="A293" s="9" t="str">
        <f>IF(games!A293="", "", games!A293)</f>
        <v>人人有功練：腸仔江湖見</v>
      </c>
      <c r="C293" s="9" t="str">
        <f t="shared" si="12"/>
        <v>giftcodesbanner/人人有功練：腸仔江湖見-禮包碼.jpg</v>
      </c>
      <c r="D293" s="9" t="str">
        <f t="shared" si="13"/>
        <v>https://www.ssbuy.tw/gift-codes.html?game=人人有功練：腸仔江湖見</v>
      </c>
      <c r="E293" s="1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3" t="s">
        <v>5469</v>
      </c>
      <c r="G293" s="9" t="s">
        <v>5470</v>
      </c>
      <c r="H293" s="9" t="s">
        <v>2625</v>
      </c>
      <c r="K293" s="87" t="s">
        <v>5471</v>
      </c>
      <c r="M293" s="14" t="s">
        <v>5472</v>
      </c>
      <c r="O293" s="14" t="s">
        <v>5473</v>
      </c>
      <c r="Q293" s="14" t="s">
        <v>5474</v>
      </c>
      <c r="S293" s="14" t="s">
        <v>5479</v>
      </c>
      <c r="U293" s="14" t="s">
        <v>5289</v>
      </c>
      <c r="W293" s="14" t="s">
        <v>1841</v>
      </c>
      <c r="Y293" s="14" t="s">
        <v>5480</v>
      </c>
      <c r="AA293" s="14" t="s">
        <v>5481</v>
      </c>
      <c r="AC293" s="14" t="s">
        <v>2912</v>
      </c>
      <c r="AE293" s="14" t="s">
        <v>5482</v>
      </c>
      <c r="AG293" s="14" t="s">
        <v>5483</v>
      </c>
      <c r="AI293" s="14" t="s">
        <v>5484</v>
      </c>
      <c r="AK293" s="87" t="s">
        <v>5458</v>
      </c>
      <c r="AL293" s="9" t="s">
        <v>5452</v>
      </c>
    </row>
    <row r="294" spans="1:49">
      <c r="A294" s="9" t="str">
        <f>IF(games!A294="", "", games!A294)</f>
        <v>楓之谷：放置冒險記</v>
      </c>
      <c r="C294" s="9" t="str">
        <f t="shared" si="12"/>
        <v>giftcodesbanner/楓之谷：放置冒險記-禮包碼.jpg</v>
      </c>
      <c r="D294" s="9" t="str">
        <f t="shared" si="13"/>
        <v>https://www.ssbuy.tw/gift-codes.html?game=楓之谷：放置冒險記</v>
      </c>
      <c r="E294" s="1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3" t="s">
        <v>5669</v>
      </c>
      <c r="G294" s="9" t="s">
        <v>5670</v>
      </c>
      <c r="H294" s="9" t="s">
        <v>5671</v>
      </c>
      <c r="I294" s="9" t="s">
        <v>2625</v>
      </c>
      <c r="K294" s="87" t="s">
        <v>5507</v>
      </c>
      <c r="L294" s="9" t="s">
        <v>5508</v>
      </c>
      <c r="M294" s="14" t="s">
        <v>5672</v>
      </c>
      <c r="N294" s="9" t="s">
        <v>5673</v>
      </c>
    </row>
    <row r="295" spans="1:49">
      <c r="A295" s="9" t="str">
        <f>IF(games!A295="", "", games!A295)</f>
        <v>Shiba Wars：Goddess Link TD</v>
      </c>
      <c r="C295" s="9" t="str">
        <f t="shared" si="12"/>
        <v>giftcodesbanner/Shiba Wars：Goddess Link TD-禮包碼.jpg</v>
      </c>
      <c r="D295" s="9" t="str">
        <f t="shared" si="13"/>
        <v>https://www.ssbuy.tw/gift-codes.html?game=Shiba Wars：Goddess Link TD</v>
      </c>
      <c r="E295" s="1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3" t="s">
        <v>5237</v>
      </c>
      <c r="K295" s="87" t="s">
        <v>5507</v>
      </c>
      <c r="L295" s="9" t="s">
        <v>5508</v>
      </c>
    </row>
    <row r="296" spans="1:49">
      <c r="A296" s="9" t="str">
        <f>IF(games!A296="", "", games!A296)</f>
        <v>熱血江湖：福利加強版</v>
      </c>
      <c r="C296" s="9" t="str">
        <f t="shared" si="12"/>
        <v>giftcodesbanner/熱血江湖：福利加強版-禮包碼.jpg</v>
      </c>
      <c r="D296" s="9" t="str">
        <f t="shared" si="13"/>
        <v>https://www.ssbuy.tw/gift-codes.html?game=熱血江湖：福利加強版</v>
      </c>
      <c r="E296" s="1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3" t="s">
        <v>5504</v>
      </c>
      <c r="G296" s="9" t="s">
        <v>5505</v>
      </c>
      <c r="H296" s="9" t="s">
        <v>2625</v>
      </c>
      <c r="K296" s="89">
        <v>666666</v>
      </c>
      <c r="M296" s="14">
        <v>777777</v>
      </c>
      <c r="O296" s="14">
        <v>888888</v>
      </c>
      <c r="Q296" s="14" t="s">
        <v>5510</v>
      </c>
      <c r="S296" s="14" t="s">
        <v>5511</v>
      </c>
      <c r="U296" s="14" t="s">
        <v>5512</v>
      </c>
      <c r="W296" s="14" t="s">
        <v>5513</v>
      </c>
      <c r="Y296" s="14" t="s">
        <v>5514</v>
      </c>
      <c r="AA296" s="14" t="s">
        <v>5515</v>
      </c>
      <c r="AC296" s="14" t="s">
        <v>5516</v>
      </c>
      <c r="AE296" s="14" t="s">
        <v>5517</v>
      </c>
      <c r="AG296" s="14" t="s">
        <v>5518</v>
      </c>
      <c r="AI296" s="14" t="s">
        <v>5519</v>
      </c>
      <c r="AK296" s="14" t="s">
        <v>5717</v>
      </c>
      <c r="AM296" s="14" t="s">
        <v>5718</v>
      </c>
      <c r="AO296" s="14" t="s">
        <v>5719</v>
      </c>
      <c r="AQ296" s="14" t="s">
        <v>5720</v>
      </c>
      <c r="AS296" s="87" t="s">
        <v>5716</v>
      </c>
      <c r="AT296" s="9" t="s">
        <v>5508</v>
      </c>
    </row>
    <row r="297" spans="1:49">
      <c r="A297" s="9" t="str">
        <f>IF(games!A297="", "", games!A297)</f>
        <v>熱血主公Go</v>
      </c>
      <c r="C297" s="9" t="str">
        <f t="shared" si="12"/>
        <v>giftcodesbanner/熱血主公Go-禮包碼.jpg</v>
      </c>
      <c r="D297" s="9" t="str">
        <f t="shared" si="13"/>
        <v>https://www.ssbuy.tw/gift-codes.html?game=熱血主公Go</v>
      </c>
      <c r="E297" s="1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0" t="s">
        <v>5494</v>
      </c>
      <c r="G297" s="9" t="s">
        <v>5495</v>
      </c>
      <c r="H297" s="9" t="s">
        <v>2625</v>
      </c>
      <c r="K297" s="13" t="s">
        <v>5493</v>
      </c>
      <c r="L297" s="9" t="s">
        <v>5506</v>
      </c>
      <c r="M297" s="9" t="s">
        <v>5488</v>
      </c>
      <c r="N297" s="9" t="s">
        <v>5506</v>
      </c>
      <c r="O297" s="14" t="s">
        <v>5489</v>
      </c>
      <c r="P297" s="9" t="s">
        <v>5506</v>
      </c>
      <c r="Q297" s="14" t="s">
        <v>5490</v>
      </c>
      <c r="R297" s="9" t="s">
        <v>5506</v>
      </c>
      <c r="S297" s="14" t="s">
        <v>5491</v>
      </c>
      <c r="T297" s="9" t="s">
        <v>5506</v>
      </c>
      <c r="U297" s="14" t="s">
        <v>5492</v>
      </c>
      <c r="V297" s="9" t="s">
        <v>5506</v>
      </c>
      <c r="W297" s="87" t="s">
        <v>5507</v>
      </c>
      <c r="X297" s="9" t="s">
        <v>5508</v>
      </c>
    </row>
    <row r="298" spans="1:49">
      <c r="A298" s="9" t="str">
        <f>IF(games!A298="", "", games!A298)</f>
        <v>歡迎來到夢樂園</v>
      </c>
      <c r="C298" s="9" t="str">
        <f t="shared" si="12"/>
        <v>giftcodesbanner/歡迎來到夢樂園-禮包碼.jpg</v>
      </c>
      <c r="D298" s="9" t="str">
        <f t="shared" si="13"/>
        <v>https://www.ssbuy.tw/gift-codes.html?game=歡迎來到夢樂園</v>
      </c>
      <c r="E298" s="1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0" t="s">
        <v>5604</v>
      </c>
      <c r="G298" s="9" t="s">
        <v>5605</v>
      </c>
      <c r="H298" s="9" t="s">
        <v>2625</v>
      </c>
      <c r="K298" s="87" t="s">
        <v>5507</v>
      </c>
      <c r="L298" s="9" t="s">
        <v>5508</v>
      </c>
      <c r="M298" s="14" t="s">
        <v>5598</v>
      </c>
      <c r="N298" s="9" t="s">
        <v>5601</v>
      </c>
      <c r="O298" s="14" t="s">
        <v>5599</v>
      </c>
      <c r="P298" s="9" t="s">
        <v>5602</v>
      </c>
      <c r="Q298" s="14" t="s">
        <v>5600</v>
      </c>
      <c r="R298" s="9" t="s">
        <v>5603</v>
      </c>
    </row>
    <row r="299" spans="1:49">
      <c r="A299" s="9" t="str">
        <f>IF(games!A299="", "", games!A299)</f>
        <v>Cryowar</v>
      </c>
      <c r="C299" s="9" t="str">
        <f t="shared" si="12"/>
        <v>giftcodesbanner/Cryowar-禮包碼.jpg</v>
      </c>
      <c r="D299" s="9" t="str">
        <f t="shared" si="13"/>
        <v>https://www.ssbuy.tw/gift-codes.html?game=Cryowar</v>
      </c>
      <c r="E299" s="1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3" t="s">
        <v>5237</v>
      </c>
      <c r="K299" s="87" t="s">
        <v>5507</v>
      </c>
      <c r="L299" s="9" t="s">
        <v>5508</v>
      </c>
    </row>
    <row r="300" spans="1:49">
      <c r="A300" s="9" t="str">
        <f>IF(games!A300="", "", games!A300)</f>
        <v>深岩銀河：倖存者</v>
      </c>
      <c r="C300" s="9" t="str">
        <f t="shared" si="12"/>
        <v>giftcodesbanner/深岩銀河：倖存者-禮包碼.jpg</v>
      </c>
      <c r="D300" s="9" t="str">
        <f t="shared" si="13"/>
        <v>https://www.ssbuy.tw/gift-codes.html?game=深岩銀河：倖存者</v>
      </c>
      <c r="E300" s="1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3" t="s">
        <v>5237</v>
      </c>
      <c r="K300" s="87" t="s">
        <v>5507</v>
      </c>
      <c r="L300" s="9" t="s">
        <v>5508</v>
      </c>
    </row>
    <row r="301" spans="1:49">
      <c r="A301" s="9" t="str">
        <f>IF(games!A301="", "", games!A301)</f>
        <v>熱血排球少女</v>
      </c>
      <c r="C301" s="9" t="str">
        <f t="shared" si="12"/>
        <v>giftcodesbanner/熱血排球少女-禮包碼.jpg</v>
      </c>
      <c r="D301" s="9" t="str">
        <f t="shared" si="13"/>
        <v>https://www.ssbuy.tw/gift-codes.html?game=熱血排球少女</v>
      </c>
      <c r="E301" s="1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3" t="s">
        <v>5237</v>
      </c>
      <c r="K301" s="87" t="s">
        <v>5507</v>
      </c>
      <c r="L301" s="9" t="s">
        <v>5508</v>
      </c>
    </row>
    <row r="302" spans="1:49">
      <c r="A302" s="9" t="str">
        <f>IF(games!A302="", "", games!A302)</f>
        <v>Jetpack Joyride Racing</v>
      </c>
      <c r="C302" s="9" t="str">
        <f t="shared" si="12"/>
        <v>giftcodesbanner/Jetpack Joyride Racing-禮包碼.jpg</v>
      </c>
      <c r="D302" s="9" t="str">
        <f t="shared" si="13"/>
        <v>https://www.ssbuy.tw/gift-codes.html?game=Jetpack Joyride Racing</v>
      </c>
      <c r="E302" s="1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3" t="s">
        <v>5237</v>
      </c>
      <c r="K302" s="87" t="s">
        <v>5507</v>
      </c>
      <c r="L302" s="9" t="s">
        <v>5508</v>
      </c>
    </row>
    <row r="303" spans="1:49">
      <c r="A303" s="9" t="str">
        <f>IF(games!A303="", "", games!A303)</f>
        <v>三國格子爭奪戰</v>
      </c>
      <c r="C303" s="9" t="str">
        <f t="shared" si="12"/>
        <v>giftcodesbanner/三國格子爭奪戰-禮包碼.jpg</v>
      </c>
      <c r="D303" s="9" t="str">
        <f t="shared" si="13"/>
        <v>https://www.ssbuy.tw/gift-codes.html?game=三國格子爭奪戰</v>
      </c>
      <c r="E303" s="1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3" t="s">
        <v>5616</v>
      </c>
      <c r="G303" s="9" t="s">
        <v>5617</v>
      </c>
      <c r="H303" s="9" t="s">
        <v>2625</v>
      </c>
      <c r="K303" s="87" t="s">
        <v>5507</v>
      </c>
      <c r="L303" s="9" t="s">
        <v>5508</v>
      </c>
      <c r="M303" s="14" t="s">
        <v>5607</v>
      </c>
      <c r="N303" s="9" t="s">
        <v>5618</v>
      </c>
      <c r="O303" s="14" t="s">
        <v>5609</v>
      </c>
      <c r="P303" s="9" t="s">
        <v>5619</v>
      </c>
      <c r="Q303" s="14" t="s">
        <v>5614</v>
      </c>
      <c r="R303" s="9" t="s">
        <v>5620</v>
      </c>
      <c r="S303" s="14" t="s">
        <v>5615</v>
      </c>
      <c r="T303" s="9" t="s">
        <v>5621</v>
      </c>
      <c r="U303" s="14" t="s">
        <v>5631</v>
      </c>
      <c r="W303" s="14" t="s">
        <v>5608</v>
      </c>
      <c r="Y303" s="14" t="s">
        <v>5675</v>
      </c>
    </row>
    <row r="304" spans="1:49">
      <c r="A304" s="9" t="str">
        <f>IF(games!A304="", "", games!A304)</f>
        <v>貓茶小當家：掌櫃養成記</v>
      </c>
      <c r="C304" s="9" t="str">
        <f t="shared" si="12"/>
        <v>giftcodesbanner/貓茶小當家：掌櫃養成記-禮包碼.jpg</v>
      </c>
      <c r="D304" s="9" t="str">
        <f t="shared" si="13"/>
        <v>https://www.ssbuy.tw/gift-codes.html?game=貓茶小當家：掌櫃養成記</v>
      </c>
      <c r="E304" s="1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3" t="s">
        <v>5666</v>
      </c>
      <c r="G304" s="9" t="s">
        <v>5667</v>
      </c>
      <c r="H304" s="9" t="s">
        <v>2625</v>
      </c>
      <c r="K304" s="87" t="s">
        <v>5507</v>
      </c>
      <c r="L304" s="9" t="s">
        <v>5508</v>
      </c>
      <c r="M304" s="14" t="s">
        <v>5668</v>
      </c>
      <c r="N304" s="9" t="s">
        <v>5674</v>
      </c>
    </row>
    <row r="305" spans="1:51">
      <c r="A305" s="9" t="str">
        <f>IF(games!A305="", "", games!A305)</f>
        <v>Viladia：精靈村的時光</v>
      </c>
      <c r="C305" s="9" t="str">
        <f t="shared" si="12"/>
        <v>giftcodesbanner/Viladia：精靈村的時光-禮包碼.jpg</v>
      </c>
      <c r="D305" s="9" t="str">
        <f t="shared" si="13"/>
        <v>https://www.ssbuy.tw/gift-codes.html?game=Viladia：精靈村的時光</v>
      </c>
      <c r="E305" s="1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3" t="s">
        <v>5237</v>
      </c>
      <c r="K305" s="87" t="s">
        <v>5507</v>
      </c>
      <c r="L305" s="9" t="s">
        <v>5508</v>
      </c>
    </row>
    <row r="306" spans="1:51">
      <c r="A306" s="9" t="str">
        <f>IF(games!A306="", "", games!A306)</f>
        <v>G9：特功聯盟</v>
      </c>
      <c r="C306" s="9" t="str">
        <f t="shared" si="12"/>
        <v>giftcodesbanner/G9：特功聯盟-禮包碼.jpg</v>
      </c>
      <c r="D306" s="9" t="str">
        <f t="shared" si="13"/>
        <v>https://www.ssbuy.tw/gift-codes.html?game=G9：特功聯盟</v>
      </c>
      <c r="E306" s="1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3" t="s">
        <v>5612</v>
      </c>
      <c r="G306" s="9" t="s">
        <v>5613</v>
      </c>
      <c r="H306" s="9" t="s">
        <v>2625</v>
      </c>
      <c r="K306" s="87" t="s">
        <v>5507</v>
      </c>
      <c r="L306" s="9" t="s">
        <v>5508</v>
      </c>
      <c r="M306" s="14" t="s">
        <v>5610</v>
      </c>
      <c r="N306" s="9" t="s">
        <v>2754</v>
      </c>
      <c r="O306" s="14" t="s">
        <v>2755</v>
      </c>
      <c r="P306" s="9" t="s">
        <v>5611</v>
      </c>
    </row>
    <row r="307" spans="1:51">
      <c r="A307" s="9" t="str">
        <f>IF(games!A307="", "", games!A307)</f>
        <v>AION2</v>
      </c>
      <c r="C307" s="9" t="str">
        <f t="shared" si="12"/>
        <v>giftcodesbanner/AION2-禮包碼.jpg</v>
      </c>
      <c r="D307" s="9" t="str">
        <f t="shared" si="13"/>
        <v>https://www.ssbuy.tw/gift-codes.html?game=AION2</v>
      </c>
      <c r="E307" s="1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3" t="s">
        <v>5237</v>
      </c>
      <c r="K307" s="87" t="s">
        <v>5507</v>
      </c>
      <c r="L307" s="9" t="s">
        <v>5508</v>
      </c>
    </row>
    <row r="308" spans="1:51">
      <c r="A308" s="9" t="str">
        <f>IF(games!A308="", "", games!A308)</f>
        <v>信長之野望 真戰</v>
      </c>
      <c r="C308" s="9" t="str">
        <f t="shared" si="12"/>
        <v>giftcodesbanner/信長之野望 真戰-禮包碼.jpg</v>
      </c>
      <c r="D308" s="9" t="str">
        <f t="shared" si="13"/>
        <v>https://www.ssbuy.tw/gift-codes.html?game=信長之野望 真戰</v>
      </c>
      <c r="E308" s="1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3" t="s">
        <v>5237</v>
      </c>
      <c r="K308" s="87" t="s">
        <v>5507</v>
      </c>
      <c r="L308" s="9" t="s">
        <v>5508</v>
      </c>
    </row>
    <row r="309" spans="1:51">
      <c r="A309" s="9" t="str">
        <f>IF(games!A309="", "", games!A309)</f>
        <v>BLEACH：刀鳴</v>
      </c>
      <c r="C309" s="9" t="str">
        <f t="shared" si="12"/>
        <v>giftcodesbanner/BLEACH：刀鳴-禮包碼.jpg</v>
      </c>
      <c r="D309" s="9" t="str">
        <f t="shared" si="13"/>
        <v>https://www.ssbuy.tw/gift-codes.html?game=BLEACH：刀鳴</v>
      </c>
      <c r="E309" s="1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3" t="s">
        <v>5753</v>
      </c>
      <c r="G309" s="9" t="s">
        <v>6210</v>
      </c>
      <c r="H309" s="9" t="s">
        <v>2625</v>
      </c>
      <c r="K309" s="87" t="s">
        <v>5507</v>
      </c>
      <c r="L309" s="9" t="s">
        <v>5508</v>
      </c>
      <c r="M309" s="14" t="s">
        <v>5747</v>
      </c>
      <c r="N309" s="9" t="s">
        <v>5748</v>
      </c>
      <c r="O309" s="14" t="s">
        <v>5749</v>
      </c>
      <c r="P309" s="9" t="s">
        <v>5750</v>
      </c>
      <c r="Q309" s="14" t="s">
        <v>5751</v>
      </c>
      <c r="R309" s="9" t="s">
        <v>5752</v>
      </c>
      <c r="S309" s="14" t="s">
        <v>5754</v>
      </c>
      <c r="U309" s="14" t="s">
        <v>5756</v>
      </c>
      <c r="W309" s="14" t="s">
        <v>5755</v>
      </c>
      <c r="Y309" s="14" t="s">
        <v>5757</v>
      </c>
      <c r="AA309" s="14" t="s">
        <v>5851</v>
      </c>
      <c r="AC309" s="14" t="s">
        <v>5852</v>
      </c>
      <c r="AE309" s="14" t="s">
        <v>5853</v>
      </c>
      <c r="AG309" s="14" t="s">
        <v>5854</v>
      </c>
      <c r="AI309" s="14" t="s">
        <v>5855</v>
      </c>
      <c r="AK309" s="14" t="s">
        <v>5856</v>
      </c>
      <c r="AM309" s="14" t="s">
        <v>6183</v>
      </c>
      <c r="AO309" s="14" t="s">
        <v>6184</v>
      </c>
      <c r="AQ309" s="14" t="s">
        <v>6185</v>
      </c>
      <c r="AS309" s="14" t="s">
        <v>6186</v>
      </c>
      <c r="AU309" s="14" t="s">
        <v>6187</v>
      </c>
      <c r="AW309" s="14" t="s">
        <v>6188</v>
      </c>
      <c r="AY309" s="14" t="s">
        <v>6209</v>
      </c>
    </row>
    <row r="310" spans="1:51">
      <c r="A310" s="9" t="str">
        <f>IF(games!A310="", "", games!A310)</f>
        <v>不朽龍裔</v>
      </c>
      <c r="C310" s="9" t="str">
        <f t="shared" si="12"/>
        <v>giftcodesbanner/不朽龍裔-禮包碼.jpg</v>
      </c>
      <c r="D310" s="9" t="str">
        <f t="shared" si="13"/>
        <v>https://www.ssbuy.tw/gift-codes.html?game=不朽龍裔</v>
      </c>
      <c r="E310" s="1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3" t="s">
        <v>5919</v>
      </c>
      <c r="G310" s="9" t="s">
        <v>5470</v>
      </c>
      <c r="H310" s="9" t="s">
        <v>2625</v>
      </c>
      <c r="K310" s="87" t="s">
        <v>5507</v>
      </c>
      <c r="L310" s="9" t="s">
        <v>5508</v>
      </c>
      <c r="M310" s="14" t="s">
        <v>5912</v>
      </c>
    </row>
    <row r="311" spans="1:51">
      <c r="A311" s="9" t="str">
        <f>IF(games!A311="", "", games!A311)</f>
        <v>NBA籃球世界</v>
      </c>
      <c r="C311" s="9" t="str">
        <f t="shared" si="12"/>
        <v>giftcodesbanner/NBA籃球世界-禮包碼.jpg</v>
      </c>
      <c r="D311" s="9" t="str">
        <f t="shared" si="13"/>
        <v>https://www.ssbuy.tw/gift-codes.html?game=NBA籃球世界</v>
      </c>
      <c r="E311" s="1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3" t="s">
        <v>5237</v>
      </c>
      <c r="K311" s="87" t="s">
        <v>5507</v>
      </c>
      <c r="L311" s="9" t="s">
        <v>5508</v>
      </c>
    </row>
    <row r="312" spans="1:51">
      <c r="A312" s="9" t="str">
        <f>IF(games!A312="", "", games!A312)</f>
        <v>英雄來搞鬼</v>
      </c>
      <c r="C312" s="9" t="str">
        <f t="shared" ref="C312:C370" si="14">IF(A312="","", "giftcodesbanner/" &amp; A312 &amp; "-禮包碼.jpg")</f>
        <v>giftcodesbanner/英雄來搞鬼-禮包碼.jpg</v>
      </c>
      <c r="D312" s="9" t="str">
        <f t="shared" ref="D312:D370" si="15">IF(A312="","", "https://www.ssbuy.tw/gift-codes.html?game="&amp;A312)</f>
        <v>https://www.ssbuy.tw/gift-codes.html?game=英雄來搞鬼</v>
      </c>
      <c r="E312" s="1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0" t="s">
        <v>5723</v>
      </c>
      <c r="G312" s="9" t="s">
        <v>5724</v>
      </c>
      <c r="H312" s="9" t="s">
        <v>2625</v>
      </c>
      <c r="K312" s="87" t="s">
        <v>5507</v>
      </c>
      <c r="L312" s="9" t="s">
        <v>5508</v>
      </c>
      <c r="M312" s="14" t="s">
        <v>5721</v>
      </c>
      <c r="N312" s="9" t="s">
        <v>5722</v>
      </c>
      <c r="O312" s="14" t="s">
        <v>5807</v>
      </c>
      <c r="Q312" s="14" t="s">
        <v>5808</v>
      </c>
      <c r="S312" s="14" t="s">
        <v>5809</v>
      </c>
      <c r="U312" s="14" t="s">
        <v>5810</v>
      </c>
      <c r="W312" s="14" t="s">
        <v>5811</v>
      </c>
      <c r="Y312" s="14" t="s">
        <v>5812</v>
      </c>
      <c r="AA312" s="14" t="s">
        <v>5813</v>
      </c>
      <c r="AC312" s="14" t="s">
        <v>5884</v>
      </c>
      <c r="AE312" s="14" t="s">
        <v>5885</v>
      </c>
    </row>
    <row r="313" spans="1:51">
      <c r="A313" s="9" t="str">
        <f>IF(games!A313="", "", games!A313)</f>
        <v>RO新世代：攜手同行</v>
      </c>
      <c r="C313" s="9" t="str">
        <f t="shared" si="14"/>
        <v>giftcodesbanner/RO新世代：攜手同行-禮包碼.jpg</v>
      </c>
      <c r="D313" s="9" t="str">
        <f t="shared" si="15"/>
        <v>https://www.ssbuy.tw/gift-codes.html?game=RO新世代：攜手同行</v>
      </c>
      <c r="E313" s="1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3" t="s">
        <v>5469</v>
      </c>
      <c r="G313" s="9" t="s">
        <v>5470</v>
      </c>
      <c r="H313" s="9" t="s">
        <v>2625</v>
      </c>
      <c r="K313" s="87" t="s">
        <v>5507</v>
      </c>
      <c r="L313" s="9" t="s">
        <v>5508</v>
      </c>
      <c r="M313" s="14" t="s">
        <v>5773</v>
      </c>
      <c r="O313" s="14" t="s">
        <v>5774</v>
      </c>
      <c r="Q313" s="14" t="s">
        <v>5775</v>
      </c>
      <c r="S313" s="14" t="s">
        <v>5776</v>
      </c>
      <c r="U313" s="14" t="s">
        <v>5777</v>
      </c>
      <c r="W313" s="14" t="s">
        <v>5778</v>
      </c>
      <c r="Y313" s="14" t="s">
        <v>5779</v>
      </c>
      <c r="AA313" s="14" t="s">
        <v>5780</v>
      </c>
      <c r="AC313" s="14" t="s">
        <v>5781</v>
      </c>
      <c r="AE313" s="14" t="s">
        <v>5782</v>
      </c>
    </row>
    <row r="314" spans="1:51">
      <c r="A314" s="9" t="str">
        <f>IF(games!A314="", "", games!A314)</f>
        <v>星落</v>
      </c>
      <c r="C314" s="9" t="str">
        <f t="shared" si="14"/>
        <v>giftcodesbanner/星落-禮包碼.jpg</v>
      </c>
      <c r="D314" s="9" t="str">
        <f t="shared" si="15"/>
        <v>https://www.ssbuy.tw/gift-codes.html?game=星落</v>
      </c>
      <c r="E314" s="1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3" t="s">
        <v>5882</v>
      </c>
      <c r="G314" s="9" t="s">
        <v>5883</v>
      </c>
      <c r="H314" s="9" t="s">
        <v>5849</v>
      </c>
      <c r="K314" s="87" t="s">
        <v>5507</v>
      </c>
      <c r="L314" s="9" t="s">
        <v>5508</v>
      </c>
      <c r="M314" s="14" t="s">
        <v>5772</v>
      </c>
      <c r="N314" s="9" t="s">
        <v>5881</v>
      </c>
    </row>
    <row r="315" spans="1:51">
      <c r="A315" s="9" t="str">
        <f>IF(games!A315="", "", games!A315)</f>
        <v>超自然行動組</v>
      </c>
      <c r="C315" s="9" t="str">
        <f t="shared" si="14"/>
        <v>giftcodesbanner/超自然行動組-禮包碼.jpg</v>
      </c>
      <c r="D315" s="9" t="str">
        <f t="shared" si="15"/>
        <v>https://www.ssbuy.tw/gift-codes.html?game=超自然行動組</v>
      </c>
      <c r="E315" s="1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3" t="s">
        <v>5237</v>
      </c>
      <c r="K315" s="87" t="s">
        <v>5507</v>
      </c>
      <c r="L315" s="9" t="s">
        <v>5508</v>
      </c>
    </row>
    <row r="316" spans="1:51">
      <c r="A316" s="9" t="str">
        <f>IF(games!A316="", "", games!A316)</f>
        <v>問劍長生</v>
      </c>
      <c r="C316" s="9" t="str">
        <f t="shared" si="14"/>
        <v>giftcodesbanner/問劍長生-禮包碼.jpg</v>
      </c>
      <c r="D316" s="9" t="str">
        <f t="shared" si="15"/>
        <v>https://www.ssbuy.tw/gift-codes.html?game=問劍長生</v>
      </c>
      <c r="E316" s="1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3" t="s">
        <v>5770</v>
      </c>
      <c r="G316" s="9" t="s">
        <v>5771</v>
      </c>
      <c r="H316" s="9" t="s">
        <v>5857</v>
      </c>
      <c r="I316" s="9" t="s">
        <v>2625</v>
      </c>
      <c r="K316" s="87" t="s">
        <v>5507</v>
      </c>
      <c r="L316" s="9" t="s">
        <v>5508</v>
      </c>
      <c r="M316" s="14" t="s">
        <v>5858</v>
      </c>
      <c r="N316" s="9" t="s">
        <v>5880</v>
      </c>
      <c r="O316" s="14" t="s">
        <v>5866</v>
      </c>
      <c r="P316" s="9" t="s">
        <v>5879</v>
      </c>
      <c r="Q316" s="14" t="s">
        <v>5867</v>
      </c>
      <c r="R316" s="9" t="s">
        <v>5879</v>
      </c>
      <c r="S316" s="14" t="s">
        <v>5878</v>
      </c>
      <c r="T316" s="9" t="s">
        <v>5879</v>
      </c>
      <c r="U316" s="14" t="s">
        <v>5928</v>
      </c>
      <c r="W316" s="14" t="s">
        <v>5929</v>
      </c>
      <c r="Y316" s="14" t="s">
        <v>5930</v>
      </c>
      <c r="AA316" s="14" t="s">
        <v>5931</v>
      </c>
      <c r="AC316" s="14" t="s">
        <v>5932</v>
      </c>
    </row>
    <row r="317" spans="1:51">
      <c r="A317" s="9" t="str">
        <f>IF(games!A317="", "", games!A317)</f>
        <v>道友你好劍：群英集結</v>
      </c>
      <c r="C317" s="9" t="str">
        <f t="shared" si="14"/>
        <v>giftcodesbanner/道友你好劍：群英集結-禮包碼.jpg</v>
      </c>
      <c r="D317" s="9" t="str">
        <f t="shared" si="15"/>
        <v>https://www.ssbuy.tw/gift-codes.html?game=道友你好劍：群英集結</v>
      </c>
      <c r="E317" s="1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0" t="s">
        <v>5847</v>
      </c>
      <c r="G317" s="9" t="s">
        <v>5848</v>
      </c>
      <c r="H317" s="9" t="s">
        <v>5850</v>
      </c>
      <c r="K317" s="87" t="s">
        <v>5507</v>
      </c>
      <c r="L317" s="9" t="s">
        <v>5508</v>
      </c>
      <c r="M317" s="14" t="s">
        <v>5830</v>
      </c>
      <c r="N317" s="9" t="s">
        <v>5840</v>
      </c>
      <c r="O317" s="14" t="s">
        <v>5831</v>
      </c>
      <c r="P317" s="9" t="s">
        <v>5841</v>
      </c>
      <c r="Q317" s="14" t="s">
        <v>5832</v>
      </c>
      <c r="R317" s="9" t="s">
        <v>5842</v>
      </c>
      <c r="S317" s="14" t="s">
        <v>3218</v>
      </c>
      <c r="T317" s="9" t="s">
        <v>5843</v>
      </c>
      <c r="U317" s="14" t="s">
        <v>3222</v>
      </c>
      <c r="V317" s="9" t="s">
        <v>5844</v>
      </c>
      <c r="W317" s="14" t="s">
        <v>5845</v>
      </c>
      <c r="X317" s="9" t="s">
        <v>5846</v>
      </c>
    </row>
    <row r="318" spans="1:51">
      <c r="A318" s="9" t="str">
        <f>IF(games!A318="", "", games!A318)</f>
        <v>荒島求生：重建家園</v>
      </c>
      <c r="C318" s="9" t="str">
        <f t="shared" si="14"/>
        <v>giftcodesbanner/荒島求生：重建家園-禮包碼.jpg</v>
      </c>
      <c r="D318" s="9" t="str">
        <f t="shared" si="15"/>
        <v>https://www.ssbuy.tw/gift-codes.html?game=荒島求生：重建家園</v>
      </c>
      <c r="E318" s="1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0" t="s">
        <v>5847</v>
      </c>
      <c r="G318" s="9" t="s">
        <v>5848</v>
      </c>
      <c r="H318" s="9" t="s">
        <v>5850</v>
      </c>
      <c r="K318" s="87" t="s">
        <v>5507</v>
      </c>
      <c r="L318" s="9" t="s">
        <v>5508</v>
      </c>
    </row>
    <row r="319" spans="1:51">
      <c r="A319" s="9" t="str">
        <f>IF(games!A319="", "", games!A319)</f>
        <v>絕地鴨衛</v>
      </c>
      <c r="C319" s="9" t="str">
        <f t="shared" si="14"/>
        <v>giftcodesbanner/絕地鴨衛-禮包碼.jpg</v>
      </c>
      <c r="D319" s="9" t="str">
        <f t="shared" si="15"/>
        <v>https://www.ssbuy.tw/gift-codes.html?game=絕地鴨衛</v>
      </c>
      <c r="E319" s="1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3" t="s">
        <v>5237</v>
      </c>
      <c r="K319" s="87" t="s">
        <v>5507</v>
      </c>
      <c r="L319" s="9" t="s">
        <v>5508</v>
      </c>
    </row>
    <row r="320" spans="1:51">
      <c r="A320" s="9" t="str">
        <f>IF(games!A320="", "", games!A320)</f>
        <v>NBA 2K26 Myteam</v>
      </c>
      <c r="C320" s="9" t="str">
        <f t="shared" si="14"/>
        <v>giftcodesbanner/NBA 2K26 Myteam-禮包碼.jpg</v>
      </c>
      <c r="D320" s="9" t="str">
        <f t="shared" si="15"/>
        <v>https://www.ssbuy.tw/gift-codes.html?game=NBA 2K26 Myteam</v>
      </c>
      <c r="E320" s="1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3" t="s">
        <v>5237</v>
      </c>
      <c r="K320" s="87" t="s">
        <v>5507</v>
      </c>
      <c r="L320" s="9" t="s">
        <v>5508</v>
      </c>
    </row>
    <row r="321" spans="1:49">
      <c r="A321" s="9" t="str">
        <f>IF(games!A321="", "", games!A321)</f>
        <v>放置法陣</v>
      </c>
      <c r="C321" s="9" t="str">
        <f t="shared" si="14"/>
        <v>giftcodesbanner/放置法陣-禮包碼.jpg</v>
      </c>
      <c r="D321" s="9" t="str">
        <f t="shared" si="15"/>
        <v>https://www.ssbuy.tw/gift-codes.html?game=放置法陣</v>
      </c>
      <c r="E321" s="1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3" t="s">
        <v>5974</v>
      </c>
      <c r="G321" s="9" t="s">
        <v>5975</v>
      </c>
      <c r="H321" s="9" t="s">
        <v>5850</v>
      </c>
      <c r="K321" s="87" t="s">
        <v>5507</v>
      </c>
      <c r="L321" s="9" t="s">
        <v>5508</v>
      </c>
      <c r="M321" s="14" t="s">
        <v>5972</v>
      </c>
      <c r="N321" s="9" t="s">
        <v>5973</v>
      </c>
      <c r="O321" s="14" t="s">
        <v>6094</v>
      </c>
      <c r="P321" s="9" t="s">
        <v>6095</v>
      </c>
    </row>
    <row r="322" spans="1:49">
      <c r="A322" s="9" t="str">
        <f>IF(games!A322="", "", games!A322)</f>
        <v>魔導少年 魔導士編年史</v>
      </c>
      <c r="C322" s="9" t="str">
        <f t="shared" si="14"/>
        <v>giftcodesbanner/魔導少年 魔導士編年史-禮包碼.jpg</v>
      </c>
      <c r="D322" s="9" t="str">
        <f t="shared" si="15"/>
        <v>https://www.ssbuy.tw/gift-codes.html?game=魔導少年 魔導士編年史</v>
      </c>
      <c r="E322" s="1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3" t="s">
        <v>5237</v>
      </c>
      <c r="K322" s="87" t="s">
        <v>5507</v>
      </c>
      <c r="L322" s="9" t="s">
        <v>5508</v>
      </c>
    </row>
    <row r="323" spans="1:49">
      <c r="A323" s="9" t="str">
        <f>IF(games!A323="", "", games!A323)</f>
        <v>獵風傳說：石器大作戰</v>
      </c>
      <c r="C323" s="9" t="str">
        <f t="shared" si="14"/>
        <v>giftcodesbanner/獵風傳說：石器大作戰-禮包碼.jpg</v>
      </c>
      <c r="D323" s="9" t="str">
        <f t="shared" si="15"/>
        <v>https://www.ssbuy.tw/gift-codes.html?game=獵風傳說：石器大作戰</v>
      </c>
      <c r="E323" s="1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3" t="s">
        <v>6005</v>
      </c>
      <c r="G323" s="9" t="s">
        <v>6006</v>
      </c>
      <c r="H323" s="9" t="s">
        <v>6007</v>
      </c>
      <c r="I323" s="9" t="s">
        <v>5850</v>
      </c>
      <c r="K323" s="87" t="s">
        <v>5507</v>
      </c>
      <c r="L323" s="9" t="s">
        <v>5508</v>
      </c>
      <c r="M323" s="14" t="s">
        <v>5969</v>
      </c>
      <c r="O323" s="14" t="s">
        <v>5970</v>
      </c>
      <c r="Q323" s="14" t="s">
        <v>5971</v>
      </c>
      <c r="S323" s="14" t="s">
        <v>5984</v>
      </c>
      <c r="U323" s="14" t="s">
        <v>5983</v>
      </c>
      <c r="W323" s="14" t="s">
        <v>5985</v>
      </c>
      <c r="Y323" s="14" t="s">
        <v>5986</v>
      </c>
      <c r="Z323" s="9" t="s">
        <v>5990</v>
      </c>
      <c r="AA323" s="14" t="s">
        <v>5987</v>
      </c>
      <c r="AC323" s="14" t="s">
        <v>5988</v>
      </c>
      <c r="AE323" s="14" t="s">
        <v>5989</v>
      </c>
      <c r="AG323" s="14" t="s">
        <v>5991</v>
      </c>
      <c r="AH323" s="9" t="s">
        <v>5993</v>
      </c>
      <c r="AI323" s="14" t="s">
        <v>5992</v>
      </c>
      <c r="AJ323" s="9" t="s">
        <v>5993</v>
      </c>
      <c r="AK323" s="14" t="s">
        <v>4074</v>
      </c>
      <c r="AL323" s="9" t="s">
        <v>5993</v>
      </c>
      <c r="AM323" s="14" t="s">
        <v>5994</v>
      </c>
      <c r="AO323" s="14" t="s">
        <v>5995</v>
      </c>
      <c r="AQ323" s="14" t="s">
        <v>5996</v>
      </c>
      <c r="AS323" s="14" t="s">
        <v>5997</v>
      </c>
      <c r="AU323" s="14" t="s">
        <v>5998</v>
      </c>
      <c r="AW323" s="14" t="s">
        <v>5999</v>
      </c>
    </row>
    <row r="324" spans="1:49">
      <c r="A324" s="9" t="str">
        <f>IF(games!A324="", "", games!A324)</f>
        <v>依露希爾</v>
      </c>
      <c r="C324" s="9" t="str">
        <f t="shared" si="14"/>
        <v>giftcodesbanner/依露希爾-禮包碼.jpg</v>
      </c>
      <c r="D324" s="9" t="str">
        <f t="shared" si="15"/>
        <v>https://www.ssbuy.tw/gift-codes.html?game=依露希爾</v>
      </c>
      <c r="E324" s="1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3" t="s">
        <v>6001</v>
      </c>
      <c r="G324" s="9" t="s">
        <v>6002</v>
      </c>
      <c r="H324" s="9" t="s">
        <v>6003</v>
      </c>
      <c r="I324" s="9" t="s">
        <v>6004</v>
      </c>
      <c r="J324" s="9" t="s">
        <v>5850</v>
      </c>
      <c r="K324" s="87" t="s">
        <v>5507</v>
      </c>
      <c r="L324" s="9" t="s">
        <v>5508</v>
      </c>
      <c r="M324" s="14" t="s">
        <v>5947</v>
      </c>
      <c r="N324" s="9" t="s">
        <v>6000</v>
      </c>
      <c r="O324" s="14" t="s">
        <v>6230</v>
      </c>
      <c r="Q324" s="14" t="s">
        <v>6270</v>
      </c>
    </row>
    <row r="325" spans="1:49">
      <c r="A325" s="9" t="str">
        <f>IF(games!A325="", "", games!A325)</f>
        <v>契約吧！精靈少女</v>
      </c>
      <c r="C325" s="9" t="str">
        <f t="shared" si="14"/>
        <v>giftcodesbanner/契約吧！精靈少女-禮包碼.jpg</v>
      </c>
      <c r="D325" s="9" t="str">
        <f t="shared" si="15"/>
        <v>https://www.ssbuy.tw/gift-codes.html?game=契約吧！精靈少女</v>
      </c>
      <c r="E325" s="1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3" t="s">
        <v>5237</v>
      </c>
      <c r="K325" s="87" t="s">
        <v>5507</v>
      </c>
      <c r="L325" s="9" t="s">
        <v>5508</v>
      </c>
      <c r="M325" s="14" t="s">
        <v>5963</v>
      </c>
      <c r="N325" s="9" t="s">
        <v>5966</v>
      </c>
      <c r="O325" s="14" t="s">
        <v>5964</v>
      </c>
      <c r="P325" s="9" t="s">
        <v>5966</v>
      </c>
      <c r="Q325" s="14" t="s">
        <v>5965</v>
      </c>
      <c r="R325" s="9" t="s">
        <v>5966</v>
      </c>
    </row>
    <row r="326" spans="1:49">
      <c r="A326" s="9" t="str">
        <f>IF(games!A326="", "", games!A326)</f>
        <v>曹操不囉嗦</v>
      </c>
      <c r="C326" s="9" t="str">
        <f t="shared" si="14"/>
        <v>giftcodesbanner/曹操不囉嗦-禮包碼.jpg</v>
      </c>
      <c r="D326" s="9" t="str">
        <f t="shared" si="15"/>
        <v>https://www.ssbuy.tw/gift-codes.html?game=曹操不囉嗦</v>
      </c>
      <c r="E326" s="10"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3" t="s">
        <v>5237</v>
      </c>
      <c r="K326" s="87" t="s">
        <v>5507</v>
      </c>
      <c r="L326" s="9" t="s">
        <v>5508</v>
      </c>
    </row>
    <row r="327" spans="1:49">
      <c r="A327" s="9" t="str">
        <f>IF(games!A327="", "", games!A327)</f>
        <v>江湖有詭</v>
      </c>
      <c r="C327" s="9" t="str">
        <f t="shared" si="14"/>
        <v>giftcodesbanner/江湖有詭-禮包碼.jpg</v>
      </c>
      <c r="D327" s="9" t="str">
        <f t="shared" si="15"/>
        <v>https://www.ssbuy.tw/gift-codes.html?game=江湖有詭</v>
      </c>
      <c r="E327" s="1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3" t="s">
        <v>6061</v>
      </c>
      <c r="G327" s="9" t="s">
        <v>6062</v>
      </c>
      <c r="H327" s="9" t="s">
        <v>5850</v>
      </c>
      <c r="K327" s="87" t="s">
        <v>5507</v>
      </c>
      <c r="L327" s="9" t="s">
        <v>5508</v>
      </c>
      <c r="M327" s="14">
        <v>666666</v>
      </c>
      <c r="O327" s="14">
        <v>7777777</v>
      </c>
      <c r="Q327" s="14">
        <v>88888888</v>
      </c>
      <c r="S327" s="14" t="s">
        <v>6012</v>
      </c>
      <c r="U327" s="14" t="s">
        <v>6013</v>
      </c>
      <c r="W327" s="14" t="s">
        <v>6014</v>
      </c>
      <c r="Y327" s="14" t="s">
        <v>6015</v>
      </c>
      <c r="AA327" s="14" t="s">
        <v>6016</v>
      </c>
      <c r="AC327" s="14" t="s">
        <v>6017</v>
      </c>
      <c r="AE327" s="14" t="s">
        <v>6018</v>
      </c>
      <c r="AG327" s="14" t="s">
        <v>6019</v>
      </c>
      <c r="AI327" s="14" t="s">
        <v>6020</v>
      </c>
      <c r="AK327" s="14" t="s">
        <v>6021</v>
      </c>
    </row>
    <row r="328" spans="1:49">
      <c r="A328" s="9" t="str">
        <f>IF(games!A328="", "", games!A328)</f>
        <v>將軍請息怒</v>
      </c>
      <c r="C328" s="9" t="str">
        <f t="shared" si="14"/>
        <v>giftcodesbanner/將軍請息怒-禮包碼.jpg</v>
      </c>
      <c r="D328" s="9" t="str">
        <f t="shared" si="15"/>
        <v>https://www.ssbuy.tw/gift-codes.html?game=將軍請息怒</v>
      </c>
      <c r="E328" s="1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3" t="s">
        <v>6001</v>
      </c>
      <c r="G328" s="9" t="s">
        <v>6117</v>
      </c>
      <c r="H328" s="9" t="s">
        <v>6264</v>
      </c>
      <c r="K328" s="87" t="s">
        <v>5507</v>
      </c>
      <c r="L328" s="9" t="s">
        <v>5508</v>
      </c>
      <c r="M328" s="14" t="s">
        <v>6063</v>
      </c>
      <c r="O328" s="14" t="s">
        <v>6064</v>
      </c>
      <c r="Q328" s="14" t="s">
        <v>6065</v>
      </c>
      <c r="S328" s="14" t="s">
        <v>6112</v>
      </c>
      <c r="U328" s="14" t="s">
        <v>6066</v>
      </c>
      <c r="W328" s="14" t="s">
        <v>6110</v>
      </c>
      <c r="Y328" s="14" t="s">
        <v>6111</v>
      </c>
      <c r="AA328" s="14" t="s">
        <v>1932</v>
      </c>
      <c r="AC328" s="14" t="s">
        <v>6113</v>
      </c>
      <c r="AE328" s="14" t="s">
        <v>6114</v>
      </c>
      <c r="AG328" s="14" t="s">
        <v>6115</v>
      </c>
      <c r="AI328" s="14" t="s">
        <v>6116</v>
      </c>
    </row>
    <row r="329" spans="1:49">
      <c r="A329" s="9" t="str">
        <f>IF(games!A329="", "", games!A329)</f>
        <v>RO：世界之旅</v>
      </c>
      <c r="C329" s="9" t="str">
        <f t="shared" si="14"/>
        <v>giftcodesbanner/RO：世界之旅-禮包碼.jpg</v>
      </c>
      <c r="D329" s="9" t="str">
        <f t="shared" si="15"/>
        <v>https://www.ssbuy.tw/gift-codes.html?game=RO：世界之旅</v>
      </c>
      <c r="E329" s="1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3" t="s">
        <v>5237</v>
      </c>
      <c r="K329" s="87" t="s">
        <v>5507</v>
      </c>
      <c r="L329" s="9" t="s">
        <v>5508</v>
      </c>
      <c r="M329" s="14" t="s">
        <v>6022</v>
      </c>
      <c r="O329" s="14" t="s">
        <v>6023</v>
      </c>
      <c r="Q329" s="14" t="s">
        <v>6024</v>
      </c>
      <c r="S329" s="14" t="s">
        <v>6025</v>
      </c>
      <c r="U329" s="14" t="s">
        <v>6295</v>
      </c>
      <c r="W329" s="14" t="s">
        <v>6026</v>
      </c>
      <c r="Y329" s="14" t="s">
        <v>6027</v>
      </c>
      <c r="AA329" s="14" t="s">
        <v>6028</v>
      </c>
    </row>
    <row r="330" spans="1:49">
      <c r="A330" s="9" t="str">
        <f>IF(games!A330="", "", games!A330)</f>
        <v>燕雲十六聲</v>
      </c>
      <c r="C330" s="9" t="str">
        <f t="shared" si="14"/>
        <v>giftcodesbanner/燕雲十六聲-禮包碼.jpg</v>
      </c>
      <c r="D330" s="9" t="str">
        <f t="shared" si="15"/>
        <v>https://www.ssbuy.tw/gift-codes.html?game=燕雲十六聲</v>
      </c>
      <c r="E330" s="1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3" t="s">
        <v>6067</v>
      </c>
      <c r="G330" s="9" t="s">
        <v>6068</v>
      </c>
      <c r="H330" s="9" t="s">
        <v>6069</v>
      </c>
      <c r="K330" s="87" t="s">
        <v>5507</v>
      </c>
      <c r="L330" s="9" t="s">
        <v>5508</v>
      </c>
      <c r="M330" s="14" t="s">
        <v>6070</v>
      </c>
      <c r="N330" s="9" t="s">
        <v>6292</v>
      </c>
      <c r="O330" s="14" t="s">
        <v>6071</v>
      </c>
      <c r="P330" s="9" t="s">
        <v>6291</v>
      </c>
      <c r="Q330" s="14" t="s">
        <v>6072</v>
      </c>
      <c r="R330" s="9" t="s">
        <v>6293</v>
      </c>
      <c r="S330" s="14" t="s">
        <v>6073</v>
      </c>
      <c r="T330" s="9" t="s">
        <v>6074</v>
      </c>
      <c r="U330" s="14" t="s">
        <v>6075</v>
      </c>
      <c r="V330" s="9" t="s">
        <v>6294</v>
      </c>
      <c r="W330" s="14" t="s">
        <v>6076</v>
      </c>
      <c r="Y330" s="14" t="s">
        <v>6077</v>
      </c>
      <c r="Z330" s="9" t="s">
        <v>6078</v>
      </c>
    </row>
    <row r="331" spans="1:49">
      <c r="A331" s="9" t="str">
        <f>IF(games!A331="", "", games!A331)</f>
        <v>99強化木棒</v>
      </c>
      <c r="C331" s="9" t="str">
        <f t="shared" si="14"/>
        <v>giftcodesbanner/99強化木棒-禮包碼.jpg</v>
      </c>
      <c r="D331" s="9" t="str">
        <f t="shared" si="15"/>
        <v>https://www.ssbuy.tw/gift-codes.html?game=99強化木棒</v>
      </c>
      <c r="E331" s="1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3" t="s">
        <v>6339</v>
      </c>
      <c r="G331" s="9" t="s">
        <v>6340</v>
      </c>
      <c r="K331" s="87" t="s">
        <v>5507</v>
      </c>
      <c r="L331" s="9" t="s">
        <v>5508</v>
      </c>
      <c r="M331" s="14" t="s">
        <v>6341</v>
      </c>
      <c r="O331" s="14" t="s">
        <v>6342</v>
      </c>
      <c r="Q331" s="14" t="s">
        <v>6343</v>
      </c>
      <c r="S331" s="14" t="s">
        <v>6344</v>
      </c>
    </row>
    <row r="332" spans="1:49">
      <c r="A332" s="9" t="str">
        <f>IF(games!A332="", "", games!A332)</f>
        <v>天龍八部榮耀版</v>
      </c>
      <c r="C332" s="9" t="str">
        <f t="shared" si="14"/>
        <v>giftcodesbanner/天龍八部榮耀版-禮包碼.jpg</v>
      </c>
      <c r="D332" s="9" t="str">
        <f t="shared" si="15"/>
        <v>https://www.ssbuy.tw/gift-codes.html?game=天龍八部榮耀版</v>
      </c>
      <c r="E332" s="1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3" t="s">
        <v>6345</v>
      </c>
      <c r="G332" s="9" t="s">
        <v>6346</v>
      </c>
      <c r="H332" s="9" t="s">
        <v>6265</v>
      </c>
      <c r="K332" s="87" t="s">
        <v>5507</v>
      </c>
      <c r="L332" s="9" t="s">
        <v>5508</v>
      </c>
      <c r="M332" s="14" t="s">
        <v>6118</v>
      </c>
      <c r="N332" s="9" t="s">
        <v>6347</v>
      </c>
      <c r="O332" s="14" t="s">
        <v>6119</v>
      </c>
      <c r="P332" s="9" t="s">
        <v>6348</v>
      </c>
      <c r="Q332" s="14" t="s">
        <v>6120</v>
      </c>
      <c r="R332" s="9" t="s">
        <v>6349</v>
      </c>
      <c r="S332" s="14" t="s">
        <v>6121</v>
      </c>
      <c r="T332" s="9" t="s">
        <v>6350</v>
      </c>
      <c r="U332" s="14" t="s">
        <v>6122</v>
      </c>
      <c r="V332" s="9" t="s">
        <v>6351</v>
      </c>
      <c r="W332" s="14" t="s">
        <v>6123</v>
      </c>
      <c r="X332" s="9" t="s">
        <v>6352</v>
      </c>
      <c r="Y332" s="14" t="s">
        <v>6124</v>
      </c>
      <c r="Z332" s="9" t="s">
        <v>6353</v>
      </c>
      <c r="AA332" s="14" t="s">
        <v>6269</v>
      </c>
    </row>
    <row r="333" spans="1:49">
      <c r="A333" s="9" t="str">
        <f>IF(games!A333="", "", games!A333)</f>
        <v>SD鋼彈 G世代 永恆</v>
      </c>
      <c r="C333" s="9" t="str">
        <f t="shared" si="14"/>
        <v>giftcodesbanner/SD鋼彈 G世代 永恆-禮包碼.jpg</v>
      </c>
      <c r="D333" s="9" t="str">
        <f t="shared" si="15"/>
        <v>https://www.ssbuy.tw/gift-codes.html?game=SD鋼彈 G世代 永恆</v>
      </c>
      <c r="E333" s="1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3" t="s">
        <v>5237</v>
      </c>
      <c r="G333" s="90" t="s">
        <v>6144</v>
      </c>
      <c r="K333" s="87" t="s">
        <v>5507</v>
      </c>
      <c r="L333" s="9" t="s">
        <v>5508</v>
      </c>
      <c r="M333" s="14" t="s">
        <v>6145</v>
      </c>
      <c r="N333" s="9" t="s">
        <v>6161</v>
      </c>
      <c r="O333" s="14" t="s">
        <v>6146</v>
      </c>
      <c r="P333" s="9" t="s">
        <v>6161</v>
      </c>
      <c r="Q333" s="14" t="s">
        <v>6147</v>
      </c>
      <c r="R333" s="9" t="s">
        <v>6161</v>
      </c>
      <c r="S333" s="14" t="s">
        <v>6148</v>
      </c>
      <c r="T333" s="9" t="s">
        <v>6161</v>
      </c>
      <c r="U333" s="14" t="s">
        <v>6149</v>
      </c>
      <c r="V333" s="9" t="s">
        <v>6161</v>
      </c>
      <c r="W333" s="14" t="s">
        <v>6150</v>
      </c>
      <c r="X333" s="9" t="s">
        <v>6162</v>
      </c>
      <c r="Y333" s="14" t="s">
        <v>6151</v>
      </c>
      <c r="Z333" s="9" t="s">
        <v>6163</v>
      </c>
      <c r="AA333" s="14" t="s">
        <v>6152</v>
      </c>
      <c r="AB333" s="9" t="s">
        <v>6163</v>
      </c>
      <c r="AC333" s="14" t="s">
        <v>6153</v>
      </c>
      <c r="AD333" s="9" t="s">
        <v>6163</v>
      </c>
      <c r="AE333" s="14" t="s">
        <v>6154</v>
      </c>
      <c r="AF333" s="9" t="s">
        <v>6168</v>
      </c>
      <c r="AG333" s="14" t="s">
        <v>6155</v>
      </c>
      <c r="AH333" s="9" t="s">
        <v>6164</v>
      </c>
      <c r="AI333" s="14" t="s">
        <v>6156</v>
      </c>
      <c r="AJ333" s="9" t="s">
        <v>6165</v>
      </c>
      <c r="AK333" s="14" t="s">
        <v>6157</v>
      </c>
      <c r="AL333" s="9" t="s">
        <v>6166</v>
      </c>
      <c r="AM333" s="14" t="s">
        <v>6158</v>
      </c>
      <c r="AN333" s="9" t="s">
        <v>6167</v>
      </c>
      <c r="AO333" s="14" t="s">
        <v>6159</v>
      </c>
      <c r="AQ333" s="14" t="s">
        <v>6160</v>
      </c>
    </row>
    <row r="334" spans="1:49">
      <c r="A334" s="9" t="str">
        <f>IF(games!A334="", "", games!A334)</f>
        <v>純被動大師：放置型養成</v>
      </c>
      <c r="C334" s="9" t="str">
        <f t="shared" si="14"/>
        <v>giftcodesbanner/純被動大師：放置型養成-禮包碼.jpg</v>
      </c>
      <c r="D334" s="9" t="str">
        <f t="shared" si="15"/>
        <v>https://www.ssbuy.tw/gift-codes.html?game=純被動大師：放置型養成</v>
      </c>
      <c r="E334" s="1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3" t="s">
        <v>5237</v>
      </c>
      <c r="K334" s="87" t="s">
        <v>5507</v>
      </c>
      <c r="L334" s="9" t="s">
        <v>5508</v>
      </c>
    </row>
    <row r="335" spans="1:49">
      <c r="A335" s="9" t="str">
        <f>IF(games!A335="", "", games!A335)</f>
        <v>超次元三國</v>
      </c>
      <c r="C335" s="9" t="str">
        <f t="shared" si="14"/>
        <v>giftcodesbanner/超次元三國-禮包碼.jpg</v>
      </c>
      <c r="D335" s="9" t="str">
        <f t="shared" si="15"/>
        <v>https://www.ssbuy.tw/gift-codes.html?game=超次元三國</v>
      </c>
      <c r="E335" s="1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3" t="s">
        <v>6354</v>
      </c>
      <c r="G335" s="9" t="s">
        <v>6355</v>
      </c>
      <c r="H335" s="9" t="s">
        <v>6356</v>
      </c>
      <c r="I335" s="9" t="s">
        <v>6265</v>
      </c>
      <c r="K335" s="87" t="s">
        <v>5507</v>
      </c>
      <c r="L335" s="9" t="s">
        <v>5508</v>
      </c>
      <c r="M335" s="14" t="s">
        <v>6307</v>
      </c>
      <c r="O335" s="14" t="s">
        <v>6308</v>
      </c>
      <c r="Q335" s="14" t="s">
        <v>6309</v>
      </c>
      <c r="S335" s="14" t="s">
        <v>6310</v>
      </c>
      <c r="U335" s="14" t="s">
        <v>6311</v>
      </c>
      <c r="W335" s="14" t="s">
        <v>6312</v>
      </c>
      <c r="Y335" s="14" t="s">
        <v>6313</v>
      </c>
      <c r="AA335" s="14" t="s">
        <v>6314</v>
      </c>
    </row>
    <row r="336" spans="1:49">
      <c r="A336" s="9" t="str">
        <f>IF(games!A336="", "", games!A336)</f>
        <v>poker fate</v>
      </c>
      <c r="C336" s="9" t="str">
        <f t="shared" si="14"/>
        <v>giftcodesbanner/poker fate-禮包碼.jpg</v>
      </c>
      <c r="D336" s="9" t="str">
        <f t="shared" si="15"/>
        <v>https://www.ssbuy.tw/gift-codes.html?game=poker fate</v>
      </c>
      <c r="E336" s="1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3" t="s">
        <v>5237</v>
      </c>
      <c r="K336" s="87" t="s">
        <v>5507</v>
      </c>
      <c r="L336" s="9" t="s">
        <v>5508</v>
      </c>
    </row>
    <row r="337" spans="1:28">
      <c r="A337" s="9" t="str">
        <f>IF(games!A337="", "", games!A337)</f>
        <v>時空心語</v>
      </c>
      <c r="C337" s="9" t="str">
        <f t="shared" si="14"/>
        <v>giftcodesbanner/時空心語-禮包碼.jpg</v>
      </c>
      <c r="D337" s="9" t="str">
        <f t="shared" si="15"/>
        <v>https://www.ssbuy.tw/gift-codes.html?game=時空心語</v>
      </c>
      <c r="E337" s="1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3" t="s">
        <v>6262</v>
      </c>
      <c r="G337" s="9" t="s">
        <v>6263</v>
      </c>
      <c r="H337" s="9" t="s">
        <v>6265</v>
      </c>
      <c r="K337" s="87" t="s">
        <v>5507</v>
      </c>
      <c r="L337" s="9" t="s">
        <v>5508</v>
      </c>
      <c r="M337" s="14" t="s">
        <v>6266</v>
      </c>
      <c r="O337" s="14" t="s">
        <v>6267</v>
      </c>
      <c r="Q337" s="14" t="s">
        <v>6268</v>
      </c>
    </row>
    <row r="338" spans="1:28">
      <c r="A338" s="9" t="str">
        <f>IF(games!A338="", "", games!A338)</f>
        <v>Archeland Re：阿契蘭</v>
      </c>
      <c r="C338" s="9" t="str">
        <f t="shared" si="14"/>
        <v>giftcodesbanner/Archeland Re：阿契蘭-禮包碼.jpg</v>
      </c>
      <c r="D338" s="9" t="str">
        <f t="shared" si="15"/>
        <v>https://www.ssbuy.tw/gift-codes.html?game=Archeland Re：阿契蘭</v>
      </c>
      <c r="E338" s="1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3" t="s">
        <v>5237</v>
      </c>
      <c r="K338" s="87" t="s">
        <v>5507</v>
      </c>
      <c r="L338" s="9" t="s">
        <v>5508</v>
      </c>
    </row>
    <row r="339" spans="1:28">
      <c r="A339" s="9" t="str">
        <f>IF(games!A339="", "", games!A339)</f>
        <v>幻獸寶貝</v>
      </c>
      <c r="C339" s="9" t="str">
        <f t="shared" si="14"/>
        <v>giftcodesbanner/幻獸寶貝-禮包碼.jpg</v>
      </c>
      <c r="D339" s="9" t="str">
        <f t="shared" si="15"/>
        <v>https://www.ssbuy.tw/gift-codes.html?game=幻獸寶貝</v>
      </c>
      <c r="E339" s="1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0" t="s">
        <v>6277</v>
      </c>
      <c r="G339" s="9" t="s">
        <v>6278</v>
      </c>
      <c r="H339" s="9" t="s">
        <v>6265</v>
      </c>
      <c r="K339" s="87" t="s">
        <v>5507</v>
      </c>
      <c r="L339" s="9" t="s">
        <v>5508</v>
      </c>
      <c r="M339" s="14" t="s">
        <v>6275</v>
      </c>
      <c r="N339" s="9" t="s">
        <v>6276</v>
      </c>
      <c r="O339" s="14" t="s">
        <v>6288</v>
      </c>
      <c r="P339" s="9" t="s">
        <v>6387</v>
      </c>
      <c r="Q339" s="14" t="s">
        <v>6289</v>
      </c>
      <c r="R339" s="9" t="s">
        <v>6388</v>
      </c>
      <c r="S339" s="14" t="s">
        <v>1933</v>
      </c>
      <c r="T339" s="9" t="s">
        <v>6389</v>
      </c>
      <c r="U339" s="14" t="s">
        <v>6290</v>
      </c>
      <c r="V339" s="9" t="s">
        <v>6390</v>
      </c>
      <c r="W339" s="14">
        <v>777</v>
      </c>
      <c r="X339" s="9" t="s">
        <v>6390</v>
      </c>
      <c r="Y339" s="14">
        <v>999</v>
      </c>
      <c r="Z339" s="9" t="s">
        <v>6388</v>
      </c>
      <c r="AA339" s="14" t="s">
        <v>6370</v>
      </c>
      <c r="AB339" s="9" t="s">
        <v>6391</v>
      </c>
    </row>
    <row r="340" spans="1:28">
      <c r="A340" s="9" t="str">
        <f>IF(games!A340="", "", games!A340)</f>
        <v>齒輪束縛</v>
      </c>
      <c r="C340" s="9" t="str">
        <f t="shared" si="14"/>
        <v>giftcodesbanner/齒輪束縛-禮包碼.jpg</v>
      </c>
      <c r="D340" s="9" t="str">
        <f t="shared" si="15"/>
        <v>https://www.ssbuy.tw/gift-codes.html?game=齒輪束縛</v>
      </c>
      <c r="E340" s="1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3" t="s">
        <v>5237</v>
      </c>
      <c r="K340" s="87" t="s">
        <v>5507</v>
      </c>
      <c r="L340" s="9" t="s">
        <v>5508</v>
      </c>
    </row>
    <row r="341" spans="1:28">
      <c r="A341" s="9" t="str">
        <f>IF(games!A341="", "", games!A341)</f>
        <v>仙境傳說：怪獸廚房</v>
      </c>
      <c r="C341" s="9" t="str">
        <f t="shared" si="14"/>
        <v>giftcodesbanner/仙境傳說：怪獸廚房-禮包碼.jpg</v>
      </c>
      <c r="D341" s="9" t="str">
        <f t="shared" si="15"/>
        <v>https://www.ssbuy.tw/gift-codes.html?game=仙境傳說：怪獸廚房</v>
      </c>
      <c r="E341" s="1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30" t="s">
        <v>6328</v>
      </c>
      <c r="G341" s="9" t="s">
        <v>6329</v>
      </c>
      <c r="H341" s="9" t="s">
        <v>6265</v>
      </c>
      <c r="K341" s="87" t="s">
        <v>5507</v>
      </c>
      <c r="L341" s="9" t="s">
        <v>5508</v>
      </c>
      <c r="M341" s="14" t="s">
        <v>6330</v>
      </c>
    </row>
    <row r="342" spans="1:28">
      <c r="A342" s="9" t="str">
        <f>IF(games!A342="", "", games!A342)</f>
        <v>掌心宮略</v>
      </c>
      <c r="C342" s="9" t="str">
        <f t="shared" si="14"/>
        <v>giftcodesbanner/掌心宮略-禮包碼.jpg</v>
      </c>
      <c r="D342" s="9" t="str">
        <f t="shared" si="15"/>
        <v>https://www.ssbuy.tw/gift-codes.html?game=掌心宮略</v>
      </c>
      <c r="E342" s="1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3" t="s">
        <v>5237</v>
      </c>
      <c r="K342" s="87" t="s">
        <v>5507</v>
      </c>
      <c r="L342" s="9" t="s">
        <v>5508</v>
      </c>
    </row>
    <row r="343" spans="1:28">
      <c r="A343" s="9" t="str">
        <f>IF(games!A343="", "", games!A343)</f>
        <v>God Breaker：弒神者</v>
      </c>
      <c r="C343" s="9" t="str">
        <f t="shared" si="14"/>
        <v>giftcodesbanner/God Breaker：弒神者-禮包碼.jpg</v>
      </c>
      <c r="D343" s="9" t="str">
        <f t="shared" si="15"/>
        <v>https://www.ssbuy.tw/gift-codes.html?game=God Breaker：弒神者</v>
      </c>
      <c r="E343" s="1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3" t="s">
        <v>5237</v>
      </c>
      <c r="K343" s="87" t="s">
        <v>5507</v>
      </c>
      <c r="L343" s="9" t="s">
        <v>5508</v>
      </c>
    </row>
    <row r="344" spans="1:28">
      <c r="A344" s="9" t="str">
        <f>IF(games!A344="", "", games!A344)</f>
        <v>美食手札</v>
      </c>
      <c r="C344" s="9" t="str">
        <f t="shared" si="14"/>
        <v>giftcodesbanner/美食手札-禮包碼.jpg</v>
      </c>
      <c r="D344" s="9" t="str">
        <f t="shared" si="15"/>
        <v>https://www.ssbuy.tw/gift-codes.html?game=美食手札</v>
      </c>
      <c r="E344" s="1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K344" s="87" t="s">
        <v>6367</v>
      </c>
      <c r="L344" s="9" t="s">
        <v>5508</v>
      </c>
    </row>
    <row r="345" spans="1:28">
      <c r="A345" s="9" t="str">
        <f>IF(games!A345="", "", games!A345)</f>
        <v>超次元驅動</v>
      </c>
      <c r="C345" s="9" t="str">
        <f t="shared" si="14"/>
        <v>giftcodesbanner/超次元驅動-禮包碼.jpg</v>
      </c>
      <c r="D345" s="9" t="str">
        <f t="shared" si="15"/>
        <v>https://www.ssbuy.tw/gift-codes.html?game=超次元驅動</v>
      </c>
      <c r="E345" s="1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K345" s="87" t="s">
        <v>6367</v>
      </c>
      <c r="L345" s="9" t="s">
        <v>5508</v>
      </c>
    </row>
    <row r="346" spans="1:28">
      <c r="A346" s="9" t="str">
        <f>IF(games!A346="", "", games!A346)</f>
        <v/>
      </c>
      <c r="C346" s="9" t="str">
        <f t="shared" si="14"/>
        <v/>
      </c>
      <c r="D346" s="9" t="str">
        <f t="shared" si="15"/>
        <v/>
      </c>
      <c r="E346" s="10" t="str">
        <f>IF(games!I346&lt;&gt;"", games!I346, "")</f>
        <v/>
      </c>
    </row>
    <row r="347" spans="1:28">
      <c r="A347" s="9" t="str">
        <f>IF(games!A347="", "", games!A347)</f>
        <v/>
      </c>
      <c r="C347" s="9" t="str">
        <f t="shared" si="14"/>
        <v/>
      </c>
      <c r="D347" s="9" t="str">
        <f t="shared" si="15"/>
        <v/>
      </c>
      <c r="E347" s="10" t="str">
        <f>IF(games!I347&lt;&gt;"", games!I347, "")</f>
        <v/>
      </c>
    </row>
    <row r="348" spans="1:28">
      <c r="A348" s="9" t="str">
        <f>IF(games!A348="", "", games!A348)</f>
        <v/>
      </c>
      <c r="C348" s="9" t="str">
        <f t="shared" si="14"/>
        <v/>
      </c>
      <c r="D348" s="9" t="str">
        <f t="shared" si="15"/>
        <v/>
      </c>
      <c r="E348" s="10" t="str">
        <f>IF(games!I348&lt;&gt;"", games!I348, "")</f>
        <v/>
      </c>
    </row>
    <row r="349" spans="1:28">
      <c r="A349" s="9" t="str">
        <f>IF(games!A349="", "", games!A349)</f>
        <v/>
      </c>
      <c r="C349" s="9" t="str">
        <f t="shared" si="14"/>
        <v/>
      </c>
      <c r="D349" s="9" t="str">
        <f t="shared" si="15"/>
        <v/>
      </c>
      <c r="E349" s="10" t="str">
        <f>IF(games!I349&lt;&gt;"", games!I349, "")</f>
        <v/>
      </c>
    </row>
    <row r="350" spans="1:28">
      <c r="A350" s="9" t="str">
        <f>IF(games!A350="", "", games!A350)</f>
        <v/>
      </c>
      <c r="C350" s="9" t="str">
        <f t="shared" si="14"/>
        <v/>
      </c>
      <c r="D350" s="9" t="str">
        <f t="shared" si="15"/>
        <v/>
      </c>
      <c r="E350" s="10" t="str">
        <f>IF(games!I350&lt;&gt;"", games!I350, "")</f>
        <v/>
      </c>
    </row>
    <row r="351" spans="1:28">
      <c r="A351" s="9" t="str">
        <f>IF(games!A351="", "", games!A351)</f>
        <v/>
      </c>
      <c r="C351" s="9" t="str">
        <f t="shared" si="14"/>
        <v/>
      </c>
      <c r="D351" s="9" t="str">
        <f t="shared" si="15"/>
        <v/>
      </c>
      <c r="E351" s="10" t="str">
        <f>IF(games!I351&lt;&gt;"", games!I351, "")</f>
        <v/>
      </c>
    </row>
    <row r="352" spans="1:28">
      <c r="A352" s="9" t="str">
        <f>IF(games!A352="", "", games!A352)</f>
        <v/>
      </c>
      <c r="C352" s="9" t="str">
        <f t="shared" si="14"/>
        <v/>
      </c>
      <c r="D352" s="9" t="str">
        <f t="shared" si="15"/>
        <v/>
      </c>
      <c r="E352" s="10" t="str">
        <f>IF(games!I352&lt;&gt;"", games!I352, "")</f>
        <v/>
      </c>
    </row>
    <row r="353" spans="1:5">
      <c r="A353" s="9" t="str">
        <f>IF(games!A353="", "", games!A353)</f>
        <v/>
      </c>
      <c r="C353" s="9" t="str">
        <f t="shared" si="14"/>
        <v/>
      </c>
      <c r="D353" s="9" t="str">
        <f t="shared" si="15"/>
        <v/>
      </c>
      <c r="E353" s="10" t="str">
        <f>IF(games!I353&lt;&gt;"", games!I353, "")</f>
        <v/>
      </c>
    </row>
    <row r="354" spans="1:5">
      <c r="A354" s="9" t="str">
        <f>IF(games!A354="", "", games!A354)</f>
        <v/>
      </c>
      <c r="C354" s="9" t="str">
        <f t="shared" si="14"/>
        <v/>
      </c>
      <c r="D354" s="9" t="str">
        <f t="shared" si="15"/>
        <v/>
      </c>
      <c r="E354" s="10" t="str">
        <f>IF(games!I354&lt;&gt;"", games!I354, "")</f>
        <v/>
      </c>
    </row>
    <row r="355" spans="1:5">
      <c r="A355" s="9" t="str">
        <f>IF(games!A355="", "", games!A355)</f>
        <v/>
      </c>
      <c r="C355" s="9" t="str">
        <f t="shared" si="14"/>
        <v/>
      </c>
      <c r="D355" s="9" t="str">
        <f t="shared" si="15"/>
        <v/>
      </c>
      <c r="E355" s="10" t="str">
        <f>IF(games!I355&lt;&gt;"", games!I355, "")</f>
        <v/>
      </c>
    </row>
    <row r="356" spans="1:5">
      <c r="A356" s="9" t="str">
        <f>IF(games!A356="", "", games!A356)</f>
        <v/>
      </c>
      <c r="C356" s="9" t="str">
        <f t="shared" si="14"/>
        <v/>
      </c>
      <c r="D356" s="9" t="str">
        <f t="shared" si="15"/>
        <v/>
      </c>
      <c r="E356" s="10" t="str">
        <f>IF(games!I356&lt;&gt;"", games!I356, "")</f>
        <v/>
      </c>
    </row>
    <row r="357" spans="1:5">
      <c r="A357" s="9" t="str">
        <f>IF(games!A357="", "", games!A357)</f>
        <v/>
      </c>
      <c r="C357" s="9" t="str">
        <f t="shared" si="14"/>
        <v/>
      </c>
      <c r="D357" s="9" t="str">
        <f t="shared" si="15"/>
        <v/>
      </c>
      <c r="E357" s="10" t="str">
        <f>IF(games!I357&lt;&gt;"", games!I357, "")</f>
        <v/>
      </c>
    </row>
    <row r="358" spans="1:5">
      <c r="A358" s="9" t="str">
        <f>IF(games!A358="", "", games!A358)</f>
        <v/>
      </c>
      <c r="C358" s="9" t="str">
        <f t="shared" si="14"/>
        <v/>
      </c>
      <c r="D358" s="9" t="str">
        <f t="shared" si="15"/>
        <v/>
      </c>
      <c r="E358" s="10" t="str">
        <f>IF(games!I358&lt;&gt;"", games!I358, "")</f>
        <v/>
      </c>
    </row>
    <row r="359" spans="1:5">
      <c r="A359" s="9" t="str">
        <f>IF(games!A359="", "", games!A359)</f>
        <v/>
      </c>
      <c r="C359" s="9" t="str">
        <f t="shared" si="14"/>
        <v/>
      </c>
      <c r="D359" s="9" t="str">
        <f t="shared" si="15"/>
        <v/>
      </c>
      <c r="E359" s="10" t="str">
        <f>IF(games!I359&lt;&gt;"", games!I359, "")</f>
        <v/>
      </c>
    </row>
    <row r="360" spans="1:5">
      <c r="A360" s="9" t="str">
        <f>IF(games!A360="", "", games!A360)</f>
        <v/>
      </c>
      <c r="C360" s="9" t="str">
        <f t="shared" si="14"/>
        <v/>
      </c>
      <c r="D360" s="9" t="str">
        <f t="shared" si="15"/>
        <v/>
      </c>
      <c r="E360" s="10" t="str">
        <f>IF(games!I360&lt;&gt;"", games!I360, "")</f>
        <v/>
      </c>
    </row>
    <row r="361" spans="1:5">
      <c r="A361" s="9" t="str">
        <f>IF(games!A361="", "", games!A361)</f>
        <v/>
      </c>
      <c r="C361" s="9" t="str">
        <f t="shared" si="14"/>
        <v/>
      </c>
      <c r="D361" s="9" t="str">
        <f t="shared" si="15"/>
        <v/>
      </c>
      <c r="E361" s="10" t="str">
        <f>IF(games!I361&lt;&gt;"", games!I361, "")</f>
        <v/>
      </c>
    </row>
    <row r="362" spans="1:5">
      <c r="A362" s="9" t="str">
        <f>IF(games!A362="", "", games!A362)</f>
        <v/>
      </c>
      <c r="C362" s="9" t="str">
        <f t="shared" si="14"/>
        <v/>
      </c>
      <c r="D362" s="9" t="str">
        <f t="shared" si="15"/>
        <v/>
      </c>
      <c r="E362" s="10" t="str">
        <f>IF(games!I362&lt;&gt;"", games!I362, "")</f>
        <v/>
      </c>
    </row>
    <row r="363" spans="1:5">
      <c r="A363" s="9" t="str">
        <f>IF(games!A363="", "", games!A363)</f>
        <v/>
      </c>
      <c r="C363" s="9" t="str">
        <f t="shared" si="14"/>
        <v/>
      </c>
      <c r="D363" s="9" t="str">
        <f t="shared" si="15"/>
        <v/>
      </c>
      <c r="E363" s="10" t="str">
        <f>IF(games!I363&lt;&gt;"", games!I363, "")</f>
        <v/>
      </c>
    </row>
    <row r="364" spans="1:5">
      <c r="A364" s="9" t="str">
        <f>IF(games!A364="", "", games!A364)</f>
        <v/>
      </c>
      <c r="C364" s="9" t="str">
        <f t="shared" si="14"/>
        <v/>
      </c>
      <c r="D364" s="9" t="str">
        <f t="shared" si="15"/>
        <v/>
      </c>
      <c r="E364" s="10" t="str">
        <f>IF(games!I364&lt;&gt;"", games!I364, "")</f>
        <v/>
      </c>
    </row>
    <row r="365" spans="1:5">
      <c r="A365" s="9" t="str">
        <f>IF(games!A365="", "", games!A365)</f>
        <v/>
      </c>
      <c r="C365" s="9" t="str">
        <f t="shared" si="14"/>
        <v/>
      </c>
      <c r="D365" s="9" t="str">
        <f t="shared" si="15"/>
        <v/>
      </c>
      <c r="E365" s="10" t="str">
        <f>IF(games!I365&lt;&gt;"", games!I365, "")</f>
        <v/>
      </c>
    </row>
    <row r="366" spans="1:5">
      <c r="C366" s="9" t="str">
        <f t="shared" si="14"/>
        <v/>
      </c>
      <c r="D366" s="9" t="str">
        <f t="shared" si="15"/>
        <v/>
      </c>
      <c r="E366" s="10" t="str">
        <f>IF(games!I366&lt;&gt;"", games!I366, "")</f>
        <v/>
      </c>
    </row>
    <row r="367" spans="1:5">
      <c r="C367" s="9" t="str">
        <f t="shared" si="14"/>
        <v/>
      </c>
      <c r="D367" s="9" t="str">
        <f t="shared" si="15"/>
        <v/>
      </c>
      <c r="E367" s="10" t="str">
        <f>IF(games!I367&lt;&gt;"", games!I367, "")</f>
        <v/>
      </c>
    </row>
    <row r="368" spans="1: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ref="C371:C429" si="16">IF(A371="","", "giftcodesbanner/" &amp; A371 &amp; "-禮包碼.jpg")</f>
        <v/>
      </c>
      <c r="D371" s="9" t="str">
        <f t="shared" ref="D371:D429" si="17">IF(A371="","", "https://www.ssbuy.tw/gift-codes.html?game="&amp;A371)</f>
        <v/>
      </c>
      <c r="E371" s="10" t="str">
        <f>IF(games!I371&lt;&gt;"", games!I371, "")</f>
        <v/>
      </c>
    </row>
    <row r="372" spans="3:5">
      <c r="C372" s="9" t="str">
        <f t="shared" si="16"/>
        <v/>
      </c>
      <c r="D372" s="9" t="str">
        <f t="shared" si="17"/>
        <v/>
      </c>
      <c r="E372" s="10" t="str">
        <f>IF(games!I372&lt;&gt;"", games!I372, "")</f>
        <v/>
      </c>
    </row>
    <row r="373" spans="3:5">
      <c r="C373" s="9" t="str">
        <f t="shared" si="16"/>
        <v/>
      </c>
      <c r="D373" s="9" t="str">
        <f t="shared" si="17"/>
        <v/>
      </c>
      <c r="E373" s="10" t="str">
        <f>IF(games!I373&lt;&gt;"", games!I373, "")</f>
        <v/>
      </c>
    </row>
    <row r="374" spans="3:5">
      <c r="C374" s="9" t="str">
        <f t="shared" si="16"/>
        <v/>
      </c>
      <c r="D374" s="9" t="str">
        <f t="shared" si="17"/>
        <v/>
      </c>
      <c r="E374" s="10" t="str">
        <f>IF(games!I374&lt;&gt;"", games!I374, "")</f>
        <v/>
      </c>
    </row>
    <row r="375" spans="3:5">
      <c r="C375" s="9" t="str">
        <f t="shared" si="16"/>
        <v/>
      </c>
      <c r="D375" s="9" t="str">
        <f t="shared" si="17"/>
        <v/>
      </c>
      <c r="E375" s="10" t="str">
        <f>IF(games!I375&lt;&gt;"", games!I375, "")</f>
        <v/>
      </c>
    </row>
    <row r="376" spans="3:5">
      <c r="C376" s="9" t="str">
        <f t="shared" si="16"/>
        <v/>
      </c>
      <c r="D376" s="9" t="str">
        <f t="shared" si="17"/>
        <v/>
      </c>
      <c r="E376" s="10" t="str">
        <f>IF(games!I376&lt;&gt;"", games!I376, "")</f>
        <v/>
      </c>
    </row>
    <row r="377" spans="3:5">
      <c r="C377" s="9" t="str">
        <f t="shared" si="16"/>
        <v/>
      </c>
      <c r="D377" s="9" t="str">
        <f t="shared" si="17"/>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row>
    <row r="395" spans="3:5">
      <c r="C395" s="9" t="str">
        <f t="shared" si="16"/>
        <v/>
      </c>
      <c r="D395" s="9" t="str">
        <f t="shared" si="17"/>
        <v/>
      </c>
    </row>
    <row r="396" spans="3:5">
      <c r="C396" s="9" t="str">
        <f t="shared" si="16"/>
        <v/>
      </c>
      <c r="D396" s="9" t="str">
        <f t="shared" si="17"/>
        <v/>
      </c>
    </row>
    <row r="397" spans="3:5">
      <c r="C397" s="9" t="str">
        <f t="shared" si="16"/>
        <v/>
      </c>
      <c r="D397" s="9" t="str">
        <f t="shared" si="17"/>
        <v/>
      </c>
    </row>
    <row r="398" spans="3:5">
      <c r="C398" s="9" t="str">
        <f t="shared" si="16"/>
        <v/>
      </c>
      <c r="D398" s="9" t="str">
        <f t="shared" si="17"/>
        <v/>
      </c>
    </row>
    <row r="399" spans="3:5">
      <c r="C399" s="9" t="str">
        <f t="shared" si="16"/>
        <v/>
      </c>
      <c r="D399" s="9" t="str">
        <f t="shared" si="17"/>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 ref="K344" r:id="rId78"/>
    <hyperlink ref="K345" r:id="rId79"/>
  </hyperlinks>
  <pageMargins left="0.7" right="0.7" top="0.75" bottom="0.75" header="0.3" footer="0.3"/>
  <pageSetup paperSize="9" orientation="portrait" r:id="rId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2025-12-23T11:07:24Z</dcterms:modified>
</cp:coreProperties>
</file>