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<sst xmlns="http://schemas.openxmlformats.org/spreadsheetml/2006/main" count="13584" uniqueCount="8942">
  <si>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</si>
  <si>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</si>
  <si>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</si>
  <si>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</si>
  <si>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</si>
  <si>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</si>
  <si>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</si>
  <si>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</si>
  <si>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</si>
  <si>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</si>
  <si>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</si>
  <si>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</si>
  <si>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</si>
  <si>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</si>
  <si>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</si>
  <si>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</si>
  <si>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</si>
  <si>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</si>
  <si>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</si>
  <si>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</si>
  <si>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</si>
  <si>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</si>
  <si>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</si>
  <si>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</si>
  <si>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</si>
  <si>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</si>
  <si>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</si>
  <si>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</si>
  <si>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</si>
  <si>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</si>
  <si>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</si>
  <si>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</si>
  <si>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</si>
  <si>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</si>
  <si>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</si>
  <si>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</si>
  <si>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</si>
  <si>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</si>
  <si>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</si>
  <si>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</si>
  <si>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</si>
  <si>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</si>
  <si>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</si>
  <si>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</si>
  <si>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</si>
  <si>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</si>
  <si>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</si>
  <si>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</si>
  <si>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</si>
  <si>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</si>
  <si>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</si>
  <si>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</si>
  <si>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</si>
  <si>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</si>
  <si>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</si>
  <si>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</si>
  <si>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</si>
  <si>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</si>
  <si>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</si>
  <si>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</si>
  <si>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</si>
  <si>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</si>
  <si>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</si>
  <si>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</si>
  <si>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</si>
  <si>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</si>
  <si>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</si>
  <si>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</si>
  <si>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</si>
  <si>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</si>
  <si>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</si>
  <si>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</si>
  <si>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</si>
  <si>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</si>
  <si>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</si>
  <si>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</si>
  <si>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</si>
  <si>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</si>
  <si>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</si>
  <si>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</si>
  <si>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</si>
  <si>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</si>
  <si>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</si>
  <si>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</si>
  <si>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</si>
  <si>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</si>
  <si>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</si>
  <si>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</si>
  <si>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</si>
  <si>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</si>
  <si>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</si>
  <si>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</si>
  <si>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</si>
  <si>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</si>
  <si>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</si>
  <si>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</si>
  <si>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</si>
  <si>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</si>
  <si>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</si>
  <si>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</si>
  <si>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</si>
  <si>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</si>
  <si>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</si>
  <si>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</si>
  <si>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</si>
  <si>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</si>
  <si>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</si>
  <si>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</si>
  <si>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</si>
  <si>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</si>
  <si>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</si>
  <si>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</si>
  <si>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</si>
  <si>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</si>
  <si>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</si>
  <si>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</si>
  <si>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</si>
  <si>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</si>
  <si>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</si>
  <si>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</si>
  <si>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</si>
  <si>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</si>
  <si>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</si>
  <si>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</si>
  <si>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</si>
  <si>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</si>
  <si>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</si>
  <si>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</si>
  <si>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</si>
  <si>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</si>
  <si>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</si>
  <si>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</si>
  <si>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</si>
  <si>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</si>
  <si>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</si>
  <si>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</si>
  <si>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</si>
  <si>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</si>
  <si>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</si>
  <si>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</si>
  <si>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</si>
  <si>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</si>
  <si>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</si>
  <si>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</si>
  <si>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</si>
  <si>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</si>
  <si>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</si>
  <si>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</si>
  <si>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</si>
  <si>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</si>
  <si>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</si>
  <si>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</si>
  <si>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</si>
  <si>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</si>
  <si>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</si>
  <si>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</si>
  <si>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</si>
  <si>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</si>
  <si>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</si>
  <si>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</si>
  <si>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</si>
  <si>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</si>
  <si>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</si>
  <si>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</si>
  <si>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</si>
  <si>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</si>
  <si>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</si>
  <si>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</si>
  <si>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</si>
  <si>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</si>
  <si>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</si>
  <si>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</si>
  <si>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</si>
  <si>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</si>
  <si>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</si>
  <si>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</si>
  <si>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</si>
  <si>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</si>
  <si>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</si>
  <si>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</si>
  <si>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</si>
  <si>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</si>
  <si>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</si>
  <si>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</si>
  <si>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</si>
  <si>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</si>
  <si>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</si>
  <si>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</si>
  <si>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</si>
  <si>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</si>
  <si>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</si>
  <si>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</si>
  <si>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</si>
  <si>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</si>
  <si>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</si>
  <si>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</si>
  <si>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</si>
  <si>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</si>
  <si>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</si>
  <si>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</si>
  <si>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</si>
  <si>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</si>
  <si>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</si>
  <si>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</si>
  <si>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</si>
  <si>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</si>
  <si>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</si>
  <si>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</si>
  <si>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</si>
  <si>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</si>
  <si>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</si>
  <si>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</si>
  <si>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</si>
  <si>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</si>
  <si>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</si>
  <si>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</si>
  <si>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</si>
  <si>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</si>
  <si>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</si>
  <si>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</si>
  <si>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</si>
  <si>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</si>
  <si>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</si>
  <si>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</si>
  <si>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</si>
  <si>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</si>
  <si>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</si>
  <si>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</si>
  <si>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</si>
  <si>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</si>
  <si>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</si>
  <si>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</si>
  <si>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</si>
  <si>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</si>
  <si>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</si>
  <si>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</si>
  <si>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</si>
  <si>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</si>
  <si>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</si>
  <si>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</si>
  <si>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</si>
  <si>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</si>
  <si>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</si>
  <si>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</si>
  <si>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</si>
  <si>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</si>
  <si>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</si>
  <si>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</si>
  <si>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</si>
  <si>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</si>
  <si>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</si>
  <si>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</si>
  <si>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</si>
  <si>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</si>
  <si>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</si>
  <si>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</si>
  <si>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</si>
  <si>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</si>
  <si>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</si>
  <si>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</si>
  <si>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</si>
  <si>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</si>
  <si>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</si>
  <si>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</si>
  <si>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</si>
  <si>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</si>
  <si>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</si>
  <si>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</si>
  <si>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</si>
  <si>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</si>
  <si>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</si>
  <si>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</si>
  <si>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</si>
  <si>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</si>
  <si>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</si>
  <si>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</si>
  <si>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</si>
  <si>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</si>
  <si>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</si>
  <si>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</si>
  <si>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</si>
  <si>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</si>
  <si>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</si>
  <si>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</si>
  <si>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</si>
  <si>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</si>
  <si>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</si>
  <si>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</si>
  <si>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</si>
  <si>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</si>
  <si>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</si>
  <si>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</si>
  <si>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</si>
  <si>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</si>
  <si>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</si>
  <si>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</si>
  <si>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</si>
  <si>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</si>
  <si>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</si>
  <si>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</si>
  <si>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</si>
  <si>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</si>
  <si>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</si>
  <si>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</si>
  <si>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</si>
  <si>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</si>
  <si>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</si>
  <si>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</si>
  <si>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</si>
  <si>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</si>
  <si>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</si>
  <si>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</si>
  <si>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</si>
  <si>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</si>
  <si>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</si>
  <si>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</si>
  <si>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</si>
  <si>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</si>
  <si>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</si>
  <si>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</si>
  <si>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</si>
  <si>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</si>
  <si>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</si>
  <si>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</si>
  <si>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</si>
  <si>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</si>
  <si>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</si>
  <si>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</si>
  <si>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</si>
  <si>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</si>
  <si>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</si>
  <si>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</si>
  <si>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</si>
  <si>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</si>
  <si>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</si>
  <si>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</si>
  <si>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</si>
  <si>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</si>
  <si>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</si>
  <si>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</si>
  <si>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</si>
  <si>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</si>
  <si>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</si>
  <si>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</si>
  <si>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</si>
  <si>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</si>
  <si>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</si>
  <si>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</si>
  <si>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</si>
  <si>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</si>
  <si>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</si>
  <si>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</si>
  <si>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</si>
  <si>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</si>
  <si>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</si>
  <si>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</si>
  <si>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</si>
  <si>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</si>
  <si>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</si>
  <si>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</si>
  <si>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</si>
  <si>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</si>
  <si>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</si>
  <si>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</si>
  <si>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</si>
  <si>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</si>
  <si>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</si>
  <si>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</si>
  <si>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</si>
  <si>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</si>
  <si>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</si>
  <si>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</si>
  <si>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</si>
  <si>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</si>
  <si>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</si>
  <si>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</si>
  <si>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</si>
  <si>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</si>
  <si>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</si>
  <si>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</si>
  <si>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</si>
  <si>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</si>
  <si>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</si>
  <si>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</si>
  <si>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</si>
  <si>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</si>
  <si>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</si>
  <si>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</si>
  <si>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</si>
  <si>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</si>
  <si>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</si>
  <si>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</si>
  <si>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</si>
  <si>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</si>
  <si>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</si>
  <si>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</si>
  <si>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</si>
  <si>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</si>
  <si>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</si>
  <si>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</si>
  <si>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</si>
  <si>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</si>
  <si>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</si>
  <si>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</si>
  <si>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</si>
  <si>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</si>
  <si>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</si>
  <si>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</si>
  <si>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</si>
  <si>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</si>
  <si>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</si>
  <si>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</si>
  <si>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</si>
  <si>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</si>
  <si>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</si>
  <si>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</si>
  <si>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</si>
  <si>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</si>
  <si>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</si>
  <si>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</si>
  <si>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</si>
  <si>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</si>
  <si>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</si>
  <si>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</si>
  <si>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</si>
  <si>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</si>
  <si>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</si>
  <si>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</si>
  <si>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</si>
  <si>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</si>
  <si>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</si>
  <si>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</si>
  <si>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</si>
  <si>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</si>
  <si>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</si>
  <si>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</si>
  <si>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</si>
  <si>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</si>
  <si>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</si>
  <si>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</si>
  <si>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</si>
  <si>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</si>
  <si>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</si>
  <si>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</si>
  <si>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</si>
  <si>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</si>
  <si>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</si>
  <si>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</si>
  <si>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</si>
  <si>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</si>
  <si>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</si>
  <si>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</si>
  <si>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</si>
  <si>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</si>
  <si>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</si>
  <si>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</si>
  <si>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</si>
  <si>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</si>
  <si>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</si>
  <si>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</si>
  <si>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</si>
  <si>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</si>
  <si>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</si>
  <si>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</si>
  <si>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</si>
  <si>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</si>
  <si>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</si>
  <si>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</si>
  <si>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</si>
  <si>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</si>
  <si>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</si>
  <si>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</si>
  <si>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</si>
  <si>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</si>
  <si>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</si>
  <si>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</si>
  <si>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</si>
  <si>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</si>
  <si>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</si>
  <si>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</si>
  <si>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</si>
  <si>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</si>
  <si>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</si>
  <si>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</si>
  <si>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</si>
  <si>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</si>
  <si>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</si>
  <si>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</si>
  <si>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</si>
  <si>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</si>
  <si>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</si>
  <si>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</si>
  <si>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</si>
  <si>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</si>
  <si>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</si>
  <si>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</si>
  <si>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</si>
  <si>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</si>
  <si>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</si>
  <si>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</si>
  <si>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</si>
  <si>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</si>
  <si>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</si>
  <si>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</si>
  <si>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</si>
  <si>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</si>
  <si>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</si>
  <si>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</si>
  <si>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</si>
  <si>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</si>
  <si>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</si>
  <si>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</si>
  <si>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</si>
  <si>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</si>
  <si>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</si>
  <si>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</si>
  <si>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</si>
  <si>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</si>
  <si>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</si>
  <si>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</si>
  <si>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</si>
  <si>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</si>
  <si>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</si>
  <si>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</si>
  <si>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</si>
  <si>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</si>
  <si>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</si>
  <si>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</si>
  <si>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</si>
  <si>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</si>
  <si>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</si>
  <si>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</si>
  <si>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</si>
  <si>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</si>
  <si>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</si>
  <si>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</si>
  <si>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</si>
  <si>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</si>
  <si>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</si>
  <si>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</si>
  <si>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</si>
  <si>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</si>
  <si>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</si>
  <si>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</si>
  <si>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</si>
  <si>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</si>
  <si>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</si>
  <si>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</si>
  <si>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</si>
  <si>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</si>
  <si>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</si>
  <si>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</si>
  <si>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</si>
  <si>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</si>
  <si>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</si>
  <si>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</si>
  <si>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</si>
  <si>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</si>
  <si>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</si>
  <si>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</si>
  <si>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</si>
  <si>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</si>
  <si>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</si>
  <si>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</si>
  <si>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</si>
  <si>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</si>
  <si>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</si>
  <si>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</si>
  <si>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</si>
  <si>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</si>
  <si>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</si>
  <si>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</si>
  <si>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</si>
  <si>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</si>
  <si>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</si>
  <si>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</si>
  <si>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</si>
  <si>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</si>
  <si>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</si>
  <si>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</si>
  <si>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</si>
  <si>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</si>
  <si>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</si>
  <si>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</si>
  <si>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</si>
  <si>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</si>
  <si>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</si>
  <si>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</si>
  <si>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</si>
  <si>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</si>
  <si>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</si>
  <si>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</si>
  <si>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</si>
  <si>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</si>
  <si>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</si>
  <si>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</si>
  <si>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</si>
  <si>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</si>
  <si>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</si>
  <si>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</si>
  <si>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</si>
  <si>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</si>
  <si>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</si>
  <si>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</si>
  <si>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</si>
  <si>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</si>
  <si>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</si>
  <si>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</si>
  <si>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</si>
  <si>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</si>
  <si>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</si>
  <si>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</si>
  <si>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</si>
  <si>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</si>
  <si>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</si>
  <si>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</si>
  <si>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</si>
  <si>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</si>
  <si>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</si>
  <si>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</si>
  <si>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</si>
  <si>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</si>
  <si>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</si>
  <si>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</si>
  <si>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</si>
  <si>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</si>
  <si>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</si>
  <si>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</si>
  <si>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</si>
  <si>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</si>
  <si>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</si>
  <si>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</si>
  <si>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</si>
  <si>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</si>
  <si>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</si>
  <si>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</si>
  <si>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</si>
  <si>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</si>
  <si>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</si>
  <si>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</si>
  <si>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</si>
  <si>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</si>
  <si>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</si>
  <si>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</si>
  <si>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</si>
  <si>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</si>
  <si>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</si>
  <si>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</si>
  <si>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</si>
  <si>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</si>
  <si>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</si>
  <si>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</si>
  <si>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</si>
  <si>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</si>
  <si>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</si>
  <si>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</si>
  <si>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</si>
  <si>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</si>
  <si>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</si>
  <si>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</si>
  <si>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</si>
  <si>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</si>
  <si>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</si>
  <si>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</si>
  <si>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</si>
  <si>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</si>
  <si>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</si>
  <si>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</si>
  <si>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</si>
  <si>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</si>
  <si>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</si>
  <si>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</si>
  <si>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</si>
  <si>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</si>
  <si>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</si>
  <si>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</si>
  <si>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</si>
  <si>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</si>
  <si>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</si>
  <si>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</si>
  <si>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</si>
  <si>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</si>
  <si>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</si>
  <si>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</si>
  <si>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</si>
  <si>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</si>
  <si>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</si>
  <si>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</si>
  <si>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</si>
  <si>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</si>
  <si>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</si>
  <si>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</si>
  <si>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</si>
  <si>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</si>
  <si>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</si>
  <si>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</si>
  <si>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</si>
  <si>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</si>
  <si>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</si>
  <si>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</si>
  <si>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</si>
  <si>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</si>
  <si>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</si>
  <si>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</si>
  <si>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</si>
  <si>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</si>
  <si>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</si>
  <si>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</si>
  <si>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</si>
  <si>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</si>
  <si>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</si>
  <si>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</si>
  <si>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</si>
  <si>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</si>
  <si>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</si>
  <si>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</si>
  <si>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</si>
  <si>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</si>
  <si>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</si>
  <si>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</si>
  <si>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</si>
  <si>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</si>
  <si>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</si>
  <si>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</si>
  <si>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</si>
  <si>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</si>
  <si>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</si>
  <si>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</si>
  <si>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</si>
  <si>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</si>
  <si>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</si>
  <si>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</si>
  <si>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</si>
  <si>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</si>
  <si>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</si>
  <si>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</si>
  <si>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</si>
  <si>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</si>
  <si>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</si>
  <si>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</si>
  <si>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</si>
  <si>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</si>
  <si>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</si>
  <si>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</si>
  <si>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</si>
  <si>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</si>
  <si>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</si>
  <si>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</si>
  <si>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</si>
  <si>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</si>
  <si>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</si>
  <si>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</si>
  <si>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</si>
  <si>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</si>
  <si>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</si>
  <si>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</si>
  <si>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</si>
  <si>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</si>
  <si>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</si>
  <si>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</si>
  <si>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</si>
  <si>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</si>
  <si>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</si>
  <si>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</si>
  <si>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</si>
  <si>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</si>
  <si>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</si>
  <si>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</si>
  <si>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</si>
  <si>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</si>
  <si>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</si>
  <si>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</si>
  <si>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</si>
  <si>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</si>
  <si>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</si>
  <si>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</si>
  <si>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</si>
  <si>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</si>
  <si>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</si>
  <si>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</si>
  <si>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</si>
  <si>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</si>
  <si>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</si>
  <si>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</si>
  <si>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</si>
  <si>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</si>
  <si>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</si>
  <si>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</si>
  <si>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</si>
  <si>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</si>
  <si>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</si>
  <si>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</si>
  <si>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</si>
  <si>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</si>
  <si>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</si>
  <si>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</si>
  <si>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</si>
  <si>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</si>
  <si>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</si>
  <si>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</si>
  <si>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</si>
  <si>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</si>
  <si>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</si>
  <si>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</si>
  <si>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</si>
  <si>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</si>
  <si>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</si>
  <si>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</si>
  <si>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</si>
  <si>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</si>
  <si>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</si>
  <si>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</si>
  <si>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</si>
  <si>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</si>
  <si>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</si>
  <si>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</si>
  <si>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</si>
  <si>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</si>
  <si>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</si>
  <si>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</si>
  <si>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</si>
  <si>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</si>
  <si>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</si>
  <si>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</si>
  <si>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</si>
  <si>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</si>
  <si>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</si>
  <si>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</si>
  <si>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</si>
  <si>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</si>
  <si>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</si>
  <si>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</si>
  <si>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</si>
  <si>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</si>
  <si>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</si>
  <si>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</si>
  <si>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</si>
  <si>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</si>
  <si>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</si>
  <si>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</si>
  <si>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</si>
  <si>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</si>
  <si>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</si>
  <si>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</si>
  <si>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</si>
  <si>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</si>
  <si>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</si>
  <si>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</si>
  <si>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</si>
  <si>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</si>
  <si>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</si>
  <si>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</si>
  <si>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</si>
  <si>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</si>
  <si>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</si>
  <si>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</si>
  <si>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</si>
  <si>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</si>
  <si>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</si>
  <si>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</si>
  <si>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</si>
  <si>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</si>
  <si>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</si>
  <si>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</si>
  <si>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</si>
  <si>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</si>
  <si>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</si>
  <si>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</si>
  <si>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</si>
  <si>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</si>
  <si>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</si>
  <si>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</si>
  <si>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</si>
  <si>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</si>
  <si>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</si>
  <si>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</si>
  <si>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</si>
  <si>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</si>
  <si>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</si>
  <si>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</si>
  <si>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</si>
  <si>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</si>
  <si>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</si>
  <si>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</si>
  <si>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</si>
  <si>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</si>
  <si>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</si>
  <si>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</si>
  <si>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</si>
  <si>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</si>
  <si>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</si>
  <si>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</si>
  <si>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</si>
  <si>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</si>
  <si>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</si>
  <si>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</si>
  <si>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</si>
  <si>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</si>
  <si>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</si>
  <si>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</si>
  <si>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</si>
  <si>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</si>
  <si>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</si>
  <si>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</si>
  <si>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</si>
  <si>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</si>
  <si>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</si>
  <si>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</si>
  <si>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</si>
  <si>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</si>
  <si>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</si>
  <si>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</si>
  <si>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</si>
  <si>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</si>
  <si>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</si>
  <si>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</si>
  <si>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</si>
  <si>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</si>
  <si>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</si>
  <si>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</si>
  <si>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</si>
  <si>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</si>
  <si>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</si>
  <si>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</si>
  <si>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</si>
  <si>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</si>
  <si>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</si>
  <si>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</si>
  <si>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</si>
  <si>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</si>
  <si>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</si>
  <si>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</si>
  <si>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</si>
  <si>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</si>
  <si>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</si>
  <si>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</si>
  <si>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</si>
  <si>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</si>
  <si>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</si>
  <si>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</si>
  <si>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</si>
  <si>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</si>
  <si>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</si>
  <si>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</si>
  <si>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</si>
  <si>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</si>
  <si>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</si>
  <si>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</si>
  <si>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</si>
  <si>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</si>
  <si>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</si>
  <si>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</si>
  <si>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</si>
  <si>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</si>
  <si>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</si>
  <si>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</si>
  <si>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</si>
  <si>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</si>
  <si>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</si>
  <si>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</si>
  <si>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</si>
  <si>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</si>
  <si>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</si>
  <si>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</si>
  <si>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</si>
  <si>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</si>
  <si>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</si>
  <si>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</si>
  <si>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</si>
  <si>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</si>
  <si>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</si>
  <si>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</si>
  <si>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</si>
  <si>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</si>
  <si>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</si>
  <si>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</si>
  <si>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</si>
  <si>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</si>
  <si>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</si>
  <si>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</si>
  <si>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</si>
  <si>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</si>
  <si>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</si>
  <si>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</si>
  <si>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</si>
  <si>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</si>
  <si>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</si>
  <si>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</si>
  <si>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</si>
  <si>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</si>
  <si>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</si>
  <si>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</si>
  <si>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</si>
  <si>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</si>
  <si>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</si>
  <si>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</si>
  <si>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</si>
  <si>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</si>
  <si>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</si>
  <si>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</si>
  <si>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</si>
  <si>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</si>
  <si>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</si>
  <si>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</si>
  <si>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</si>
  <si>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</si>
  <si>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</si>
  <si>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</si>
  <si>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</si>
  <si>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</si>
  <si>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</si>
  <si>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</si>
  <si>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</si>
  <si>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</si>
  <si>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</si>
  <si>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</si>
  <si>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</si>
  <si>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</si>
  <si>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</si>
  <si>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</si>
  <si>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</si>
  <si>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</si>
  <si>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</si>
  <si>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</si>
  <si>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</si>
  <si>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</si>
  <si>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</si>
  <si>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</si>
  <si>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</si>
  <si>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</si>
  <si>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</si>
  <si>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</si>
  <si>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</si>
  <si>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</si>
  <si>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</si>
  <si>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</si>
  <si>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</si>
  <si>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</si>
  <si>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</si>
  <si>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</si>
  <si>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</si>
  <si>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</si>
  <si>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</si>
  <si>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</si>
  <si>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</si>
  <si>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</si>
  <si>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</si>
  <si>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</si>
  <si>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</si>
  <si>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</si>
  <si>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</si>
  <si>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</si>
  <si>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</si>
  <si>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</si>
  <si>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</si>
  <si>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</si>
  <si>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</si>
  <si>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</si>
  <si>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</si>
  <si>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</si>
  <si>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</si>
  <si>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</si>
  <si>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</si>
  <si>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</si>
  <si>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</si>
  <si>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</si>
  <si>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</si>
  <si>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</si>
  <si>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</si>
  <si>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</si>
  <si>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</si>
  <si>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</si>
  <si>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</si>
  <si>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</si>
  <si>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</si>
  <si>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</si>
  <si>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</si>
  <si>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</si>
  <si>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</si>
  <si>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</si>
  <si>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</si>
  <si>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</si>
  <si>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</si>
  <si>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</si>
  <si>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</si>
  <si>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</si>
  <si>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</si>
  <si>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</si>
  <si>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</si>
  <si>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</si>
  <si>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</si>
  <si>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</si>
  <si>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</si>
  <si>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</si>
  <si>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</si>
  <si>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</si>
  <si>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</si>
  <si>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</si>
  <si>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</si>
  <si>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</si>
  <si>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</si>
  <si>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</si>
  <si>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</si>
  <si>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</si>
  <si>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</si>
  <si>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</si>
  <si>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</si>
  <si>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</si>
  <si>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</si>
  <si>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</si>
  <si>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</si>
  <si>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</si>
  <si>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</si>
  <si>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</si>
  <si>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</si>
  <si>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</si>
  <si>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</si>
  <si>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</si>
  <si>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</si>
  <si>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</si>
  <si>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</si>
  <si>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</si>
  <si>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</si>
  <si>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</si>
  <si>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</si>
  <si>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</si>
  <si>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</si>
  <si>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</si>
  <si>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</si>
  <si>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</si>
  <si>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</si>
  <si>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</si>
  <si>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</si>
  <si>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</si>
  <si>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</si>
  <si>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</si>
  <si>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</si>
  <si>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</si>
  <si>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</si>
  <si>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</si>
  <si>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</si>
  <si>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</si>
  <si>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</si>
  <si>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</si>
  <si>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</si>
  <si>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</si>
  <si>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</si>
  <si>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</si>
  <si>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</si>
  <si>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</si>
  <si>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</si>
  <si>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</si>
  <si>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</si>
  <si>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</si>
  <si>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</si>
  <si>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</si>
  <si>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</si>
  <si>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</si>
  <si>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</si>
  <si>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</si>
  <si>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</si>
  <si>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</si>
  <si>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</si>
  <si>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</si>
  <si>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</si>
  <si>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</si>
  <si>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</si>
  <si>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</si>
  <si>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</si>
  <si>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</si>
  <si>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</si>
  <si>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</si>
  <si>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</si>
  <si>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</si>
  <si>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</si>
  <si>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</si>
  <si>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</si>
  <si>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</si>
  <si>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</si>
  <si>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</si>
  <si>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</si>
  <si>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</si>
  <si>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</si>
  <si>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</si>
  <si>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</si>
  <si>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</si>
  <si>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</si>
  <si>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</si>
  <si>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</si>
  <si>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</si>
  <si>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</si>
  <si>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</si>
  <si>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</si>
  <si>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</si>
  <si>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</si>
  <si>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</si>
  <si>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</si>
  <si>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</si>
  <si>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</si>
  <si>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</si>
  <si>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</si>
  <si>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</si>
  <si>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</si>
  <si>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</si>
  <si>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</si>
  <si>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</si>
  <si>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</si>
  <si>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</si>
  <si>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</si>
  <si>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</si>
  <si>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</si>
  <si>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</si>
  <si>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</si>
  <si>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</si>
  <si>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</si>
  <si>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</si>
  <si>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</si>
  <si>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</si>
  <si>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</si>
  <si>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</si>
  <si>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</si>
  <si>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</si>
  <si>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</si>
  <si>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</si>
  <si>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</si>
  <si>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</si>
  <si>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</si>
  <si>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</si>
  <si>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</si>
  <si>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</si>
  <si>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</si>
  <si>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</si>
  <si>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</si>
  <si>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</si>
  <si>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</si>
  <si>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</si>
  <si>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</si>
  <si>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</si>
  <si>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</si>
  <si>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</si>
  <si>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</si>
  <si>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</si>
  <si>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</si>
  <si>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</si>
  <si>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</si>
  <si>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</si>
  <si>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</si>
  <si>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</si>
  <si>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</si>
  <si>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</si>
  <si>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</si>
  <si>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</si>
  <si>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</si>
  <si>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</si>
  <si>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</si>
  <si>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</si>
  <si>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</si>
  <si>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</si>
  <si>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</si>
  <si>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</si>
  <si>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</si>
  <si>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</si>
  <si>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</si>
  <si>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</si>
  <si>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</si>
  <si>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</si>
  <si>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</si>
  <si>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</si>
  <si>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</si>
  <si>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</si>
  <si>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</si>
  <si>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</si>
  <si>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</si>
  <si>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</si>
  <si>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</si>
  <si>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</si>
  <si>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</si>
  <si>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</si>
  <si>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</si>
  <si>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</si>
  <si>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</si>
  <si>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</si>
  <si>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</si>
  <si>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</si>
  <si>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</si>
  <si>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</si>
  <si>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</si>
  <si>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</si>
  <si>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</si>
  <si>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</si>
  <si>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</si>
  <si>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</si>
  <si>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</si>
  <si>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</si>
  <si>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</si>
  <si>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</si>
  <si>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</si>
  <si>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</si>
  <si>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</si>
  <si>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</si>
  <si>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</si>
  <si>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</si>
  <si>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</si>
  <si>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</si>
  <si>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</si>
  <si>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</si>
  <si>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</si>
  <si>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</si>
  <si>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</si>
  <si>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</si>
  <si>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</si>
  <si>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</si>
  <si>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</si>
  <si>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</si>
  <si>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</si>
  <si>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</si>
  <si>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</si>
  <si>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</si>
  <si>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</si>
  <si>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</si>
  <si>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</si>
  <si>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</si>
  <si>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</si>
  <si>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</si>
  <si>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</si>
  <si>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</si>
  <si>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</si>
  <si>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</si>
  <si>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</si>
  <si>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</si>
  <si>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</si>
  <si>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</si>
  <si>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</si>
  <si>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</si>
  <si>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</si>
  <si>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</si>
  <si>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</si>
  <si>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</si>
  <si>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</si>
  <si>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</si>
  <si>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</si>
  <si>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</si>
  <si>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</si>
  <si>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</si>
  <si>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</si>
  <si>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</si>
  <si>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</si>
  <si>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</si>
  <si>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</si>
  <si>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</si>
  <si>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</si>
  <si>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</si>
  <si>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</si>
  <si>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</si>
  <si>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</si>
  <si>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</si>
  <si>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</si>
  <si>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</si>
  <si>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</si>
  <si>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</si>
  <si>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</si>
  <si>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</si>
  <si>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</si>
  <si>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</si>
  <si>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</si>
  <si>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</si>
  <si>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</si>
  <si>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</si>
  <si>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</si>
  <si>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</si>
  <si>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</si>
  <si>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</si>
  <si>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</si>
  <si>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</si>
  <si>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</si>
  <si>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</si>
  <si>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</si>
  <si>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</si>
  <si>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</si>
  <si>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</si>
  <si>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</si>
  <si>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</si>
  <si>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</si>
  <si>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</si>
  <si>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</si>
  <si>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</si>
  <si>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</si>
  <si>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</si>
  <si>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</si>
  <si>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</si>
  <si>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</si>
  <si>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</si>
  <si>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</si>
  <si>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</si>
  <si>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</si>
  <si>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</si>
  <si>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</si>
  <si>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</si>
  <si>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</si>
  <si>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</si>
  <si>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</si>
  <si>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</si>
  <si>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</si>
  <si>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</si>
  <si>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</si>
  <si>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</si>
  <si>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</si>
  <si>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</si>
  <si>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</si>
  <si>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</si>
  <si>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</si>
  <si>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</si>
  <si>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</si>
  <si>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</si>
  <si>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</si>
  <si>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</si>
  <si>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</si>
  <si>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</si>
  <si>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</si>
  <si>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</si>
  <si>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</si>
  <si>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</si>
  <si>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</si>
  <si>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</si>
  <si>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</si>
  <si>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</si>
  <si>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</si>
  <si>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</si>
  <si>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</si>
  <si>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</si>
  <si>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</si>
  <si>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</si>
  <si>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</si>
  <si>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</si>
  <si>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</si>
  <si>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</si>
  <si>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</si>
  <si>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</si>
  <si>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</si>
  <si>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</si>
  <si>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</si>
  <si>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</si>
  <si>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</si>
  <si>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</si>
  <si>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</si>
  <si>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</si>
  <si>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</si>
  <si>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</si>
  <si>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</si>
  <si>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</si>
  <si>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</si>
  <si>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</si>
  <si>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</si>
  <si>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</si>
  <si>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</si>
  <si>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</si>
  <si>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</si>
  <si>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</si>
  <si>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</si>
  <si>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</si>
  <si>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</si>
  <si>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</si>
  <si>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</si>
  <si>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</si>
  <si>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</si>
  <si>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</si>
  <si>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</si>
  <si>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</si>
  <si>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</si>
  <si>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</si>
  <si>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</si>
  <si>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</si>
  <si>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</si>
  <si>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</si>
  <si>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</si>
  <si>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</si>
  <si>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</si>
  <si>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</si>
  <si>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</si>
  <si>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</si>
  <si>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</si>
  <si>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</si>
  <si>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</si>
  <si>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</si>
  <si>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</si>
  <si>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</si>
  <si>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</si>
  <si>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</si>
  <si>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</si>
  <si>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</si>
  <si>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</si>
  <si>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</si>
  <si>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</si>
  <si>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</si>
  <si>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</si>
  <si>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</si>
  <si>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</si>
  <si>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</si>
  <si>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</si>
  <si>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</si>
  <si>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</si>
  <si>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</si>
  <si>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</si>
  <si>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</si>
  <si>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</si>
  <si>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</si>
  <si>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</si>
  <si>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</si>
  <si>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</si>
  <si>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</si>
  <si>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</si>
  <si>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</si>
  <si>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</si>
  <si>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</si>
  <si>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</si>
  <si>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</si>
  <si>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</si>
  <si>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</si>
  <si>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</si>
  <si>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</si>
  <si>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</si>
  <si>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</si>
  <si>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</si>
  <si>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</si>
  <si>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</si>
  <si>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</si>
  <si>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</si>
  <si>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</si>
  <si>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</si>
  <si>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</si>
  <si>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</si>
  <si>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</si>
  <si>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</si>
  <si>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</si>
  <si>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</si>
  <si>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</si>
  <si>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</si>
  <si>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</si>
  <si>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</si>
  <si>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</si>
  <si>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</si>
  <si>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</si>
  <si>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</si>
  <si>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</si>
  <si>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</si>
  <si>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</si>
  <si>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</si>
  <si>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</si>
  <si>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</si>
  <si>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</si>
  <si>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</si>
  <si>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</si>
  <si>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</si>
  <si>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</si>
  <si>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</si>
  <si>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</si>
  <si>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</si>
  <si>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</si>
  <si>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</si>
  <si>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</si>
  <si>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</si>
  <si>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</si>
  <si>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</si>
  <si>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</si>
  <si>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</si>
  <si>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</si>
  <si>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</si>
  <si>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</si>
  <si>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</si>
  <si>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</si>
  <si>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</si>
  <si>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</si>
  <si>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</si>
  <si>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</si>
  <si>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</si>
  <si>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</si>
  <si>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</si>
  <si>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</si>
  <si>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</si>
  <si>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</si>
  <si>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</si>
  <si>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</si>
  <si>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</si>
  <si>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</si>
  <si>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</si>
  <si>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</si>
  <si>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</si>
  <si>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</si>
  <si>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</si>
  <si>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</si>
  <si>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</si>
  <si>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</si>
  <si>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</si>
  <si>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</si>
  <si>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</si>
  <si>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</si>
  <si>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</si>
  <si>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</si>
  <si>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</si>
  <si>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</si>
  <si>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</si>
  <si>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</si>
  <si>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</si>
  <si>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</si>
  <si>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</si>
  <si>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</si>
  <si>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</si>
  <si>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</si>
  <si>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</si>
  <si>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</si>
  <si>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</si>
  <si>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</si>
  <si>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</si>
  <si>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</si>
  <si>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</si>
  <si>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</si>
  <si>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</si>
  <si>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</si>
  <si>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</si>
  <si>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</si>
  <si>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</si>
  <si>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</si>
  <si>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</si>
  <si>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</si>
  <si>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</si>
  <si>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</si>
  <si>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</si>
  <si>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</si>
  <si>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</si>
  <si>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</si>
  <si>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</si>
  <si>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</si>
  <si>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</si>
  <si>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</si>
  <si>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</si>
  <si>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</si>
  <si>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</si>
  <si>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</si>
  <si>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</si>
  <si>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</si>
  <si>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</si>
  <si>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</si>
  <si>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</si>
  <si>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</si>
  <si>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</si>
  <si>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</si>
  <si>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</si>
  <si>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</si>
  <si>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</si>
  <si>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</si>
  <si>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</si>
  <si>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</si>
  <si>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</si>
  <si>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</si>
  <si>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</si>
  <si>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</si>
  <si>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</si>
  <si>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</si>
  <si>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</si>
  <si>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</si>
  <si>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</si>
  <si>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</si>
  <si>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</si>
  <si>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</si>
  <si>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</si>
  <si>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</si>
  <si>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</si>
  <si>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</si>
  <si>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</si>
  <si>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</si>
  <si>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</si>
  <si>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</si>
  <si>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</si>
  <si>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</si>
  <si>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</si>
  <si>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</si>
  <si>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</si>
  <si>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</si>
  <si>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</si>
  <si>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</si>
  <si>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</si>
  <si>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</si>
  <si>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</si>
  <si>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</si>
  <si>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</si>
  <si>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</si>
  <si>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</si>
  <si>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</si>
  <si>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</si>
  <si>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</si>
  <si>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</si>
  <si>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</si>
  <si>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</si>
  <si>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</si>
  <si>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</si>
  <si>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</si>
  <si>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</si>
  <si>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</si>
  <si>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</si>
  <si>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</si>
  <si>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</si>
  <si>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</si>
  <si>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</si>
  <si>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</si>
  <si>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</si>
  <si>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</si>
  <si>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</si>
  <si>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</si>
  <si>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</si>
  <si>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</si>
  <si>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</si>
  <si>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</si>
  <si>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</si>
  <si>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</si>
  <si>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</si>
  <si>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</si>
  <si>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</si>
  <si>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</si>
  <si>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</si>
  <si>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</si>
  <si>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</si>
  <si>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</si>
  <si>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</si>
  <si>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</si>
  <si>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</si>
  <si>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</si>
  <si>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</si>
  <si>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</si>
  <si>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</si>
  <si>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</si>
  <si>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</si>
  <si>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</si>
  <si>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</si>
  <si>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</si>
  <si>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</si>
  <si>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</si>
  <si>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</si>
  <si>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</si>
  <si>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</si>
  <si>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</si>
  <si>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</si>
  <si>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</si>
  <si>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</si>
  <si>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</si>
  <si>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</si>
  <si>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</si>
  <si>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</si>
  <si>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</si>
  <si>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</si>
  <si>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</si>
  <si>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</si>
  <si>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</si>
  <si>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</si>
  <si>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</si>
  <si>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</si>
  <si>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</si>
  <si>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</si>
  <si>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</si>
  <si>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</si>
  <si>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</si>
  <si>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</si>
  <si>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</si>
  <si>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</si>
  <si>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</si>
  <si>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</si>
  <si>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</si>
  <si>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</si>
  <si>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</si>
  <si>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</si>
  <si>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</si>
  <si>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</si>
  <si>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</si>
  <si>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</si>
  <si>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</si>
  <si>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</si>
  <si>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</si>
  <si>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</si>
  <si>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</si>
  <si>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</si>
  <si>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</si>
  <si>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</si>
  <si>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</si>
  <si>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</si>
  <si>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</si>
  <si>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</si>
  <si>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</si>
  <si>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</si>
  <si>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</si>
  <si>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</si>
  <si>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</si>
  <si>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</si>
  <si>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</si>
  <si>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</si>
  <si>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</si>
  <si>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</si>
  <si>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</si>
  <si>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</si>
  <si>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</si>
  <si>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</si>
  <si>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</si>
  <si>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</si>
  <si>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</si>
  <si>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</si>
  <si>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</si>
  <si>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</si>
  <si>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</si>
  <si>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</si>
  <si>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</si>
  <si>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</si>
  <si>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</si>
  <si>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</si>
  <si>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</si>
  <si>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</si>
  <si>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</si>
  <si>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</si>
  <si>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</si>
  <si>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</si>
  <si>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</si>
  <si>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</si>
  <si>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</si>
  <si>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</si>
  <si>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</si>
  <si>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</si>
  <si>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</si>
  <si>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</si>
  <si>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</si>
  <si>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</si>
  <si>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</si>
  <si>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</si>
  <si>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</si>
  <si>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</si>
  <si>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</si>
  <si>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</si>
  <si>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</si>
  <si>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</si>
  <si>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</si>
  <si>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</si>
  <si>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</si>
  <si>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</si>
  <si>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</si>
  <si>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</si>
  <si>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</si>
  <si>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</si>
  <si>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</si>
  <si>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</si>
  <si>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</si>
  <si>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</si>
  <si>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</si>
  <si>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</si>
  <si>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</si>
  <si>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</si>
  <si>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</si>
  <si>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</si>
  <si>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</si>
  <si>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</si>
  <si>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</si>
  <si>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</si>
  <si>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</si>
  <si>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</si>
  <si>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</si>
  <si>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</si>
  <si>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</si>
  <si>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</si>
  <si>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</si>
  <si>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</si>
  <si>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</si>
  <si>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</si>
  <si>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</si>
  <si>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</si>
  <si>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</si>
  <si>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</si>
  <si>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</si>
  <si>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</si>
  <si>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</si>
  <si>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</si>
  <si>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</si>
  <si>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</si>
  <si>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</si>
  <si>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</si>
  <si>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</si>
  <si>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</si>
  <si>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</si>
  <si>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</si>
  <si>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</si>
  <si>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</si>
  <si>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</si>
  <si>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</si>
  <si>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</si>
  <si>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</si>
  <si>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</si>
  <si>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</si>
  <si>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</si>
  <si>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</si>
  <si>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</si>
  <si>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</si>
  <si>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</si>
  <si>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</si>
  <si>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</si>
  <si>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</si>
  <si>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</si>
  <si>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</si>
  <si>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</si>
  <si>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</si>
  <si>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</si>
  <si>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</si>
  <si>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</si>
  <si>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</si>
  <si>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</si>
  <si>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</si>
  <si>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</si>
  <si>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</si>
  <si>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</si>
  <si>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</si>
  <si>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</si>
  <si>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</si>
  <si>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</si>
  <si>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</si>
  <si>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</si>
  <si>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</si>
  <si>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</si>
  <si>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</si>
  <si>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</si>
  <si>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</si>
  <si>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</si>
  <si>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</si>
  <si>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</si>
  <si>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</si>
  <si>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</si>
  <si>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</si>
  <si>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</si>
  <si>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</si>
  <si>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</si>
  <si>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</si>
  <si>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</si>
  <si>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</si>
  <si>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</si>
  <si>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</si>
  <si>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</si>
  <si>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</si>
  <si>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</si>
  <si>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</si>
  <si>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</si>
  <si>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</si>
  <si>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</si>
  <si>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</si>
  <si>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</si>
  <si>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</si>
  <si>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</si>
  <si>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</si>
  <si>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</si>
  <si>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</si>
  <si>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</si>
  <si>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</si>
  <si>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</si>
  <si>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</si>
  <si>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</si>
  <si>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</si>
  <si>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</si>
  <si>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</si>
  <si>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</si>
  <si>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</si>
  <si>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</si>
  <si>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</si>
  <si>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</si>
  <si>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</si>
  <si>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</si>
  <si>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</si>
  <si>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</si>
  <si>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</si>
  <si>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</si>
  <si>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</si>
  <si>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</si>
  <si>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</si>
  <si>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</si>
  <si>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</si>
  <si>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</si>
  <si>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</si>
  <si>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</si>
  <si>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</si>
  <si>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</si>
  <si>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</si>
  <si>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</si>
  <si>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</si>
  <si>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</si>
  <si>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</si>
  <si>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</si>
  <si>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</si>
  <si>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</si>
  <si>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</si>
  <si>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</si>
  <si>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</si>
  <si>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</si>
  <si>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</si>
  <si>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</si>
  <si>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</si>
  <si>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</si>
  <si>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</si>
  <si>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</si>
  <si>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</si>
  <si>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</si>
  <si>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</si>
  <si>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</si>
  <si>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</si>
  <si>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</si>
  <si>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</si>
  <si>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</si>
  <si>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</si>
  <si>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</si>
  <si>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</si>
  <si>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</si>
  <si>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</si>
  <si>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</si>
  <si>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</si>
  <si>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</si>
  <si>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</si>
  <si>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</si>
  <si>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</si>
  <si>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</si>
  <si>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</si>
  <si>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</si>
  <si>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</si>
  <si>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</si>
  <si>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</si>
  <si>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</si>
  <si>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</si>
  <si>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</si>
  <si>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</si>
  <si>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</si>
  <si>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</si>
  <si>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</si>
  <si>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</si>
  <si>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</si>
  <si>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</si>
  <si>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</si>
  <si>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</si>
  <si>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</si>
  <si>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</si>
  <si>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</si>
  <si>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</si>
  <si>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</si>
  <si>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</si>
  <si>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</si>
  <si>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</si>
  <si>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</si>
  <si>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</si>
  <si>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</si>
  <si>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</si>
  <si>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</si>
  <si>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</si>
  <si>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</si>
  <si>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</si>
  <si>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</si>
  <si>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</si>
  <si>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</si>
  <si>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</si>
  <si>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</si>
  <si>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</si>
  <si>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</si>
  <si>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</si>
  <si>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</si>
  <si>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</si>
  <si>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</si>
  <si>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</si>
  <si>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</si>
  <si>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</si>
  <si>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</si>
  <si>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</si>
  <si>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</si>
  <si>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</si>
  <si>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</si>
  <si>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</si>
  <si>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</si>
  <si>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</si>
  <si>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</si>
  <si>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</si>
  <si>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</si>
  <si>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</si>
  <si>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</si>
  <si>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</si>
  <si>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</si>
  <si>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</si>
  <si>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</si>
  <si>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</si>
  <si>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</si>
  <si>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</si>
  <si>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</si>
  <si>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</si>
  <si>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</si>
  <si>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</si>
  <si>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</si>
  <si>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</si>
  <si>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</si>
  <si>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</si>
  <si>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</si>
  <si>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</si>
  <si>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</si>
  <si>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</si>
  <si>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</si>
  <si>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</si>
  <si>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</si>
  <si>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</si>
  <si>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</si>
  <si>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</si>
  <si>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</si>
  <si>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</si>
  <si>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</si>
  <si>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</si>
  <si>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</si>
  <si>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</si>
  <si>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</si>
  <si>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</si>
  <si>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</si>
  <si>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</si>
  <si>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</si>
  <si>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</si>
  <si>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</si>
  <si>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</si>
  <si>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</si>
  <si>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</si>
  <si>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</si>
  <si>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</si>
  <si>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</si>
  <si>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</si>
  <si>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</si>
  <si>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</si>
  <si>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</si>
  <si>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</si>
  <si>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</si>
  <si>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</si>
  <si>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</si>
  <si>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</si>
  <si>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</si>
  <si>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</si>
  <si>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</si>
  <si>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</si>
  <si>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</si>
  <si>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</si>
  <si>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</si>
  <si>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</si>
  <si>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</si>
  <si>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</si>
  <si>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</si>
  <si>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</si>
  <si>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</si>
  <si>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</si>
  <si>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</si>
  <si>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</si>
  <si>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</si>
  <si>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</si>
  <si>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</si>
  <si>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</si>
  <si>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</si>
  <si>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</si>
  <si>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</si>
  <si>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</si>
  <si>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</si>
  <si>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</si>
  <si>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</si>
  <si>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</si>
  <si>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</si>
  <si>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</si>
  <si>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</si>
  <si>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</si>
  <si>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</si>
  <si>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</si>
  <si>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</si>
  <si>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</si>
  <si>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</si>
  <si>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</si>
  <si>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</si>
  <si>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</si>
  <si>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</si>
  <si>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</si>
  <si>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</si>
  <si>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</si>
  <si>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</si>
  <si>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</si>
  <si>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</si>
  <si>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</si>
  <si>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</si>
  <si>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</si>
  <si>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</si>
  <si>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</si>
  <si>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</si>
  <si>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</si>
  <si>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</si>
  <si>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</si>
  <si>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</si>
  <si>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</si>
  <si>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</si>
  <si>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</si>
  <si>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</si>
  <si>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</si>
  <si>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</si>
  <si>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</si>
  <si>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</si>
  <si>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</si>
  <si>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</si>
  <si>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</si>
  <si>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</si>
  <si>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</si>
  <si>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</si>
  <si>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</si>
  <si>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</si>
  <si>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</si>
  <si>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</si>
  <si>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</si>
  <si>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</si>
  <si>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</si>
  <si>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</si>
  <si>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</si>
  <si>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</si>
  <si>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</si>
  <si>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</si>
  <si>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</si>
  <si>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</si>
  <si>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</si>
  <si>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</si>
  <si>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</si>
  <si>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</si>
  <si>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</si>
  <si>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</si>
  <si>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</si>
  <si>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</si>
  <si>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</si>
  <si>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</si>
  <si>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</si>
  <si>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</si>
  <si>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</si>
  <si>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</si>
  <si>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</si>
  <si>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</si>
  <si>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</si>
  <si>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</si>
  <si>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</si>
  <si>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</si>
  <si>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</si>
  <si>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</si>
  <si>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</si>
  <si>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</si>
  <si>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</si>
  <si>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</si>
  <si>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</si>
  <si>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</si>
  <si>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</si>
  <si>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</si>
  <si>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</si>
  <si>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</si>
  <si>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</si>
  <si>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</si>
  <si>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</si>
  <si>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</si>
  <si>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</si>
  <si>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</si>
  <si>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</si>
  <si>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</si>
  <si>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</si>
  <si>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</si>
  <si>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</si>
  <si>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</si>
  <si>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</si>
  <si>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</si>
  <si>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</si>
  <si>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</si>
  <si>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</si>
  <si>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</si>
  <si>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</si>
  <si>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</si>
  <si>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</si>
  <si>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</si>
  <si>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</si>
  <si>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</si>
  <si>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</si>
  <si>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</si>
  <si>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</si>
  <si>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</si>
  <si>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</si>
  <si>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</si>
  <si>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</si>
  <si>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</si>
  <si>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</si>
  <si>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</si>
  <si>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</si>
  <si>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</si>
  <si>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</si>
  <si>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</si>
  <si>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</si>
  <si>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</si>
  <si>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</si>
  <si>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</si>
  <si>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</si>
  <si>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</si>
  <si>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</si>
  <si>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</si>
  <si>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</si>
  <si>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</si>
  <si>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</si>
  <si>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</si>
  <si>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</si>
  <si>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</si>
  <si>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</si>
  <si>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</si>
  <si>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</si>
  <si>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</si>
  <si>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</si>
  <si>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</si>
  <si>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</si>
  <si>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</si>
  <si>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</si>
  <si>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</si>
  <si>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</si>
  <si>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</si>
  <si>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</si>
  <si>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</si>
  <si>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</si>
  <si>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</si>
  <si>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</si>
  <si>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</si>
  <si>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</si>
  <si>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</si>
  <si>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</si>
  <si>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</si>
  <si>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</si>
  <si>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</si>
  <si>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</si>
  <si>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</si>
  <si>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</si>
  <si>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</si>
  <si>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</si>
  <si>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</si>
  <si>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</si>
  <si>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</si>
  <si>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</si>
  <si>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</si>
  <si>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</si>
  <si>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</si>
  <si>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</si>
  <si>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</si>
  <si>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</si>
  <si>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</si>
  <si>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</si>
  <si>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</si>
  <si>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</si>
  <si>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</si>
  <si>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</si>
  <si>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</si>
  <si>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</si>
  <si>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</si>
  <si>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</si>
  <si>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</si>
  <si>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</si>
  <si>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</si>
  <si>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</si>
  <si>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</si>
  <si>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</si>
  <si>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</si>
  <si>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</si>
  <si>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</si>
  <si>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</si>
  <si>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</si>
  <si>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</si>
  <si>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</si>
  <si>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</si>
  <si>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</si>
  <si>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</si>
  <si>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</si>
  <si>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</si>
  <si>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</si>
  <si>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</si>
  <si>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</si>
  <si>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</si>
  <si>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</si>
  <si>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</si>
  <si>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</si>
  <si>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</si>
  <si>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</si>
  <si>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</si>
  <si>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</si>
  <si>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</si>
  <si>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</si>
  <si>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</si>
  <si>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</si>
  <si>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</si>
  <si>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</si>
  <si>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</si>
  <si>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</si>
  <si>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</si>
  <si>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</si>
  <si>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</si>
  <si>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</si>
  <si>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</si>
  <si>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</si>
  <si>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</si>
  <si>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</si>
  <si>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</si>
  <si>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</si>
  <si>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</si>
  <si>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</si>
  <si>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</si>
  <si>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</si>
  <si>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</si>
  <si>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</si>
  <si>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</si>
  <si>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</si>
  <si>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</si>
  <si>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</si>
  <si>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</si>
  <si>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</si>
  <si>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</si>
  <si>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</si>
  <si>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</si>
  <si>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</si>
  <si>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</si>
  <si>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</si>
  <si>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</si>
  <si>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</si>
  <si>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</si>
  <si>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</si>
  <si>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</si>
  <si>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</si>
  <si>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</si>
  <si>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</si>
  <si>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</si>
  <si>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</si>
  <si>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</si>
  <si>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</si>
  <si>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</si>
  <si>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</si>
  <si>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</si>
  <si>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</si>
  <si>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</si>
  <si>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</si>
  <si>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</si>
  <si>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</si>
  <si>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</si>
  <si>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</si>
  <si>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</si>
  <si>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</si>
  <si>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</si>
  <si>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</si>
  <si>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</si>
  <si>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</si>
  <si>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</si>
  <si>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</si>
  <si>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</si>
  <si>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</si>
  <si>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</si>
  <si>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</si>
  <si>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</si>
  <si>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</si>
  <si>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</si>
  <si>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</si>
  <si>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</si>
  <si>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</si>
  <si>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</si>
  <si>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</si>
  <si>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</si>
  <si>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</si>
  <si>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</si>
  <si>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</si>
  <si>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</si>
  <si>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</si>
  <si>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</si>
  <si>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</si>
  <si>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</si>
  <si>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</si>
  <si>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</si>
  <si>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</si>
  <si>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</si>
  <si>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</si>
  <si>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</si>
  <si>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</si>
  <si>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</si>
  <si>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</si>
  <si>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</si>
  <si>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</si>
  <si>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</si>
  <si>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</si>
  <si>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</si>
  <si>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</si>
  <si>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</si>
  <si>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</si>
  <si>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</si>
  <si>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</si>
  <si>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</si>
  <si>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</si>
  <si>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</si>
  <si>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</si>
  <si>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</si>
  <si>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</si>
  <si>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</si>
  <si>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</si>
  <si>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</si>
  <si>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</si>
  <si>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</si>
  <si>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</si>
  <si>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</si>
  <si>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</si>
  <si>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</si>
  <si>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</si>
  <si>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</si>
  <si>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</si>
  <si>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</si>
  <si>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</si>
  <si>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</si>
  <si>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</si>
  <si>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</si>
  <si>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</si>
  <si>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</si>
  <si>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</si>
  <si>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</si>
  <si>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</si>
  <si>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</si>
  <si>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</si>
  <si>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</si>
  <si>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</si>
  <si>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</si>
  <si>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</si>
  <si>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</si>
  <si>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</si>
  <si>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</si>
  <si>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</si>
  <si>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</si>
  <si>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</si>
  <si>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</si>
  <si>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</si>
  <si>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</si>
  <si>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</si>
  <si>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</si>
  <si>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</si>
  <si>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</si>
  <si>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</si>
  <si>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</si>
  <si>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</si>
  <si>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</si>
  <si>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</si>
  <si>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</si>
  <si>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</si>
  <si>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</si>
  <si>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</si>
  <si>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</si>
  <si>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</si>
  <si>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</si>
  <si>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</si>
  <si>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</si>
  <si>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</si>
  <si>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</si>
  <si>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</si>
  <si>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</si>
  <si>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</si>
  <si>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</si>
  <si>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</si>
  <si>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</si>
  <si>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</si>
  <si>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</si>
  <si>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</si>
  <si>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</si>
  <si>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</si>
  <si>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</si>
  <si>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</si>
  <si>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</si>
  <si>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</si>
  <si>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</si>
  <si>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</si>
  <si>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</si>
  <si>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</si>
  <si>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</si>
  <si>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</si>
  <si>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</si>
  <si>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</si>
  <si>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</si>
  <si>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</si>
  <si>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</si>
  <si>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</si>
  <si>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</si>
  <si>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</si>
  <si>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</si>
  <si>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</si>
  <si>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</si>
  <si>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</si>
  <si>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</si>
  <si>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</si>
  <si>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</si>
  <si>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</si>
  <si>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</si>
  <si>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</si>
  <si>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</si>
  <si>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</si>
  <si>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</si>
  <si>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</si>
  <si>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</si>
  <si>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</si>
  <si>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</si>
  <si>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</si>
  <si>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</si>
  <si>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</si>
  <si>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</si>
  <si>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</si>
  <si>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</si>
  <si>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</si>
  <si>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</si>
  <si>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</si>
  <si>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</si>
  <si>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</si>
  <si>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</si>
  <si>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</si>
  <si>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</si>
  <si>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</si>
  <si>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</si>
  <si>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</si>
  <si>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</si>
  <si>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</si>
  <si>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</si>
  <si>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</si>
  <si>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</si>
  <si>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</si>
  <si>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</si>
  <si>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</si>
  <si>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</si>
  <si>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</si>
  <si>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</si>
  <si>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</si>
  <si>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</si>
  <si>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</si>
  <si>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</si>
  <si>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</si>
  <si>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</si>
  <si>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</si>
  <si>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</si>
  <si>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</si>
  <si>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</si>
  <si>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</si>
  <si>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</si>
  <si>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</si>
  <si>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</si>
  <si>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</si>
  <si>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</si>
  <si>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</si>
  <si>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</si>
  <si>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</si>
  <si>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</si>
  <si>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</si>
  <si>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</si>
  <si>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</si>
  <si>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</si>
  <si>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</si>
  <si>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</si>
  <si>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</si>
  <si>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</si>
  <si>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</si>
  <si>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</si>
  <si>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</si>
  <si>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</si>
  <si>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</si>
  <si>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</si>
  <si>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</si>
  <si>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</si>
  <si>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</si>
  <si>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</si>
  <si>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</si>
  <si>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</si>
  <si>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</si>
  <si>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</si>
  <si>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</si>
  <si>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</si>
  <si>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</si>
  <si>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</si>
  <si>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</si>
  <si>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</si>
  <si>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</si>
  <si>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</si>
  <si>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</si>
  <si>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</si>
  <si>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</si>
  <si>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</si>
  <si>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</si>
  <si>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</si>
  <si>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</si>
  <si>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</si>
  <si>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</si>
  <si>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</si>
  <si>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</si>
  <si>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</si>
  <si>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</si>
  <si>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</si>
  <si>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</si>
  <si>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</si>
  <si>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</si>
  <si>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</si>
  <si>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</si>
  <si>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</si>
  <si>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</si>
  <si>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</si>
  <si>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</si>
  <si>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</si>
  <si>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</si>
  <si>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</si>
  <si>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</si>
  <si>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</si>
  <si>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</si>
  <si>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</si>
  <si>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</si>
  <si>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</si>
  <si>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</si>
  <si>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</si>
  <si>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</si>
  <si>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</si>
  <si>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</si>
  <si>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</si>
  <si>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</si>
  <si>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</si>
  <si>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</si>
  <si>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</si>
  <si>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</si>
  <si>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</si>
  <si>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</si>
  <si>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</si>
  <si>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</si>
  <si>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</si>
  <si>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</si>
  <si>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</si>
  <si>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</si>
  <si>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</si>
  <si>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</si>
  <si>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</si>
  <si>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</si>
  <si>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</si>
  <si>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</si>
  <si>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</si>
  <si>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</si>
  <si>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</si>
  <si>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</si>
  <si>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</si>
  <si>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</si>
  <si>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</si>
  <si>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</si>
  <si>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</si>
  <si>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</si>
  <si>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</si>
  <si>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</si>
  <si>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</si>
  <si>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</si>
  <si>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</si>
  <si>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</si>
  <si>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</si>
  <si>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</si>
  <si>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</si>
  <si>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</si>
  <si>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</si>
  <si>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</si>
  <si>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</si>
  <si>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</si>
  <si>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</si>
  <si>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</si>
  <si>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</si>
  <si>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</si>
  <si>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</si>
  <si>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</si>
  <si>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</si>
  <si>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</si>
  <si>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</si>
  <si>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</si>
  <si>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</si>
  <si>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</si>
  <si>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</si>
  <si>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</si>
  <si>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</si>
  <si>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</si>
  <si>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</si>
  <si>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</si>
  <si>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</si>
  <si>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</si>
  <si>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</si>
  <si>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</si>
  <si>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</si>
  <si>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</si>
  <si>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</si>
  <si>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</si>
  <si>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</si>
  <si>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</si>
  <si>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</si>
  <si>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</si>
  <si>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</si>
  <si>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</si>
  <si>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</si>
  <si>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</si>
  <si>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</si>
  <si>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</si>
  <si>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</si>
  <si>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</si>
  <si>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</si>
  <si>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</si>
  <si>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</si>
  <si>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</si>
  <si>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</si>
  <si>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</si>
  <si>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</si>
  <si>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</si>
  <si>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</si>
  <si>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</si>
  <si>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</si>
  <si>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</si>
  <si>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</si>
  <si>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</si>
  <si>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</si>
  <si>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</si>
  <si>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</si>
  <si>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</si>
  <si>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</si>
  <si>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</si>
  <si>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</si>
  <si>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</si>
  <si>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</si>
  <si>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</si>
  <si>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</si>
  <si>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</si>
  <si>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</si>
  <si>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</si>
  <si>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</si>
  <si>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</si>
  <si>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</si>
  <si>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</si>
  <si>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</si>
  <si>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</si>
  <si>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</si>
  <si>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</si>
  <si>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</si>
  <si>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</si>
  <si>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</si>
  <si>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</si>
  <si>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</si>
  <si>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</si>
  <si>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</si>
  <si>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</si>
  <si>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</si>
  <si>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</si>
  <si>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</si>
  <si>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</si>
  <si>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</si>
  <si>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</si>
  <si>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</si>
  <si>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</si>
  <si>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</si>
  <si>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</si>
  <si>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</si>
  <si>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</si>
  <si>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</si>
  <si>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</si>
  <si>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</si>
  <si>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</si>
  <si>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</si>
  <si>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</si>
  <si>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</si>
  <si>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</si>
  <si>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</si>
  <si>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</si>
  <si>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</si>
  <si>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</si>
  <si>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</si>
  <si>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</si>
  <si>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</si>
  <si>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</si>
  <si>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</si>
  <si>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</si>
  <si>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</si>
  <si>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</si>
  <si>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</si>
  <si>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</si>
  <si>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</si>
  <si>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</si>
  <si>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</si>
  <si>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</si>
  <si>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</si>
  <si>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</si>
  <si>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</si>
  <si>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</si>
  <si>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</si>
  <si>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</si>
  <si>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</si>
  <si>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</si>
  <si>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</si>
  <si>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</si>
  <si>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</si>
  <si>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</si>
  <si>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</si>
  <si>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</si>
  <si>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</si>
  <si>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</si>
  <si>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</si>
  <si>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</si>
  <si>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</si>
  <si>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</si>
  <si>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</si>
  <si>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</si>
  <si>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</si>
  <si>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</si>
  <si>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</si>
  <si>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</si>
  <si>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</si>
  <si>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</si>
  <si>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</si>
  <si>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</si>
  <si>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</si>
  <si>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</si>
  <si>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</si>
  <si>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</si>
  <si>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</si>
  <si>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</si>
  <si>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</si>
  <si>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</si>
  <si>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</si>
  <si>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</si>
  <si>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</si>
  <si>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</si>
  <si>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</si>
  <si>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</si>
  <si>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</si>
  <si>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</si>
  <si>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</si>
  <si>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</si>
  <si>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</si>
  <si>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</si>
  <si>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</si>
  <si>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</si>
  <si>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</si>
  <si>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</si>
  <si>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</si>
  <si>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</si>
  <si>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</si>
  <si>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</si>
  <si>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</si>
  <si>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</si>
  <si>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</si>
  <si>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</si>
  <si>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</si>
  <si>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</si>
  <si>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</si>
  <si>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</si>
  <si>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</si>
  <si>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</si>
  <si>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</si>
  <si>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</si>
  <si>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</si>
  <si>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</si>
  <si>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</si>
  <si>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</si>
  <si>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</si>
  <si>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</si>
  <si>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</si>
  <si>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</si>
  <si>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</si>
  <si>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</si>
  <si>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</si>
  <si>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</si>
  <si>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</si>
  <si>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</si>
  <si>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</si>
  <si>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</si>
  <si>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</si>
  <si>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</si>
  <si>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</si>
  <si>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</si>
  <si>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</si>
  <si>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</si>
  <si>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</si>
  <si>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</si>
  <si>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</si>
  <si>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</si>
  <si>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</si>
  <si>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</si>
  <si>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</si>
  <si>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</si>
  <si>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</si>
  <si>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</si>
  <si>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</si>
  <si>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</si>
  <si>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</si>
  <si>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</si>
  <si>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</si>
  <si>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</si>
  <si>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</si>
  <si>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</si>
  <si>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</si>
  <si>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</si>
  <si>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</si>
  <si>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</si>
  <si>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</si>
  <si>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</si>
  <si>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</si>
  <si>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</si>
  <si>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</si>
  <si>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</si>
  <si>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</si>
  <si>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</si>
  <si>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</si>
  <si>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</si>
  <si>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</si>
  <si>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</si>
  <si>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</si>
  <si>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</si>
  <si>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</si>
  <si>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</si>
  <si>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</si>
  <si>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</si>
  <si>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</si>
  <si>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</si>
  <si>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</si>
  <si>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</si>
  <si>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</si>
  <si>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</si>
  <si>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</si>
  <si>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</si>
  <si>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</si>
  <si>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</si>
  <si>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</si>
  <si>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</si>
  <si>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</si>
  <si>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</si>
  <si>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</si>
  <si>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</si>
  <si>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</si>
  <si>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</si>
  <si>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</si>
  <si>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</si>
  <si>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</si>
  <si>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</si>
  <si>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</si>
  <si>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</si>
  <si>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</si>
  <si>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</si>
  <si>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</si>
  <si>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</si>
  <si>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</si>
  <si>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</si>
  <si>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</si>
  <si>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</si>
  <si>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</si>
  <si>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</si>
  <si>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</si>
  <si>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</si>
  <si>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</si>
  <si>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</si>
  <si>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</si>
  <si>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</si>
  <si>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</si>
  <si>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</si>
  <si>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</si>
  <si>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</si>
  <si>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</si>
  <si>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</si>
  <si>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</si>
  <si>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</si>
  <si>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</si>
  <si>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</si>
  <si>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</si>
  <si>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</si>
  <si>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</si>
  <si>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</si>
  <si>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</si>
  <si>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</si>
  <si>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</si>
  <si>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</si>
  <si>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</si>
  <si>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</si>
  <si>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</si>
  <si>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</si>
  <si>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</si>
  <si>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</si>
  <si>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</si>
  <si>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</si>
  <si>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</si>
  <si>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</si>
  <si>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</si>
  <si>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</si>
  <si>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</si>
  <si>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</si>
  <si>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</si>
  <si>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</si>
  <si>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</si>
  <si>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</si>
  <si>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</si>
  <si>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</si>
  <si>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</si>
  <si>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</si>
  <si>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</si>
  <si>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</si>
  <si>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</si>
  <si>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</si>
  <si>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</si>
  <si>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</si>
  <si>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</si>
  <si>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</si>
  <si>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</si>
  <si>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</si>
  <si>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</si>
  <si>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</si>
  <si>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</si>
  <si>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</si>
  <si>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</si>
  <si>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</si>
  <si>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</si>
  <si>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</si>
  <si>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</si>
  <si>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</si>
  <si>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</si>
  <si>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</si>
  <si>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</si>
  <si>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</si>
  <si>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</si>
  <si>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</si>
  <si>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</si>
  <si>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</si>
  <si>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</si>
  <si>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</si>
  <si>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</si>
  <si>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</si>
  <si>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</si>
  <si>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</si>
  <si>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</si>
  <si>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</si>
  <si>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</si>
  <si>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</si>
  <si>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</si>
  <si>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</si>
  <si>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</si>
  <si>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</si>
  <si>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</si>
  <si>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</si>
  <si>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</si>
  <si>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</si>
  <si>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</si>
  <si>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</si>
  <si>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</si>
  <si>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</si>
  <si>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</si>
  <si>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</si>
  <si>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</si>
  <si>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</si>
  <si>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</si>
  <si>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</si>
  <si>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</si>
  <si>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</si>
  <si>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</si>
  <si>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</si>
  <si>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</si>
  <si>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</si>
  <si>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</si>
  <si>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</si>
  <si>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</si>
  <si>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</si>
  <si>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</si>
  <si>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</si>
  <si>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</si>
  <si>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</si>
  <si>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</si>
  <si>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</si>
  <si>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</si>
  <si>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</si>
  <si>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</si>
  <si>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</si>
  <si>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</si>
  <si>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</si>
  <si>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</si>
  <si>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</si>
  <si>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</si>
  <si>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</si>
  <si>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</si>
  <si>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</si>
  <si>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</si>
  <si>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</si>
  <si>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</si>
  <si>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</si>
  <si>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</si>
  <si>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</si>
  <si>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</si>
  <si>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</si>
  <si>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</si>
  <si>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</si>
  <si>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</si>
  <si>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</si>
  <si>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</si>
  <si>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</si>
  <si>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</si>
  <si>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</si>
  <si>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</si>
  <si>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</si>
  <si>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</si>
  <si>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</si>
  <si>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</si>
  <si>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</si>
  <si>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</si>
  <si>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</si>
  <si>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</si>
  <si>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</si>
  <si>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</si>
  <si>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</si>
  <si>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</si>
  <si>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</si>
  <si>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</si>
  <si>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</si>
  <si>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</si>
  <si>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</si>
  <si>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</si>
  <si>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</si>
  <si>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</si>
  <si>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</si>
  <si>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</si>
  <si>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</si>
  <si>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</si>
  <si>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</si>
  <si>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</si>
  <si>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</si>
  <si>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</si>
  <si>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</si>
  <si>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</si>
  <si>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</si>
  <si>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</si>
  <si>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</si>
  <si>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</si>
  <si>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</si>
  <si>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</si>
  <si>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</si>
  <si>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</si>
  <si>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</si>
  <si>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</si>
  <si>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</si>
  <si>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</si>
  <si>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</si>
  <si>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</si>
  <si>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</si>
  <si>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</si>
  <si>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</si>
  <si>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</si>
  <si>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</si>
  <si>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</si>
  <si>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</si>
  <si>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</si>
  <si>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</si>
  <si>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</si>
  <si>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</si>
  <si>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</si>
  <si>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</si>
  <si>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</si>
  <si>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</si>
  <si>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</si>
  <si>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</si>
  <si>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</si>
  <si>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</si>
  <si>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</si>
  <si>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</si>
  <si>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</si>
  <si>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</si>
  <si>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</si>
  <si>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</si>
  <si>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</si>
  <si>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</si>
  <si>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</si>
  <si>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</si>
  <si>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</si>
  <si>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</si>
  <si>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</si>
  <si>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</si>
  <si>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</si>
  <si>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</si>
  <si>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</si>
  <si>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</si>
  <si>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</si>
  <si>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</si>
  <si>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</si>
  <si>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</si>
  <si>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</si>
  <si>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</si>
  <si>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</si>
  <si>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</si>
  <si>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</si>
  <si>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</si>
  <si>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</si>
  <si>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</si>
  <si>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</si>
  <si>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</si>
  <si>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</si>
  <si>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</si>
  <si>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</si>
  <si>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</si>
  <si>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</si>
  <si>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</si>
  <si>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</si>
  <si>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</si>
  <si>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</si>
  <si>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</si>
  <si>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</si>
  <si>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</si>
  <si>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</si>
  <si>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</si>
  <si>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</si>
  <si>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</si>
  <si>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</si>
  <si>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</si>
  <si>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</si>
  <si>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</si>
  <si>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</si>
  <si>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</si>
  <si>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</si>
  <si>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</si>
  <si>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</si>
  <si>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</si>
  <si>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</si>
  <si>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</si>
  <si>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</si>
  <si>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</si>
  <si>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</si>
  <si>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</si>
  <si>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</si>
  <si>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</si>
  <si>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</si>
  <si>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</si>
  <si>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</si>
  <si>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</si>
  <si>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</si>
  <si>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</si>
  <si>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</si>
  <si>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</si>
  <si>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</si>
  <si>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</si>
  <si>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</si>
  <si>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</si>
  <si>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</si>
  <si>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</si>
  <si>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</si>
  <si>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</si>
  <si>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</si>
  <si>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</si>
  <si>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</si>
  <si>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</si>
  <si>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</si>
  <si>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</si>
  <si>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</si>
  <si>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</si>
  <si>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</si>
  <si>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</si>
  <si>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</si>
  <si>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</si>
  <si>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</si>
  <si>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</si>
  <si>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</si>
  <si>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</si>
  <si>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</si>
  <si>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</si>
  <si>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</si>
  <si>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</si>
  <si>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</si>
  <si>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</si>
  <si>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</si>
  <si>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</si>
  <si>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</si>
  <si>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</si>
  <si>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</si>
  <si>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</si>
  <si>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</si>
  <si>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</si>
  <si>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</si>
  <si>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</si>
  <si>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</si>
  <si>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</si>
  <si>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</si>
  <si>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</si>
  <si>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</si>
  <si>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</si>
  <si>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</si>
  <si>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</si>
  <si>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</si>
  <si>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</si>
  <si>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</si>
  <si>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</si>
  <si>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</si>
  <si>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</si>
  <si>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</si>
  <si>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</si>
  <si>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</si>
  <si>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</si>
  <si>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</si>
  <si>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</si>
  <si>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</si>
  <si>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</si>
  <si>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</si>
  <si>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</si>
  <si>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</si>
  <si>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</si>
  <si>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</si>
  <si>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</si>
  <si>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</si>
  <si>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</si>
  <si>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</si>
  <si>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</si>
  <si>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</si>
  <si>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</si>
  <si>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</si>
  <si>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</si>
  <si>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</si>
  <si>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</si>
  <si>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</si>
  <si>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</si>
  <si>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</si>
  <si>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</si>
  <si>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</si>
  <si>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</si>
  <si>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</si>
  <si>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</si>
  <si>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</si>
  <si>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</si>
  <si>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</si>
  <si>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</si>
  <si>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</si>
  <si>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</si>
  <si>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</si>
  <si>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</si>
  <si>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</si>
  <si>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</si>
  <si>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</si>
  <si>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</si>
  <si>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</si>
  <si>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</si>
  <si>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</si>
  <si>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</si>
  <si>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</si>
  <si>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</si>
  <si>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</si>
  <si>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</si>
  <si>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</si>
  <si>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</si>
  <si>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</si>
  <si>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</si>
  <si>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</si>
  <si>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</si>
  <si>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</si>
  <si>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</si>
  <si>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</si>
  <si>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</si>
  <si>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</si>
  <si>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</si>
  <si>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</si>
  <si>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</si>
  <si>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</si>
  <si>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</si>
  <si>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</si>
  <si>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</si>
  <si>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</si>
  <si>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</si>
  <si>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</si>
  <si>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</si>
  <si>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</si>
  <si>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</si>
  <si>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</si>
  <si>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</si>
  <si>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</si>
  <si>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</si>
  <si>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</si>
  <si>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</si>
  <si>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</si>
  <si>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</si>
  <si>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</si>
  <si>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</si>
  <si>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</si>
  <si>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</si>
  <si>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</si>
  <si>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</si>
  <si>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</si>
  <si>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</si>
  <si>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</si>
  <si>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</si>
  <si>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</si>
  <si>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</si>
  <si>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</si>
  <si>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</si>
  <si>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</si>
  <si>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</si>
  <si>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</si>
  <si>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</si>
  <si>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</si>
  <si>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</si>
  <si>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</si>
  <si>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</si>
  <si>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</si>
  <si>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</si>
  <si>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</si>
  <si>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</si>
  <si>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</si>
  <si>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</si>
  <si>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</si>
  <si>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</si>
  <si>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</si>
  <si>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</si>
  <si>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</si>
  <si>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</si>
  <si>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</si>
  <si>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</si>
  <si>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</si>
  <si>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</si>
  <si>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</si>
  <si>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</si>
  <si>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</si>
  <si>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</si>
  <si>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</si>
  <si>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</si>
  <si>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</si>
  <si>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</si>
  <si>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</si>
  <si>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</si>
  <si>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</si>
  <si>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</si>
  <si>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</si>
  <si>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</si>
  <si>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</si>
  <si>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</si>
  <si>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</si>
  <si>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</si>
  <si>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</si>
  <si>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</si>
  <si>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</si>
  <si>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</si>
  <si>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</si>
  <si>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</si>
  <si>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</si>
  <si>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</si>
  <si>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</si>
  <si>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</si>
  <si>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</si>
  <si>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</si>
  <si>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</si>
  <si>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</si>
  <si>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</si>
  <si>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</si>
  <si>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</si>
  <si>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</si>
  <si>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</si>
  <si>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</si>
  <si>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</si>
  <si>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</si>
  <si>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</si>
  <si>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</si>
  <si>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</si>
  <si>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</si>
  <si>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</si>
  <si>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</si>
  <si>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</si>
  <si>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</si>
  <si>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</si>
  <si>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</si>
  <si>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</si>
  <si>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</si>
  <si>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</si>
  <si>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</si>
  <si>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</si>
  <si>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</si>
  <si>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</si>
  <si>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</si>
  <si>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</si>
  <si>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</si>
  <si>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</si>
  <si>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</si>
  <si>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</si>
  <si>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</si>
  <si>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</si>
  <si>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</si>
  <si>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</si>
  <si>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</si>
  <si>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</si>
  <si>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</si>
  <si>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</si>
  <si>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</si>
  <si>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</si>
  <si>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</si>
  <si>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</si>
  <si>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</si>
  <si>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</si>
  <si>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</si>
  <si>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</si>
  <si>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</si>
  <si>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</si>
  <si>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</si>
  <si>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</si>
  <si>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</si>
  <si>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</si>
  <si>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</si>
  <si>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</si>
  <si>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</si>
  <si>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</si>
  <si>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</si>
  <si>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</si>
  <si>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</si>
  <si>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</si>
  <si>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</si>
  <si>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</si>
  <si>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</si>
  <si>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</si>
  <si>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</si>
  <si>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</si>
  <si>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</si>
  <si>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</si>
  <si>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</si>
  <si>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</si>
  <si>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</si>
  <si>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</si>
  <si>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</si>
  <si>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</si>
  <si>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</si>
  <si>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</si>
  <si>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</si>
  <si>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</si>
  <si>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</si>
  <si>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</si>
  <si>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</si>
  <si>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</si>
  <si>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</si>
  <si>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</si>
  <si>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</si>
  <si>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</si>
  <si>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</si>
  <si>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</si>
  <si>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</si>
  <si>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</si>
  <si>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</si>
  <si>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</si>
  <si>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</si>
  <si>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</si>
  <si>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</si>
  <si>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</si>
  <si>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</si>
  <si>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</si>
  <si>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</si>
  <si>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</si>
  <si>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</si>
  <si>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</si>
  <si>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</si>
  <si>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</si>
  <si>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</si>
  <si>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</si>
  <si>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</si>
  <si>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</si>
  <si>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</si>
  <si>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</si>
  <si>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</si>
  <si>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</si>
  <si>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</si>
  <si>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</si>
  <si>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</si>
  <si>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</si>
  <si>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</si>
  <si>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</si>
  <si>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</si>
  <si>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</si>
  <si>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</si>
  <si>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</si>
  <si>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</si>
  <si>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</si>
  <si>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</si>
  <si>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</si>
  <si>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</si>
  <si>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</si>
  <si>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</si>
  <si>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</si>
  <si>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</si>
  <si>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</si>
  <si>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</si>
  <si>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</si>
  <si>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</si>
  <si>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</si>
  <si>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</si>
  <si>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</si>
  <si>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</si>
  <si>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</si>
  <si>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</si>
  <si>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</si>
  <si>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</si>
  <si>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</si>
  <si>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</si>
  <si>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</si>
  <si>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</si>
  <si>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</si>
  <si>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</si>
  <si>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</si>
  <si>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</si>
  <si>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</si>
  <si>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</si>
  <si>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</si>
  <si>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</si>
  <si>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</si>
  <si>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</si>
  <si>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</si>
  <si>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</si>
  <si>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</si>
  <si>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</si>
  <si>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</si>
  <si>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</si>
  <si>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</si>
  <si>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</si>
  <si>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</si>
  <si>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</si>
  <si>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</si>
  <si>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</si>
  <si>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</si>
  <si>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</si>
  <si>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</si>
  <si>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</si>
  <si>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</si>
  <si>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</si>
  <si>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</si>
  <si>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</si>
  <si>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</si>
  <si>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</si>
  <si>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</si>
  <si>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</si>
  <si>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</si>
  <si>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</si>
  <si>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</si>
  <si>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</si>
  <si>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</si>
  <si>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</si>
  <si>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</si>
  <si>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</si>
  <si>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</si>
  <si>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</si>
  <si>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</si>
  <si>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</si>
  <si>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</si>
  <si>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</si>
  <si>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</si>
  <si>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</si>
  <si>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</si>
  <si>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</si>
  <si>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</si>
  <si>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</si>
  <si>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</si>
  <si>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</si>
  <si>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</si>
  <si>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</si>
  <si>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</si>
  <si>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</si>
  <si>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</si>
  <si>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</si>
  <si>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</si>
  <si>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</si>
  <si>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</si>
  <si>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</si>
  <si>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</si>
  <si>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</si>
  <si>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</si>
  <si>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</si>
  <si>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</si>
  <si>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</si>
  <si>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</si>
  <si>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</si>
  <si>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</si>
  <si>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</si>
  <si>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</si>
  <si>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</si>
  <si>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</si>
  <si>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</si>
  <si>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</si>
  <si>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</si>
  <si>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</si>
  <si>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</si>
  <si>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</si>
  <si>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</si>
  <si>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</si>
  <si>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</si>
  <si>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</si>
  <si>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</si>
  <si>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</si>
  <si>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</si>
  <si>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</si>
  <si>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</si>
  <si>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</si>
  <si>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</si>
  <si>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</si>
  <si>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</si>
  <si>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</si>
  <si>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</si>
  <si>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</si>
  <si>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</si>
  <si>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</si>
  <si>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</si>
  <si>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</si>
  <si>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</si>
  <si>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</si>
  <si>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</si>
  <si>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</si>
  <si>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</si>
  <si>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</si>
  <si>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</si>
  <si>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</si>
  <si>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</si>
  <si>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</si>
  <si>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</si>
  <si>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</si>
  <si>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</si>
  <si>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</si>
  <si>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</si>
  <si>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</si>
  <si>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</si>
  <si>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</si>
  <si>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</si>
  <si>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</si>
  <si>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</si>
  <si>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</si>
  <si>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</si>
  <si>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</si>
  <si>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</si>
  <si>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</si>
  <si>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</si>
  <si>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</si>
  <si>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</si>
  <si>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</si>
  <si>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</si>
  <si>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</si>
  <si>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</si>
  <si>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</si>
  <si>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</si>
  <si>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</si>
  <si>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</si>
  <si>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</si>
  <si>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</si>
  <si>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</si>
  <si>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</si>
  <si>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</si>
  <si>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</si>
  <si>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</si>
  <si>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</si>
  <si>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</si>
  <si>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</si>
  <si>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</si>
  <si>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</si>
  <si>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</si>
  <si>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</si>
  <si>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</si>
  <si>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</si>
  <si>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</si>
  <si>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</si>
  <si>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</si>
  <si>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</si>
  <si>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</si>
  <si>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</si>
  <si>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</si>
  <si>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</si>
  <si>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</si>
  <si>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</si>
  <si>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</si>
  <si>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</si>
  <si>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</si>
  <si>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</si>
  <si>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</si>
  <si>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</si>
  <si>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</si>
  <si>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</si>
  <si>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</si>
  <si>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</si>
  <si>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</si>
  <si>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</si>
  <si>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</si>
  <si>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</si>
  <si>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</si>
  <si>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</si>
  <si>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</si>
  <si>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</si>
  <si>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</si>
  <si>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</si>
  <si>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</si>
  <si>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</si>
  <si>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</si>
  <si>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</si>
  <si>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</si>
  <si>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</si>
  <si>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</si>
  <si>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</si>
  <si>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</si>
  <si>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</si>
  <si>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</si>
  <si>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</si>
  <si>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</si>
  <si>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</si>
  <si>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</si>
  <si>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</si>
  <si>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</si>
  <si>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</si>
  <si>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</si>
  <si>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</si>
  <si>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</si>
  <si>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</si>
  <si>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</si>
  <si>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</si>
  <si>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</si>
  <si>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</si>
  <si>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</si>
  <si>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</si>
  <si>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</si>
  <si>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</si>
  <si>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</si>
  <si>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</si>
  <si>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</si>
  <si>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</si>
  <si>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</si>
  <si>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</si>
  <si>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</si>
  <si>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</si>
  <si>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</si>
  <si>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</si>
  <si>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</si>
  <si>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</si>
  <si>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</si>
  <si>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</si>
  <si>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</si>
  <si>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</si>
  <si>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</si>
  <si>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</si>
  <si>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</si>
  <si>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</si>
  <si>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</si>
  <si>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</si>
  <si>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</si>
  <si>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</si>
  <si>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</si>
  <si>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</si>
  <si>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</si>
  <si>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</si>
  <si>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</si>
  <si>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</si>
  <si>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</si>
  <si>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</si>
  <si>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</si>
  <si>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</si>
  <si>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</si>
  <si>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</si>
  <si>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</si>
  <si>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</si>
  <si>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</si>
  <si>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</si>
  <si>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</si>
  <si>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</si>
  <si>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</si>
  <si>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</si>
  <si>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</si>
  <si>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</si>
  <si>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</si>
  <si>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</si>
  <si>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</si>
  <si>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</si>
  <si>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</si>
  <si>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</si>
  <si>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</si>
  <si>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</si>
  <si>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</si>
  <si>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</si>
  <si>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</si>
  <si>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</si>
  <si>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</si>
  <si>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</si>
  <si>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</si>
  <si>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</si>
  <si>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</si>
  <si>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</si>
  <si>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</si>
  <si>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</si>
  <si>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</si>
  <si>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</si>
  <si>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</si>
  <si>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</si>
  <si>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</si>
  <si>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</si>
  <si>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</si>
  <si>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</si>
  <si>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</si>
  <si>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</si>
  <si>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</si>
  <si>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</si>
  <si>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</si>
  <si>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</si>
  <si>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</si>
  <si>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</si>
  <si>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</si>
  <si>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</si>
  <si>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</si>
  <si>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</si>
  <si>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</si>
  <si>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</si>
  <si>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</si>
  <si>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</si>
  <si>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</si>
  <si>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</si>
  <si>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</si>
  <si>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</si>
  <si>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</si>
  <si>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</si>
  <si>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</si>
  <si>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</si>
  <si>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</si>
  <si>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</si>
  <si>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</si>
  <si>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</si>
  <si>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</si>
  <si>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</si>
  <si>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</si>
  <si>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</si>
  <si>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</si>
  <si>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</si>
  <si>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</si>
  <si>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</si>
  <si>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</si>
  <si>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</si>
  <si>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</si>
  <si>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</si>
  <si>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</si>
  <si>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</si>
  <si>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</si>
  <si>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</si>
  <si>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</si>
  <si>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</si>
  <si>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</si>
  <si>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</si>
  <si>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</si>
  <si>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</si>
  <si>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</si>
  <si>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</si>
  <si>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</si>
  <si>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</si>
  <si>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</si>
  <si>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</si>
  <si>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</si>
  <si>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</si>
  <si>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</si>
  <si>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</si>
  <si>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</si>
  <si>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</si>
  <si>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</si>
  <si>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</si>
  <si>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</si>
  <si>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</si>
  <si>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</si>
  <si>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</si>
  <si>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</si>
  <si>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</si>
  <si>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</si>
  <si>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</si>
  <si>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</si>
  <si>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</si>
  <si>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</si>
  <si>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</si>
  <si>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</si>
  <si>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</si>
  <si>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</si>
  <si>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</si>
  <si>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</si>
  <si>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</si>
  <si>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</si>
  <si>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</si>
  <si>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</si>
  <si>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</si>
  <si>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</si>
  <si>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</si>
  <si>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</si>
  <si>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</si>
  <si>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</si>
  <si>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</si>
  <si>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</si>
  <si>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</si>
  <si>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</si>
  <si>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</si>
  <si>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</si>
  <si>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</si>
  <si>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</si>
  <si>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</si>
  <si>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</si>
  <si>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</si>
  <si>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</si>
  <si>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</si>
  <si>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</si>
  <si>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</si>
  <si>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</si>
  <si>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</si>
  <si>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</si>
  <si>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</si>
  <si>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</si>
  <si>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</si>
  <si>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</si>
  <si>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</si>
  <si>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</si>
  <si>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</si>
  <si>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</si>
  <si>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</si>
  <si>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</si>
  <si>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</si>
  <si>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</si>
  <si>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</si>
  <si>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</si>
  <si>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</si>
  <si>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</si>
  <si>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</si>
  <si>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</si>
  <si>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</si>
  <si>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</si>
  <si>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</si>
  <si>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</si>
  <si>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</si>
  <si>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</si>
  <si>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</si>
  <si>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</si>
  <si>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</si>
  <si>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</si>
  <si>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</si>
  <si>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</si>
  <si>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</si>
  <si>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</si>
  <si>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</si>
  <si>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</si>
  <si>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</si>
  <si>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</si>
  <si>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</si>
  <si>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</si>
  <si>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</si>
  <si>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</si>
  <si>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</si>
  <si>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</si>
  <si>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</si>
  <si>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</si>
  <si>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</si>
  <si>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</si>
  <si>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</si>
  <si>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</si>
  <si>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</si>
  <si>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</si>
  <si>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</si>
  <si>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</si>
  <si>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</si>
  <si>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</si>
  <si>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</si>
  <si>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</si>
  <si>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</si>
  <si>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</si>
  <si>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</si>
  <si>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</si>
  <si>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</si>
  <si>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</si>
  <si>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</si>
  <si>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</si>
  <si>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</si>
  <si>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</si>
  <si>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</si>
  <si>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</si>
  <si>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</si>
  <si>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</si>
  <si>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</si>
  <si>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</si>
  <si>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</si>
  <si>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</si>
  <si>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</si>
  <si>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</si>
  <si>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</si>
  <si>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</si>
  <si>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</si>
  <si>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</si>
  <si>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</si>
  <si>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</si>
  <si>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</si>
  <si>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</si>
  <si>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</si>
  <si>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</si>
  <si>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</si>
  <si>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</si>
  <si>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</si>
  <si>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</si>
  <si>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</si>
  <si>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</si>
  <si>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</si>
  <si>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</si>
  <si>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</si>
  <si>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</si>
  <si>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</si>
  <si>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</si>
  <si>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</si>
  <si>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</si>
  <si>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</si>
  <si>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</si>
  <si>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</si>
  <si>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</si>
  <si>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</si>
  <si>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</si>
  <si>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</si>
  <si>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</si>
  <si>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</si>
  <si>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</si>
  <si>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</si>
  <si>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</si>
  <si>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</si>
  <si>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</si>
  <si>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</si>
  <si>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</si>
  <si>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</si>
  <si>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</si>
  <si>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</si>
  <si>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</si>
  <si>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</si>
  <si>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</si>
  <si>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</si>
  <si>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</si>
  <si>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</si>
  <si>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</si>
  <si>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</si>
  <si>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</si>
  <si>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</si>
  <si>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</si>
  <si>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</si>
  <si>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</si>
  <si>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</si>
  <si>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</si>
  <si>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</si>
  <si>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</si>
  <si>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</si>
  <si>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</si>
  <si>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</si>
  <si>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</si>
  <si>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</si>
  <si>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</si>
  <si>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</si>
  <si>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</si>
  <si>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</si>
  <si>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</si>
  <si>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</si>
  <si>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</si>
  <si>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</si>
  <si>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</si>
  <si>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</si>
  <si>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</si>
  <si>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</si>
  <si>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</si>
  <si>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</si>
  <si>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</si>
  <si>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</si>
  <si>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</si>
  <si>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</si>
  <si>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</si>
  <si>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</si>
  <si>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</si>
  <si>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</si>
  <si>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</si>
  <si>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</si>
  <si>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</si>
  <si>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</si>
  <si>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</si>
  <si>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</si>
  <si>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</si>
  <si>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</si>
  <si>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</si>
  <si>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</si>
  <si>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</si>
  <si>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</si>
  <si>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</si>
  <si>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</si>
  <si>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</si>
  <si>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</si>
  <si>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</si>
  <si>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</si>
  <si>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</si>
  <si>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</si>
  <si>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</si>
  <si>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</si>
  <si>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</si>
  <si>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</si>
  <si>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</si>
  <si>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</si>
  <si>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</si>
  <si>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</si>
  <si>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</si>
  <si>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</si>
  <si>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</si>
  <si>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</si>
  <si>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</si>
  <si>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</si>
  <si>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</si>
  <si>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</si>
  <si>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</si>
  <si>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</si>
  <si>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</si>
  <si>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</si>
  <si>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</si>
  <si>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</si>
  <si>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</si>
  <si>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</si>
  <si>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</si>
  <si>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</si>
  <si>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</si>
  <si>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</si>
  <si>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</si>
  <si>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</si>
  <si>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</si>
  <si>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</si>
  <si>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</si>
  <si>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</si>
  <si>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</si>
  <si>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</si>
  <si>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</si>
  <si>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</si>
  <si>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</si>
  <si>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</si>
  <si>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</si>
  <si>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</si>
  <si>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</si>
  <si>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</si>
  <si>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</si>
  <si>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</si>
  <si>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</si>
  <si>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</si>
  <si>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</si>
  <si>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</si>
  <si>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</si>
  <si>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</si>
  <si>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</si>
  <si>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</si>
  <si>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</si>
  <si>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</si>
  <si>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</si>
  <si>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</si>
  <si>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</si>
  <si>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</si>
  <si>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</si>
  <si>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</si>
  <si>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</si>
  <si>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</si>
  <si>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</si>
  <si>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</si>
  <si>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</si>
  <si>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</si>
  <si>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</si>
  <si>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</si>
  <si>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</si>
  <si>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</si>
  <si>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</si>
  <si>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</si>
  <si>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</si>
  <si>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</si>
  <si>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</si>
  <si>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</si>
  <si>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</si>
  <si>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</si>
  <si>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</si>
  <si>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</si>
  <si>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</si>
  <si>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</si>
  <si>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</si>
  <si>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</si>
  <si>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</si>
  <si>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</si>
  <si>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</si>
  <si>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</si>
  <si>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</si>
  <si>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</si>
  <si>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</si>
  <si>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</si>
  <si>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</si>
  <si>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</si>
  <si>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</si>
  <si>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</si>
  <si>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</si>
  <si>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</si>
  <si>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</si>
  <si>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</si>
  <si>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</si>
  <si>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</si>
  <si>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</si>
  <si>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</si>
  <si>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</si>
  <si>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</si>
  <si>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</si>
  <si>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</si>
  <si>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</si>
  <si>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</si>
  <si>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</si>
  <si>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</si>
  <si>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</si>
  <si>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</si>
  <si>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</si>
  <si>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</si>
  <si>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</si>
  <si>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</si>
  <si>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</si>
  <si>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</si>
  <si>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</si>
  <si>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</si>
  <si>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</si>
  <si>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</si>
  <si>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</si>
  <si>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</si>
  <si>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</si>
  <si>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</si>
  <si>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</si>
  <si>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</si>
  <si>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</si>
  <si>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</si>
  <si>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</si>
  <si>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</si>
  <si>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</si>
  <si>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</si>
  <si>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</si>
  <si>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</si>
  <si>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</si>
  <si>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</si>
  <si>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</si>
  <si>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</si>
  <si>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</si>
  <si>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</si>
  <si>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</si>
  <si>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</si>
  <si>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</si>
  <si>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</si>
  <si>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</si>
  <si>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</si>
  <si>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</si>
  <si>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</si>
  <si>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</si>
  <si>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</si>
  <si>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</si>
  <si>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</si>
  <si>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</si>
  <si>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</si>
  <si>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</si>
  <si>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</si>
  <si>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</si>
  <si>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</si>
  <si>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</si>
  <si>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</si>
  <si>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</si>
  <si>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</si>
  <si>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</si>
  <si>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</si>
  <si>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</si>
  <si>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</si>
  <si>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</si>
  <si>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</si>
  <si>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</si>
  <si>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</si>
  <si>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</si>
  <si>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</si>
  <si>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</si>
  <si>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</si>
  <si>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</si>
  <si>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</si>
  <si>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</si>
  <si>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</si>
  <si>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</si>
  <si>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</si>
  <si>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</si>
  <si>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</si>
  <si>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</si>
  <si>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</si>
  <si>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</si>
  <si>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</si>
  <si>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</si>
  <si>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</si>
  <si>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</si>
  <si>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</si>
  <si>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</si>
  <si>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</si>
  <si>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</si>
  <si>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</si>
  <si>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</si>
  <si>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</si>
  <si>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</si>
  <si>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</si>
  <si>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</si>
  <si>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</si>
  <si>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</si>
  <si>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</si>
  <si>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</si>
  <si>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</si>
  <si>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</si>
  <si>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</si>
  <si>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</si>
  <si>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</si>
  <si>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</si>
  <si>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</si>
  <si>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</si>
  <si>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</si>
  <si>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</si>
  <si>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</si>
  <si>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</si>
  <si>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</si>
  <si>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</si>
  <si>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</si>
  <si>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</si>
  <si>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</si>
  <si>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</si>
  <si>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</si>
  <si>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</si>
  <si>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</si>
  <si>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</si>
  <si>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</si>
  <si>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</si>
  <si>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</si>
  <si>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</si>
  <si>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</si>
  <si>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</si>
  <si>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</si>
  <si>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</si>
  <si>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</si>
  <si>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</si>
  <si>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</si>
  <si>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</si>
  <si>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</si>
  <si>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</si>
  <si>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</si>
  <si>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</si>
  <si>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</si>
  <si>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</si>
  <si>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</si>
  <si>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</si>
  <si>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</si>
  <si>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</si>
  <si>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</si>
  <si>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</si>
  <si>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</si>
  <si>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</si>
  <si>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</si>
  <si>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</si>
  <si>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</si>
  <si>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</si>
  <si>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</si>
  <si>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</si>
  <si>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</si>
  <si>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</si>
  <si>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</si>
  <si>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</si>
  <si>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</si>
  <si>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</si>
  <si>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</si>
  <si>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</si>
  <si>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</si>
  <si>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</si>
  <si>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</si>
  <si>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</si>
  <si>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</si>
  <si>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</si>
  <si>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</si>
  <si>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</si>
  <si>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</si>
  <si>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</si>
  <si>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</si>
  <si>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</si>
  <si>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</si>
  <si>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</si>
  <si>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</si>
  <si>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</si>
  <si>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</si>
  <si>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</si>
  <si>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</si>
  <si>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</si>
  <si>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</si>
  <si>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</si>
  <si>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</si>
  <si>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</si>
  <si>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</si>
  <si>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</si>
  <si>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</si>
  <si>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</si>
  <si>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</si>
  <si>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</si>
  <si>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</si>
  <si>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</si>
  <si>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</si>
  <si>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</si>
  <si>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</si>
  <si>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</si>
  <si>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</si>
  <si>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</si>
  <si>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</si>
  <si>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</si>
  <si>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</si>
  <si>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</si>
  <si>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</si>
  <si>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</si>
  <si>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</si>
  <si>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</si>
  <si>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</si>
  <si>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</si>
  <si>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</si>
  <si>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</si>
  <si>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</si>
  <si>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</si>
  <si>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</si>
  <si>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</si>
  <si>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</si>
  <si>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</si>
  <si>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</si>
  <si>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</si>
  <si>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</si>
  <si>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</si>
  <si>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</si>
  <si>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</si>
  <si>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</si>
  <si>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</si>
  <si>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</si>
  <si>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</si>
  <si>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</si>
  <si>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</si>
  <si>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</si>
  <si>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</si>
  <si>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</si>
  <si>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</si>
  <si>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</si>
  <si>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</si>
  <si>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</si>
  <si>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</si>
  <si>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</si>
  <si>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</si>
  <si>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</si>
  <si>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</si>
  <si>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</si>
  <si>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</si>
  <si>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</si>
  <si>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</si>
  <si>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</si>
  <si>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</si>
  <si>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</si>
  <si>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</si>
  <si>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</si>
  <si>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</si>
  <si>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</si>
  <si>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</si>
  <si>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</si>
  <si>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</si>
  <si>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</si>
  <si>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</si>
  <si>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</si>
  <si>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</si>
  <si>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</si>
  <si>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</si>
  <si>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</si>
  <si>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</si>
  <si>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</si>
  <si>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</si>
  <si>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</si>
  <si>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</si>
  <si>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</si>
  <si>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</si>
  <si>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</si>
  <si>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</si>
  <si>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</si>
  <si>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</si>
  <si>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</si>
  <si>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</si>
  <si>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</si>
  <si>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</si>
  <si>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</si>
  <si>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</si>
  <si>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</si>
  <si>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</si>
  <si>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</si>
  <si>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</si>
  <si>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</si>
  <si>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</si>
  <si>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</si>
  <si>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</si>
  <si>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</si>
  <si>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</si>
  <si>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</si>
  <si>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</si>
  <si>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</si>
  <si>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</si>
  <si>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</si>
  <si>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</si>
  <si>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</si>
  <si>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</si>
  <si>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</si>
  <si>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</si>
  <si>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</si>
  <si>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</si>
  <si>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</si>
  <si>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</si>
  <si>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</si>
  <si>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</si>
  <si>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</si>
  <si>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</si>
  <si>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</si>
  <si>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</si>
  <si>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</si>
  <si>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</si>
  <si>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</si>
  <si>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</si>
  <si>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</si>
  <si>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</si>
  <si>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</si>
  <si>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</si>
  <si>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</si>
  <si>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</si>
  <si>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</si>
  <si>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</si>
  <si>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</si>
  <si>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</si>
  <si>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</si>
  <si>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</si>
  <si>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</si>
  <si>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</si>
  <si>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</si>
  <si>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</si>
  <si>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</si>
  <si>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</si>
  <si>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</si>
  <si>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</si>
  <si>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</si>
  <si>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</si>
  <si>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</si>
  <si>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</si>
  <si>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</si>
  <si>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</si>
  <si>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</si>
  <si>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</si>
  <si>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</si>
  <si>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</si>
  <si>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</si>
  <si>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</si>
  <si>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</si>
  <si>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</si>
  <si>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</si>
  <si>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</si>
  <si>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</si>
  <si>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</si>
  <si>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</si>
  <si>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</si>
  <si>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</si>
  <si>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</si>
  <si>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</si>
  <si>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</si>
  <si>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</si>
  <si>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</si>
  <si>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</si>
  <si>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</si>
  <si>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</si>
  <si>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</si>
  <si>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</si>
  <si>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</si>
  <si>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</si>
  <si>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</si>
  <si>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</si>
  <si>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</si>
  <si>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</si>
  <si>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</si>
  <si>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</si>
  <si>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</si>
  <si>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</si>
  <si>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</si>
  <si>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</si>
  <si>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</si>
  <si>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</si>
  <si>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</si>
  <si>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</si>
  <si>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</si>
  <si>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</si>
  <si>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</si>
  <si>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</si>
  <si>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</si>
  <si>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</si>
  <si>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</si>
  <si>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</si>
  <si>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</si>
  <si>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</si>
  <si>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</si>
  <si>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</si>
  <si>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</si>
  <si>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</si>
  <si>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</si>
  <si>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</si>
  <si>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</si>
  <si>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</si>
  <si>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</si>
  <si>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</si>
  <si>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</si>
  <si>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</si>
  <si>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</si>
  <si>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</si>
  <si>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</si>
  <si>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</si>
  <si>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</si>
  <si>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</si>
  <si>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</si>
  <si>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</si>
  <si>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</si>
  <si>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</si>
  <si>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</si>
  <si>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</si>
  <si>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</si>
  <si>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</si>
  <si>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</si>
  <si>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</si>
  <si>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</si>
  <si>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</si>
  <si>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</si>
  <si>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</si>
  <si>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</si>
  <si>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</si>
  <si>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</si>
  <si>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</si>
  <si>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</si>
  <si>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</si>
  <si>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</si>
  <si>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</si>
  <si>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</si>
  <si>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</si>
  <si>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</si>
  <si>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</si>
  <si>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</si>
  <si>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</si>
  <si>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</si>
  <si>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</si>
  <si>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</si>
  <si>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</si>
  <si>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</si>
  <si>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</si>
  <si>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</si>
  <si>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</si>
  <si>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</si>
  <si>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</si>
  <si>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</si>
  <si>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</si>
  <si>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</si>
  <si>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</si>
  <si>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</si>
  <si>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</si>
  <si>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</si>
  <si>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</si>
  <si>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</si>
  <si>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</si>
  <si>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</si>
  <si>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</si>
  <si>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</si>
  <si>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</si>
  <si>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</si>
  <si>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</si>
  <si>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</si>
  <si>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</si>
  <si>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</si>
  <si>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</si>
  <si>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</si>
  <si>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</si>
  <si>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</si>
  <si>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</si>
  <si>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</si>
  <si>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</si>
  <si>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</si>
  <si>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</si>
  <si>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</si>
  <si>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</si>
  <si>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</si>
  <si>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</si>
  <si>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</si>
  <si>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</si>
  <si>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</si>
  <si>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</si>
  <si>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</si>
  <si>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</si>
  <si>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</si>
  <si>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</si>
  <si>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</si>
  <si>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</si>
  <si>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</si>
  <si>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</si>
  <si>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</si>
  <si>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</si>
  <si>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</si>
  <si>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</si>
  <si>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</si>
  <si>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</si>
  <si>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</si>
  <si>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</si>
  <si>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</si>
  <si>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</si>
  <si>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</si>
  <si>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</si>
  <si>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</si>
  <si>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</si>
  <si>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</si>
  <si>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</si>
  <si>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</si>
  <si>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</si>
  <si>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</si>
  <si>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</si>
  <si>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</si>
  <si>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</si>
  <si>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</si>
  <si>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</si>
  <si>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</si>
  <si>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</si>
  <si>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</si>
  <si>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</si>
  <si>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</si>
  <si>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</si>
  <si>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</si>
  <si>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</si>
  <si>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</si>
  <si>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</si>
  <si>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</si>
  <si>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</si>
  <si>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</si>
  <si>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</si>
  <si>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</si>
  <si>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</si>
  <si>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</si>
  <si>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</si>
  <si>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</si>
  <si>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</si>
  <si>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</si>
  <si>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</si>
  <si>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</si>
  <si>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</si>
  <si>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</si>
  <si>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</si>
  <si>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</si>
  <si>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</si>
  <si>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</si>
  <si>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</si>
  <si>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</si>
  <si>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</si>
  <si>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</si>
  <si>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</si>
  <si>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</si>
  <si>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</si>
  <si>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</si>
  <si>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</si>
  <si>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</si>
  <si>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</si>
  <si>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</si>
  <si>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</si>
  <si>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</si>
  <si>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</si>
  <si>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</si>
  <si>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</si>
  <si>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</si>
  <si>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</si>
  <si>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</si>
  <si>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</si>
  <si>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</si>
  <si>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</si>
  <si>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</si>
  <si>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</si>
  <si>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</si>
  <si>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</si>
  <si>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</si>
  <si>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</si>
  <si>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</si>
  <si>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</si>
  <si>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</si>
  <si>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</si>
  <si>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</si>
  <si>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</si>
  <si>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</si>
  <si>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</si>
  <si>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</si>
  <si>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</si>
  <si>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</si>
  <si>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</si>
  <si>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</si>
  <si>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</si>
  <si>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</si>
  <si>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</si>
  <si>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</si>
  <si>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</si>
  <si>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</si>
  <si>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</si>
  <si>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</si>
  <si>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</si>
  <si>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</si>
  <si>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</si>
  <si>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</si>
  <si>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</si>
  <si>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</si>
  <si>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</si>
  <si>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</si>
  <si>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</si>
  <si>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</si>
  <si>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</si>
  <si>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</si>
  <si>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</si>
  <si>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</si>
  <si>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</si>
  <si>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</si>
  <si>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</si>
  <si>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</si>
  <si>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</si>
  <si>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</si>
  <si>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</si>
  <si>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</si>
  <si>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</si>
  <si>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</si>
  <si>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</si>
  <si>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</si>
  <si>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</si>
  <si>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</si>
  <si>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</si>
  <si>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</si>
  <si>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</si>
  <si>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</si>
  <si>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</si>
  <si>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</si>
  <si>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</si>
  <si>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</si>
  <si>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</si>
  <si>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</si>
  <si>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</si>
  <si>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</si>
  <si>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</si>
  <si>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</si>
  <si>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</si>
  <si>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</si>
  <si>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</si>
  <si>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</si>
  <si>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</si>
  <si>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</si>
  <si>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</si>
  <si>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</si>
  <si>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</si>
  <si>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</si>
  <si>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</si>
  <si>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</si>
  <si>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</si>
  <si>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</si>
  <si>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</si>
  <si>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</si>
  <si>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</si>
  <si>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</si>
  <si>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</si>
  <si>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</si>
  <si>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</si>
  <si>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</si>
  <si>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</si>
  <si>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</si>
  <si>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</si>
  <si>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</si>
  <si>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</si>
  <si>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</si>
  <si>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</si>
  <si>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</si>
  <si>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</si>
  <si>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</si>
  <si>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</si>
  <si>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</si>
  <si>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</si>
  <si>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</si>
  <si>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</si>
  <si>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</si>
  <si>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</si>
  <si>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</si>
  <si>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</si>
  <si>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</si>
  <si>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</si>
  <si>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</si>
  <si>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</si>
  <si>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</si>
  <si>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</si>
  <si>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</si>
  <si>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</si>
  <si>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</si>
  <si>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</si>
  <si>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</si>
  <si>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</si>
  <si>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</si>
  <si>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</si>
  <si>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</si>
  <si>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</si>
  <si>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</si>
  <si>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</si>
  <si>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</si>
  <si>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</si>
  <si>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</si>
  <si>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</si>
  <si>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</si>
  <si>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</si>
  <si>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</si>
  <si>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</si>
  <si>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</si>
  <si>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</si>
  <si>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</si>
  <si>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</si>
  <si>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</si>
  <si>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</si>
  <si>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</si>
  <si>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</si>
  <si>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</si>
  <si>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</si>
  <si>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</si>
  <si>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</si>
  <si>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</si>
  <si>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</si>
  <si>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</si>
  <si>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</si>
  <si>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</si>
  <si>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</si>
  <si>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</si>
  <si>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</si>
  <si>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</si>
  <si>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</si>
  <si>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</si>
  <si>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</si>
  <si>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</si>
  <si>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</si>
  <si>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</si>
  <si>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</si>
  <si>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</si>
  <si>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</si>
  <si>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</si>
  <si>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</si>
  <si>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</si>
  <si>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</si>
  <si>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</si>
  <si>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</si>
  <si>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</si>
  <si>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</si>
  <si>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</si>
  <si>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</si>
  <si>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</si>
  <si>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</si>
  <si>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</si>
  <si>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</si>
  <si>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</si>
  <si>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</si>
  <si>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</si>
  <si>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</si>
  <si>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</si>
  <si>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</si>
  <si>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</si>
  <si>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</si>
  <si>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</si>
  <si>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</si>
  <si>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</si>
  <si>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</si>
  <si>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</si>
  <si>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</si>
  <si>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</si>
  <si>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</si>
  <si>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</si>
  <si>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</si>
  <si>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</si>
  <si>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</si>
  <si>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</si>
  <si>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</si>
  <si>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</si>
  <si>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</si>
  <si>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</si>
  <si>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</si>
  <si>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</si>
  <si>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</si>
  <si>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</si>
  <si>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</si>
  <si>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</si>
  <si>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</si>
  <si>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</si>
  <si>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</si>
  <si>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</si>
  <si>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</si>
  <si>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</si>
  <si>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</si>
  <si>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</si>
  <si>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</si>
  <si>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</si>
  <si>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</si>
  <si>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</si>
  <si>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</si>
  <si>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</si>
  <si>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</si>
  <si>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</si>
  <si>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</si>
  <si>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</si>
  <si>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</si>
  <si>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</si>
  <si>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</si>
  <si>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</si>
  <si>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</si>
  <si>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</si>
  <si>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</si>
  <si>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</si>
  <si>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</si>
  <si>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</si>
  <si>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</si>
  <si>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</si>
  <si>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</si>
  <si>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</si>
  <si>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</si>
  <si>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</si>
  <si>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</si>
  <si>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</si>
  <si>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</si>
  <si>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</si>
  <si>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</si>
  <si>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</si>
  <si>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</si>
  <si>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</si>
  <si>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</si>
  <si>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</si>
  <si>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</si>
  <si>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</si>
  <si>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</si>
  <si>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</si>
  <si>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</si>
  <si>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</si>
  <si>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</si>
  <si>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</si>
  <si>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</si>
  <si>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</si>
  <si>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</si>
  <si>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</si>
  <si>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</si>
  <si>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</si>
  <si>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</si>
  <si>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</si>
  <si>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</si>
  <si>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</si>
  <si>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</si>
  <si>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</si>
  <si>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</si>
  <si>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</si>
  <si>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</si>
  <si>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</si>
  <si>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</si>
  <si>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</si>
  <si>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</si>
  <si>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</si>
  <si>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</si>
  <si>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</si>
  <si>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</si>
  <si>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</si>
  <si>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</si>
  <si>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</si>
  <si>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</si>
  <si>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</si>
  <si>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</si>
  <si>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</si>
  <si>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</si>
  <si>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</si>
  <si>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</si>
  <si>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</si>
  <si>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</si>
  <si>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</si>
  <si>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</si>
  <si>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</si>
  <si>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</si>
  <si>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</si>
  <si>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</si>
  <si>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</si>
  <si>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</si>
  <si>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</si>
  <si>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</si>
  <si>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</si>
  <si>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</si>
  <si>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</si>
  <si>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</si>
  <si>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</si>
  <si>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</si>
  <si>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</si>
  <si>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</si>
  <si>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</si>
  <si>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</si>
  <si>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</si>
  <si>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</si>
  <si>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</si>
  <si>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</si>
  <si>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</si>
  <si>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</si>
  <si>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</si>
  <si>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</si>
  <si>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</si>
  <si>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</si>
  <si>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</si>
  <si>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</si>
  <si>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</si>
  <si>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</si>
  <si>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</si>
  <si>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</si>
  <si>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</si>
  <si>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</si>
  <si>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</si>
  <si>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</si>
  <si>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</si>
  <si>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</si>
  <si>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</si>
  <si>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</si>
  <si>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</si>
  <si>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</si>
  <si>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</si>
  <si>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</si>
  <si>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</si>
  <si>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</si>
  <si>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</si>
  <si>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</si>
  <si>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</si>
  <si>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</si>
  <si>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</si>
  <si>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</si>
  <si>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</si>
  <si>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</si>
  <si>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</si>
  <si>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</si>
  <si>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</si>
  <si>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</si>
  <si>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</si>
  <si>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</si>
  <si>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</si>
  <si>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</si>
  <si>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</si>
  <si>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</si>
  <si>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</si>
  <si>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</si>
  <si>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</si>
  <si>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</si>
  <si>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</si>
  <si>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</si>
  <si>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</si>
  <si>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</si>
  <si>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</si>
  <si>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</si>
  <si>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</si>
  <si>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</si>
  <si>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</si>
  <si>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</si>
  <si>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</si>
  <si>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</si>
  <si>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</si>
  <si>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</si>
  <si>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</si>
  <si>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</si>
  <si>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</si>
  <si>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</si>
  <si>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</si>
  <si>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</si>
  <si>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</si>
  <si>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</si>
  <si>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</si>
  <si>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</si>
  <si>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</si>
  <si>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</si>
  <si>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</si>
  <si>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</si>
  <si>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</si>
  <si>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</si>
  <si>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</si>
  <si>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</si>
  <si>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</si>
  <si>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</si>
  <si>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</si>
  <si>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</si>
  <si>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</si>
  <si>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</si>
  <si>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</si>
  <si>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</si>
  <si>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</si>
  <si>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</si>
  <si>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</si>
  <si>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</si>
  <si>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</si>
  <si>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</si>
  <si>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</si>
  <si>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</si>
  <si>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</si>
  <si>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</si>
  <si>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</si>
  <si>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</si>
  <si>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</si>
  <si>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</si>
  <si>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</si>
  <si>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</si>
  <si>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</si>
  <si>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</si>
  <si>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</si>
  <si>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</si>
  <si>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</si>
  <si>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</si>
  <si>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</si>
  <si>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</si>
  <si>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</si>
  <si>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</si>
  <si>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</si>
  <si>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</si>
  <si>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</si>
  <si>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</si>
  <si>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</si>
  <si>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</si>
  <si>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</si>
  <si>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</si>
  <si>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</si>
  <si>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</si>
  <si>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</si>
  <si>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</si>
  <si>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</si>
  <si>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</si>
  <si>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</si>
  <si>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</si>
  <si>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</si>
  <si>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</si>
  <si>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</si>
  <si>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</si>
  <si>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</si>
  <si>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</si>
  <si>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</si>
  <si>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</si>
  <si>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</si>
  <si>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</si>
  <si>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</si>
  <si>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</si>
  <si>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</si>
  <si>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</si>
  <si>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</si>
  <si>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</si>
  <si>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</si>
  <si>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</si>
  <si>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</si>
  <si>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</si>
  <si>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</si>
  <si>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</si>
  <si>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</si>
  <si>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</si>
  <si>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</si>
  <si>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</si>
  <si>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</si>
  <si>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</si>
  <si>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</si>
  <si>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</si>
  <si>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</si>
  <si>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</si>
  <si>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</si>
  <si>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</si>
  <si>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</si>
  <si>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</si>
  <si>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</si>
  <si>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</si>
  <si>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</si>
  <si>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</si>
  <si>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</si>
  <si>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</si>
  <si>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</si>
  <si>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</si>
  <si>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</si>
  <si>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</si>
  <si>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</si>
  <si>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</si>
  <si>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</si>
  <si>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</si>
  <si>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</si>
  <si>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</si>
  <si>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</si>
  <si>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</si>
  <si>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</si>
  <si>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</si>
  <si>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</si>
  <si>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</si>
  <si>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</si>
  <si>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</si>
  <si>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</si>
  <si>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</si>
  <si>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</si>
  <si>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</si>
  <si>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</si>
  <si>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</si>
  <si>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</si>
  <si>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</si>
  <si>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</si>
  <si>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</si>
  <si>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</si>
  <si>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</si>
  <si>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</si>
  <si>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</si>
  <si>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</si>
  <si>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</si>
  <si>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</si>
  <si>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</si>
  <si>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</si>
  <si>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</si>
  <si>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</si>
  <si>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</si>
  <si>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</si>
  <si>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</si>
  <si>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</si>
  <si>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</si>
  <si>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</si>
  <si>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</si>
  <si>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</si>
  <si>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</si>
  <si>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</si>
  <si>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</si>
  <si>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</si>
  <si>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</si>
  <si>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</si>
  <si>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</si>
  <si>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</si>
  <si>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</si>
  <si>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</si>
  <si>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</si>
  <si>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</si>
  <si>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</si>
  <si>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</si>
  <si>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</si>
  <si>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</si>
  <si>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</si>
  <si>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</si>
  <si>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</si>
  <si>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</si>
  <si>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</si>
  <si>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</si>
  <si>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</si>
  <si>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</si>
  <si>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</si>
  <si>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</si>
  <si>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</si>
  <si>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</si>
  <si>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</si>
  <si>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</si>
  <si>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</si>
  <si>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</si>
  <si>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</si>
  <si>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</si>
  <si>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</si>
  <si>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</si>
  <si>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</si>
  <si>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</si>
  <si>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</si>
  <si>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</si>
  <si>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</si>
  <si>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</si>
  <si>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</si>
  <si>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</si>
  <si>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</si>
  <si>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</si>
  <si>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</si>
  <si>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</si>
  <si>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</si>
  <si>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</si>
  <si>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</si>
  <si>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</si>
  <si>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</si>
  <si>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</si>
  <si>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</si>
  <si>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</si>
  <si>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</si>
  <si>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</si>
  <si>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</si>
  <si>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</si>
  <si>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</si>
  <si>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</si>
  <si>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</si>
  <si>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</si>
  <si>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</si>
  <si>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</si>
  <si>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</si>
  <si>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</si>
  <si>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</si>
  <si>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</si>
  <si>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</si>
  <si>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</si>
  <si>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</si>
  <si>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</si>
  <si>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</si>
  <si>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</si>
  <si>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</si>
  <si>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</si>
  <si>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</si>
  <si>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</si>
  <si>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</si>
  <si>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</si>
  <si>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</si>
  <si>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</si>
  <si>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</si>
  <si>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</si>
  <si>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</si>
  <si>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</si>
  <si>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</si>
  <si>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</si>
  <si>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</si>
  <si>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</si>
  <si>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</si>
  <si>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</si>
  <si>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</si>
  <si>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</si>
  <si>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</si>
  <si>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</si>
  <si>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</si>
  <si>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</si>
  <si>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</si>
  <si>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</si>
  <si>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</si>
  <si>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</si>
  <si>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</si>
  <si>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</si>
  <si>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</si>
  <si>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</si>
  <si>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</si>
  <si>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</si>
  <si>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</si>
  <si>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</si>
  <si>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</si>
  <si>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</si>
  <si>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</si>
  <si>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</si>
  <si>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</si>
  <si>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</si>
  <si>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</si>
  <si>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</si>
  <si>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</si>
  <si>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</si>
  <si>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</si>
  <si>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</si>
  <si>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</si>
  <si>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</si>
  <si>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</si>
  <si>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</si>
  <si>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</si>
  <si>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</si>
  <si>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</si>
  <si>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</si>
  <si>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</si>
  <si>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</si>
  <si>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</si>
  <si>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</si>
  <si>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</si>
  <si>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</si>
  <si>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</si>
  <si>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</si>
  <si>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</si>
  <si>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</si>
  <si>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</si>
  <si>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</si>
  <si>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</si>
  <si>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</si>
  <si>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</si>
  <si>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</si>
  <si>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</si>
  <si>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</si>
  <si>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</si>
  <si>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</si>
  <si>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</si>
  <si>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</si>
  <si>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</si>
  <si>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</si>
  <si>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</si>
  <si>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</si>
  <si>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</si>
  <si>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</si>
  <si>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</si>
  <si>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</si>
  <si>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</si>
  <si>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</si>
  <si>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</si>
  <si>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</si>
  <si>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</si>
  <si>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</si>
  <si>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</si>
  <si>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</si>
  <si>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</si>
  <si>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</si>
  <si>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</si>
  <si>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</si>
  <si>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</si>
  <si>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</si>
  <si>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</si>
  <si>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</si>
  <si>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</si>
  <si>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</si>
  <si>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</si>
  <si>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</si>
  <si>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</si>
  <si>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</si>
  <si>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</si>
  <si>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</si>
  <si>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</si>
  <si>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</si>
  <si>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</si>
  <si>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</si>
  <si>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</si>
  <si>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</si>
  <si>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</si>
  <si>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</si>
  <si>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</si>
  <si>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</si>
  <si>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</si>
  <si>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</si>
  <si>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</si>
  <si>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</si>
  <si>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</si>
  <si>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</si>
  <si>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</si>
  <si>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</si>
  <si>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</si>
  <si>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</si>
  <si>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</si>
  <si>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</si>
  <si>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</si>
  <si>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</si>
  <si>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</si>
  <si>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</si>
  <si>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</si>
  <si>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</si>
  <si>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</si>
  <si>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</si>
  <si>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</si>
  <si>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</si>
  <si>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</si>
  <si>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</si>
  <si>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</si>
  <si>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</si>
  <si>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</si>
  <si>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</si>
  <si>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</si>
  <si>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</si>
  <si>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</si>
  <si>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</si>
  <si>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</si>
  <si>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</si>
  <si>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</si>
  <si>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</si>
  <si>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</si>
  <si>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</si>
  <si>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</si>
  <si>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</si>
  <si>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</si>
  <si>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</si>
  <si>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</si>
  <si>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</si>
  <si>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</si>
  <si>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</si>
  <si>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</si>
  <si>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</si>
  <si>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</si>
  <si>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</si>
  <si>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</si>
  <si>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</si>
  <si>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</si>
  <si>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</si>
  <si>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</si>
  <si>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</si>
  <si>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</si>
  <si>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</si>
  <si>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</si>
  <si>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</si>
  <si>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</si>
  <si>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</si>
  <si>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</si>
  <si>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</si>
  <si>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</si>
  <si>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</si>
  <si>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</si>
  <si>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</si>
  <si>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</si>
  <si>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</si>
  <si>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</si>
  <si>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</si>
  <si>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</si>
  <si>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</si>
  <si>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</si>
  <si>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</si>
  <si>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</si>
  <si>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</si>
  <si>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</si>
  <si>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</si>
  <si>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</si>
  <si>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</si>
  <si>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</si>
  <si>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</si>
  <si>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</si>
  <si>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</si>
  <si>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</si>
  <si>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</si>
  <si>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</si>
  <si>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</si>
  <si>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</si>
  <si>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</si>
  <si>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</si>
  <si>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</si>
  <si>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</si>
  <si>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</si>
  <si>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</si>
  <si>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</si>
  <si>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</si>
  <si>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</si>
  <si>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</si>
  <si>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</si>
  <si>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</si>
  <si>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</si>
  <si>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</si>
  <si>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</si>
  <si>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</si>
  <si>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</si>
  <si>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</si>
  <si>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</si>
  <si>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</si>
  <si>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</si>
  <si>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</si>
  <si>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</si>
  <si>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</si>
  <si>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</si>
  <si>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</si>
  <si>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</si>
  <si>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</si>
  <si>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</si>
  <si>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</si>
  <si>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</si>
  <si>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</si>
  <si>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</si>
  <si>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</si>
  <si>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</si>
  <si>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</si>
  <si>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</si>
  <si>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</si>
  <si>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</si>
  <si>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</si>
  <si>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</si>
  <si>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</si>
  <si>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</si>
  <si>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</si>
  <si>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</si>
  <si>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</si>
  <si>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</si>
  <si>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</si>
  <si>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</si>
  <si>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</si>
  <si>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</si>
  <si>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</si>
  <si>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</si>
  <si>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</si>
  <si>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</si>
  <si>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</si>
  <si>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</si>
  <si>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</si>
  <si>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</si>
  <si>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</si>
  <si>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</si>
  <si>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</si>
  <si>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</si>
  <si>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</si>
  <si>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</si>
  <si>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</si>
  <si>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</si>
  <si>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</si>
  <si>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</si>
  <si>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</si>
  <si>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</si>
  <si>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</si>
  <si>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</si>
  <si>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</si>
  <si>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</si>
  <si>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</si>
  <si>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</si>
  <si>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</si>
  <si>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</si>
  <si>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</si>
  <si>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</si>
  <si>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</si>
  <si>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</si>
  <si>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</si>
  <si>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</si>
  <si>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</si>
  <si>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</si>
  <si>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</si>
  <si>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</si>
  <si>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</si>
  <si>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</si>
  <si>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</si>
  <si>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</si>
  <si>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</si>
  <si>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</si>
  <si>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</si>
  <si>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</si>
  <si>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</si>
  <si>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</si>
  <si>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</si>
  <si>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</si>
  <si>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</si>
  <si>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</si>
  <si>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</si>
  <si>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</si>
  <si>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</si>
  <si>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</si>
  <si>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</si>
  <si>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</si>
  <si>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</si>
  <si>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</si>
  <si>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</si>
  <si>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</si>
  <si>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</si>
  <si>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</si>
  <si>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</si>
  <si>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</si>
  <si>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</si>
  <si>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</si>
  <si>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</si>
  <si>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</si>
  <si>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</si>
  <si>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</si>
  <si>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</si>
  <si>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</si>
  <si>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</si>
  <si>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</si>
  <si>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</si>
  <si>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</si>
  <si>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</si>
  <si>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</si>
  <si>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</si>
  <si>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</si>
  <si>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</si>
  <si>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</si>
  <si>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</si>
  <si>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</si>
  <si>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</si>
  <si>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</si>
  <si>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</si>
  <si>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</si>
  <si>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</si>
  <si>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</si>
  <si>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</si>
  <si>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</si>
  <si>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</si>
  <si>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</si>
  <si>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</si>
  <si>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</si>
  <si>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</si>
  <si>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</si>
  <si>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</si>
  <si>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</si>
  <si>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</si>
  <si>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</si>
  <si>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</si>
  <si>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</si>
  <si>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</si>
  <si>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</si>
  <si>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</si>
  <si>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</si>
  <si>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</si>
  <si>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</si>
  <si>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</si>
  <si>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</si>
  <si>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</si>
  <si>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</si>
  <si>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</si>
  <si>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</si>
  <si>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</si>
  <si>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</si>
  <si>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</si>
  <si>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</si>
  <si>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</si>
  <si>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</si>
  <si>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</si>
  <si>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</si>
  <si>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</si>
  <si>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</si>
  <si>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</si>
  <si>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</si>
  <si>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</si>
  <si>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</si>
  <si>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</si>
  <si>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</si>
  <si>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</si>
  <si>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</si>
  <si>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</si>
  <si>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</si>
  <si>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</si>
  <si>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</si>
  <si>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</si>
  <si>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</si>
  <si>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</si>
  <si>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</si>
  <si>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</si>
  <si>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</si>
  <si>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</si>
  <si>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</si>
  <si>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</si>
  <si>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</si>
  <si>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</si>
  <si>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</si>
  <si>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</si>
  <si>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</si>
  <si>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</si>
  <si>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</si>
  <si>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</si>
  <si>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</si>
  <si>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</si>
  <si>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</si>
  <si>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</si>
  <si>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</si>
  <si>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</si>
  <si>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</si>
  <si>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</si>
  <si>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</si>
  <si>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</si>
  <si>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</si>
  <si>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</si>
  <si>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</si>
  <si>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</si>
  <si>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</si>
  <si>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</si>
  <si>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</si>
  <si>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</si>
  <si>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</si>
  <si>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</si>
  <si>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</si>
  <si>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</si>
  <si>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</si>
  <si>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</si>
  <si>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</si>
  <si>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</si>
  <si>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</si>
  <si>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</si>
  <si>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</si>
  <si>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</si>
  <si>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</si>
  <si>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</si>
  <si>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</si>
  <si>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</si>
  <si>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</si>
  <si>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</si>
  <si>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</si>
  <si>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</si>
  <si>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</si>
  <si>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</si>
  <si>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</si>
  <si>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</si>
  <si>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</si>
  <si>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</si>
  <si>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</si>
  <si>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</si>
  <si>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</si>
  <si>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</si>
  <si>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</si>
  <si>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</si>
  <si>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</si>
  <si>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</si>
  <si>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</si>
  <si>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</si>
  <si>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</si>
  <si>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</si>
  <si>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</si>
  <si>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</si>
  <si>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</si>
  <si>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</si>
  <si>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</si>
  <si>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</si>
  <si>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</si>
  <si>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</si>
  <si>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</si>
  <si>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</si>
  <si>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</si>
  <si>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</si>
  <si>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</si>
  <si>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</si>
  <si>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</si>
  <si>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</si>
  <si>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</si>
  <si>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</si>
  <si>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</si>
  <si>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</si>
  <si>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</si>
  <si>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</si>
  <si>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</si>
  <si>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</si>
  <si>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</si>
  <si>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</si>
  <si>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</si>
  <si>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</si>
  <si>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</si>
  <si>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</si>
  <si>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</si>
  <si>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</si>
  <si>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</si>
  <si>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</si>
  <si>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</si>
  <si>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</si>
  <si>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</si>
  <si>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</si>
  <si>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</si>
  <si>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</si>
  <si>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</si>
  <si>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</si>
  <si>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</si>
  <si>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</si>
  <si>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</si>
  <si>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</si>
  <si>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</si>
  <si>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</si>
  <si>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</si>
  <si>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</si>
  <si>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</si>
  <si>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</si>
  <si>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</si>
  <si>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</si>
  <si>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</si>
  <si>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</si>
  <si>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</si>
  <si>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</si>
  <si>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</si>
  <si>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</si>
  <si>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</si>
  <si>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</si>
  <si>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</si>
  <si>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</si>
  <si>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</si>
  <si>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</si>
  <si>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</si>
  <si>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</si>
  <si>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</si>
  <si>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</si>
  <si>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</si>
  <si>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</si>
  <si>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</si>
  <si>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</si>
  <si>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</si>
  <si>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</si>
  <si>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</si>
  <si>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</si>
  <si>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</si>
  <si>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</si>
  <si>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</si>
  <si>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</si>
  <si>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</si>
  <si>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</si>
  <si>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</si>
  <si>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</si>
  <si>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</si>
  <si>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</si>
  <si>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</si>
  <si>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</si>
  <si>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</si>
  <si>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</si>
  <si>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</si>
  <si>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</si>
  <si>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</si>
  <si>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</si>
  <si>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</si>
  <si>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</si>
  <si>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</si>
  <si>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</si>
  <si>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</si>
  <si>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</si>
  <si>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</si>
  <si>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</si>
  <si>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</si>
  <si>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</si>
  <si>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</si>
  <si>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</si>
  <si>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</si>
  <si>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</si>
  <si>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</si>
  <si>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</si>
  <si>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</si>
  <si>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</si>
  <si>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</si>
  <si>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</si>
  <si>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</si>
  <si>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</si>
  <si>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</si>
  <si>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</si>
  <si>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</si>
  <si>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</si>
  <si>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</si>
  <si>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</si>
  <si>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</si>
  <si>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</si>
  <si>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</si>
  <si>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</si>
  <si>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</si>
  <si>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</si>
  <si>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</si>
  <si>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</si>
  <si>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</si>
  <si>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</si>
  <si>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</si>
  <si>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</si>
  <si>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</si>
  <si>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</si>
  <si>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</si>
  <si>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</si>
  <si>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</si>
  <si>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</si>
  <si>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</si>
  <si>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</si>
  <si>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</si>
  <si>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</si>
  <si>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</si>
  <si>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</si>
  <si>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</si>
  <si>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</si>
  <si>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</si>
  <si>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</si>
  <si>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</si>
  <si>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</si>
  <si>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</si>
  <si>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</si>
  <si>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</si>
  <si>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</si>
  <si>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</si>
  <si>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</si>
  <si>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</si>
  <si>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</si>
  <si>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</si>
  <si>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</si>
  <si>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</si>
  <si>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</si>
  <si>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</si>
  <si>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</si>
  <si>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</si>
  <si>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</si>
  <si>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</si>
  <si>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</si>
  <si>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</si>
  <si>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</si>
  <si>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</si>
  <si>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</si>
  <si>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</si>
  <si>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</si>
  <si>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</si>
  <si>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</si>
  <si>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</si>
  <si>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</si>
  <si>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</si>
  <si>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</si>
  <si>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</si>
  <si>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</si>
  <si>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</si>
  <si>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</si>
  <si>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</si>
  <si>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</si>
  <si>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</si>
  <si>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</si>
  <si>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</si>
  <si>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</si>
  <si>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</si>
  <si>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</si>
  <si>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</si>
  <si>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</si>
  <si>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</si>
  <si>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</si>
  <si>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</si>
  <si>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</si>
  <si>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</si>
  <si>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</si>
  <si>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</si>
  <si>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</si>
  <si>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</si>
  <si>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</si>
  <si>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</si>
  <si>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</si>
  <si>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</si>
  <si>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</si>
  <si>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</si>
  <si>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</si>
  <si>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</si>
  <si>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</si>
  <si>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</si>
  <si>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</si>
  <si>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</si>
  <si>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</si>
  <si>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</si>
  <si>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</si>
  <si>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</si>
  <si>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</si>
  <si>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</si>
  <si>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</si>
  <si>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</si>
  <si>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</si>
  <si>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</si>
  <si>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</si>
  <si>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</si>
  <si>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</si>
  <si>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</si>
  <si>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</si>
  <si>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</si>
  <si>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</si>
  <si>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</si>
  <si>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</si>
  <si>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</si>
  <si>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</si>
  <si>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</si>
  <si>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</si>
  <si>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</si>
  <si>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</si>
  <si>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</si>
  <si>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</si>
  <si>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</si>
  <si>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</si>
  <si>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</si>
  <si>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</si>
  <si>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</si>
  <si>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</si>
  <si>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</si>
  <si>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</si>
  <si>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</si>
  <si>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</si>
  <si>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</si>
  <si>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</si>
  <si>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</si>
  <si>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</si>
  <si>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</si>
  <si>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</si>
  <si>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</si>
  <si>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</si>
  <si>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</si>
  <si>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</si>
  <si>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</si>
  <si>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</si>
  <si>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</si>
  <si>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</si>
  <si>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</si>
  <si>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</si>
  <si>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</si>
  <si>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</si>
  <si>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</si>
  <si>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</si>
  <si>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</si>
  <si>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</si>
  <si>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</si>
  <si>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</si>
  <si>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</si>
  <si>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</si>
  <si>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</si>
  <si>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</si>
  <si>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</si>
  <si>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</si>
  <si>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</si>
  <si>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</si>
  <si>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</si>
  <si>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</si>
  <si>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</si>
  <si>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</si>
  <si>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</si>
  <si>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</si>
  <si>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</si>
  <si>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</si>
  <si>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</si>
  <si>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</si>
  <si>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</si>
  <si>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</si>
  <si>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</si>
  <si>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</si>
  <si>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</si>
  <si>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</si>
  <si>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</si>
  <si>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</si>
  <si>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</si>
  <si>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</si>
  <si>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</si>
  <si>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</si>
  <si>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</si>
  <si>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</si>
  <si>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</si>
  <si>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</si>
  <si>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</si>
  <si>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</si>
  <si>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</si>
  <si>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</si>
  <si>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</si>
  <si>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</si>
  <si>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</si>
  <si>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</si>
  <si>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</si>
  <si>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</si>
  <si>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</si>
  <si>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</si>
  <si>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</si>
  <si>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</si>
  <si>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</si>
  <si>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</si>
  <si>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</si>
  <si>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</si>
  <si>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</si>
  <si>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</si>
  <si>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</si>
  <si>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</si>
  <si>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</si>
  <si>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</si>
  <si>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</si>
  <si>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</si>
  <si>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</si>
  <si>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</si>
  <si>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</si>
  <si>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</si>
  <si>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</si>
  <si>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</si>
  <si>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</si>
  <si>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</si>
  <si>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</si>
  <si>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</si>
  <si>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</si>
  <si>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</si>
  <si>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</si>
  <si>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</si>
  <si>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</si>
  <si>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</si>
  <si>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</si>
  <si>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</si>
  <si>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</si>
  <si>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</si>
  <si>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</si>
  <si>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</si>
  <si>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</si>
  <si>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</si>
  <si>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</si>
  <si>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</si>
  <si>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</si>
  <si>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</si>
  <si>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</si>
  <si>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</si>
  <si>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</si>
  <si>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</si>
  <si>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</si>
  <si>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</si>
  <si>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</si>
  <si>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</si>
  <si>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</si>
  <si>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</si>
  <si>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</si>
  <si>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</si>
  <si>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</si>
  <si>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</si>
  <si>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</si>
  <si>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</si>
  <si>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</si>
  <si>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</si>
  <si>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</si>
  <si>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</si>
  <si>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</si>
  <si>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</si>
  <si>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</si>
  <si>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</si>
  <si>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</si>
  <si>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</si>
  <si>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</si>
  <si>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</si>
  <si>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</si>
  <si>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</si>
  <si>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</si>
  <si>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</si>
  <si>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</si>
  <si>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</si>
  <si>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</si>
  <si>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</si>
  <si>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</si>
  <si>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</si>
  <si>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</si>
  <si>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</si>
  <si>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</si>
  <si>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</si>
  <si>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</si>
  <si>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</si>
  <si>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</si>
  <si>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</si>
  <si>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</si>
  <si>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</si>
  <si>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</si>
  <si>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</si>
  <si>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</si>
  <si>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</si>
  <si>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</si>
  <si>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</si>
  <si>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</si>
  <si>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</si>
  <si>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</si>
  <si>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</si>
  <si>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</si>
  <si>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</si>
  <si>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</si>
  <si>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</si>
  <si>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</si>
  <si>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</si>
  <si>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</si>
  <si>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</si>
  <si>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</si>
  <si>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</si>
  <si>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</si>
  <si>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</si>
  <si>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</si>
  <si>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</si>
  <si>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</si>
  <si>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</si>
  <si>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</si>
  <si>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</si>
  <si>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</si>
  <si>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</si>
  <si>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</si>
  <si>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</si>
  <si>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</si>
  <si>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</si>
  <si>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</si>
  <si>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</si>
  <si>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</si>
  <si>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</si>
  <si>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</si>
  <si>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</si>
  <si>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</si>
  <si>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</si>
  <si>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</si>
  <si>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</si>
  <si>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</si>
  <si>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</si>
  <si>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</si>
  <si>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</si>
  <si>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</si>
  <si>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</si>
  <si>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</si>
  <si>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</si>
  <si>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</si>
  <si>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</si>
  <si>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</si>
  <si>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</si>
  <si>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</si>
  <si>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</si>
  <si>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</si>
  <si>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</si>
  <si>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</si>
  <si>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</si>
  <si>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</si>
  <si>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</si>
  <si>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</si>
  <si>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</si>
  <si>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</si>
  <si>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</si>
  <si>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</si>
  <si>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</si>
  <si>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</si>
  <si>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</si>
  <si>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</si>
  <si>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</si>
  <si>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</si>
  <si>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</si>
  <si>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</si>
  <si>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</si>
  <si>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</si>
  <si>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</si>
  <si>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</si>
  <si>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</si>
  <si>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</si>
  <si>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</si>
  <si>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</si>
  <si>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</si>
  <si>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</si>
  <si>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</si>
  <si>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</si>
  <si>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</si>
  <si>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</si>
  <si>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</si>
  <si>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</si>
  <si>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</si>
  <si>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</si>
  <si>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</si>
  <si>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</si>
  <si>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</si>
  <si>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</si>
  <si>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</si>
  <si>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</si>
  <si>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</si>
  <si>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</si>
  <si>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</si>
  <si>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</si>
  <si>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</si>
  <si>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</si>
  <si>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</si>
  <si>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</si>
  <si>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</si>
  <si>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</si>
  <si>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</si>
  <si>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</si>
  <si>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</si>
  <si>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</si>
  <si>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</si>
  <si>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</si>
  <si>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</si>
  <si>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</si>
  <si>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</si>
  <si>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</si>
  <si>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</si>
  <si>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</si>
  <si>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</si>
  <si>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</si>
  <si>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</si>
  <si>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</si>
  <si>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</si>
  <si>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</si>
  <si>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</si>
  <si>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</si>
  <si>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</si>
  <si>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</si>
  <si>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</si>
  <si>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</si>
  <si>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</si>
  <si>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</si>
  <si>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</si>
  <si>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</si>
  <si>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</si>
  <si>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</si>
  <si>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</si>
  <si>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</si>
  <si>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</si>
  <si>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</si>
  <si>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</si>
  <si>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</si>
  <si>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</si>
  <si>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</si>
  <si>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</si>
  <si>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</si>
  <si>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</si>
  <si>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</si>
  <si>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</si>
  <si>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</si>
  <si>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</si>
  <si>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</si>
  <si>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</si>
  <si>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</si>
  <si>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</si>
  <si>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</si>
  <si>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</si>
  <si>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</si>
  <si>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</si>
  <si>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</si>
  <si>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</si>
  <si>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</si>
  <si>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</si>
  <si>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</si>
  <si>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</si>
  <si>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</si>
  <si>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</si>
  <si>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</si>
  <si>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</si>
  <si>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</si>
  <si>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</si>
  <si>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</si>
  <si>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</si>
  <si>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</si>
  <si>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</si>
  <si>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</si>
  <si>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</si>
  <si>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</si>
  <si>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</si>
  <si>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</si>
  <si>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</si>
  <si>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</si>
  <si>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</si>
  <si>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</si>
  <si>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</si>
  <si>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</si>
  <si>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</si>
  <si>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</si>
  <si>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</si>
  <si>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</si>
  <si>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</si>
  <si>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</si>
  <si>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</si>
  <si>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</si>
  <si>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</si>
  <si>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</si>
  <si>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</si>
  <si>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</si>
  <si>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</si>
  <si>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</si>
  <si>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</si>
  <si>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</si>
  <si>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</si>
  <si>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</si>
  <si>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</si>
  <si>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</si>
  <si>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</si>
  <si>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</si>
  <si>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</si>
  <si>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</si>
  <si>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</si>
  <si>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</si>
  <si>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</si>
  <si>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</si>
  <si>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</si>
  <si>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</si>
  <si>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</si>
  <si>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</si>
  <si>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</si>
  <si>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</si>
  <si>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</si>
  <si>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</si>
  <si>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</si>
  <si>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</si>
  <si>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</si>
  <si>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</si>
  <si>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</si>
  <si>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</si>
  <si>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</si>
  <si>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</si>
  <si>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</si>
  <si>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</si>
  <si>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</si>
  <si>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</si>
  <si>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</si>
  <si>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</si>
  <si>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</si>
  <si>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</si>
  <si>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</si>
  <si>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</si>
  <si>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</si>
  <si>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</si>
  <si>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</si>
  <si>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</si>
  <si>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</si>
  <si>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</si>
  <si>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</si>
  <si>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</si>
  <si>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</si>
  <si>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</si>
  <si>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</si>
  <si>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</si>
  <si>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</si>
  <si>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</si>
  <si>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</si>
  <si>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</si>
  <si>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</si>
  <si>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</si>
  <si>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</si>
  <si>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</si>
  <si>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</si>
  <si>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</si>
  <si>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</si>
  <si>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</si>
  <si>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</si>
  <si>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</si>
  <si>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</si>
  <si>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</si>
  <si>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</si>
  <si>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</si>
  <si>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</si>
  <si>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</si>
  <si>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</si>
  <si>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</si>
  <si>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</si>
  <si>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</si>
  <si>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</si>
  <si>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</si>
  <si>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</si>
  <si>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</si>
  <si>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</si>
  <si>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</si>
  <si>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</si>
  <si>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</si>
  <si>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</si>
  <si>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</si>
  <si>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</si>
  <si>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</si>
  <si>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</si>
  <si>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</si>
  <si>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</si>
  <si>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</si>
  <si>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</si>
  <si>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</si>
  <si>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</si>
  <si>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</si>
  <si>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</si>
  <si>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</si>
  <si>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</si>
  <si>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</si>
  <si>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</si>
  <si>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</si>
  <si>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</si>
  <si>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</si>
  <si>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</si>
  <si>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</si>
  <si>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</si>
  <si>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</si>
  <si>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</si>
  <si>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</si>
  <si>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</si>
  <si>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</si>
  <si>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</si>
  <si>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</si>
  <si>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</si>
  <si>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</si>
  <si>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</si>
  <si>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</si>
  <si>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</si>
  <si>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</si>
  <si>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</si>
  <si>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</si>
  <si>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</si>
  <si>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</si>
  <si>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</si>
  <si>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</si>
  <si>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</si>
  <si>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</si>
  <si>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</si>
  <si>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</si>
  <si>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</si>
  <si>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</si>
  <si>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</si>
  <si>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</si>
  <si>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</si>
  <si>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</si>
  <si>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</si>
  <si>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</si>
  <si>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</si>
  <si>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</si>
  <si>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</si>
  <si>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</si>
  <si>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</si>
  <si>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</si>
  <si>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</si>
  <si>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</si>
  <si>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</si>
  <si>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</si>
  <si>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</si>
  <si>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</si>
  <si>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</si>
  <si>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</si>
  <si>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</si>
  <si>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</si>
  <si>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</si>
  <si>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</si>
  <si>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</si>
  <si>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</si>
  <si>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</si>
  <si>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</si>
  <si>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</si>
  <si>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</si>
  <si>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</si>
  <si>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</si>
  <si>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</si>
  <si>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</si>
  <si>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</si>
  <si>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</si>
  <si>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</si>
  <si>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</si>
  <si>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</si>
  <si>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</si>
  <si>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</si>
  <si>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</si>
  <si>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</si>
  <si>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</si>
  <si>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</si>
  <si>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</si>
  <si>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</si>
  <si>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</si>
  <si>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</si>
  <si>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</si>
  <si>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</si>
  <si>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</si>
  <si>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</si>
  <si>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</si>
  <si>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</si>
  <si>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</si>
  <si>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</si>
  <si>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</si>
  <si>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</si>
  <si>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</si>
  <si>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</si>
  <si>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</si>
  <si>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</si>
  <si>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</si>
  <si>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</si>
  <si>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</si>
  <si>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</si>
  <si>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</si>
  <si>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</si>
  <si>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</si>
  <si>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</si>
  <si>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</si>
  <si>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</si>
  <si>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</si>
  <si>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</si>
  <si>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</si>
  <si>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</si>
  <si>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</si>
  <si>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</si>
  <si>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</si>
  <si>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</si>
  <si>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</si>
  <si>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</si>
  <si>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</si>
  <si>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</si>
  <si>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</si>
  <si>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</si>
  <si>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</si>
  <si>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</si>
  <si>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</si>
  <si>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</si>
  <si>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</si>
  <si>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</si>
  <si>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</si>
  <si>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</si>
  <si>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</si>
  <si>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</si>
  <si>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</si>
  <si>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</si>
  <si>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</si>
  <si>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</si>
  <si>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</si>
  <si>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</si>
  <si>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</si>
  <si>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</si>
  <si>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</si>
  <si>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</si>
  <si>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</si>
  <si>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</si>
  <si>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</si>
  <si>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</si>
  <si>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</si>
  <si>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</si>
  <si>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</si>
  <si>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</si>
  <si>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</si>
  <si>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</si>
  <si>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</si>
  <si>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</si>
  <si>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</si>
  <si>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</si>
  <si>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</si>
  <si>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</si>
  <si>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</si>
  <si>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</si>
  <si>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</si>
  <si>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</si>
  <si>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</si>
  <si>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</si>
  <si>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</si>
  <si>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</si>
  <si>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</si>
  <si>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</si>
  <si>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</si>
  <si>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</si>
  <si>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</si>
  <si>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</si>
  <si>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</si>
  <si>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</si>
  <si>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</si>
  <si>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</si>
  <si>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</si>
  <si>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</si>
  <si>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</si>
  <si>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</si>
  <si>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</si>
  <si>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</si>
  <si>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</si>
  <si>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</si>
  <si>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</si>
  <si>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</si>
  <si>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</si>
  <si>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</si>
  <si>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</si>
  <si>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</si>
  <si>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</si>
  <si>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</si>
  <si>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</si>
  <si>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</si>
  <si>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</si>
  <si>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</si>
  <si>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</si>
  <si>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</si>
  <si>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</si>
  <si>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</si>
  <si>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</si>
  <si>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</si>
  <si>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</si>
  <si>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</si>
  <si>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</si>
  <si>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</si>
  <si>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</si>
  <si>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</si>
  <si>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</si>
  <si>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</si>
  <si>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</si>
  <si>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</si>
  <si>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</si>
  <si>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</si>
  <si>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</si>
  <si>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</si>
  <si>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</si>
  <si>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</si>
  <si>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</si>
  <si>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</si>
  <si>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</si>
  <si>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</si>
  <si>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</si>
  <si>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</si>
  <si>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</si>
  <si>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</si>
  <si>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</si>
  <si>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</si>
  <si>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</si>
  <si>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</si>
  <si>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</si>
  <si>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</si>
  <si>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</si>
  <si>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</si>
  <si>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</si>
  <si>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</si>
  <si>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</si>
  <si>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</si>
  <si>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</si>
  <si>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</si>
  <si>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</si>
  <si>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</si>
  <si>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</si>
  <si>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</si>
  <si>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</si>
  <si>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</si>
  <si>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</si>
  <si>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</si>
  <si>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</si>
  <si>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</si>
  <si>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</si>
  <si>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</si>
  <si>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</si>
  <si>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</si>
  <si>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</si>
  <si>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</si>
  <si>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</si>
  <si>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</si>
  <si>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</si>
  <si>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</si>
  <si>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</si>
  <si>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</si>
  <si>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</si>
  <si>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</si>
  <si>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</si>
  <si>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</si>
  <si>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</si>
  <si>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</si>
  <si>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</si>
  <si>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</si>
  <si>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</si>
  <si>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</si>
  <si>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</si>
  <si>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</si>
  <si>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</si>
  <si>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</si>
  <si>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</si>
  <si>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</si>
  <si>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</si>
  <si>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</si>
  <si>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</si>
  <si>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</si>
  <si>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</si>
  <si>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</si>
  <si>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</si>
  <si>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</si>
  <si>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</si>
  <si>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</si>
  <si>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</si>
  <si>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</si>
  <si>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</si>
  <si>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</si>
  <si>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</si>
  <si>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</si>
  <si>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</si>
  <si>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</si>
  <si>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</si>
  <si>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</si>
  <si>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</si>
  <si>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</si>
  <si>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</si>
  <si>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</si>
  <si>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</si>
  <si>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</si>
  <si>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</si>
  <si>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</si>
  <si>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</si>
  <si>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</si>
  <si>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</si>
  <si>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</si>
  <si>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</si>
  <si>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</si>
  <si>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</si>
  <si>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</si>
  <si>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</si>
  <si>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</si>
  <si>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</si>
  <si>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</si>
  <si>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</si>
  <si>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</si>
  <si>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</si>
  <si>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</si>
  <si>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</si>
  <si>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</si>
  <si>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</si>
  <si>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</si>
  <si>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</si>
  <si>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</si>
  <si>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</si>
  <si>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</si>
  <si>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</si>
  <si>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</si>
  <si>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</si>
  <si>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</si>
  <si>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</si>
  <si>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</si>
  <si>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</si>
  <si>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</si>
  <si>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</si>
  <si>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</si>
  <si>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</si>
  <si>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</si>
  <si>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</si>
  <si>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</si>
  <si>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</si>
  <si>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</si>
  <si>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</si>
  <si>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</si>
  <si>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</si>
  <si>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</si>
  <si>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</si>
  <si>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</si>
  <si>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</si>
  <si>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</si>
  <si>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</si>
  <si>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</si>
  <si>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</si>
  <si>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</si>
  <si>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</si>
  <si>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</si>
  <si>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</si>
  <si>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</si>
  <si>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</si>
  <si>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</si>
  <si>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</si>
  <si>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</si>
  <si>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</si>
  <si>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</si>
  <si>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</si>
  <si>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</si>
  <si>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</si>
  <si>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</si>
  <si>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</si>
  <si>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</si>
  <si>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</si>
  <si>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</si>
  <si>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</si>
  <si>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</si>
  <si>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</si>
  <si>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</si>
  <si>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</si>
  <si>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</si>
  <si>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</si>
  <si>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</si>
  <si>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</si>
  <si>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</si>
  <si>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</si>
  <si>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</si>
  <si>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</si>
  <si>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</si>
  <si>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</si>
  <si>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</si>
  <si>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</si>
  <si>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</si>
  <si>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</si>
  <si>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</si>
  <si>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</si>
  <si>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</si>
  <si>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</si>
  <si>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</si>
  <si>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</si>
  <si>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</si>
  <si>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</si>
  <si>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</si>
  <si>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</si>
  <si>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</si>
  <si>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</si>
  <si>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</si>
  <si>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</si>
  <si>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</si>
  <si>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</si>
  <si>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</si>
  <si>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</si>
  <si>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</si>
  <si>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</si>
  <si>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</si>
  <si>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</si>
  <si>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</si>
  <si>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</si>
  <si>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</si>
  <si>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</si>
  <si>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</si>
  <si>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</si>
  <si>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</si>
  <si>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</si>
  <si>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</si>
  <si>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</si>
  <si>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</si>
  <si>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</si>
  <si>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</si>
  <si>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</si>
  <si>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</si>
  <si>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</si>
  <si>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</si>
  <si>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</si>
  <si>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</si>
  <si>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</si>
  <si>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</si>
  <si>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</si>
  <si>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</si>
  <si>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</si>
  <si>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</si>
  <si>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</si>
  <si>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</si>
  <si>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</si>
  <si>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</si>
  <si>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</si>
  <si>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</si>
  <si>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</si>
  <si>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</si>
  <si>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</si>
  <si>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</si>
  <si>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</si>
  <si>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</si>
  <si>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</si>
  <si>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</si>
  <si>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</si>
  <si>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</si>
  <si>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</si>
  <si>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</si>
  <si>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</si>
  <si>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</si>
  <si>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</si>
  <si>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</si>
  <si>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</si>
  <si>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</si>
  <si>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</si>
  <si>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</si>
  <si>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</si>
  <si>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</si>
  <si>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</si>
  <si>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</si>
  <si>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</si>
  <si>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</si>
  <si>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</si>
  <si>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</si>
  <si>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</si>
  <si>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</si>
  <si>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</si>
  <si>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</si>
  <si>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</si>
  <si>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</si>
  <si>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</si>
  <si>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</si>
  <si>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</si>
  <si>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</si>
  <si>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</si>
  <si>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</si>
  <si>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</si>
  <si>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</si>
  <si>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</si>
  <si>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</si>
  <si>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</si>
  <si>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</si>
  <si>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</si>
  <si>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</si>
  <si>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</si>
  <si>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</si>
  <si>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</si>
  <si>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</si>
  <si>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</si>
  <si>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</si>
  <si>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</si>
  <si>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</si>
  <si>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</si>
  <si>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</si>
  <si>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</si>
  <si>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</si>
  <si>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</si>
  <si>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</si>
  <si>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</si>
  <si>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</si>
  <si>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</si>
  <si>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</si>
  <si>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</si>
  <si>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</si>
  <si>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</si>
  <si>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</si>
  <si>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</si>
  <si>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</si>
  <si>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</si>
  <si>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</si>
  <si>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</si>
  <si>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</si>
  <si>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</si>
  <si>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</si>
  <si>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</si>
  <si>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</si>
  <si>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</si>
  <si>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</si>
  <si>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</si>
  <si>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</si>
  <si>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</si>
  <si>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</si>
  <si>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</si>
  <si>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</si>
  <si>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</si>
  <si>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</si>
  <si>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</si>
  <si>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</si>
  <si>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</si>
  <si>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</si>
  <si>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</si>
  <si>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</si>
  <si>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</si>
  <si>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</si>
  <si>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</si>
  <si>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</si>
  <si>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</si>
  <si>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</si>
  <si>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</si>
  <si>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</si>
  <si>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</si>
  <si>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</si>
  <si>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</si>
  <si>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</si>
  <si>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</si>
  <si>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</si>
  <si>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</si>
  <si>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</si>
  <si>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</si>
  <si>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</si>
  <si>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</si>
  <si>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</si>
  <si>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</si>
  <si>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</si>
  <si>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</si>
  <si>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</si>
  <si>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</si>
  <si>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</si>
  <si>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</si>
  <si>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</si>
  <si>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</si>
  <si>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</si>
  <si>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</si>
  <si>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</si>
  <si>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</si>
  <si>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</si>
  <si>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</si>
  <si>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</si>
  <si>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</si>
  <si>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</si>
  <si>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</si>
  <si>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</si>
  <si>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</si>
  <si>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</si>
  <si>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</si>
  <si>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</si>
  <si>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</si>
  <si>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</si>
  <si>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</si>
  <si>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</si>
  <si>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</si>
  <si>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</si>
  <si>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</si>
  <si>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</si>
  <si>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</si>
  <si>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</si>
  <si>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</si>
  <si>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</si>
  <si>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</si>
  <si>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</si>
  <si>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</si>
  <si>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</si>
  <si>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</si>
  <si>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</si>
  <si>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</si>
  <si>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</si>
  <si>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</si>
  <si>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</si>
  <si>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</si>
  <si>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</si>
  <si>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</si>
  <si>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</si>
  <si>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</si>
  <si>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</si>
  <si>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</si>
  <si>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</si>
  <si>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</si>
  <si>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</si>
  <si>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</si>
  <si>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</si>
  <si>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</si>
  <si>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</si>
  <si>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</si>
  <si>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</si>
  <si>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</si>
  <si>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</si>
  <si>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</si>
  <si>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</si>
  <si>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</si>
  <si>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</si>
  <si>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</si>
  <si>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</si>
  <si>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</si>
  <si>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</si>
  <si>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</si>
  <si>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</si>
  <si>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</si>
  <si>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</si>
  <si>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</si>
  <si>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</si>
  <si>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</si>
  <si>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</si>
  <si>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</si>
  <si>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</si>
  <si>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</si>
  <si>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</si>
  <si>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</si>
  <si>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</si>
  <si>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</si>
  <si>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</si>
  <si>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</si>
  <si>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</si>
  <si>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</si>
  <si>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</si>
  <si>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</si>
  <si>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</si>
  <si>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</si>
  <si>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</si>
  <si>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</si>
  <si>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</si>
  <si>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</si>
  <si>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</si>
  <si>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</si>
  <si>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</si>
  <si>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</si>
  <si>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</si>
  <si>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</si>
  <si>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</si>
  <si>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</si>
  <si>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</si>
  <si>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</si>
  <si>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</si>
  <si>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</si>
  <si>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</si>
  <si>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</si>
  <si>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</si>
  <si>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</si>
  <si>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</si>
  <si>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</si>
  <si>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</si>
  <si>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</si>
  <si>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</si>
  <si>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</si>
  <si>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</si>
  <si>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</si>
  <si>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</si>
  <si>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</si>
  <si>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</si>
  <si>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</si>
  <si>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</si>
  <si>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</si>
  <si>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</si>
  <si>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</si>
  <si>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</si>
  <si>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</si>
  <si>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</si>
  <si>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</si>
  <si>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</si>
  <si>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</si>
  <si>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</si>
  <si>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</si>
  <si>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</si>
  <si>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</si>
  <si>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</si>
  <si>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</si>
  <si>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</si>
  <si>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</si>
  <si>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</si>
  <si>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</si>
  <si>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</si>
  <si>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</si>
  <si>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</si>
  <si>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</si>
  <si>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</si>
  <si>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</si>
  <si>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</si>
  <si>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</si>
  <si>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</si>
  <si>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</si>
  <si>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</si>
  <si>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</si>
  <si>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</si>
  <si>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</si>
  <si>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</si>
  <si>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</si>
  <si>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</si>
  <si>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</si>
  <si>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</si>
  <si>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</si>
  <si>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</si>
  <si>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</si>
  <si>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</si>
  <si>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</si>
  <si>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</si>
  <si>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</si>
  <si>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</si>
  <si>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</si>
  <si>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</si>
  <si>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</si>
  <si>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</si>
  <si>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</si>
  <si>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</si>
  <si>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</si>
  <si>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</si>
  <si>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</si>
  <si>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</si>
  <si>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</si>
  <si>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</si>
  <si>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</si>
  <si>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</si>
  <si>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</si>
  <si>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</si>
  <si>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</si>
  <si>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</si>
  <si>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</si>
  <si>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</si>
  <si>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</si>
  <si>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</si>
  <si>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</si>
  <si>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</si>
  <si>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</si>
  <si>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</si>
  <si>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</si>
  <si>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</si>
  <si>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</si>
  <si>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</si>
  <si>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</si>
  <si>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</si>
  <si>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</si>
  <si>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</si>
  <si>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</si>
  <si>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</si>
  <si>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</si>
  <si>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</si>
  <si>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</si>
  <si>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</si>
  <si>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</si>
  <si>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</si>
  <si>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</si>
  <si>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</si>
  <si>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</si>
  <si>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</si>
  <si>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</si>
  <si>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</si>
  <si>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</si>
  <si>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</si>
  <si>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</si>
  <si>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</si>
  <si>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</si>
  <si>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</si>
  <si>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</si>
  <si>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</si>
  <si>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</si>
  <si>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</si>
  <si>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</si>
  <si>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</si>
  <si>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</si>
  <si>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</si>
  <si>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</si>
  <si>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</si>
  <si>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</si>
  <si>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</si>
  <si>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</si>
  <si>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</si>
  <si>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</si>
  <si>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</si>
  <si>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</si>
  <si>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</si>
  <si>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</si>
  <si>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</si>
  <si>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</si>
  <si>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</si>
  <si>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</si>
  <si>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</si>
  <si>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</si>
  <si>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</si>
  <si>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</si>
  <si>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</si>
  <si>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</si>
  <si>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</si>
  <si>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</si>
  <si>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</si>
  <si>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</si>
  <si>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</si>
  <si>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</si>
  <si>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</si>
  <si>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</si>
  <si>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</si>
  <si>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</si>
  <si>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</si>
  <si>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</si>
  <si>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</si>
  <si>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</si>
  <si>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</si>
  <si>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</si>
  <si>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</si>
  <si>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</si>
  <si>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</si>
  <si>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</si>
  <si>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</si>
  <si>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</si>
  <si>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</si>
  <si>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</si>
  <si>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</si>
  <si>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</si>
  <si>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</si>
  <si>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</si>
  <si>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</si>
  <si>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</si>
  <si>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</si>
  <si>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</si>
  <si>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</si>
  <si>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</si>
  <si>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</si>
  <si>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</si>
  <si>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</si>
  <si>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</si>
  <si>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</si>
  <si>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</si>
  <si>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</si>
  <si>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</si>
  <si>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</si>
  <si>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</si>
  <si>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</si>
  <si>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</si>
  <si>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</si>
  <si>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</si>
  <si>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</si>
  <si>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</si>
  <si>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</si>
  <si>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</si>
  <si>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</si>
  <si>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</si>
  <si>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</si>
  <si>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</si>
  <si>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</si>
  <si>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</si>
  <si>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</si>
  <si>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</si>
  <si>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</si>
  <si>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</si>
  <si>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</si>
  <si>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</si>
  <si>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</si>
  <si>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</si>
  <si>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</si>
  <si>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</si>
  <si>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</si>
  <si>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</si>
  <si>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</si>
  <si>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</si>
  <si>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</si>
  <si>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</si>
  <si>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</si>
  <si>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</si>
  <si>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</si>
  <si>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</si>
  <si>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</si>
  <si>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</si>
  <si>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</si>
  <si>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</si>
  <si>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</si>
  <si>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</si>
  <si>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</si>
  <si>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</si>
  <si>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</si>
  <si>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</si>
  <si>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</si>
  <si>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</si>
  <si>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</si>
  <si>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</si>
  <si>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</si>
  <si>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</si>
  <si>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</si>
  <si>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</si>
  <si>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</si>
  <si>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</si>
  <si>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</si>
  <si>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</si>
  <si>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</si>
  <si>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</si>
  <si>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</si>
  <si>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</si>
  <si>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</si>
  <si>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</si>
  <si>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</si>
  <si>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</si>
  <si>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</si>
  <si>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</si>
  <si>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</si>
  <si>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</si>
  <si>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</si>
  <si>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</si>
  <si>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</si>
  <si>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</si>
  <si>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</si>
  <si>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</si>
  <si>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</si>
  <si>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</si>
  <si>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</si>
  <si>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</si>
  <si>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</si>
  <si>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</si>
  <si>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</si>
  <si>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</si>
  <si>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</si>
  <si>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</si>
  <si>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</si>
  <si>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</si>
  <si>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</si>
  <si>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</si>
  <si>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</si>
  <si>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</si>
  <si>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</si>
  <si>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</si>
  <si>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</si>
  <si>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</si>
  <si>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</si>
  <si>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</si>
  <si>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</si>
  <si>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</si>
  <si>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</si>
  <si>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</si>
  <si>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</si>
  <si>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</si>
  <si>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</si>
  <si>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</si>
  <si>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</si>
  <si>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</si>
  <si>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</si>
  <si>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</si>
  <si>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</si>
  <si>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</si>
  <si>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</si>
  <si>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</si>
  <si>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</si>
  <si>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</si>
  <si>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</si>
  <si>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</si>
  <si>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</si>
  <si>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</si>
  <si>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</si>
  <si>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</si>
  <si>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</si>
  <si>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</si>
  <si>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</si>
  <si>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</si>
  <si>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</si>
  <si>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</si>
  <si>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</si>
  <si>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</si>
  <si>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</si>
  <si>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</si>
  <si>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</si>
  <si>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</si>
  <si>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</si>
  <si>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</si>
  <si>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</si>
  <si>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</si>
  <si>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</si>
  <si>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</si>
  <si>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</si>
  <si>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</si>
  <si>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</si>
  <si>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</si>
  <si>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</si>
  <si>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</si>
  <si>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</si>
  <si>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</si>
  <si>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</si>
  <si>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</si>
  <si>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</si>
  <si>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</si>
  <si>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</si>
  <si>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</si>
  <si>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</si>
  <si>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</si>
  <si>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</si>
  <si>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</si>
  <si>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</si>
  <si>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</si>
  <si>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</si>
  <si>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</si>
  <si>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</si>
  <si>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</si>
  <si>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</si>
  <si>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</si>
  <si>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</si>
  <si>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</si>
  <si>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</si>
  <si>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</si>
  <si>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</si>
  <si>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</si>
  <si>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</si>
  <si>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</si>
  <si>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</si>
  <si>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</si>
  <si>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</si>
  <si>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</si>
  <si>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</si>
  <si>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</si>
  <si>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</si>
  <si>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</si>
  <si>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</si>
  <si>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</si>
  <si>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</si>
  <si>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</si>
  <si>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</si>
  <si>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</si>
  <si>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</si>
  <si>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</si>
  <si>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</si>
  <si>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</si>
  <si>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</si>
  <si>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</si>
  <si>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</si>
  <si>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</si>
  <si>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</si>
  <si>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</si>
  <si>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</si>
  <si>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</si>
  <si>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</si>
  <si>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</si>
  <si>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</si>
  <si>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</si>
  <si>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</si>
  <si>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</si>
  <si>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</si>
  <si>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</si>
  <si>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</si>
  <si>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</si>
  <si>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</si>
  <si>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</si>
  <si>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</si>
  <si>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</si>
  <si>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</si>
  <si>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</si>
  <si>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</si>
  <si>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</si>
  <si>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</si>
  <si>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</si>
  <si>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</si>
  <si>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</si>
  <si>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</si>
  <si>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</si>
  <si>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</si>
  <si>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</si>
  <si>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</si>
  <si>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</si>
  <si>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</si>
  <si>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</si>
  <si>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</si>
  <si>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</si>
  <si>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</si>
  <si>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</si>
  <si>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</si>
  <si>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</si>
  <si>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</si>
  <si>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</si>
  <si>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</si>
  <si>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</si>
  <si>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</si>
  <si>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</si>
  <si>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</si>
  <si>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</si>
  <si>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</si>
  <si>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</si>
  <si>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</si>
  <si>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</si>
  <si>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</si>
  <si>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</si>
  <si>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</si>
  <si>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</si>
  <si>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</si>
  <si>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</si>
  <si>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</si>
  <si>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</si>
  <si>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</si>
  <si>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</si>
  <si>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</si>
  <si>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</si>
  <si>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</si>
  <si>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</si>
  <si>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</si>
  <si>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</si>
  <si>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</si>
  <si>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</si>
  <si>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</si>
  <si>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</si>
  <si>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</si>
  <si>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</si>
  <si>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</si>
  <si>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</si>
  <si>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</si>
  <si>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</si>
  <si>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</si>
  <si>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</si>
  <si>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</si>
  <si>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</si>
  <si>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</si>
  <si>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</si>
  <si>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</si>
  <si>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</si>
  <si>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</si>
  <si>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</si>
  <si>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</si>
  <si>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</si>
  <si>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</si>
  <si>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</si>
  <si>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</si>
  <si>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</si>
  <si>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</si>
  <si>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</si>
  <si>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</si>
  <si>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</si>
  <si>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</si>
  <si>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</si>
  <si>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</si>
  <si>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</si>
  <si>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</si>
  <si>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</si>
  <si>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</si>
  <si>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</si>
  <si>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</si>
  <si>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</si>
  <si>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</si>
  <si>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</si>
  <si>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</si>
  <si>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</si>
  <si>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</si>
  <si>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</si>
  <si>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</si>
  <si>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</si>
  <si>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</si>
  <si>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</si>
  <si>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</si>
  <si>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</si>
  <si>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</si>
  <si>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</si>
  <si>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</si>
  <si>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</si>
  <si>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</si>
  <si>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</si>
  <si>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</si>
  <si>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</si>
  <si>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</si>
  <si>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</si>
  <si>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</si>
  <si>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</si>
  <si>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</si>
  <si>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</si>
  <si>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</si>
  <si>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</si>
  <si>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</si>
  <si>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</si>
  <si>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</si>
  <si>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</si>
  <si>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</si>
  <si>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</si>
  <si>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</si>
  <si>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</si>
  <si>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</si>
  <si>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</si>
  <si>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</si>
  <si>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</si>
  <si>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</si>
  <si>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</si>
  <si>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</si>
  <si>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</si>
  <si>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</si>
  <si>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</si>
  <si>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</si>
  <si>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</si>
  <si>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</si>
  <si>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</si>
  <si>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</si>
  <si>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</si>
  <si>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</si>
  <si>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</si>
  <si>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</si>
  <si>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</si>
  <si>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</si>
  <si>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</si>
  <si>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</si>
  <si>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</si>
  <si>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</si>
  <si>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</si>
  <si>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</si>
  <si>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</si>
  <si>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</si>
  <si>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</si>
  <si>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</si>
  <si>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</si>
  <si>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</si>
  <si>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</si>
  <si>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</si>
  <si>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</si>
  <si>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</si>
  <si>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</si>
  <si>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</si>
  <si>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</si>
  <si>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</si>
  <si>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</si>
  <si>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</si>
  <si>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</si>
  <si>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</si>
  <si>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</si>
  <si>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</si>
  <si>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</si>
  <si>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</si>
  <si>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</si>
  <si>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</si>
  <si>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</si>
  <si>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</si>
  <si>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</si>
  <si>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</si>
  <si>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</si>
  <si>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</si>
  <si>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</si>
  <si>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</si>
  <si>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</si>
  <si>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</si>
  <si>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</si>
  <si>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</si>
  <si>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</si>
  <si>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</si>
  <si>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</si>
  <si>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</si>
  <si>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</si>
  <si>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</si>
  <si>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</si>
  <si>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</si>
  <si>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</si>
  <si>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</si>
  <si>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</si>
  <si>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</si>
  <si>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</si>
  <si>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</si>
  <si>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</si>
  <si>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</si>
  <si>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</si>
  <si>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</si>
  <si>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</si>
  <si>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</si>
  <si>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</si>
  <si>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</si>
  <si>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</si>
  <si>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</si>
  <si>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</si>
  <si>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</si>
  <si>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</si>
  <si>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</si>
  <si>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</si>
  <si>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</si>
  <si>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</si>
  <si>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</si>
  <si>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</si>
  <si>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</si>
  <si>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</si>
  <si>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</si>
  <si>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</si>
  <si>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</si>
  <si>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</si>
  <si>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</si>
  <si>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</si>
  <si>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</si>
  <si>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</si>
  <si>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</si>
  <si>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</si>
  <si>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</si>
  <si>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</si>
  <si>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</si>
  <si>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</si>
  <si>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</si>
  <si>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</si>
  <si>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</si>
  <si>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</si>
  <si>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</si>
  <si>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</si>
  <si>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</si>
  <si>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</si>
  <si>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</si>
  <si>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</si>
  <si>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</si>
  <si>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</si>
  <si>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</si>
  <si>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</si>
  <si>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</si>
  <si>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</si>
  <si>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</si>
  <si>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</si>
  <si>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</si>
  <si>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</si>
  <si>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</si>
  <si>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</si>
  <si>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</si>
  <si>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</si>
  <si>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</si>
  <si>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</si>
  <si>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</si>
  <si>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</si>
  <si>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</si>
  <si>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</si>
  <si>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</si>
  <si>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</si>
  <si>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</si>
  <si>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</si>
  <si>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</si>
  <si>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</si>
  <si>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</si>
  <si>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</si>
  <si>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</si>
  <si>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</si>
  <si>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</si>
  <si>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</si>
  <si>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</si>
  <si>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</si>
  <si>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</si>
  <si>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</si>
  <si>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</si>
  <si>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</si>
  <si>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</si>
  <si>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</si>
  <si>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</si>
  <si>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</si>
  <si>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</si>
  <si>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</si>
  <si>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</si>
  <si>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</si>
  <si>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</si>
  <si>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</si>
  <si>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</si>
  <si>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</si>
  <si>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</si>
  <si>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</si>
  <si>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</si>
  <si>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</si>
  <si>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</si>
  <si>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</si>
  <si>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</si>
  <si>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</si>
  <si>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</si>
  <si>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</si>
  <si>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</si>
  <si>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</si>
  <si>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</si>
  <si>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</si>
  <si>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</si>
  <si>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</si>
  <si>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</si>
  <si>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</si>
  <si>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</si>
  <si>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</si>
  <si>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</si>
  <si>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</si>
  <si>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</si>
  <si>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</si>
  <si>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</si>
  <si>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</si>
  <si>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</si>
  <si>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</si>
  <si>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</si>
  <si>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</si>
  <si>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</si>
  <si>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</si>
  <si>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</si>
  <si>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</si>
  <si>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</si>
  <si>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</si>
  <si>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</si>
  <si>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</si>
  <si>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</si>
  <si>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</si>
  <si>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</si>
  <si>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</si>
  <si>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</si>
  <si>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</si>
  <si>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</si>
  <si>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</si>
  <si>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</si>
  <si>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</si>
  <si>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</si>
  <si>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</si>
  <si>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</si>
  <si>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</si>
  <si>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</si>
  <si>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</si>
  <si>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</si>
  <si>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</si>
  <si>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</si>
  <si>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</si>
  <si>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</si>
  <si>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</si>
  <si>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</si>
  <si>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</si>
  <si>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</si>
  <si>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</si>
  <si>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</si>
  <si>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</si>
  <si>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</si>
  <si>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</si>
  <si>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</si>
  <si>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</si>
  <si>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</si>
  <si>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</si>
  <si>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</si>
  <si>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</si>
  <si>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</si>
  <si>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</si>
  <si>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</si>
  <si>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</si>
  <si>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</si>
  <si>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</si>
  <si>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</si>
  <si>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</si>
  <si>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</si>
  <si>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</si>
  <si>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</si>
  <si>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</si>
  <si>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</si>
  <si>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</si>
  <si>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</si>
  <si>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</si>
  <si>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</si>
  <si>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</si>
  <si>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</si>
  <si>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</si>
  <si>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</si>
  <si>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</si>
  <si>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</si>
  <si>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</si>
  <si>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</si>
  <si>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</si>
  <si>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</si>
  <si>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</si>
  <si>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</si>
  <si>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</si>
  <si>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</si>
  <si>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</si>
  <si>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</si>
  <si>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</si>
  <si>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</si>
  <si>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</si>
  <si>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</si>
  <si>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</si>
  <si>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</si>
  <si>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</si>
  <si>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</si>
  <si>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</si>
  <si>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</si>
  <si>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</si>
  <si>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</si>
  <si>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</si>
  <si>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</si>
  <si>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</si>
  <si>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</si>
  <si>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</si>
  <si>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</si>
  <si>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</si>
  <si>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</si>
  <si>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</si>
  <si>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</si>
  <si>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</si>
  <si>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</si>
  <si>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</si>
  <si>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</si>
  <si>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</si>
  <si>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</si>
  <si>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</si>
  <si>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</si>
  <si>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</si>
  <si>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</si>
  <si>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</si>
  <si>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</si>
  <si>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</si>
  <si>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</si>
  <si>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</si>
  <si>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</si>
  <si>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</si>
  <si>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</si>
  <si>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</si>
  <si>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</si>
  <si>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</si>
  <si>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</si>
  <si>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</si>
  <si>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</si>
  <si>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</si>
  <si>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</si>
  <si>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</si>
  <si>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</si>
  <si>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</si>
  <si>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</si>
  <si>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</si>
  <si>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</si>
  <si>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</si>
  <si>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</si>
  <si>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</si>
  <si>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</si>
  <si>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</si>
  <si>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</si>
  <si>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</si>
  <si>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</si>
  <si>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</si>
  <si>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</si>
  <si>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</si>
  <si>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</si>
  <si>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</si>
  <si>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</si>
  <si>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</si>
  <si>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</si>
  <si>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</si>
  <si>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</si>
  <si>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</si>
  <si>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</si>
  <si>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</si>
  <si>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</si>
  <si>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</si>
  <si>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</si>
  <si>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</si>
  <si>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</si>
  <si>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</si>
  <si>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</si>
  <si>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</si>
  <si>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</si>
  <si>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</si>
  <si>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</si>
  <si>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</si>
  <si>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</si>
  <si>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</si>
  <si>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</si>
  <si>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</si>
  <si>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</si>
  <si>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</si>
  <si>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</si>
  <si>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</si>
  <si>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</si>
  <si>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</si>
  <si>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</si>
  <si>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</si>
  <si>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</si>
  <si>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</si>
  <si>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</si>
  <si>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</si>
  <si>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</si>
  <si>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</si>
  <si>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</si>
  <si>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</si>
  <si>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</si>
  <si>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</si>
  <si>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</si>
  <si>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</si>
  <si>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</si>
  <si>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</si>
  <si>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</si>
  <si>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</si>
  <si>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</si>
  <si>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</si>
  <si>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</si>
  <si>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</si>
  <si>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</si>
  <si>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</si>
  <si>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</si>
  <si>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</si>
  <si>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</si>
  <si>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</si>
  <si>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</si>
  <si>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</si>
  <si>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</si>
  <si>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</si>
  <si>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</si>
  <si>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</si>
  <si>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</si>
  <si>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</si>
  <si>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</si>
  <si>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</si>
  <si>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</si>
  <si>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</si>
  <si>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</si>
  <si>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</si>
  <si>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</si>
  <si>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</si>
  <si>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</si>
  <si>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</si>
  <si>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</si>
  <si>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</si>
  <si>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</si>
  <si>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</si>
  <si>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</si>
  <si>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</si>
  <si>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</si>
  <si>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</si>
  <si>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</si>
  <si>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</si>
  <si>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</si>
  <si>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</si>
  <si>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</si>
  <si>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</si>
  <si>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</si>
  <si>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</si>
  <si>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</si>
  <si>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</si>
  <si>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</si>
  <si>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</si>
  <si>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</si>
  <si>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</si>
  <si>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</si>
  <si>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</si>
  <si>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</si>
  <si>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</si>
  <si>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</si>
  <si>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</si>
  <si>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</si>
  <si>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</si>
  <si>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</si>
  <si>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</si>
  <si>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</si>
  <si>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</si>
  <si>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</si>
  <si>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</si>
  <si>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</si>
  <si>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</si>
  <si>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</si>
  <si>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</si>
  <si>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</si>
  <si>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</si>
  <si>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</si>
  <si>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</si>
  <si>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</si>
  <si>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</si>
  <si>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</si>
  <si>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</si>
  <si>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</si>
  <si>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</si>
  <si>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</si>
  <si>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</si>
  <si>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</si>
  <si>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</si>
  <si>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</si>
  <si>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</si>
  <si>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</si>
  <si>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</si>
  <si>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</si>
  <si>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</si>
  <si>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</si>
  <si>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</si>
  <si>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</si>
  <si>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</si>
  <si>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</si>
  <si>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</si>
  <si>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</si>
  <si>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</si>
  <si>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</si>
  <si>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</si>
  <si>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</si>
  <si>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</si>
  <si>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</si>
  <si>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</si>
  <si>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</si>
  <si>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</si>
  <si>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</si>
  <si>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</si>
  <si>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</si>
  <si>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</si>
  <si>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</si>
  <si>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</si>
  <si>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</si>
  <si>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</si>
  <si>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</si>
  <si>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</si>
  <si>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</si>
  <si>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</si>
  <si>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</si>
  <si>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</si>
  <si>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</si>
  <si>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</si>
  <si>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</si>
  <si>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</si>
  <si>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</si>
  <si>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</si>
  <si>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</si>
  <si>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</si>
  <si>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</si>
  <si>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</si>
  <si>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</si>
  <si>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</si>
  <si>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</si>
  <si>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</si>
  <si>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</si>
  <si>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</si>
  <si>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</si>
  <si>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</si>
  <si>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</si>
  <si>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</si>
  <si>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</si>
  <si>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</si>
  <si>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</si>
  <si>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</si>
  <si>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</si>
  <si>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</si>
  <si>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</si>
  <si>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</si>
  <si>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</si>
  <si>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</si>
  <si>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</si>
  <si>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</si>
  <si>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</si>
  <si>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</si>
  <si>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</si>
  <si>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</si>
  <si>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</si>
  <si>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</si>
  <si>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</si>
  <si>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</si>
  <si>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</si>
  <si>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</si>
  <si>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</si>
  <si>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</si>
  <si>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</si>
  <si>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</si>
  <si>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</si>
  <si>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</si>
  <si>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</si>
  <si>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</si>
  <si>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</si>
  <si>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</si>
  <si>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</si>
  <si>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</si>
  <si>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</si>
  <si>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</si>
  <si>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</si>
  <si>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</si>
  <si>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</si>
  <si>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</si>
  <si>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</si>
  <si>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</si>
  <si>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</si>
  <si>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</si>
  <si>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</si>
  <si>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</si>
  <si>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</si>
  <si>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</si>
  <si>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</si>
  <si>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</si>
  <si>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</si>
  <si>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</si>
  <si>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</si>
  <si>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</si>
  <si>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</si>
  <si>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</si>
  <si>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</si>
  <si>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</si>
  <si>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</si>
  <si>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</si>
  <si>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</si>
  <si>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</si>
  <si>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</si>
  <si>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</si>
  <si>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</si>
  <si>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</si>
  <si>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</si>
  <si>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</si>
  <si>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</si>
  <si>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</si>
  <si>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</si>
  <si>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</si>
  <si>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</si>
  <si>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</si>
  <si>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</si>
  <si>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</si>
  <si>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</si>
  <si>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</si>
  <si>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</si>
  <si>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</si>
  <si>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</si>
  <si>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</si>
  <si>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</si>
  <si>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</si>
  <si>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</si>
  <si>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</si>
  <si>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</si>
  <si>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</si>
  <si>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</si>
  <si>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</si>
  <si>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</si>
  <si>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</si>
  <si>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</si>
  <si>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</si>
  <si>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</si>
  <si>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</si>
  <si>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</si>
  <si>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</si>
  <si>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</si>
  <si>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</si>
  <si>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</si>
  <si>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</si>
  <si>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</si>
  <si>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</si>
  <si>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</si>
  <si>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</si>
  <si>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</si>
  <si>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</si>
  <si>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</si>
  <si>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</si>
  <si>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</si>
  <si>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</si>
  <si>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</si>
  <si>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</si>
  <si>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</si>
  <si>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</si>
  <si>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</si>
  <si>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</si>
  <si>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</si>
  <si>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</si>
  <si>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</si>
  <si>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</si>
  <si>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</si>
  <si>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</si>
  <si>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</si>
  <si>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</si>
  <si>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</si>
  <si>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</si>
  <si>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</si>
  <si>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</si>
  <si>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</si>
  <si>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</si>
  <si>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</si>
  <si>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</si>
  <si>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</si>
  <si>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</si>
  <si>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</si>
  <si>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</si>
  <si>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</si>
  <si>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</si>
  <si>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</si>
  <si>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</si>
  <si>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</si>
  <si>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</si>
  <si>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</si>
  <si>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</si>
  <si>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</si>
  <si>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</si>
  <si>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</si>
  <si>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</si>
  <si>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</si>
  <si>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</si>
  <si>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</si>
  <si>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</si>
  <si>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</si>
  <si>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</si>
  <si>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</si>
  <si>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</si>
  <si>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</si>
  <si>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</si>
  <si>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</si>
  <si>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</si>
  <si>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</si>
  <si>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</si>
  <si>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</si>
  <si>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</si>
  <si>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</si>
  <si>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</si>
  <si>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</si>
  <si>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</si>
  <si>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</si>
  <si>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</si>
  <si>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</si>
  <si>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</si>
  <si>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</si>
  <si>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</si>
  <si>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</si>
  <si>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</si>
  <si>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</si>
  <si>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</si>
  <si>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</si>
  <si>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</si>
  <si>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</si>
  <si>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</si>
  <si>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</si>
  <si>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</si>
  <si>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</si>
  <si>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</si>
  <si>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</si>
  <si>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</si>
  <si>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</si>
  <si>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</si>
  <si>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</si>
  <si>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</si>
  <si>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</si>
  <si>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</si>
  <si>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</si>
  <si>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</si>
  <si>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</si>
  <si>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</si>
  <si>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</si>
  <si>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</si>
  <si>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</si>
  <si>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</si>
  <si>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</si>
  <si>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</si>
  <si>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</si>
  <si>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</si>
  <si>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</si>
  <si>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</si>
  <si>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</si>
  <si>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</si>
  <si>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</si>
  <si>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</si>
  <si>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</si>
  <si>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</si>
  <si>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</si>
  <si>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</si>
  <si>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</si>
  <si>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</si>
  <si>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</si>
  <si>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</si>
  <si>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</si>
  <si>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</si>
  <si>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</si>
  <si>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</si>
  <si>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</si>
  <si>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</si>
  <si>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</si>
  <si>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</si>
  <si>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</si>
  <si>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</si>
  <si>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</si>
  <si>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</si>
  <si>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</si>
  <si>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</si>
  <si>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</si>
  <si>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</si>
  <si>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</si>
  <si>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</si>
  <si>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</si>
  <si>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</si>
  <si>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</si>
  <si>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</si>
  <si>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</si>
  <si>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</si>
  <si>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</si>
  <si>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</si>
  <si>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</si>
  <si>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</si>
  <si>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</si>
  <si>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</si>
  <si>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</si>
  <si>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</si>
  <si>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</si>
  <si>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</si>
  <si>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</si>
  <si>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</si>
  <si>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</si>
  <si>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</si>
  <si>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</si>
  <si>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</si>
  <si>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</si>
  <si>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</si>
  <si>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</si>
  <si>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</si>
  <si>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</si>
  <si>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</si>
  <si>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</si>
  <si>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</si>
  <si>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</si>
  <si>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</si>
  <si>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</si>
  <si>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</si>
  <si>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</si>
  <si>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</si>
  <si>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</si>
  <si>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</si>
  <si>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</si>
  <si>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</si>
  <si>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</si>
  <si>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</si>
  <si>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</si>
  <si>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</si>
  <si>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</si>
  <si>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</si>
  <si>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</si>
  <si>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</si>
  <si>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</si>
  <si>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</si>
  <si>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</si>
  <si>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</si>
  <si>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</si>
  <si>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</si>
  <si>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</si>
  <si>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</si>
  <si>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</si>
  <si>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</si>
  <si>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</si>
  <si>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</si>
  <si>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</si>
  <si>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</si>
  <si>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</si>
  <si>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</si>
  <si>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</si>
  <si>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</si>
  <si>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</si>
  <si>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</si>
  <si>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</si>
  <si>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</si>
  <si>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</si>
  <si>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</si>
  <si>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</si>
  <si>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</si>
  <si>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</si>
  <si>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</si>
  <si>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</si>
  <si>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</si>
  <si>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</si>
  <si>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</si>
  <si>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</si>
  <si>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</si>
  <si>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</si>
  <si>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</si>
  <si>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</si>
  <si>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</si>
  <si>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</si>
  <si>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</si>
  <si>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</si>
  <si>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</si>
  <si>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</si>
  <si>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</si>
  <si>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</si>
  <si>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</si>
  <si>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</si>
  <si>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</si>
  <si>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</si>
  <si>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</si>
  <si>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</si>
  <si>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</si>
  <si>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</si>
  <si>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</si>
  <si>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</si>
  <si>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</si>
  <si>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</si>
  <si>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</si>
  <si>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</si>
  <si>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</si>
  <si>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</si>
  <si>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</si>
  <si>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</si>
  <si>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</si>
  <si>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</si>
  <si>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</si>
  <si>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</si>
  <si>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</si>
  <si>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</si>
  <si>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</si>
  <si>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</si>
  <si>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</si>
  <si>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</si>
  <si>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</si>
  <si>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</si>
  <si>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</si>
  <si>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加總</t>
    <phoneticPr fontId="2" type="noConversion"/>
  </si>
  <si>
    <t>平均值</t>
    <phoneticPr fontId="2" type="noConversion"/>
  </si>
  <si>
    <t>計算加總</t>
    <phoneticPr fontId="2" type="noConversion"/>
  </si>
  <si>
    <t>項目個數</t>
    <phoneticPr fontId="2" type="noConversion"/>
  </si>
  <si>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</si>
  <si>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</si>
  <si>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</si>
  <si>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</si>
  <si>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</si>
  <si>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</si>
  <si>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</si>
  <si>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</si>
  <si>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</si>
  <si>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</si>
  <si>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</si>
  <si>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</si>
  <si>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</si>
  <si>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</si>
  <si>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</si>
  <si>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</si>
  <si>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</si>
  <si>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</si>
  <si>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</si>
  <si>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</si>
  <si>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</si>
  <si>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</si>
  <si>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</si>
  <si>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</si>
  <si>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</si>
  <si>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</si>
  <si>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</si>
  <si>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</si>
  <si>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</si>
  <si>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</si>
  <si>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</si>
  <si>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</si>
  <si>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</si>
  <si>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</si>
  <si>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</si>
  <si>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</si>
  <si>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</si>
  <si>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車車屍搭普</t>
    <phoneticPr fontId="2" type="noConversion"/>
  </si>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</sst>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printerSettings" Target="../printerSettings/printerSettings2.bin"/><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492" activePane="bottomRight" state="frozen"/>
      <selection pane="topRight" activeCell="B1" sqref="B1"/>
      <selection pane="bottomLeft" activeCell="A2" sqref="A2"/>
      <selection pane="bottomRight" activeCell="G504" sqref="G504"/>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21" t="s">
        <v>5939</v>
      </c>
      <c r="M480" s="22">
        <v>2773</v>
      </c>
      <c r="N480" s="21" t="s">
        <v>5940</v>
      </c>
      <c r="O480" s="22">
        <v>1438</v>
      </c>
      <c r="P480" s="21" t="s">
        <v>5941</v>
      </c>
      <c r="Q480" s="22">
        <v>850</v>
      </c>
      <c r="R480" s="21" t="s">
        <v>5942</v>
      </c>
      <c r="S480" s="22">
        <v>747</v>
      </c>
      <c r="T480" s="21" t="s">
        <v>5943</v>
      </c>
      <c r="U480" s="22">
        <v>575</v>
      </c>
      <c r="V480" s="21" t="s">
        <v>5944</v>
      </c>
      <c r="W480" s="22">
        <v>421</v>
      </c>
      <c r="X480" s="21" t="s">
        <v>8629</v>
      </c>
      <c r="Y480" s="22">
        <v>283</v>
      </c>
      <c r="Z480" s="21" t="s">
        <v>5946</v>
      </c>
      <c r="AA480" s="22">
        <v>146</v>
      </c>
      <c r="AB480" s="21" t="s">
        <v>5947</v>
      </c>
      <c r="AC480" s="22">
        <v>28</v>
      </c>
    </row>
    <row r="481" spans="1:29"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29"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29"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21" t="s">
        <v>5939</v>
      </c>
      <c r="M483" s="22">
        <v>2773</v>
      </c>
      <c r="N483" s="21" t="s">
        <v>5940</v>
      </c>
      <c r="O483" s="22">
        <v>1438</v>
      </c>
      <c r="P483" s="21" t="s">
        <v>5941</v>
      </c>
      <c r="Q483" s="22">
        <v>850</v>
      </c>
      <c r="R483" s="21" t="s">
        <v>5942</v>
      </c>
      <c r="S483" s="22">
        <v>747</v>
      </c>
      <c r="T483" s="21" t="s">
        <v>5943</v>
      </c>
      <c r="U483" s="22">
        <v>575</v>
      </c>
      <c r="V483" s="21" t="s">
        <v>5944</v>
      </c>
      <c r="W483" s="22">
        <v>421</v>
      </c>
      <c r="X483" s="21" t="s">
        <v>8629</v>
      </c>
      <c r="Y483" s="22">
        <v>283</v>
      </c>
      <c r="Z483" s="21" t="s">
        <v>5946</v>
      </c>
      <c r="AA483" s="22">
        <v>146</v>
      </c>
      <c r="AB483" s="21" t="s">
        <v>5947</v>
      </c>
      <c r="AC483" s="22">
        <v>28</v>
      </c>
    </row>
    <row r="484" spans="1:29"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29"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29"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29"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29"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29"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29"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46</v>
      </c>
      <c r="M490" s="112">
        <v>2532</v>
      </c>
      <c r="N490" s="111" t="s">
        <v>1677</v>
      </c>
      <c r="O490" s="112">
        <v>1274</v>
      </c>
      <c r="P490" s="111" t="s">
        <v>151</v>
      </c>
      <c r="Q490" s="112">
        <v>854</v>
      </c>
      <c r="R490" s="111" t="s">
        <v>152</v>
      </c>
      <c r="S490" s="112">
        <v>578</v>
      </c>
      <c r="T490" s="111" t="s">
        <v>153</v>
      </c>
      <c r="U490" s="112">
        <v>423</v>
      </c>
      <c r="V490" s="111" t="s">
        <v>6549</v>
      </c>
      <c r="W490" s="112">
        <v>276</v>
      </c>
      <c r="X490" s="111" t="s">
        <v>6550</v>
      </c>
      <c r="Y490" s="112">
        <v>129</v>
      </c>
      <c r="Z490" s="111" t="s">
        <v>8447</v>
      </c>
      <c r="AA490" s="112">
        <v>86</v>
      </c>
      <c r="AB490" s="111" t="s">
        <v>6553</v>
      </c>
      <c r="AC490" s="112">
        <v>28</v>
      </c>
    </row>
    <row r="491" spans="1:29"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29"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29"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29"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46</v>
      </c>
      <c r="M494" s="112">
        <v>2532</v>
      </c>
      <c r="N494" s="111" t="s">
        <v>1677</v>
      </c>
      <c r="O494" s="112">
        <v>1274</v>
      </c>
      <c r="P494" s="111" t="s">
        <v>151</v>
      </c>
      <c r="Q494" s="112">
        <v>854</v>
      </c>
      <c r="R494" s="111" t="s">
        <v>152</v>
      </c>
      <c r="S494" s="112">
        <v>578</v>
      </c>
      <c r="T494" s="111" t="s">
        <v>153</v>
      </c>
      <c r="U494" s="112">
        <v>423</v>
      </c>
      <c r="V494" s="111" t="s">
        <v>6549</v>
      </c>
      <c r="W494" s="112">
        <v>276</v>
      </c>
      <c r="X494" s="111" t="s">
        <v>6550</v>
      </c>
      <c r="Y494" s="112">
        <v>129</v>
      </c>
      <c r="Z494" s="111" t="s">
        <v>8447</v>
      </c>
      <c r="AA494" s="112">
        <v>86</v>
      </c>
      <c r="AB494" s="111" t="s">
        <v>6553</v>
      </c>
      <c r="AC494" s="112">
        <v>28</v>
      </c>
    </row>
    <row r="495" spans="1:29"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29"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29" ht="28.5" customHeight="1" thickBot="1">
      <c r="A497" s="114" t="s">
        <v>8851</v>
      </c>
      <c r="C497" s="8" t="s">
        <v>8843</v>
      </c>
      <c r="D497" s="9" t="s">
        <v>8846</v>
      </c>
      <c r="E497" s="9" t="s">
        <v>8845</v>
      </c>
      <c r="F497" s="8" t="str">
        <f t="shared" si="20"/>
        <v>gift-codes.html?game=丞相請出山：破局</v>
      </c>
      <c r="G497" s="9" t="s">
        <v>8844</v>
      </c>
      <c r="H497" s="9" t="str">
        <f t="shared" si="21"/>
        <v>https://www.ssbuy.tw/game-detail.html?game=丞相請出山：破局</v>
      </c>
      <c r="I497" s="10" t="s">
        <v>8852</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29" ht="28.5" customHeight="1" thickBot="1">
      <c r="A498" s="114" t="s">
        <v>8855</v>
      </c>
      <c r="D498" s="9" t="s">
        <v>8857</v>
      </c>
      <c r="E498" s="9" t="s">
        <v>8862</v>
      </c>
      <c r="F498" s="8" t="str">
        <f t="shared" si="20"/>
        <v>gift-codes.html?game=MLB® The Show™</v>
      </c>
      <c r="G498" s="9" t="s">
        <v>8858</v>
      </c>
      <c r="H498" s="9" t="str">
        <f t="shared" si="21"/>
        <v>https://www.ssbuy.tw/game-detail.html?game=MLB® The Show™</v>
      </c>
      <c r="I498" s="10" t="s">
        <v>8864</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29" ht="28.5" customHeight="1" thickBot="1">
      <c r="A499" s="114" t="s">
        <v>8856</v>
      </c>
      <c r="C499" s="8" t="s">
        <v>8861</v>
      </c>
      <c r="E499" s="9" t="s">
        <v>8859</v>
      </c>
      <c r="F499" s="8" t="str">
        <f t="shared" si="20"/>
        <v>gift-codes.html?game=龍村3</v>
      </c>
      <c r="G499" s="9" t="s">
        <v>8860</v>
      </c>
      <c r="H499" s="9" t="str">
        <f t="shared" si="21"/>
        <v>https://www.ssbuy.tw/game-detail.html?game=龍村3</v>
      </c>
      <c r="I499" s="10" t="s">
        <v>8863</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29" ht="28.5" customHeight="1" thickBot="1">
      <c r="A500" s="114" t="s">
        <v>8888</v>
      </c>
      <c r="C500" s="8" t="s">
        <v>8887</v>
      </c>
      <c r="D500" s="9" t="s">
        <v>8884</v>
      </c>
      <c r="E500" s="9" t="s">
        <v>8886</v>
      </c>
      <c r="F500" s="8" t="str">
        <f t="shared" si="20"/>
        <v>gift-codes.html?game=車車屍搭普</v>
      </c>
      <c r="G500" s="9" t="s">
        <v>8885</v>
      </c>
      <c r="H500" s="9" t="str">
        <f t="shared" si="21"/>
        <v>https://www.ssbuy.tw/game-detail.html?game=車車屍搭普</v>
      </c>
      <c r="I500" s="10" t="s">
        <v>8900</v>
      </c>
      <c r="J500" s="16" t="s">
        <v>5418</v>
      </c>
      <c r="K500" s="39" t="s">
        <v>5446</v>
      </c>
      <c r="L500" s="21" t="s">
        <v>5939</v>
      </c>
      <c r="M500" s="22">
        <v>2773</v>
      </c>
      <c r="N500" s="21" t="s">
        <v>5940</v>
      </c>
      <c r="O500" s="22">
        <v>1438</v>
      </c>
      <c r="P500" s="21" t="s">
        <v>5941</v>
      </c>
      <c r="Q500" s="22">
        <v>850</v>
      </c>
      <c r="R500" s="21" t="s">
        <v>5942</v>
      </c>
      <c r="S500" s="22">
        <v>747</v>
      </c>
      <c r="T500" s="21" t="s">
        <v>5943</v>
      </c>
      <c r="U500" s="22">
        <v>575</v>
      </c>
      <c r="V500" s="21" t="s">
        <v>5944</v>
      </c>
      <c r="W500" s="22">
        <v>421</v>
      </c>
      <c r="X500" s="21" t="s">
        <v>8629</v>
      </c>
      <c r="Y500" s="22">
        <v>283</v>
      </c>
      <c r="Z500" s="21" t="s">
        <v>5946</v>
      </c>
      <c r="AA500" s="22">
        <v>146</v>
      </c>
      <c r="AB500" s="21" t="s">
        <v>5947</v>
      </c>
      <c r="AC500" s="22">
        <v>28</v>
      </c>
    </row>
    <row r="501" spans="1:29" ht="28.5" customHeight="1" thickBot="1">
      <c r="A501" s="114" t="s">
        <v>8925</v>
      </c>
      <c r="C501" s="8" t="s">
        <v>8929</v>
      </c>
      <c r="D501" s="9" t="s">
        <v>8928</v>
      </c>
      <c r="E501" s="9" t="s">
        <v>8927</v>
      </c>
      <c r="F501" s="8" t="str">
        <f t="shared" si="20"/>
        <v>gift-codes.html?game=鋼嵐</v>
      </c>
      <c r="G501" s="9" t="s">
        <v>8926</v>
      </c>
      <c r="H501" s="9" t="str">
        <f t="shared" si="21"/>
        <v>https://www.ssbuy.tw/game-detail.html?game=鋼嵐</v>
      </c>
      <c r="I501" s="10" t="s">
        <v>8930</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29" ht="28.5" customHeight="1" thickBot="1">
      <c r="A502" s="114" t="s">
        <v>8939</v>
      </c>
      <c r="C502" s="8" t="s">
        <v>8934</v>
      </c>
      <c r="D502" s="127" t="s">
        <v>8931</v>
      </c>
      <c r="E502" s="9" t="s">
        <v>8932</v>
      </c>
      <c r="F502" s="8" t="str">
        <f t="shared" si="20"/>
        <v>gift-codes.html?game=Illusion Connect：Re</v>
      </c>
      <c r="G502" s="9" t="s">
        <v>8933</v>
      </c>
      <c r="H502" s="9" t="str">
        <f t="shared" si="21"/>
        <v>https://www.ssbuy.tw/game-detail.html?game=Illusion Connect：Re</v>
      </c>
      <c r="I502" s="10" t="s">
        <v>8941</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29" ht="28.5" customHeight="1" thickBot="1">
      <c r="A503" s="114" t="s">
        <v>8935</v>
      </c>
      <c r="C503" s="8" t="s">
        <v>8938</v>
      </c>
      <c r="D503" s="9" t="s">
        <v>8936</v>
      </c>
      <c r="F503" s="8" t="str">
        <f t="shared" si="20"/>
        <v>gift-codes.html?game=最強石器：重返尼斯</v>
      </c>
      <c r="G503" s="9" t="s">
        <v>8937</v>
      </c>
      <c r="H503" s="9" t="str">
        <f t="shared" si="21"/>
        <v>https://www.ssbuy.tw/game-detail.html?game=最強石器：重返尼斯</v>
      </c>
      <c r="I503" s="10" t="s">
        <v>8940</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29" ht="28.5" customHeight="1">
      <c r="F504" s="8" t="str">
        <f t="shared" si="20"/>
        <v/>
      </c>
      <c r="H504" s="9" t="str">
        <f t="shared" si="21"/>
        <v/>
      </c>
    </row>
    <row r="505" spans="1:29" ht="28.5" customHeight="1">
      <c r="F505" s="8" t="str">
        <f t="shared" si="20"/>
        <v/>
      </c>
      <c r="H505" s="9" t="str">
        <f t="shared" si="21"/>
        <v/>
      </c>
    </row>
    <row r="506" spans="1:29" ht="28.5" customHeight="1">
      <c r="F506" s="8" t="str">
        <f t="shared" si="20"/>
        <v/>
      </c>
      <c r="H506" s="9" t="str">
        <f t="shared" si="21"/>
        <v/>
      </c>
    </row>
    <row r="507" spans="1:29" ht="28.5" customHeight="1">
      <c r="F507" s="8" t="str">
        <f t="shared" si="20"/>
        <v/>
      </c>
      <c r="H507" s="9" t="str">
        <f t="shared" si="21"/>
        <v/>
      </c>
    </row>
    <row r="508" spans="1:29" ht="28.5" customHeight="1">
      <c r="F508" s="8" t="str">
        <f t="shared" si="20"/>
        <v/>
      </c>
      <c r="H508" s="9" t="str">
        <f t="shared" si="21"/>
        <v/>
      </c>
    </row>
    <row r="509" spans="1:29" ht="28.5" customHeight="1">
      <c r="F509" s="8" t="str">
        <f t="shared" si="20"/>
        <v/>
      </c>
      <c r="H509" s="9" t="str">
        <f t="shared" si="21"/>
        <v/>
      </c>
    </row>
    <row r="510" spans="1:29" ht="28.5" customHeight="1">
      <c r="F510" s="8" t="str">
        <f t="shared" si="20"/>
        <v/>
      </c>
      <c r="H510" s="9" t="str">
        <f t="shared" si="21"/>
        <v/>
      </c>
    </row>
    <row r="511" spans="1:29" ht="28.5" customHeight="1">
      <c r="F511" s="8" t="str">
        <f t="shared" si="20"/>
        <v/>
      </c>
      <c r="H511" s="9" t="str">
        <f t="shared" si="21"/>
        <v/>
      </c>
    </row>
    <row r="512" spans="1:29"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B496" activePane="bottomRight" state="frozen"/>
      <selection pane="topRight" activeCell="B1" sqref="B1"/>
      <selection pane="bottomLeft" activeCell="A2" sqref="A2"/>
      <selection pane="bottomRight" activeCell="I506" sqref="I506"/>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8901</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8903</v>
      </c>
      <c r="G480" s="3" t="s">
        <v>8904</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8902</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8875</v>
      </c>
      <c r="H482" s="51" t="s">
        <v>6988</v>
      </c>
      <c r="K482" s="100" t="s">
        <v>5495</v>
      </c>
      <c r="L482" s="51" t="s">
        <v>5496</v>
      </c>
      <c r="M482" s="6" t="s">
        <v>8865</v>
      </c>
      <c r="O482" s="6" t="s">
        <v>1932</v>
      </c>
      <c r="Q482" s="6" t="s">
        <v>8866</v>
      </c>
      <c r="S482" s="6" t="s">
        <v>8867</v>
      </c>
      <c r="U482" s="6" t="s">
        <v>8868</v>
      </c>
      <c r="W482" s="6" t="s">
        <v>8869</v>
      </c>
      <c r="Y482" s="6" t="s">
        <v>8870</v>
      </c>
      <c r="AA482" s="6" t="s">
        <v>8871</v>
      </c>
      <c r="AC482" s="6" t="s">
        <v>8872</v>
      </c>
      <c r="AE482" s="6" t="s">
        <v>8873</v>
      </c>
      <c r="AG482" s="6" t="s">
        <v>8874</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8880</v>
      </c>
      <c r="G483" s="3" t="s">
        <v>8881</v>
      </c>
      <c r="H483" s="51" t="s">
        <v>6988</v>
      </c>
      <c r="K483" s="100" t="s">
        <v>5495</v>
      </c>
      <c r="L483" s="51" t="s">
        <v>5496</v>
      </c>
      <c r="M483" s="6" t="s">
        <v>1932</v>
      </c>
      <c r="N483" s="40" t="s">
        <v>8882</v>
      </c>
      <c r="O483" s="6" t="s">
        <v>8879</v>
      </c>
      <c r="P483" s="40" t="s">
        <v>8883</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8876</v>
      </c>
      <c r="O485" s="6" t="s">
        <v>8877</v>
      </c>
      <c r="Q485" s="6" t="s">
        <v>8878</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8853</v>
      </c>
      <c r="G493" s="3" t="s">
        <v>8854</v>
      </c>
      <c r="H493" s="51" t="s">
        <v>6988</v>
      </c>
      <c r="K493" s="100" t="s">
        <v>5495</v>
      </c>
      <c r="L493" s="51" t="s">
        <v>5496</v>
      </c>
      <c r="M493" s="6" t="s">
        <v>8816</v>
      </c>
      <c r="O493" s="6" t="s">
        <v>8817</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5232</v>
      </c>
      <c r="K494" s="100" t="s">
        <v>5495</v>
      </c>
      <c r="L494" s="51" t="s">
        <v>5496</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5232</v>
      </c>
      <c r="K496" s="100" t="s">
        <v>5495</v>
      </c>
      <c r="L496" s="51" t="s">
        <v>5496</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8899</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5232</v>
      </c>
      <c r="K499" s="100" t="s">
        <v>5495</v>
      </c>
      <c r="L499" s="51" t="s">
        <v>5496</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8853</v>
      </c>
      <c r="G500" s="3" t="s">
        <v>8889</v>
      </c>
      <c r="H500" s="51" t="s">
        <v>6988</v>
      </c>
      <c r="K500" s="100" t="s">
        <v>5495</v>
      </c>
      <c r="L500" s="51" t="s">
        <v>5496</v>
      </c>
      <c r="M500" s="6" t="s">
        <v>8890</v>
      </c>
      <c r="N500" s="40" t="s">
        <v>8893</v>
      </c>
      <c r="O500" s="6" t="s">
        <v>8891</v>
      </c>
      <c r="P500" s="40" t="s">
        <v>8894</v>
      </c>
      <c r="Q500" s="6" t="s">
        <v>8892</v>
      </c>
      <c r="R500" s="40" t="s">
        <v>8895</v>
      </c>
      <c r="S500" s="6" t="s">
        <v>8896</v>
      </c>
      <c r="U500" s="6" t="s">
        <v>8897</v>
      </c>
      <c r="W500" s="6" t="s">
        <v>8898</v>
      </c>
      <c r="Y500" s="6" t="s">
        <v>8905</v>
      </c>
      <c r="Z500" s="40" t="s">
        <v>8912</v>
      </c>
      <c r="AA500" s="6" t="s">
        <v>8906</v>
      </c>
      <c r="AB500" s="40" t="s">
        <v>8913</v>
      </c>
      <c r="AC500" s="6" t="s">
        <v>8793</v>
      </c>
      <c r="AD500" s="40" t="s">
        <v>8914</v>
      </c>
      <c r="AE500" s="6" t="s">
        <v>2056</v>
      </c>
      <c r="AF500" s="40" t="s">
        <v>8915</v>
      </c>
      <c r="AG500" s="6" t="s">
        <v>8907</v>
      </c>
      <c r="AH500" s="40" t="s">
        <v>8916</v>
      </c>
      <c r="AI500" s="6" t="s">
        <v>8908</v>
      </c>
      <c r="AJ500" s="40" t="s">
        <v>8917</v>
      </c>
      <c r="AK500" s="6" t="s">
        <v>8909</v>
      </c>
      <c r="AL500" s="40" t="s">
        <v>8918</v>
      </c>
      <c r="AM500" s="6" t="s">
        <v>8910</v>
      </c>
      <c r="AN500" s="40" t="s">
        <v>8919</v>
      </c>
      <c r="AO500" s="6" t="s">
        <v>8911</v>
      </c>
      <c r="AP500" s="40" t="s">
        <v>8920</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8853</v>
      </c>
      <c r="G501" s="3" t="s">
        <v>8854</v>
      </c>
      <c r="H501" s="51" t="s">
        <v>6988</v>
      </c>
      <c r="K501" s="100" t="s">
        <v>5495</v>
      </c>
      <c r="L501" s="51" t="s">
        <v>5496</v>
      </c>
      <c r="M501" s="6" t="s">
        <v>8921</v>
      </c>
      <c r="N501" s="128" t="s">
        <v>8922</v>
      </c>
      <c r="O501" s="6" t="s">
        <v>8923</v>
      </c>
      <c r="P501" s="40" t="s">
        <v>8924</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5232</v>
      </c>
      <c r="K502" s="100" t="s">
        <v>5495</v>
      </c>
      <c r="L502" s="51" t="s">
        <v>5496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5232</v>
      </c>
      <c r="K503" s="100" t="s">
        <v>5495</v>
      </c>
      <c r="L503" s="51" t="s">
        <v>5496</v>
      </c>
    </row>
    <row r="504" spans="1:42" ht="28.5" customHeight="1">
      <c r="A504" s="67" t="str">
        <f>IF(games!A504="", "", games!A504)</f>
        <v/>
      </c>
      <c r="C504" s="51" t="str">
        <f t="shared" si="20"/>
        <v/>
      </c>
      <c r="D504" s="51" t="str">
        <f t="shared" si="21"/>
        <v/>
      </c>
      <c r="E504" s="91" t="str">
        <f>IF(games!I504&lt;&gt;"", games!I504, "")</f>
        <v/>
      </c>
    </row>
    <row r="505" spans="1:42" ht="28.5" customHeight="1">
      <c r="A505" s="67" t="str">
        <f>IF(games!A505="", "", games!A505)</f>
        <v/>
      </c>
      <c r="C505" s="51" t="str">
        <f t="shared" si="20"/>
        <v/>
      </c>
      <c r="D505" s="51" t="str">
        <f t="shared" si="21"/>
        <v/>
      </c>
      <c r="E505" s="91" t="str">
        <f>IF(games!I505&lt;&gt;"", games!I505, "")</f>
        <v/>
      </c>
    </row>
    <row r="506" spans="1:42" ht="28.5" customHeight="1">
      <c r="A506" s="67" t="str">
        <f>IF(games!A506="", "", games!A506)</f>
        <v/>
      </c>
      <c r="C506" s="51" t="str">
        <f t="shared" si="20"/>
        <v/>
      </c>
      <c r="D506" s="51" t="str">
        <f t="shared" si="21"/>
        <v/>
      </c>
      <c r="E506" s="91" t="str">
        <f>IF(games!I506&lt;&gt;"", games!I506, "")</f>
        <v/>
      </c>
    </row>
    <row r="507" spans="1:42" ht="28.5" customHeight="1">
      <c r="A507" s="67" t="str">
        <f>IF(games!A507="", "", games!A507)</f>
        <v/>
      </c>
      <c r="C507" s="51" t="str">
        <f t="shared" si="20"/>
        <v/>
      </c>
      <c r="D507" s="51" t="str">
        <f t="shared" si="21"/>
        <v/>
      </c>
      <c r="E507" s="91" t="str">
        <f>IF(games!I507&lt;&gt;"", games!I507, "")</f>
        <v/>
      </c>
    </row>
    <row r="508" spans="1:42" ht="28.5" customHeight="1">
      <c r="A508" s="67" t="str">
        <f>IF(games!A508="", "", games!A508)</f>
        <v/>
      </c>
      <c r="C508" s="51" t="str">
        <f t="shared" si="20"/>
        <v/>
      </c>
      <c r="D508" s="51" t="str">
        <f t="shared" si="21"/>
        <v/>
      </c>
      <c r="E508" s="91" t="str">
        <f>IF(games!I508&lt;&gt;"", games!I508, "")</f>
        <v/>
      </c>
    </row>
    <row r="509" spans="1:42" ht="28.5" customHeight="1">
      <c r="A509" s="67" t="str">
        <f>IF(games!A509="", "", games!A509)</f>
        <v/>
      </c>
      <c r="C509" s="51" t="str">
        <f t="shared" si="20"/>
        <v/>
      </c>
      <c r="D509" s="51" t="str">
        <f t="shared" si="21"/>
        <v/>
      </c>
      <c r="E509" s="91" t="str">
        <f>IF(games!I509&lt;&gt;"", games!I509, "")</f>
        <v/>
      </c>
    </row>
    <row r="510" spans="1:42" ht="28.5" customHeight="1">
      <c r="A510" s="67" t="str">
        <f>IF(games!A510="", "", games!A510)</f>
        <v/>
      </c>
      <c r="C510" s="51" t="str">
        <f t="shared" si="20"/>
        <v/>
      </c>
      <c r="D510" s="51" t="str">
        <f t="shared" si="21"/>
        <v/>
      </c>
      <c r="E510" s="91" t="str">
        <f>IF(games!I510&lt;&gt;"", games!I510, "")</f>
        <v/>
      </c>
    </row>
    <row r="511" spans="1:42" ht="28.5" customHeight="1">
      <c r="A511" s="67" t="str">
        <f>IF(games!A511="", "", games!A511)</f>
        <v/>
      </c>
      <c r="C511" s="51" t="str">
        <f t="shared" si="20"/>
        <v/>
      </c>
      <c r="D511" s="51" t="str">
        <f t="shared" si="21"/>
        <v/>
      </c>
      <c r="E511" s="91" t="str">
        <f>IF(games!I511&lt;&gt;"", games!I511, "")</f>
        <v/>
      </c>
    </row>
    <row r="512" spans="1:42"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s>
  <pageMargins left="0.7" right="0.7" top="0.75" bottom="0.75" header="0.3" footer="0.3"/>
  <pageSetup paperSize="9" orientation="portrait" r:id="rId24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2026-06-01T08:25:13Z</dcterms:modified>
</cp:coreProperties>
</file>