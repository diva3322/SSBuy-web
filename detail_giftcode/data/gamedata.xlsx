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<sst xmlns="http://schemas.openxmlformats.org/spreadsheetml/2006/main" count="13694" uniqueCount="9028">
  <si>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</si>
  <si>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</si>
  <si>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</si>
  <si>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</si>
  <si>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</si>
  <si>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</si>
  <si>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</si>
  <si>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</si>
  <si>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</si>
  <si>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</si>
  <si>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</si>
  <si>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</si>
  <si>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</si>
  <si>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</si>
  <si>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</si>
  <si>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</si>
  <si>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</si>
  <si>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</si>
  <si>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</si>
  <si>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</si>
  <si>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</si>
  <si>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</si>
  <si>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</si>
  <si>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</si>
  <si>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</si>
  <si>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</si>
  <si>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</si>
  <si>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</si>
  <si>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</si>
  <si>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</si>
  <si>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</si>
  <si>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</si>
  <si>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</si>
  <si>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</si>
  <si>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</si>
  <si>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</si>
  <si>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</si>
  <si>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</si>
  <si>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</si>
  <si>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</si>
  <si>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</si>
  <si>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</si>
  <si>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</si>
  <si>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</si>
  <si>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</si>
  <si>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</si>
  <si>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</si>
  <si>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</si>
  <si>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</si>
  <si>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</si>
  <si>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</si>
  <si>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</si>
  <si>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</si>
  <si>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</si>
  <si>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</si>
  <si>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</si>
  <si>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</si>
  <si>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</si>
  <si>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</si>
  <si>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</si>
  <si>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</si>
  <si>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</si>
  <si>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</si>
  <si>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</si>
  <si>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</si>
  <si>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</si>
  <si>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</si>
  <si>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</si>
  <si>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</si>
  <si>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</si>
  <si>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</si>
  <si>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</si>
  <si>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</si>
  <si>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</si>
  <si>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</si>
  <si>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</si>
  <si>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</si>
  <si>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</si>
  <si>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</si>
  <si>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</si>
  <si>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</si>
  <si>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</si>
  <si>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</si>
  <si>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</si>
  <si>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</si>
  <si>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</si>
  <si>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</si>
  <si>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</si>
  <si>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</si>
  <si>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</si>
  <si>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</si>
  <si>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</si>
  <si>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</si>
  <si>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</si>
  <si>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</si>
  <si>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</si>
  <si>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</si>
  <si>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</si>
  <si>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</si>
  <si>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</si>
  <si>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</si>
  <si>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</si>
  <si>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</si>
  <si>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</si>
  <si>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</si>
  <si>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</si>
  <si>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</si>
  <si>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</si>
  <si>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</si>
  <si>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</si>
  <si>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</si>
  <si>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</si>
  <si>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</si>
  <si>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</si>
  <si>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</si>
  <si>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</si>
  <si>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</si>
  <si>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</si>
  <si>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</si>
  <si>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</si>
  <si>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</si>
  <si>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</si>
  <si>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</si>
  <si>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</si>
  <si>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</si>
  <si>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</si>
  <si>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</si>
  <si>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</si>
  <si>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</si>
  <si>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</si>
  <si>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</si>
  <si>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</si>
  <si>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</si>
  <si>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</si>
  <si>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</si>
  <si>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</si>
  <si>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</si>
  <si>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</si>
  <si>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</si>
  <si>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</si>
  <si>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</si>
  <si>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</si>
  <si>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</si>
  <si>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</si>
  <si>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</si>
  <si>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</si>
  <si>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</si>
  <si>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</si>
  <si>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</si>
  <si>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</si>
  <si>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</si>
  <si>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</si>
  <si>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</si>
  <si>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</si>
  <si>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</si>
  <si>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</si>
  <si>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</si>
  <si>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</si>
  <si>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</si>
  <si>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</si>
  <si>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</si>
  <si>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</si>
  <si>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</si>
  <si>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</si>
  <si>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</si>
  <si>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</si>
  <si>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</si>
  <si>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</si>
  <si>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</si>
  <si>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</si>
  <si>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</si>
  <si>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</si>
  <si>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</si>
  <si>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</si>
  <si>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</si>
  <si>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</si>
  <si>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</si>
  <si>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</si>
  <si>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</si>
  <si>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</si>
  <si>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</si>
  <si>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</si>
  <si>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</si>
  <si>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</si>
  <si>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</si>
  <si>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</si>
  <si>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</si>
  <si>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</si>
  <si>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</si>
  <si>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</si>
  <si>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</si>
  <si>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</si>
  <si>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</si>
  <si>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</si>
  <si>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</si>
  <si>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</si>
  <si>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</si>
  <si>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</si>
  <si>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</si>
  <si>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</si>
  <si>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</si>
  <si>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</si>
  <si>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</si>
  <si>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</si>
  <si>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</si>
  <si>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</si>
  <si>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</si>
  <si>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</si>
  <si>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</si>
  <si>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</si>
  <si>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</si>
  <si>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</si>
  <si>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</si>
  <si>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</si>
  <si>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</si>
  <si>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</si>
  <si>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</si>
  <si>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</si>
  <si>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</si>
  <si>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</si>
  <si>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</si>
  <si>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</si>
  <si>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</si>
  <si>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</si>
  <si>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</si>
  <si>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</si>
  <si>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</si>
  <si>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</si>
  <si>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</si>
  <si>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</si>
  <si>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</si>
  <si>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</si>
  <si>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</si>
  <si>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</si>
  <si>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</si>
  <si>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</si>
  <si>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</si>
  <si>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</si>
  <si>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</si>
  <si>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</si>
  <si>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</si>
  <si>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</si>
  <si>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</si>
  <si>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</si>
  <si>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</si>
  <si>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</si>
  <si>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</si>
  <si>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</si>
  <si>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</si>
  <si>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</si>
  <si>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</si>
  <si>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</si>
  <si>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</si>
  <si>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</si>
  <si>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</si>
  <si>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</si>
  <si>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</si>
  <si>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</si>
  <si>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</si>
  <si>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</si>
  <si>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</si>
  <si>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</si>
  <si>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</si>
  <si>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</si>
  <si>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</si>
  <si>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</si>
  <si>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</si>
  <si>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</si>
  <si>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</si>
  <si>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</si>
  <si>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</si>
  <si>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</si>
  <si>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</si>
  <si>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</si>
  <si>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</si>
  <si>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</si>
  <si>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</si>
  <si>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</si>
  <si>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</si>
  <si>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</si>
  <si>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</si>
  <si>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</si>
  <si>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</si>
  <si>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</si>
  <si>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</si>
  <si>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</si>
  <si>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</si>
  <si>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</si>
  <si>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</si>
  <si>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</si>
  <si>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</si>
  <si>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</si>
  <si>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</si>
  <si>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</si>
  <si>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</si>
  <si>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</si>
  <si>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</si>
  <si>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</si>
  <si>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</si>
  <si>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</si>
  <si>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</si>
  <si>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</si>
  <si>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</si>
  <si>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</si>
  <si>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</si>
  <si>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</si>
  <si>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</si>
  <si>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</si>
  <si>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</si>
  <si>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</si>
  <si>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</si>
  <si>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</si>
  <si>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</si>
  <si>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</si>
  <si>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</si>
  <si>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</si>
  <si>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</si>
  <si>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</si>
  <si>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</si>
  <si>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</si>
  <si>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</si>
  <si>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</si>
  <si>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</si>
  <si>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</si>
  <si>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</si>
  <si>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</si>
  <si>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</si>
  <si>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</si>
  <si>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</si>
  <si>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</si>
  <si>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</si>
  <si>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</si>
  <si>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</si>
  <si>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</si>
  <si>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</si>
  <si>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</si>
  <si>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</si>
  <si>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</si>
  <si>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</si>
  <si>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</si>
  <si>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</si>
  <si>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</si>
  <si>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</si>
  <si>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</si>
  <si>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</si>
  <si>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</si>
  <si>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</si>
  <si>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</si>
  <si>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</si>
  <si>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</si>
  <si>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</si>
  <si>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</si>
  <si>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</si>
  <si>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</si>
  <si>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</si>
  <si>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</si>
  <si>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</si>
  <si>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</si>
  <si>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</si>
  <si>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</si>
  <si>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</si>
  <si>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</si>
  <si>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</si>
  <si>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</si>
  <si>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</si>
  <si>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</si>
  <si>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</si>
  <si>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</si>
  <si>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</si>
  <si>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</si>
  <si>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</si>
  <si>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</si>
  <si>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</si>
  <si>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</si>
  <si>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</si>
  <si>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</si>
  <si>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</si>
  <si>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</si>
  <si>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</si>
  <si>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</si>
  <si>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</si>
  <si>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</si>
  <si>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</si>
  <si>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</si>
  <si>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</si>
  <si>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</si>
  <si>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</si>
  <si>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</si>
  <si>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</si>
  <si>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</si>
  <si>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</si>
  <si>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</si>
  <si>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</si>
  <si>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</si>
  <si>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</si>
  <si>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</si>
  <si>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</si>
  <si>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</si>
  <si>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</si>
  <si>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</si>
  <si>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</si>
  <si>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</si>
  <si>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</si>
  <si>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</si>
  <si>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</si>
  <si>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</si>
  <si>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</si>
  <si>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</si>
  <si>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</si>
  <si>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</si>
  <si>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</si>
  <si>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</si>
  <si>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</si>
  <si>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</si>
  <si>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</si>
  <si>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</si>
  <si>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</si>
  <si>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</si>
  <si>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</si>
  <si>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</si>
  <si>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</si>
  <si>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</si>
  <si>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</si>
  <si>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</si>
  <si>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</si>
  <si>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</si>
  <si>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</si>
  <si>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</si>
  <si>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</si>
  <si>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</si>
  <si>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</si>
  <si>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</si>
  <si>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</si>
  <si>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</si>
  <si>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</si>
  <si>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</si>
  <si>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</si>
  <si>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</si>
  <si>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</si>
  <si>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</si>
  <si>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</si>
  <si>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</si>
  <si>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</si>
  <si>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</si>
  <si>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</si>
  <si>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</si>
  <si>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</si>
  <si>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</si>
  <si>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</si>
  <si>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</si>
  <si>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</si>
  <si>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</si>
  <si>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</si>
  <si>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</si>
  <si>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</si>
  <si>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</si>
  <si>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</si>
  <si>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</si>
  <si>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</si>
  <si>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</si>
  <si>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</si>
  <si>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</si>
  <si>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</si>
  <si>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</si>
  <si>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</si>
  <si>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</si>
  <si>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</si>
  <si>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</si>
  <si>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</si>
  <si>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</si>
  <si>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</si>
  <si>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</si>
  <si>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</si>
  <si>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</si>
  <si>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</si>
  <si>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</si>
  <si>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</si>
  <si>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</si>
  <si>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</si>
  <si>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</si>
  <si>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</si>
  <si>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</si>
  <si>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</si>
  <si>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</si>
  <si>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</si>
  <si>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</si>
  <si>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</si>
  <si>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</si>
  <si>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</si>
  <si>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</si>
  <si>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</si>
  <si>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</si>
  <si>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</si>
  <si>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</si>
  <si>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</si>
  <si>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</si>
  <si>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</si>
  <si>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</si>
  <si>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</si>
  <si>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</si>
  <si>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</si>
  <si>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</si>
  <si>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</si>
  <si>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</si>
  <si>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</si>
  <si>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</si>
  <si>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</si>
  <si>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</si>
  <si>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</si>
  <si>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</si>
  <si>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</si>
  <si>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</si>
  <si>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</si>
  <si>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</si>
  <si>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</si>
  <si>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</si>
  <si>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</si>
  <si>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</si>
  <si>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</si>
  <si>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</si>
  <si>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</si>
  <si>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</si>
  <si>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</si>
  <si>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</si>
  <si>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</si>
  <si>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</si>
  <si>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</si>
  <si>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</si>
  <si>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</si>
  <si>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</si>
  <si>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</si>
  <si>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</si>
  <si>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</si>
  <si>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</si>
  <si>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</si>
  <si>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</si>
  <si>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</si>
  <si>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</si>
  <si>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</si>
  <si>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</si>
  <si>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</si>
  <si>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</si>
  <si>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</si>
  <si>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</si>
  <si>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</si>
  <si>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</si>
  <si>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</si>
  <si>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</si>
  <si>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</si>
  <si>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</si>
  <si>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</si>
  <si>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</si>
  <si>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</si>
  <si>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</si>
  <si>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</si>
  <si>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</si>
  <si>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</si>
  <si>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</si>
  <si>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</si>
  <si>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</si>
  <si>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</si>
  <si>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</si>
  <si>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</si>
  <si>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</si>
  <si>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</si>
  <si>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</si>
  <si>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</si>
  <si>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</si>
  <si>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</si>
  <si>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</si>
  <si>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</si>
  <si>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</si>
  <si>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</si>
  <si>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</si>
  <si>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</si>
  <si>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</si>
  <si>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</si>
  <si>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</si>
  <si>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</si>
  <si>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</si>
  <si>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</si>
  <si>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</si>
  <si>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</si>
  <si>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</si>
  <si>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</si>
  <si>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</si>
  <si>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</si>
  <si>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</si>
  <si>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</si>
  <si>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</si>
  <si>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</si>
  <si>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</si>
  <si>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</si>
  <si>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</si>
  <si>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</si>
  <si>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</si>
  <si>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</si>
  <si>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</si>
  <si>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</si>
  <si>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</si>
  <si>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</si>
  <si>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</si>
  <si>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</si>
  <si>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</si>
  <si>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</si>
  <si>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</si>
  <si>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</si>
  <si>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</si>
  <si>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</si>
  <si>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</si>
  <si>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</si>
  <si>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</si>
  <si>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</si>
  <si>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</si>
  <si>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</si>
  <si>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</si>
  <si>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</si>
  <si>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</si>
  <si>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</si>
  <si>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</si>
  <si>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</si>
  <si>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</si>
  <si>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</si>
  <si>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</si>
  <si>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</si>
  <si>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</si>
  <si>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</si>
  <si>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</si>
  <si>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</si>
  <si>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</si>
  <si>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</si>
  <si>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</si>
  <si>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</si>
  <si>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</si>
  <si>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</si>
  <si>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</si>
  <si>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</si>
  <si>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</si>
  <si>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</si>
  <si>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</si>
  <si>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</si>
  <si>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</si>
  <si>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</si>
  <si>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</si>
  <si>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</si>
  <si>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</si>
  <si>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</si>
  <si>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</si>
  <si>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</si>
  <si>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</si>
  <si>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</si>
  <si>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</si>
  <si>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</si>
  <si>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</si>
  <si>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</si>
  <si>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</si>
  <si>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</si>
  <si>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</si>
  <si>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</si>
  <si>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</si>
  <si>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</si>
  <si>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</si>
  <si>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</si>
  <si>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</si>
  <si>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</si>
  <si>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</si>
  <si>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</si>
  <si>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</si>
  <si>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</si>
  <si>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</si>
  <si>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</si>
  <si>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</si>
  <si>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</si>
  <si>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</si>
  <si>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</si>
  <si>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</si>
  <si>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</si>
  <si>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</si>
  <si>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</si>
  <si>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</si>
  <si>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</si>
  <si>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</si>
  <si>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</si>
  <si>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</si>
  <si>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</si>
  <si>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</si>
  <si>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</si>
  <si>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</si>
  <si>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</si>
  <si>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</si>
  <si>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</si>
  <si>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</si>
  <si>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</si>
  <si>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</si>
  <si>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</si>
  <si>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</si>
  <si>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</si>
  <si>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</si>
  <si>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</si>
  <si>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</si>
  <si>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</si>
  <si>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</si>
  <si>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</si>
  <si>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</si>
  <si>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</si>
  <si>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</si>
  <si>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</si>
  <si>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</si>
  <si>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</si>
  <si>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</si>
  <si>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</si>
  <si>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</si>
  <si>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</si>
  <si>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</si>
  <si>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</si>
  <si>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</si>
  <si>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</si>
  <si>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</si>
  <si>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</si>
  <si>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</si>
  <si>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</si>
  <si>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</si>
  <si>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</si>
  <si>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</si>
  <si>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</si>
  <si>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</si>
  <si>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</si>
  <si>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</si>
  <si>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</si>
  <si>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</si>
  <si>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</si>
  <si>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</si>
  <si>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</si>
  <si>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</si>
  <si>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</si>
  <si>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</si>
  <si>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</si>
  <si>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</si>
  <si>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</si>
  <si>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</si>
  <si>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</si>
  <si>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</si>
  <si>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</si>
  <si>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</si>
  <si>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</si>
  <si>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</si>
  <si>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</si>
  <si>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</si>
  <si>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</si>
  <si>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</si>
  <si>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</si>
  <si>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</si>
  <si>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</si>
  <si>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</si>
  <si>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</si>
  <si>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</si>
  <si>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</si>
  <si>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</si>
  <si>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</si>
  <si>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</si>
  <si>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</si>
  <si>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</si>
  <si>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</si>
  <si>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</si>
  <si>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</si>
  <si>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</si>
  <si>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</si>
  <si>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</si>
  <si>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</si>
  <si>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</si>
  <si>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</si>
  <si>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</si>
  <si>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</si>
  <si>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</si>
  <si>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</si>
  <si>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</si>
  <si>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</si>
  <si>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</si>
  <si>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</si>
  <si>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</si>
  <si>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</si>
  <si>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</si>
  <si>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</si>
  <si>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</si>
  <si>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</si>
  <si>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</si>
  <si>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</si>
  <si>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</si>
  <si>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</si>
  <si>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</si>
  <si>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</si>
  <si>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</si>
  <si>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</si>
  <si>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</si>
  <si>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</si>
  <si>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</si>
  <si>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</si>
  <si>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</si>
  <si>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</si>
  <si>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</si>
  <si>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</si>
  <si>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</si>
  <si>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</si>
  <si>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</si>
  <si>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</si>
  <si>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</si>
  <si>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</si>
  <si>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</si>
  <si>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</si>
  <si>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</si>
  <si>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</si>
  <si>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</si>
  <si>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</si>
  <si>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</si>
  <si>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</si>
  <si>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</si>
  <si>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</si>
  <si>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</si>
  <si>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</si>
  <si>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</si>
  <si>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</si>
  <si>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</si>
  <si>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</si>
  <si>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</si>
  <si>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</si>
  <si>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</si>
  <si>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</si>
  <si>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</si>
  <si>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</si>
  <si>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</si>
  <si>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</si>
  <si>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</si>
  <si>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</si>
  <si>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</si>
  <si>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</si>
  <si>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</si>
  <si>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</si>
  <si>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</si>
  <si>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</si>
  <si>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</si>
  <si>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</si>
  <si>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</si>
  <si>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</si>
  <si>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</si>
  <si>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</si>
  <si>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</si>
  <si>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</si>
  <si>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</si>
  <si>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</si>
  <si>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</si>
  <si>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</si>
  <si>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</si>
  <si>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</si>
  <si>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</si>
  <si>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</si>
  <si>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</si>
  <si>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</si>
  <si>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</si>
  <si>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</si>
  <si>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</si>
  <si>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</si>
  <si>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</si>
  <si>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</si>
  <si>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</si>
  <si>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</si>
  <si>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</si>
  <si>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</si>
  <si>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</si>
  <si>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</si>
  <si>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</si>
  <si>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</si>
  <si>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</si>
  <si>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</si>
  <si>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</si>
  <si>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</si>
  <si>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</si>
  <si>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</si>
  <si>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</si>
  <si>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</si>
  <si>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</si>
  <si>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</si>
  <si>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</si>
  <si>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</si>
  <si>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</si>
  <si>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</si>
  <si>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</si>
  <si>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</si>
  <si>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</si>
  <si>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</si>
  <si>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</si>
  <si>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</si>
  <si>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</si>
  <si>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</si>
  <si>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</si>
  <si>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</si>
  <si>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</si>
  <si>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</si>
  <si>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</si>
  <si>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</si>
  <si>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</si>
  <si>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</si>
  <si>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</si>
  <si>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</si>
  <si>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</si>
  <si>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</si>
  <si>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</si>
  <si>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</si>
  <si>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</si>
  <si>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</si>
  <si>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</si>
  <si>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</si>
  <si>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</si>
  <si>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</si>
  <si>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</si>
  <si>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</si>
  <si>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</si>
  <si>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</si>
  <si>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</si>
  <si>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</si>
  <si>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</si>
  <si>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</si>
  <si>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</si>
  <si>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</si>
  <si>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</si>
  <si>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</si>
  <si>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</si>
  <si>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</si>
  <si>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</si>
  <si>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</si>
  <si>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</si>
  <si>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</si>
  <si>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</si>
  <si>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</si>
  <si>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</si>
  <si>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</si>
  <si>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</si>
  <si>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</si>
  <si>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</si>
  <si>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</si>
  <si>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</si>
  <si>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</si>
  <si>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</si>
  <si>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</si>
  <si>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</si>
  <si>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</si>
  <si>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</si>
  <si>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</si>
  <si>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</si>
  <si>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</si>
  <si>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</si>
  <si>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</si>
  <si>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</si>
  <si>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</si>
  <si>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</si>
  <si>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</si>
  <si>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</si>
  <si>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</si>
  <si>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</si>
  <si>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</si>
  <si>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</si>
  <si>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</si>
  <si>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</si>
  <si>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</si>
  <si>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</si>
  <si>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</si>
  <si>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</si>
  <si>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</si>
  <si>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</si>
  <si>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</si>
  <si>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</si>
  <si>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</si>
  <si>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</si>
  <si>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</si>
  <si>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</si>
  <si>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</si>
  <si>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</si>
  <si>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</si>
  <si>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</si>
  <si>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</si>
  <si>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</si>
  <si>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</si>
  <si>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</si>
  <si>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</si>
  <si>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</si>
  <si>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</si>
  <si>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</si>
  <si>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</si>
  <si>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</si>
  <si>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</si>
  <si>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</si>
  <si>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</si>
  <si>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</si>
  <si>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</si>
  <si>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</si>
  <si>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</si>
  <si>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</si>
  <si>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</si>
  <si>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</si>
  <si>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</si>
  <si>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</si>
  <si>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</si>
  <si>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</si>
  <si>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</si>
  <si>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</si>
  <si>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</si>
  <si>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</si>
  <si>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</si>
  <si>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</si>
  <si>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</si>
  <si>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</si>
  <si>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</si>
  <si>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</si>
  <si>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</si>
  <si>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</si>
  <si>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</si>
  <si>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</si>
  <si>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</si>
  <si>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</si>
  <si>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</si>
  <si>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</si>
  <si>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</si>
  <si>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</si>
  <si>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</si>
  <si>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</si>
  <si>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</si>
  <si>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</si>
  <si>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</si>
  <si>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</si>
  <si>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</si>
  <si>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</si>
  <si>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</si>
  <si>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</si>
  <si>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</si>
  <si>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</si>
  <si>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</si>
  <si>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</si>
  <si>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</si>
  <si>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</si>
  <si>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</si>
  <si>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</si>
  <si>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</si>
  <si>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</si>
  <si>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</si>
  <si>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</si>
  <si>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</si>
  <si>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</si>
  <si>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</si>
  <si>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</si>
  <si>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</si>
  <si>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</si>
  <si>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</si>
  <si>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</si>
  <si>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</si>
  <si>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</si>
  <si>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</si>
  <si>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</si>
  <si>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</si>
  <si>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</si>
  <si>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</si>
  <si>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</si>
  <si>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</si>
  <si>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</si>
  <si>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</si>
  <si>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</si>
  <si>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</si>
  <si>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</si>
  <si>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</si>
  <si>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</si>
  <si>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</si>
  <si>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</si>
  <si>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</si>
  <si>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</si>
  <si>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</si>
  <si>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</si>
  <si>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</si>
  <si>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</si>
  <si>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</si>
  <si>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</si>
  <si>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</si>
  <si>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</si>
  <si>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</si>
  <si>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</si>
  <si>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</si>
  <si>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</si>
  <si>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</si>
  <si>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</si>
  <si>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</si>
  <si>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</si>
  <si>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</si>
  <si>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</si>
  <si>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</si>
  <si>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</si>
  <si>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</si>
  <si>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</si>
  <si>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</si>
  <si>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</si>
  <si>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</si>
  <si>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</si>
  <si>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</si>
  <si>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</si>
  <si>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</si>
  <si>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</si>
  <si>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</si>
  <si>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</si>
  <si>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</si>
  <si>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</si>
  <si>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</si>
  <si>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</si>
  <si>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</si>
  <si>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</si>
  <si>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</si>
  <si>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</si>
  <si>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</si>
  <si>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</si>
  <si>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</si>
  <si>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</si>
  <si>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</si>
  <si>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</si>
  <si>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</si>
  <si>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</si>
  <si>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</si>
  <si>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</si>
  <si>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</si>
  <si>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</si>
  <si>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</si>
  <si>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</si>
  <si>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</si>
  <si>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</si>
  <si>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</si>
  <si>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</si>
  <si>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</si>
  <si>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</si>
  <si>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</si>
  <si>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</si>
  <si>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</si>
  <si>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</si>
  <si>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</si>
  <si>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</si>
  <si>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</si>
  <si>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</si>
  <si>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</si>
  <si>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</si>
  <si>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</si>
  <si>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</si>
  <si>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</si>
  <si>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</si>
  <si>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</si>
  <si>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</si>
  <si>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</si>
  <si>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</si>
  <si>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</si>
  <si>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</si>
  <si>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</si>
  <si>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</si>
  <si>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</si>
  <si>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</si>
  <si>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</si>
  <si>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</si>
  <si>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</si>
  <si>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</si>
  <si>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</si>
  <si>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</si>
  <si>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</si>
  <si>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</si>
  <si>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</si>
  <si>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</si>
  <si>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</si>
  <si>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</si>
  <si>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</si>
  <si>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</si>
  <si>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</si>
  <si>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</si>
  <si>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</si>
  <si>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</si>
  <si>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</si>
  <si>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</si>
  <si>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</si>
  <si>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</si>
  <si>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</si>
  <si>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</si>
  <si>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</si>
  <si>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</si>
  <si>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</si>
  <si>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</si>
  <si>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</si>
  <si>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</si>
  <si>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</si>
  <si>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</si>
  <si>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</si>
  <si>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</si>
  <si>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</si>
  <si>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</si>
  <si>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</si>
  <si>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</si>
  <si>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</si>
  <si>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</si>
  <si>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</si>
  <si>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</si>
  <si>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</si>
  <si>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</si>
  <si>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</si>
  <si>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</si>
  <si>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</si>
  <si>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</si>
  <si>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</si>
  <si>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</si>
  <si>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</si>
  <si>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</si>
  <si>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</si>
  <si>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</si>
  <si>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</si>
  <si>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</si>
  <si>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</si>
  <si>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</si>
  <si>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</si>
  <si>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</si>
  <si>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</si>
  <si>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</si>
  <si>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</si>
  <si>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</si>
  <si>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</si>
  <si>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</si>
  <si>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</si>
  <si>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</si>
  <si>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</si>
  <si>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</si>
  <si>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</si>
  <si>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</si>
  <si>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</si>
  <si>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</si>
  <si>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</si>
  <si>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</si>
  <si>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</si>
  <si>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</si>
  <si>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</si>
  <si>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</si>
  <si>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</si>
  <si>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</si>
  <si>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</si>
  <si>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</si>
  <si>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</si>
  <si>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</si>
  <si>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</si>
  <si>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</si>
  <si>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</si>
  <si>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</si>
  <si>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</si>
  <si>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</si>
  <si>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</si>
  <si>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</si>
  <si>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</si>
  <si>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</si>
  <si>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</si>
  <si>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</si>
  <si>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</si>
  <si>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</si>
  <si>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</si>
  <si>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</si>
  <si>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</si>
  <si>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</si>
  <si>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</si>
  <si>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</si>
  <si>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</si>
  <si>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</si>
  <si>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</si>
  <si>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</si>
  <si>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</si>
  <si>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</si>
  <si>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</si>
  <si>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</si>
  <si>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</si>
  <si>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</si>
  <si>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</si>
  <si>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</si>
  <si>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</si>
  <si>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</si>
  <si>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</si>
  <si>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</si>
  <si>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</si>
  <si>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</si>
  <si>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</si>
  <si>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</si>
  <si>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</si>
  <si>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</si>
  <si>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</si>
  <si>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</si>
  <si>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</si>
  <si>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</si>
  <si>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</si>
  <si>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</si>
  <si>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</si>
  <si>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</si>
  <si>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</si>
  <si>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</si>
  <si>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</si>
  <si>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</si>
  <si>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</si>
  <si>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</si>
  <si>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</si>
  <si>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</si>
  <si>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</si>
  <si>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</si>
  <si>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</si>
  <si>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</si>
  <si>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</si>
  <si>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</si>
  <si>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</si>
  <si>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</si>
  <si>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</si>
  <si>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</si>
  <si>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</si>
  <si>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</si>
  <si>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</si>
  <si>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</si>
  <si>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</si>
  <si>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</si>
  <si>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</si>
  <si>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</si>
  <si>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</si>
  <si>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</si>
  <si>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</si>
  <si>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</si>
  <si>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</si>
  <si>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</si>
  <si>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</si>
  <si>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</si>
  <si>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</si>
  <si>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</si>
  <si>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</si>
  <si>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</si>
  <si>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</si>
  <si>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</si>
  <si>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</si>
  <si>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</si>
  <si>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</si>
  <si>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</si>
  <si>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</si>
  <si>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</si>
  <si>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</si>
  <si>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</si>
  <si>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</si>
  <si>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</si>
  <si>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</si>
  <si>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</si>
  <si>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</si>
  <si>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</si>
  <si>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</si>
  <si>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</si>
  <si>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</si>
  <si>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</si>
  <si>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</si>
  <si>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</si>
  <si>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</si>
  <si>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</si>
  <si>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</si>
  <si>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</si>
  <si>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</si>
  <si>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</si>
  <si>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</si>
  <si>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</si>
  <si>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</si>
  <si>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</si>
  <si>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</si>
  <si>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</si>
  <si>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</si>
  <si>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</si>
  <si>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</si>
  <si>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</si>
  <si>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</si>
  <si>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</si>
  <si>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</si>
  <si>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</si>
  <si>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</si>
  <si>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</si>
  <si>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</si>
  <si>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</si>
  <si>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</si>
  <si>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</si>
  <si>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</si>
  <si>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</si>
  <si>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</si>
  <si>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</si>
  <si>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</si>
  <si>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</si>
  <si>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</si>
  <si>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</si>
  <si>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</si>
  <si>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</si>
  <si>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</si>
  <si>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</si>
  <si>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</si>
  <si>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</si>
  <si>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</si>
  <si>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</si>
  <si>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</si>
  <si>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</si>
  <si>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</si>
  <si>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</si>
  <si>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</si>
  <si>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</si>
  <si>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</si>
  <si>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</si>
  <si>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</si>
  <si>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</si>
  <si>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</si>
  <si>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</si>
  <si>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</si>
  <si>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</si>
  <si>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</si>
  <si>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</si>
  <si>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</si>
  <si>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</si>
  <si>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</si>
  <si>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</si>
  <si>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</si>
  <si>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</si>
  <si>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</si>
  <si>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</si>
  <si>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</si>
  <si>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</si>
  <si>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</si>
  <si>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</si>
  <si>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</si>
  <si>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</si>
  <si>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</si>
  <si>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</si>
  <si>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</si>
  <si>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</si>
  <si>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</si>
  <si>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</si>
  <si>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</si>
  <si>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</si>
  <si>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</si>
  <si>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</si>
  <si>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</si>
  <si>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</si>
  <si>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</si>
  <si>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</si>
  <si>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</si>
  <si>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</si>
  <si>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</si>
  <si>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</si>
  <si>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</si>
  <si>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</si>
  <si>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</si>
  <si>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</si>
  <si>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</si>
  <si>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</si>
  <si>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</si>
  <si>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</si>
  <si>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</si>
  <si>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</si>
  <si>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</si>
  <si>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</si>
  <si>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</si>
  <si>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</si>
  <si>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</si>
  <si>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</si>
  <si>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</si>
  <si>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</si>
  <si>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</si>
  <si>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</si>
  <si>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</si>
  <si>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</si>
  <si>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</si>
  <si>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</si>
  <si>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</si>
  <si>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</si>
  <si>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</si>
  <si>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</si>
  <si>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</si>
  <si>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</si>
  <si>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</si>
  <si>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</si>
  <si>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</si>
  <si>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</si>
  <si>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</si>
  <si>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</si>
  <si>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</si>
  <si>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</si>
  <si>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</si>
  <si>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</si>
  <si>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</si>
  <si>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</si>
  <si>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</si>
  <si>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</si>
  <si>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</si>
  <si>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</si>
  <si>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</si>
  <si>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</si>
  <si>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</si>
  <si>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</si>
  <si>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</si>
  <si>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</si>
  <si>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</si>
  <si>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</si>
  <si>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</si>
  <si>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</si>
  <si>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</si>
  <si>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</si>
  <si>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</si>
  <si>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</si>
  <si>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</si>
  <si>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</si>
  <si>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</si>
  <si>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</si>
  <si>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</si>
  <si>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</si>
  <si>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</si>
  <si>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</si>
  <si>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</si>
  <si>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</si>
  <si>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</si>
  <si>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</si>
  <si>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</si>
  <si>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</si>
  <si>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</si>
  <si>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</si>
  <si>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</si>
  <si>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</si>
  <si>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</si>
  <si>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</si>
  <si>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</si>
  <si>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</si>
  <si>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</si>
  <si>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</si>
  <si>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</si>
  <si>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</si>
  <si>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</si>
  <si>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</si>
  <si>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</si>
  <si>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</si>
  <si>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</si>
  <si>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</si>
  <si>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</si>
  <si>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</si>
  <si>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</si>
  <si>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</si>
  <si>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</si>
  <si>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</si>
  <si>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</si>
  <si>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</si>
  <si>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</si>
  <si>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</si>
  <si>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</si>
  <si>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</si>
  <si>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</si>
  <si>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</si>
  <si>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</si>
  <si>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</si>
  <si>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</si>
  <si>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</si>
  <si>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</si>
  <si>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</si>
  <si>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</si>
  <si>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</si>
  <si>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</si>
  <si>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</si>
  <si>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</si>
  <si>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</si>
  <si>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</si>
  <si>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</si>
  <si>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</si>
  <si>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</si>
  <si>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</si>
  <si>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</si>
  <si>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</si>
  <si>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</si>
  <si>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</si>
  <si>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</si>
  <si>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</si>
  <si>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</si>
  <si>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</si>
  <si>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</si>
  <si>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</si>
  <si>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</si>
  <si>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</si>
  <si>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</si>
  <si>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</si>
  <si>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</si>
  <si>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</si>
  <si>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</si>
  <si>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</si>
  <si>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</si>
  <si>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</si>
  <si>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</si>
  <si>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</si>
  <si>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</si>
  <si>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</si>
  <si>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</si>
  <si>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</si>
  <si>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</si>
  <si>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</si>
  <si>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</si>
  <si>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</si>
  <si>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</si>
  <si>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</si>
  <si>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</si>
  <si>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</si>
  <si>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</si>
  <si>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</si>
  <si>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</si>
  <si>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</si>
  <si>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</si>
  <si>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</si>
  <si>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</si>
  <si>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</si>
  <si>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</si>
  <si>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</si>
  <si>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</si>
  <si>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</si>
  <si>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</si>
  <si>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</si>
  <si>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</si>
  <si>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</si>
  <si>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</si>
  <si>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</si>
  <si>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</si>
  <si>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</si>
  <si>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</si>
  <si>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</si>
  <si>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</si>
  <si>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</si>
  <si>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</si>
  <si>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</si>
  <si>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</si>
  <si>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</si>
  <si>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</si>
  <si>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</si>
  <si>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</si>
  <si>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</si>
  <si>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</si>
  <si>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</si>
  <si>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</si>
  <si>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</si>
  <si>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</si>
  <si>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</si>
  <si>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</si>
  <si>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</si>
  <si>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</si>
  <si>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</si>
  <si>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</si>
  <si>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</si>
  <si>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</si>
  <si>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</si>
  <si>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</si>
  <si>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</si>
  <si>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</si>
  <si>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</si>
  <si>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</si>
  <si>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</si>
  <si>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</si>
  <si>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</si>
  <si>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</si>
  <si>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</si>
  <si>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</si>
  <si>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</si>
  <si>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</si>
  <si>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</si>
  <si>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</si>
  <si>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</si>
  <si>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</si>
  <si>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</si>
  <si>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</si>
  <si>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</si>
  <si>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</si>
  <si>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</si>
  <si>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</si>
  <si>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</si>
  <si>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</si>
  <si>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</si>
  <si>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</si>
  <si>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</si>
  <si>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</si>
  <si>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</si>
  <si>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</si>
  <si>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</si>
  <si>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</si>
  <si>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</si>
  <si>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</si>
  <si>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</si>
  <si>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</si>
  <si>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</si>
  <si>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</si>
  <si>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</si>
  <si>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</si>
  <si>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</si>
  <si>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</si>
  <si>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</si>
  <si>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</si>
  <si>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</si>
  <si>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</si>
  <si>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</si>
  <si>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</si>
  <si>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</si>
  <si>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</si>
  <si>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</si>
  <si>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</si>
  <si>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</si>
  <si>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</si>
  <si>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</si>
  <si>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</si>
  <si>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</si>
  <si>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</si>
  <si>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</si>
  <si>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</si>
  <si>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</si>
  <si>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</si>
  <si>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</si>
  <si>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</si>
  <si>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</si>
  <si>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</si>
  <si>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</si>
  <si>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</si>
  <si>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</si>
  <si>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</si>
  <si>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</si>
  <si>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</si>
  <si>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</si>
  <si>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</si>
  <si>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</si>
  <si>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</si>
  <si>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</si>
  <si>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</si>
  <si>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</si>
  <si>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</si>
  <si>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</si>
  <si>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</si>
  <si>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</si>
  <si>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</si>
  <si>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</si>
  <si>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</si>
  <si>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</si>
  <si>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</si>
  <si>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</si>
  <si>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</si>
  <si>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</si>
  <si>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</si>
  <si>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</si>
  <si>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</si>
  <si>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</si>
  <si>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</si>
  <si>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</si>
  <si>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</si>
  <si>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</si>
  <si>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</si>
  <si>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</si>
  <si>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</si>
  <si>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</si>
  <si>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</si>
  <si>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</si>
  <si>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</si>
  <si>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</si>
  <si>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</si>
  <si>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</si>
  <si>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</si>
  <si>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</si>
  <si>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</si>
  <si>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</si>
  <si>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</si>
  <si>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</si>
  <si>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</si>
  <si>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</si>
  <si>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</si>
  <si>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</si>
  <si>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</si>
  <si>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</si>
  <si>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</si>
  <si>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</si>
  <si>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</si>
  <si>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</si>
  <si>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</si>
  <si>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</si>
  <si>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</si>
  <si>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</si>
  <si>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</si>
  <si>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</si>
  <si>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</si>
  <si>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</si>
  <si>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</si>
  <si>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</si>
  <si>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</si>
  <si>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</si>
  <si>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</si>
  <si>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</si>
  <si>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</si>
  <si>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</si>
  <si>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</si>
  <si>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</si>
  <si>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</si>
  <si>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</si>
  <si>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</si>
  <si>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</si>
  <si>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</si>
  <si>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</si>
  <si>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</si>
  <si>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</si>
  <si>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</si>
  <si>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</si>
  <si>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</si>
  <si>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</si>
  <si>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</si>
  <si>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</si>
  <si>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</si>
  <si>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</si>
  <si>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</si>
  <si>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</si>
  <si>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</si>
  <si>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</si>
  <si>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</si>
  <si>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</si>
  <si>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</si>
  <si>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</si>
  <si>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</si>
  <si>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</si>
  <si>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</si>
  <si>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</si>
  <si>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</si>
  <si>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</si>
  <si>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</si>
  <si>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</si>
  <si>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</si>
  <si>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</si>
  <si>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</si>
  <si>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</si>
  <si>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</si>
  <si>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</si>
  <si>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</si>
  <si>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</si>
  <si>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</si>
  <si>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</si>
  <si>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</si>
  <si>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</si>
  <si>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</si>
  <si>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</si>
  <si>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</si>
  <si>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</si>
  <si>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</si>
  <si>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</si>
  <si>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</si>
  <si>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</si>
  <si>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</si>
  <si>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</si>
  <si>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</si>
  <si>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</si>
  <si>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</si>
  <si>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</si>
  <si>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</si>
  <si>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</si>
  <si>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</si>
  <si>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</si>
  <si>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</si>
  <si>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</si>
  <si>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</si>
  <si>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</si>
  <si>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</si>
  <si>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</si>
  <si>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</si>
  <si>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</si>
  <si>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</si>
  <si>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</si>
  <si>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</si>
  <si>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</si>
  <si>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</si>
  <si>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</si>
  <si>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</si>
  <si>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</si>
  <si>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</si>
  <si>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</si>
  <si>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</si>
  <si>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</si>
  <si>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</si>
  <si>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</si>
  <si>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</si>
  <si>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</si>
  <si>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</si>
  <si>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</si>
  <si>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</si>
  <si>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</si>
  <si>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</si>
  <si>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</si>
  <si>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</si>
  <si>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</si>
  <si>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</si>
  <si>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</si>
  <si>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</si>
  <si>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</si>
  <si>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</si>
  <si>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</si>
  <si>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</si>
  <si>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</si>
  <si>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</si>
  <si>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</si>
  <si>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</si>
  <si>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</si>
  <si>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</si>
  <si>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</si>
  <si>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</si>
  <si>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</si>
  <si>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</si>
  <si>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</si>
  <si>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</si>
  <si>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</si>
  <si>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</si>
  <si>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</si>
  <si>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</si>
  <si>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</si>
  <si>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</si>
  <si>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</si>
  <si>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</si>
  <si>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</si>
  <si>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</si>
  <si>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</si>
  <si>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</si>
  <si>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</si>
  <si>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</si>
  <si>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</si>
  <si>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</si>
  <si>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</si>
  <si>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</si>
  <si>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</si>
  <si>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</si>
  <si>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</si>
  <si>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</si>
  <si>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</si>
  <si>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</si>
  <si>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</si>
  <si>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</si>
  <si>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</si>
  <si>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</si>
  <si>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</si>
  <si>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</si>
  <si>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</si>
  <si>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</si>
  <si>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</si>
  <si>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</si>
  <si>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</si>
  <si>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</si>
  <si>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</si>
  <si>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</si>
  <si>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</si>
  <si>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</si>
  <si>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</si>
  <si>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</si>
  <si>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</si>
  <si>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</si>
  <si>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</si>
  <si>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</si>
  <si>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</si>
  <si>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</si>
  <si>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</si>
  <si>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</si>
  <si>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</si>
  <si>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</si>
  <si>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</si>
  <si>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</si>
  <si>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</si>
  <si>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</si>
  <si>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</si>
  <si>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</si>
  <si>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</si>
  <si>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</si>
  <si>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</si>
  <si>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</si>
  <si>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</si>
  <si>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</si>
  <si>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</si>
  <si>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</si>
  <si>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</si>
  <si>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</si>
  <si>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</si>
  <si>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</si>
  <si>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</si>
  <si>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</si>
  <si>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</si>
  <si>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</si>
  <si>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</si>
  <si>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</si>
  <si>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</si>
  <si>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</si>
  <si>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</si>
  <si>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</si>
  <si>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</si>
  <si>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</si>
  <si>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</si>
  <si>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</si>
  <si>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</si>
  <si>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</si>
  <si>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</si>
  <si>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</si>
  <si>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</si>
  <si>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</si>
  <si>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</si>
  <si>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</si>
  <si>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</si>
  <si>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</si>
  <si>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</si>
  <si>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</si>
  <si>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</si>
  <si>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</si>
  <si>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</si>
  <si>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</si>
  <si>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</si>
  <si>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</si>
  <si>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</si>
  <si>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</si>
  <si>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</si>
  <si>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</si>
  <si>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</si>
  <si>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</si>
  <si>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</si>
  <si>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</si>
  <si>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</si>
  <si>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</si>
  <si>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</si>
  <si>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</si>
  <si>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</si>
  <si>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</si>
  <si>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</si>
  <si>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</si>
  <si>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</si>
  <si>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</si>
  <si>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</si>
  <si>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</si>
  <si>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</si>
  <si>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</si>
  <si>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</si>
  <si>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</si>
  <si>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</si>
  <si>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</si>
  <si>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</si>
  <si>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</si>
  <si>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</si>
  <si>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</si>
  <si>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</si>
  <si>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</si>
  <si>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</si>
  <si>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</si>
  <si>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</si>
  <si>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</si>
  <si>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</si>
  <si>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</si>
  <si>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</si>
  <si>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</si>
  <si>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</si>
  <si>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</si>
  <si>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</si>
  <si>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</si>
  <si>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</si>
  <si>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</si>
  <si>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</si>
  <si>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</si>
  <si>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</si>
  <si>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</si>
  <si>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</si>
  <si>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</si>
  <si>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</si>
  <si>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</si>
  <si>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</si>
  <si>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</si>
  <si>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</si>
  <si>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</si>
  <si>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</si>
  <si>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</si>
  <si>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</si>
  <si>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</si>
  <si>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</si>
  <si>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</si>
  <si>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</si>
  <si>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</si>
  <si>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</si>
  <si>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</si>
  <si>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</si>
  <si>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</si>
  <si>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</si>
  <si>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</si>
  <si>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</si>
  <si>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</si>
  <si>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</si>
  <si>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</si>
  <si>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</si>
  <si>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</si>
  <si>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</si>
  <si>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</si>
  <si>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</si>
  <si>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</si>
  <si>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</si>
  <si>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</si>
  <si>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</si>
  <si>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</si>
  <si>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</si>
  <si>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</si>
  <si>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</si>
  <si>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</si>
  <si>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</si>
  <si>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</si>
  <si>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</si>
  <si>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</si>
  <si>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</si>
  <si>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</si>
  <si>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</si>
  <si>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</si>
  <si>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</si>
  <si>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</si>
  <si>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</si>
  <si>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</si>
  <si>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</si>
  <si>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</si>
  <si>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</si>
  <si>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</si>
  <si>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</si>
  <si>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</si>
  <si>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</si>
  <si>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</si>
  <si>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</si>
  <si>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</si>
  <si>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</si>
  <si>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</si>
  <si>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</si>
  <si>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</si>
  <si>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</si>
  <si>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</si>
  <si>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</si>
  <si>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</si>
  <si>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</si>
  <si>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</si>
  <si>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</si>
  <si>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</si>
  <si>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</si>
  <si>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</si>
  <si>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</si>
  <si>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</si>
  <si>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</si>
  <si>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</si>
  <si>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</si>
  <si>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</si>
  <si>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</si>
  <si>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</si>
  <si>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</si>
  <si>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</si>
  <si>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</si>
  <si>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</si>
  <si>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</si>
  <si>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</si>
  <si>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</si>
  <si>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</si>
  <si>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</si>
  <si>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</si>
  <si>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</si>
  <si>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</si>
  <si>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</si>
  <si>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</si>
  <si>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</si>
  <si>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</si>
  <si>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</si>
  <si>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</si>
  <si>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</si>
  <si>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</si>
  <si>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</si>
  <si>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</si>
  <si>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</si>
  <si>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</si>
  <si>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</si>
  <si>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</si>
  <si>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</si>
  <si>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</si>
  <si>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</si>
  <si>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</si>
  <si>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</si>
  <si>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</si>
  <si>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</si>
  <si>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</si>
  <si>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</si>
  <si>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</si>
  <si>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</si>
  <si>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</si>
  <si>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</si>
  <si>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</si>
  <si>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</si>
  <si>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</si>
  <si>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</si>
  <si>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</si>
  <si>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</si>
  <si>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</si>
  <si>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</si>
  <si>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</si>
  <si>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</si>
  <si>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</si>
  <si>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</si>
  <si>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</si>
  <si>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</si>
  <si>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</si>
  <si>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</si>
  <si>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</si>
  <si>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</si>
  <si>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</si>
  <si>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</si>
  <si>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</si>
  <si>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</si>
  <si>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</si>
  <si>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</si>
  <si>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</si>
  <si>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</si>
  <si>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</si>
  <si>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</si>
  <si>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</si>
  <si>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</si>
  <si>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</si>
  <si>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</si>
  <si>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</si>
  <si>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</si>
  <si>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</si>
  <si>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</si>
  <si>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</si>
  <si>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</si>
  <si>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</si>
  <si>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</si>
  <si>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</si>
  <si>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</si>
  <si>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</si>
  <si>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</si>
  <si>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</si>
  <si>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</si>
  <si>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</si>
  <si>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</si>
  <si>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</si>
  <si>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</si>
  <si>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</si>
  <si>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</si>
  <si>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</si>
  <si>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</si>
  <si>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</si>
  <si>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</si>
  <si>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</si>
  <si>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</si>
  <si>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</si>
  <si>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</si>
  <si>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</si>
  <si>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</si>
  <si>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</si>
  <si>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</si>
  <si>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</si>
  <si>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</si>
  <si>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</si>
  <si>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</si>
  <si>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</si>
  <si>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</si>
  <si>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</si>
  <si>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</si>
  <si>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</si>
  <si>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</si>
  <si>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</si>
  <si>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</si>
  <si>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</si>
  <si>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</si>
  <si>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</si>
  <si>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</si>
  <si>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</si>
  <si>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</si>
  <si>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</si>
  <si>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</si>
  <si>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</si>
  <si>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</si>
  <si>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</si>
  <si>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</si>
  <si>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</si>
  <si>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</si>
  <si>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</si>
  <si>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</si>
  <si>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</si>
  <si>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</si>
  <si>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</si>
  <si>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</si>
  <si>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</si>
  <si>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</si>
  <si>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</si>
  <si>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</si>
  <si>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</si>
  <si>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</si>
  <si>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</si>
  <si>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</si>
  <si>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</si>
  <si>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</si>
  <si>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</si>
  <si>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</si>
  <si>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</si>
  <si>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</si>
  <si>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</si>
  <si>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</si>
  <si>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</si>
  <si>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</si>
  <si>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</si>
  <si>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</si>
  <si>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</si>
  <si>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</si>
  <si>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</si>
  <si>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</si>
  <si>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</si>
  <si>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</si>
  <si>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</si>
  <si>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</si>
  <si>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</si>
  <si>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</si>
  <si>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</si>
  <si>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</si>
  <si>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</si>
  <si>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</si>
  <si>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</si>
  <si>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</si>
  <si>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</si>
  <si>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</si>
  <si>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</si>
  <si>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</si>
  <si>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</si>
  <si>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</si>
  <si>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</si>
  <si>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</si>
  <si>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</si>
  <si>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</si>
  <si>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</si>
  <si>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</si>
  <si>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</si>
  <si>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</si>
  <si>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</si>
  <si>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</si>
  <si>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</si>
  <si>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</si>
  <si>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</si>
  <si>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</si>
  <si>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</si>
  <si>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</si>
  <si>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</si>
  <si>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</si>
  <si>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</si>
  <si>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</si>
  <si>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</si>
  <si>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</si>
  <si>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</si>
  <si>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</si>
  <si>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</si>
  <si>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</si>
  <si>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</si>
  <si>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</si>
  <si>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</si>
  <si>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</si>
  <si>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</si>
  <si>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</si>
  <si>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</si>
  <si>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</si>
  <si>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</si>
  <si>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</si>
  <si>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</si>
  <si>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</si>
  <si>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</si>
  <si>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</si>
  <si>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</si>
  <si>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</si>
  <si>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</si>
  <si>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</si>
  <si>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</si>
  <si>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</si>
  <si>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</si>
  <si>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</si>
  <si>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</si>
  <si>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</si>
  <si>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</si>
  <si>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</si>
  <si>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</si>
  <si>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</si>
  <si>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</si>
  <si>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</si>
  <si>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</si>
  <si>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</si>
  <si>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</si>
  <si>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</si>
  <si>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</si>
  <si>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</si>
  <si>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</si>
  <si>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</si>
  <si>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</si>
  <si>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</si>
  <si>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</si>
  <si>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</si>
  <si>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</si>
  <si>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</si>
  <si>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</si>
  <si>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</si>
  <si>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</si>
  <si>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</si>
  <si>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</si>
  <si>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</si>
  <si>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</si>
  <si>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</si>
  <si>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</si>
  <si>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</si>
  <si>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</si>
  <si>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</si>
  <si>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</si>
  <si>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</si>
  <si>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</si>
  <si>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</si>
  <si>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</si>
  <si>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</si>
  <si>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</si>
  <si>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</si>
  <si>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</si>
  <si>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</si>
  <si>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</si>
  <si>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</si>
  <si>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</si>
  <si>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</si>
  <si>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</si>
  <si>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</si>
  <si>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</si>
  <si>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</si>
  <si>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</si>
  <si>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</si>
  <si>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</si>
  <si>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</si>
  <si>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</si>
  <si>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</si>
  <si>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</si>
  <si>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</si>
  <si>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</si>
  <si>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</si>
  <si>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</si>
  <si>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</si>
  <si>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</si>
  <si>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</si>
  <si>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</si>
  <si>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</si>
  <si>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</si>
  <si>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</si>
  <si>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</si>
  <si>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</si>
  <si>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</si>
  <si>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</si>
  <si>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</si>
  <si>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</si>
  <si>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</si>
  <si>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</si>
  <si>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</si>
  <si>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</si>
  <si>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</si>
  <si>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</si>
  <si>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</si>
  <si>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</si>
  <si>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</si>
  <si>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</si>
  <si>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</si>
  <si>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</si>
  <si>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</si>
  <si>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</si>
  <si>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</si>
  <si>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</si>
  <si>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</si>
  <si>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</si>
  <si>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</si>
  <si>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</si>
  <si>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</si>
  <si>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</si>
  <si>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</si>
  <si>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</si>
  <si>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</si>
  <si>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</si>
  <si>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</si>
  <si>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</si>
  <si>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</si>
  <si>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</si>
  <si>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</si>
  <si>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</si>
  <si>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</si>
  <si>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</si>
  <si>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</si>
  <si>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</si>
  <si>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</si>
  <si>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</si>
  <si>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</si>
  <si>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</si>
  <si>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</si>
  <si>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</si>
  <si>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</si>
  <si>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</si>
  <si>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</si>
  <si>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</si>
  <si>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</si>
  <si>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</si>
  <si>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</si>
  <si>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</si>
  <si>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</si>
  <si>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</si>
  <si>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</si>
  <si>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</si>
  <si>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</si>
  <si>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</si>
  <si>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</si>
  <si>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</si>
  <si>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</si>
  <si>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</si>
  <si>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</si>
  <si>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</si>
  <si>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</si>
  <si>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</si>
  <si>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</si>
  <si>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</si>
  <si>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</si>
  <si>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</si>
  <si>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</si>
  <si>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</si>
  <si>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</si>
  <si>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</si>
  <si>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</si>
  <si>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</si>
  <si>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</si>
  <si>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</si>
  <si>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</si>
  <si>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</si>
  <si>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</si>
  <si>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</si>
  <si>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</si>
  <si>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</si>
  <si>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</si>
  <si>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</si>
  <si>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</si>
  <si>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</si>
  <si>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</si>
  <si>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</si>
  <si>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</si>
  <si>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</si>
  <si>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</si>
  <si>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</si>
  <si>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</si>
  <si>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</si>
  <si>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</si>
  <si>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</si>
  <si>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</si>
  <si>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</si>
  <si>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</si>
  <si>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</si>
  <si>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</si>
  <si>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</si>
  <si>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</si>
  <si>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</si>
  <si>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</si>
  <si>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</si>
  <si>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</si>
  <si>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</si>
  <si>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</si>
  <si>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</si>
  <si>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</si>
  <si>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</si>
  <si>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</si>
  <si>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</si>
  <si>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</si>
  <si>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</si>
  <si>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</si>
  <si>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</si>
  <si>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</si>
  <si>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</si>
  <si>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</si>
  <si>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</si>
  <si>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</si>
  <si>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</si>
  <si>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</si>
  <si>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</si>
  <si>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</si>
  <si>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</si>
  <si>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</si>
  <si>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</si>
  <si>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</si>
  <si>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</si>
  <si>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</si>
  <si>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</si>
  <si>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</si>
  <si>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</si>
  <si>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</si>
  <si>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</si>
  <si>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</si>
  <si>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</si>
  <si>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</si>
  <si>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</si>
  <si>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</si>
  <si>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</si>
  <si>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</si>
  <si>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</si>
  <si>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</si>
  <si>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</si>
  <si>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</si>
  <si>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</si>
  <si>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</si>
  <si>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</si>
  <si>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</si>
  <si>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</si>
  <si>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</si>
  <si>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</si>
  <si>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</si>
  <si>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</si>
  <si>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</si>
  <si>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</si>
  <si>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</si>
  <si>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</si>
  <si>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</si>
  <si>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</si>
  <si>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</si>
  <si>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</si>
  <si>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</si>
  <si>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</si>
  <si>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</si>
  <si>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</si>
  <si>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</si>
  <si>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</si>
  <si>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</si>
  <si>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</si>
  <si>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</si>
  <si>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</si>
  <si>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</si>
  <si>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</si>
  <si>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</si>
  <si>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</si>
  <si>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</si>
  <si>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</si>
  <si>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</si>
  <si>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</si>
  <si>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</si>
  <si>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</si>
  <si>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</si>
  <si>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</si>
  <si>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</si>
  <si>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</si>
  <si>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</si>
  <si>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</si>
  <si>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</si>
  <si>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</si>
  <si>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</si>
  <si>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</si>
  <si>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</si>
  <si>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</si>
  <si>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</si>
  <si>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</si>
  <si>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</si>
  <si>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</si>
  <si>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</si>
  <si>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</si>
  <si>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</si>
  <si>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</si>
  <si>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</si>
  <si>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</si>
  <si>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</si>
  <si>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</si>
  <si>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</si>
  <si>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</si>
  <si>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</si>
  <si>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</si>
  <si>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</si>
  <si>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</si>
  <si>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</si>
  <si>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</si>
  <si>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</si>
  <si>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</si>
  <si>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</si>
  <si>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</si>
  <si>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</si>
  <si>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</si>
  <si>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</si>
  <si>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</si>
  <si>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</si>
  <si>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</si>
  <si>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</si>
  <si>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</si>
  <si>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</si>
  <si>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</si>
  <si>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</si>
  <si>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</si>
  <si>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</si>
  <si>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</si>
  <si>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</si>
  <si>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</si>
  <si>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</si>
  <si>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</si>
  <si>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</si>
  <si>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</si>
  <si>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</si>
  <si>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</si>
  <si>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</si>
  <si>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</si>
  <si>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</si>
  <si>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</si>
  <si>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</si>
  <si>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</si>
  <si>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</si>
  <si>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</si>
  <si>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</si>
  <si>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</si>
  <si>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</si>
  <si>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</si>
  <si>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</si>
  <si>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</si>
  <si>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</si>
  <si>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</si>
  <si>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</si>
  <si>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</si>
  <si>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</si>
  <si>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</si>
  <si>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</si>
  <si>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</si>
  <si>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</si>
  <si>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</si>
  <si>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</si>
  <si>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</si>
  <si>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</si>
  <si>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</si>
  <si>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</si>
  <si>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</si>
  <si>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</si>
  <si>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</si>
  <si>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</si>
  <si>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</si>
  <si>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</si>
  <si>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</si>
  <si>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</si>
  <si>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</si>
  <si>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</si>
  <si>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</si>
  <si>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</si>
  <si>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</si>
  <si>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</si>
  <si>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</si>
  <si>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</si>
  <si>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</si>
  <si>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</si>
  <si>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</si>
  <si>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</si>
  <si>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</si>
  <si>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</si>
  <si>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</si>
  <si>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</si>
  <si>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</si>
  <si>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</si>
  <si>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</si>
  <si>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</si>
  <si>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</si>
  <si>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</si>
  <si>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</si>
  <si>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</si>
  <si>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</si>
  <si>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</si>
  <si>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</si>
  <si>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</si>
  <si>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</si>
  <si>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</si>
  <si>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</si>
  <si>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</si>
  <si>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</si>
  <si>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</si>
  <si>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</si>
  <si>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</si>
  <si>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</si>
  <si>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</si>
  <si>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</si>
  <si>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</si>
  <si>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</si>
  <si>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</si>
  <si>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</si>
  <si>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</si>
  <si>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</si>
  <si>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</si>
  <si>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</si>
  <si>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</si>
  <si>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</si>
  <si>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</si>
  <si>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</si>
  <si>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</si>
  <si>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</si>
  <si>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</si>
  <si>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</si>
  <si>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</si>
  <si>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</si>
  <si>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</si>
  <si>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</si>
  <si>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</si>
  <si>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</si>
  <si>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</si>
  <si>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</si>
  <si>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</si>
  <si>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</si>
  <si>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</si>
  <si>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</si>
  <si>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</si>
  <si>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</si>
  <si>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</si>
  <si>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</si>
  <si>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</si>
  <si>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</si>
  <si>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</si>
  <si>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</si>
  <si>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</si>
  <si>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</si>
  <si>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</si>
  <si>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</si>
  <si>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</si>
  <si>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</si>
  <si>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</si>
  <si>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</si>
  <si>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</si>
  <si>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</si>
  <si>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</si>
  <si>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</si>
  <si>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</si>
  <si>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</si>
  <si>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</si>
  <si>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</si>
  <si>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</si>
  <si>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</si>
  <si>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</si>
  <si>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</si>
  <si>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</si>
  <si>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</si>
  <si>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</si>
  <si>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</si>
  <si>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</si>
  <si>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</si>
  <si>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</si>
  <si>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</si>
  <si>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</si>
  <si>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</si>
  <si>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</si>
  <si>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</si>
  <si>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</si>
  <si>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</si>
  <si>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</si>
  <si>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</si>
  <si>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</si>
  <si>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</si>
  <si>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</si>
  <si>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</si>
  <si>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</si>
  <si>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</si>
  <si>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</si>
  <si>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</si>
  <si>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</si>
  <si>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</si>
  <si>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</si>
  <si>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</si>
  <si>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</si>
  <si>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</si>
  <si>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</si>
  <si>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</si>
  <si>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</si>
  <si>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</si>
  <si>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</si>
  <si>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</si>
  <si>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</si>
  <si>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</si>
  <si>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</si>
  <si>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</si>
  <si>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</si>
  <si>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</si>
  <si>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</si>
  <si>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</si>
  <si>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</si>
  <si>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</si>
  <si>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</si>
  <si>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</si>
  <si>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</si>
  <si>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</si>
  <si>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</si>
  <si>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</si>
  <si>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</si>
  <si>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</si>
  <si>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</si>
  <si>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</si>
  <si>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</si>
  <si>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</si>
  <si>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</si>
  <si>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</si>
  <si>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</si>
  <si>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</si>
  <si>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</si>
  <si>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</si>
  <si>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</si>
  <si>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</si>
  <si>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</si>
  <si>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</si>
  <si>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</si>
  <si>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</si>
  <si>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</si>
  <si>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</si>
  <si>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</si>
  <si>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</si>
  <si>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</si>
  <si>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</si>
  <si>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</si>
  <si>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</si>
  <si>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</si>
  <si>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</si>
  <si>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</si>
  <si>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</si>
  <si>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</si>
  <si>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</si>
  <si>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</si>
  <si>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</si>
  <si>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</si>
  <si>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</si>
  <si>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</si>
  <si>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</si>
  <si>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</si>
  <si>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</si>
  <si>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</si>
  <si>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</si>
  <si>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</si>
  <si>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</si>
  <si>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</si>
  <si>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</si>
  <si>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</si>
  <si>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</si>
  <si>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</si>
  <si>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</si>
  <si>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</si>
  <si>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</si>
  <si>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</si>
  <si>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</si>
  <si>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</si>
  <si>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</si>
  <si>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</si>
  <si>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</si>
  <si>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</si>
  <si>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</si>
  <si>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</si>
  <si>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</si>
  <si>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</si>
  <si>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</si>
  <si>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</si>
  <si>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</si>
  <si>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</si>
  <si>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</si>
  <si>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</si>
  <si>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</si>
  <si>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</si>
  <si>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</si>
  <si>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</si>
  <si>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</si>
  <si>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</si>
  <si>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</si>
  <si>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</si>
  <si>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</si>
  <si>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</si>
  <si>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</si>
  <si>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</si>
  <si>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</si>
  <si>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</si>
  <si>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</si>
  <si>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</si>
  <si>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</si>
  <si>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</si>
  <si>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</si>
  <si>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</si>
  <si>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</si>
  <si>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</si>
  <si>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</si>
  <si>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</si>
  <si>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</si>
  <si>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</si>
  <si>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</si>
  <si>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</si>
  <si>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</si>
  <si>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</si>
  <si>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</si>
  <si>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</si>
  <si>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</si>
  <si>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</si>
  <si>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</si>
  <si>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</si>
  <si>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</si>
  <si>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</si>
  <si>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</si>
  <si>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</si>
  <si>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</si>
  <si>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</si>
  <si>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</si>
  <si>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</si>
  <si>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</si>
  <si>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</si>
  <si>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</si>
  <si>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</si>
  <si>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</si>
  <si>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</si>
  <si>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</si>
  <si>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</si>
  <si>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</si>
  <si>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</si>
  <si>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</si>
  <si>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</si>
  <si>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</si>
  <si>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</si>
  <si>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</si>
  <si>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</si>
  <si>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</si>
  <si>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</si>
  <si>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</si>
  <si>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</si>
  <si>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</si>
  <si>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</si>
  <si>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</si>
  <si>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</si>
  <si>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</si>
  <si>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</si>
  <si>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</si>
  <si>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</si>
  <si>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</si>
  <si>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</si>
  <si>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</si>
  <si>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</si>
  <si>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</si>
  <si>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</si>
  <si>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</si>
  <si>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</si>
  <si>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</si>
  <si>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</si>
  <si>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</si>
  <si>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</si>
  <si>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</si>
  <si>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</si>
  <si>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</si>
  <si>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</si>
  <si>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</si>
  <si>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</si>
  <si>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</si>
  <si>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</si>
  <si>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</si>
  <si>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</si>
  <si>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</si>
  <si>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</si>
  <si>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</si>
  <si>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</si>
  <si>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</si>
  <si>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</si>
  <si>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</si>
  <si>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</si>
  <si>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</si>
  <si>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</si>
  <si>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</si>
  <si>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</si>
  <si>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</si>
  <si>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</si>
  <si>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</si>
  <si>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</si>
  <si>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</si>
  <si>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</si>
  <si>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</si>
  <si>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</si>
  <si>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</si>
  <si>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</si>
  <si>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</si>
  <si>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</si>
  <si>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</si>
  <si>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</si>
  <si>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</si>
  <si>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</si>
  <si>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</si>
  <si>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</si>
  <si>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</si>
  <si>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</si>
  <si>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</si>
  <si>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</si>
  <si>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</si>
  <si>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</si>
  <si>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</si>
  <si>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</si>
  <si>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</si>
  <si>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</si>
  <si>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</si>
  <si>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</si>
  <si>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</si>
  <si>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</si>
  <si>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</si>
  <si>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</si>
  <si>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</si>
  <si>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</si>
  <si>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</si>
  <si>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</si>
  <si>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</si>
  <si>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</si>
  <si>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</si>
  <si>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</si>
  <si>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</si>
  <si>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</si>
  <si>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</si>
  <si>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</si>
  <si>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</si>
  <si>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</si>
  <si>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</si>
  <si>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</si>
  <si>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</si>
  <si>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</si>
  <si>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</si>
  <si>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</si>
  <si>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</si>
  <si>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</si>
  <si>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</si>
  <si>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</si>
  <si>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</si>
  <si>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</si>
  <si>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</si>
  <si>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</si>
  <si>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</si>
  <si>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</si>
  <si>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</si>
  <si>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</si>
  <si>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</si>
  <si>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</si>
  <si>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</si>
  <si>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</si>
  <si>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</si>
  <si>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</si>
  <si>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</si>
  <si>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</si>
  <si>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</si>
  <si>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</si>
  <si>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</si>
  <si>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</si>
  <si>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</si>
  <si>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</si>
  <si>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</si>
  <si>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</si>
  <si>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</si>
  <si>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</si>
  <si>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</si>
  <si>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</si>
  <si>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</si>
  <si>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</si>
  <si>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</si>
  <si>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</si>
  <si>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</si>
  <si>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</si>
  <si>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</si>
  <si>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</si>
  <si>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</si>
  <si>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</si>
  <si>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</si>
  <si>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</si>
  <si>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</si>
  <si>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</si>
  <si>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</si>
  <si>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</si>
  <si>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</si>
  <si>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</si>
  <si>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</si>
  <si>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</si>
  <si>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</si>
  <si>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</si>
  <si>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</si>
  <si>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</si>
  <si>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</si>
  <si>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</si>
  <si>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</si>
  <si>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</si>
  <si>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</si>
  <si>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</si>
  <si>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</si>
  <si>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</si>
  <si>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</si>
  <si>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</si>
  <si>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</si>
  <si>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</si>
  <si>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</si>
  <si>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</si>
  <si>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</si>
  <si>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</si>
  <si>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</si>
  <si>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</si>
  <si>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</si>
  <si>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</si>
  <si>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</si>
  <si>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</si>
  <si>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</si>
  <si>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</si>
  <si>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</si>
  <si>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</si>
  <si>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</si>
  <si>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</si>
  <si>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</si>
  <si>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</si>
  <si>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</si>
  <si>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</si>
  <si>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</si>
  <si>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</si>
  <si>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</si>
  <si>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</si>
  <si>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</si>
  <si>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</si>
  <si>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</si>
  <si>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</si>
  <si>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</si>
  <si>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</si>
  <si>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</si>
  <si>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</si>
  <si>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</si>
  <si>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</si>
  <si>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</si>
  <si>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</si>
  <si>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</si>
  <si>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</si>
  <si>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</si>
  <si>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</si>
  <si>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</si>
  <si>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</si>
  <si>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</si>
  <si>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</si>
  <si>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</si>
  <si>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</si>
  <si>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</si>
  <si>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</si>
  <si>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</si>
  <si>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</si>
  <si>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</si>
  <si>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</si>
  <si>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</si>
  <si>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</si>
  <si>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</si>
  <si>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</si>
  <si>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</si>
  <si>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</si>
  <si>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</si>
  <si>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</si>
  <si>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</si>
  <si>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</si>
  <si>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</si>
  <si>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</si>
  <si>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</si>
  <si>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</si>
  <si>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</si>
  <si>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</si>
  <si>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</si>
  <si>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</si>
  <si>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</si>
  <si>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</si>
  <si>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</si>
  <si>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</si>
  <si>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</si>
  <si>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</si>
  <si>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</si>
  <si>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</si>
  <si>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</si>
  <si>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</si>
  <si>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</si>
  <si>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</si>
  <si>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</si>
  <si>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</si>
  <si>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</si>
  <si>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</si>
  <si>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</si>
  <si>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</si>
  <si>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</si>
  <si>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</si>
  <si>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</si>
  <si>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</si>
  <si>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</si>
  <si>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</si>
  <si>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</si>
  <si>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</si>
  <si>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</si>
  <si>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</si>
  <si>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</si>
  <si>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</si>
  <si>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</si>
  <si>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</si>
  <si>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</si>
  <si>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</si>
  <si>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</si>
  <si>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</si>
  <si>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</si>
  <si>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</si>
  <si>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</si>
  <si>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</si>
  <si>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</si>
  <si>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</si>
  <si>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</si>
  <si>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</si>
  <si>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</si>
  <si>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</si>
  <si>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</si>
  <si>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</si>
  <si>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</si>
  <si>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</si>
  <si>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</si>
  <si>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</si>
  <si>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</si>
  <si>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</si>
  <si>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</si>
  <si>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</si>
  <si>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</si>
  <si>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</si>
  <si>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</si>
  <si>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</si>
  <si>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</si>
  <si>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</si>
  <si>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</si>
  <si>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</si>
  <si>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</si>
  <si>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</si>
  <si>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</si>
  <si>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</si>
  <si>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</si>
  <si>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</si>
  <si>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</si>
  <si>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</si>
  <si>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</si>
  <si>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</si>
  <si>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</si>
  <si>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</si>
  <si>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</si>
  <si>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</si>
  <si>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</si>
  <si>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</si>
  <si>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</si>
  <si>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</si>
  <si>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</si>
  <si>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</si>
  <si>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</si>
  <si>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</si>
  <si>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</si>
  <si>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</si>
  <si>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</si>
  <si>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</si>
  <si>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</si>
  <si>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</si>
  <si>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</si>
  <si>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</si>
  <si>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</si>
  <si>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</si>
  <si>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</si>
  <si>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</si>
  <si>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</si>
  <si>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</si>
  <si>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</si>
  <si>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</si>
  <si>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</si>
  <si>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</si>
  <si>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</si>
  <si>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</si>
  <si>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</si>
  <si>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</si>
  <si>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</si>
  <si>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</si>
  <si>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</si>
  <si>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</si>
  <si>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</si>
  <si>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</si>
  <si>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</si>
  <si>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</si>
  <si>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</si>
  <si>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</si>
  <si>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</si>
  <si>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</si>
  <si>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</si>
  <si>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</si>
  <si>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</si>
  <si>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</si>
  <si>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</si>
  <si>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</si>
  <si>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</si>
  <si>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</si>
  <si>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</si>
  <si>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</si>
  <si>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</si>
  <si>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</si>
  <si>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</si>
  <si>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</si>
  <si>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</si>
  <si>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</si>
  <si>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</si>
  <si>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</si>
  <si>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</si>
  <si>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</si>
  <si>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</si>
  <si>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</si>
  <si>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</si>
  <si>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</si>
  <si>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</si>
  <si>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</si>
  <si>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</si>
  <si>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</si>
  <si>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</si>
  <si>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</si>
  <si>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</si>
  <si>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</si>
  <si>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</si>
  <si>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</si>
  <si>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</si>
  <si>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</si>
  <si>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</si>
  <si>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</si>
  <si>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</si>
  <si>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</si>
  <si>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</si>
  <si>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</si>
  <si>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</si>
  <si>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</si>
  <si>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</si>
  <si>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</si>
  <si>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</si>
  <si>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</si>
  <si>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</si>
  <si>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</si>
  <si>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</si>
  <si>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</si>
  <si>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</si>
  <si>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</si>
  <si>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</si>
  <si>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</si>
  <si>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</si>
  <si>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</si>
  <si>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</si>
  <si>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</si>
  <si>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</si>
  <si>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</si>
  <si>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</si>
  <si>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</si>
  <si>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</si>
  <si>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</si>
  <si>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</si>
  <si>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</si>
  <si>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</si>
  <si>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</si>
  <si>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</si>
  <si>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</si>
  <si>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</si>
  <si>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</si>
  <si>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</si>
  <si>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</si>
  <si>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</si>
  <si>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</si>
  <si>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</si>
  <si>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</si>
  <si>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</si>
  <si>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</si>
  <si>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</si>
  <si>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</si>
  <si>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</si>
  <si>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</si>
  <si>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</si>
  <si>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</si>
  <si>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</si>
  <si>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</si>
  <si>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</si>
  <si>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</si>
  <si>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</si>
  <si>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</si>
  <si>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</si>
  <si>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</si>
  <si>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</si>
  <si>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</si>
  <si>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</si>
  <si>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</si>
  <si>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</si>
  <si>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</si>
  <si>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</si>
  <si>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</si>
  <si>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</si>
  <si>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</si>
  <si>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</si>
  <si>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</si>
  <si>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</si>
  <si>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</si>
  <si>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</si>
  <si>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</si>
  <si>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</si>
  <si>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</si>
  <si>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</si>
  <si>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</si>
  <si>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</si>
  <si>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</si>
  <si>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</si>
  <si>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</si>
  <si>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</si>
  <si>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</si>
  <si>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</si>
  <si>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</si>
  <si>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</si>
  <si>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</si>
  <si>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</si>
  <si>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</si>
  <si>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</si>
  <si>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</si>
  <si>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</si>
  <si>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</si>
  <si>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</si>
  <si>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</si>
  <si>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</si>
  <si>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</si>
  <si>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</si>
  <si>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</si>
  <si>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</si>
  <si>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</si>
  <si>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</si>
  <si>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</si>
  <si>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</si>
  <si>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</si>
  <si>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</si>
  <si>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</si>
  <si>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</si>
  <si>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</si>
  <si>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</si>
  <si>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</si>
  <si>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</si>
  <si>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</si>
  <si>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</si>
  <si>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</si>
  <si>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</si>
  <si>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</si>
  <si>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</si>
  <si>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</si>
  <si>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</si>
  <si>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</si>
  <si>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</si>
  <si>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</si>
  <si>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</si>
  <si>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</si>
  <si>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</si>
  <si>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</si>
  <si>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</si>
  <si>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</si>
  <si>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</si>
  <si>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</si>
  <si>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</si>
  <si>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</si>
  <si>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</si>
  <si>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</si>
  <si>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</si>
  <si>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</si>
  <si>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</si>
  <si>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</si>
  <si>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</si>
  <si>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</si>
  <si>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</si>
  <si>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</si>
  <si>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</si>
  <si>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</si>
  <si>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</si>
  <si>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</si>
  <si>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</si>
  <si>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</si>
  <si>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</si>
  <si>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</si>
  <si>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</si>
  <si>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</si>
  <si>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</si>
  <si>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</si>
  <si>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</si>
  <si>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</si>
  <si>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</si>
  <si>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</si>
  <si>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</si>
  <si>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</si>
  <si>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</si>
  <si>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</si>
  <si>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</si>
  <si>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</si>
  <si>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</si>
  <si>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</si>
  <si>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</si>
  <si>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</si>
  <si>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</si>
  <si>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</si>
  <si>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</si>
  <si>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</si>
  <si>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</si>
  <si>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</si>
  <si>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</si>
  <si>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</si>
  <si>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</si>
  <si>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</si>
  <si>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</si>
  <si>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</si>
  <si>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</si>
  <si>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</si>
  <si>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</si>
  <si>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</si>
  <si>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</si>
  <si>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</si>
  <si>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</si>
  <si>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</si>
  <si>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</si>
  <si>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</si>
  <si>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</si>
  <si>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</si>
  <si>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</si>
  <si>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</si>
  <si>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</si>
  <si>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</si>
  <si>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</si>
  <si>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</si>
  <si>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</si>
  <si>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</si>
  <si>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</si>
  <si>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</si>
  <si>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</si>
  <si>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</si>
  <si>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</si>
  <si>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</si>
  <si>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</si>
  <si>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</si>
  <si>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</si>
  <si>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</si>
  <si>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</si>
  <si>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</si>
  <si>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</si>
  <si>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</si>
  <si>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</si>
  <si>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</si>
  <si>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</si>
  <si>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</si>
  <si>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</si>
  <si>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</si>
  <si>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</si>
  <si>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</si>
  <si>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</si>
  <si>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</si>
  <si>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</si>
  <si>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</si>
  <si>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</si>
  <si>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</si>
  <si>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</si>
  <si>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</si>
  <si>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</si>
  <si>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</si>
  <si>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</si>
  <si>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</si>
  <si>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</si>
  <si>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</si>
  <si>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</si>
  <si>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</si>
  <si>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</si>
  <si>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</si>
  <si>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</si>
  <si>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</si>
  <si>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</si>
  <si>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</si>
  <si>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</si>
  <si>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</si>
  <si>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</si>
  <si>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</si>
  <si>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</si>
  <si>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</si>
  <si>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</si>
  <si>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</si>
  <si>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</si>
  <si>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</si>
  <si>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</si>
  <si>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</si>
  <si>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</si>
  <si>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</si>
  <si>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</si>
  <si>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</si>
  <si>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</si>
  <si>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</si>
  <si>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</si>
  <si>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</si>
  <si>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</si>
  <si>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</si>
  <si>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</si>
  <si>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</si>
  <si>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</si>
  <si>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</si>
  <si>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</si>
  <si>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</si>
  <si>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</si>
  <si>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</si>
  <si>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</si>
  <si>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</si>
  <si>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</si>
  <si>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</si>
  <si>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</si>
  <si>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</si>
  <si>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</si>
  <si>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</si>
  <si>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</si>
  <si>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</si>
  <si>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</si>
  <si>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</si>
  <si>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</si>
  <si>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</si>
  <si>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</si>
  <si>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</si>
  <si>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</si>
  <si>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</si>
  <si>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</si>
  <si>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</si>
  <si>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</si>
  <si>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</si>
  <si>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</si>
  <si>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</si>
  <si>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</si>
  <si>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</si>
  <si>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</si>
  <si>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</si>
  <si>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</si>
  <si>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</si>
  <si>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</si>
  <si>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</si>
  <si>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</si>
  <si>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</si>
  <si>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</si>
  <si>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</si>
  <si>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</si>
  <si>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</si>
  <si>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</si>
  <si>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</si>
  <si>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</si>
  <si>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</si>
  <si>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</si>
  <si>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</si>
  <si>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</si>
  <si>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</si>
  <si>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</si>
  <si>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</si>
  <si>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</si>
  <si>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</si>
  <si>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</si>
  <si>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</si>
  <si>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</si>
  <si>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</si>
  <si>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</si>
  <si>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</si>
  <si>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</si>
  <si>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</si>
  <si>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</si>
  <si>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</si>
  <si>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</si>
  <si>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</si>
  <si>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</si>
  <si>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</si>
  <si>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</si>
  <si>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</si>
  <si>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</si>
  <si>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</si>
  <si>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</si>
  <si>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</si>
  <si>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</si>
  <si>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</si>
  <si>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</si>
  <si>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</si>
  <si>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</si>
  <si>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</si>
  <si>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</si>
  <si>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</si>
  <si>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</si>
  <si>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</si>
  <si>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</si>
  <si>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</si>
  <si>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</si>
  <si>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</si>
  <si>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</si>
  <si>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</si>
  <si>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</si>
  <si>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</si>
  <si>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</si>
  <si>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</si>
  <si>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</si>
  <si>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</si>
  <si>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</si>
  <si>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</si>
  <si>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</si>
  <si>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</si>
  <si>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</si>
  <si>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</si>
  <si>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</si>
  <si>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</si>
  <si>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</si>
  <si>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</si>
  <si>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</si>
  <si>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</si>
  <si>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</si>
  <si>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</si>
  <si>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</si>
  <si>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</si>
  <si>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</si>
  <si>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</si>
  <si>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</si>
  <si>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</si>
  <si>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</si>
  <si>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</si>
  <si>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</si>
  <si>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</si>
  <si>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</si>
  <si>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</si>
  <si>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</si>
  <si>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</si>
  <si>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</si>
  <si>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</si>
  <si>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</si>
  <si>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</si>
  <si>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</si>
  <si>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</si>
  <si>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</si>
  <si>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</si>
  <si>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</si>
  <si>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</si>
  <si>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</si>
  <si>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</si>
  <si>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</si>
  <si>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</si>
  <si>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</si>
  <si>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</si>
  <si>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</si>
  <si>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</si>
  <si>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</si>
  <si>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</si>
  <si>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</si>
  <si>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</si>
  <si>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</si>
  <si>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</si>
  <si>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</si>
  <si>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</si>
  <si>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</si>
  <si>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</si>
  <si>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</si>
  <si>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</si>
  <si>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</si>
  <si>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</si>
  <si>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</si>
  <si>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</si>
  <si>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</si>
  <si>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</si>
  <si>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</si>
  <si>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</si>
  <si>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</si>
  <si>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</si>
  <si>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</si>
  <si>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</si>
  <si>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</si>
  <si>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</si>
  <si>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</si>
  <si>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</si>
  <si>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</si>
  <si>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</si>
  <si>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</si>
  <si>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</si>
  <si>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</si>
  <si>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</si>
  <si>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</si>
  <si>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</si>
  <si>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</si>
  <si>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</si>
  <si>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</si>
  <si>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</si>
  <si>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</si>
  <si>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</si>
  <si>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</si>
  <si>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</si>
  <si>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</si>
  <si>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</si>
  <si>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</si>
  <si>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</si>
  <si>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</si>
  <si>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</si>
  <si>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</si>
  <si>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</si>
  <si>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</si>
  <si>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</si>
  <si>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</si>
  <si>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</si>
  <si>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</si>
  <si>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</si>
  <si>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</si>
  <si>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</si>
  <si>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</si>
  <si>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</si>
  <si>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</si>
  <si>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</si>
  <si>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</si>
  <si>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</si>
  <si>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</si>
  <si>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</si>
  <si>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</si>
  <si>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</si>
  <si>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</si>
  <si>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</si>
  <si>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</si>
  <si>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</si>
  <si>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</si>
  <si>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</si>
  <si>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</si>
  <si>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</si>
  <si>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</si>
  <si>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</si>
  <si>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</si>
  <si>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</si>
  <si>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</si>
  <si>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</si>
  <si>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</si>
  <si>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</si>
  <si>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</si>
  <si>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</si>
  <si>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</si>
  <si>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</si>
  <si>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</si>
  <si>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</si>
  <si>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</si>
  <si>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</si>
  <si>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</si>
  <si>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</si>
  <si>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</si>
  <si>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</si>
  <si>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</si>
  <si>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</si>
  <si>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</si>
  <si>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</si>
  <si>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</si>
  <si>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</si>
  <si>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</si>
  <si>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</si>
  <si>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</si>
  <si>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</si>
  <si>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</si>
  <si>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</si>
  <si>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</si>
  <si>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</si>
  <si>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</si>
  <si>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</si>
  <si>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</si>
  <si>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</si>
  <si>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</si>
  <si>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</si>
  <si>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</si>
  <si>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</si>
  <si>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</si>
  <si>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</si>
  <si>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</si>
  <si>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</si>
  <si>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</si>
  <si>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</si>
  <si>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</si>
  <si>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</si>
  <si>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</si>
  <si>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</si>
  <si>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</si>
  <si>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</si>
  <si>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</si>
  <si>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</si>
  <si>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</si>
  <si>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</si>
  <si>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</si>
  <si>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</si>
  <si>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</si>
  <si>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</si>
  <si>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</si>
  <si>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</si>
  <si>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</si>
  <si>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</si>
  <si>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</si>
  <si>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</si>
  <si>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</si>
  <si>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</si>
  <si>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</si>
  <si>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</si>
  <si>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</si>
  <si>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</si>
  <si>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</si>
  <si>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</si>
  <si>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</si>
  <si>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</si>
  <si>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</si>
  <si>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</si>
  <si>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</si>
  <si>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</si>
  <si>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</si>
  <si>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</si>
  <si>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</si>
  <si>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</si>
  <si>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</si>
  <si>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</si>
  <si>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</si>
  <si>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</si>
  <si>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</si>
  <si>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</si>
  <si>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</si>
  <si>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</si>
  <si>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</si>
  <si>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</si>
  <si>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</si>
  <si>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</si>
  <si>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</si>
  <si>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</si>
  <si>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</si>
  <si>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</si>
  <si>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</si>
  <si>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</si>
  <si>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</si>
  <si>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</si>
  <si>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</si>
  <si>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</si>
  <si>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</si>
  <si>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</si>
  <si>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</si>
  <si>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</si>
  <si>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</si>
  <si>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</si>
  <si>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</si>
  <si>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</si>
  <si>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</si>
  <si>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</si>
  <si>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</si>
  <si>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</si>
  <si>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</si>
  <si>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</si>
  <si>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</si>
  <si>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</si>
  <si>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</si>
  <si>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</si>
  <si>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</si>
  <si>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</si>
  <si>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</si>
  <si>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</si>
  <si>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</si>
  <si>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</si>
  <si>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</si>
  <si>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</si>
  <si>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</si>
  <si>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</si>
  <si>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</si>
  <si>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</si>
  <si>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</si>
  <si>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</si>
  <si>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</si>
  <si>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</si>
  <si>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</si>
  <si>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</si>
  <si>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</si>
  <si>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</si>
  <si>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</si>
  <si>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</si>
  <si>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</si>
  <si>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</si>
  <si>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</si>
  <si>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</si>
  <si>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</si>
  <si>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</si>
  <si>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</si>
  <si>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</si>
  <si>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</si>
  <si>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</si>
  <si>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</si>
  <si>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</si>
  <si>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</si>
  <si>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</si>
  <si>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</si>
  <si>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</si>
  <si>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</si>
  <si>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</si>
  <si>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</si>
  <si>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</si>
  <si>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</si>
  <si>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</si>
  <si>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</si>
  <si>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</si>
  <si>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</si>
  <si>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</si>
  <si>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</si>
  <si>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</si>
  <si>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</si>
  <si>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</si>
  <si>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</si>
  <si>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</si>
  <si>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</si>
  <si>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</si>
  <si>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</si>
  <si>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</si>
  <si>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</si>
  <si>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</si>
  <si>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</si>
  <si>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</si>
  <si>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</si>
  <si>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</si>
  <si>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</si>
  <si>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</si>
  <si>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</si>
  <si>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</si>
  <si>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</si>
  <si>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</si>
  <si>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</si>
  <si>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</si>
  <si>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</si>
  <si>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</si>
  <si>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</si>
  <si>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</si>
  <si>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</si>
  <si>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</si>
  <si>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</si>
  <si>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</si>
  <si>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</si>
  <si>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</si>
  <si>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</si>
  <si>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</si>
  <si>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</si>
  <si>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</si>
  <si>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</si>
  <si>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</si>
  <si>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</si>
  <si>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</si>
  <si>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</si>
  <si>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</si>
  <si>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</si>
  <si>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</si>
  <si>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</si>
  <si>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</si>
  <si>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</si>
  <si>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</si>
  <si>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</si>
  <si>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</si>
  <si>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</si>
  <si>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</si>
  <si>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</si>
  <si>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</si>
  <si>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</si>
  <si>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</si>
  <si>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</si>
  <si>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</si>
  <si>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</si>
  <si>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</si>
  <si>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</si>
  <si>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</si>
  <si>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</si>
  <si>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</si>
  <si>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</si>
  <si>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</si>
  <si>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</si>
  <si>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</si>
  <si>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</si>
  <si>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</si>
  <si>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</si>
  <si>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</si>
  <si>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</si>
  <si>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</si>
  <si>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</si>
  <si>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</si>
  <si>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</si>
  <si>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</si>
  <si>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</si>
  <si>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</si>
  <si>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</si>
  <si>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</si>
  <si>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</si>
  <si>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</si>
  <si>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</si>
  <si>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</si>
  <si>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</si>
  <si>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</si>
  <si>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</si>
  <si>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</si>
  <si>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</si>
  <si>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</si>
  <si>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</si>
  <si>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</si>
  <si>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</si>
  <si>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</si>
  <si>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</si>
  <si>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</si>
  <si>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</si>
  <si>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</si>
  <si>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</si>
  <si>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</si>
  <si>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</si>
  <si>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</si>
  <si>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</si>
  <si>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</si>
  <si>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</si>
  <si>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</si>
  <si>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</si>
  <si>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</si>
  <si>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</si>
  <si>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</si>
  <si>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</si>
  <si>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</si>
  <si>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</si>
  <si>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</si>
  <si>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</si>
  <si>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</si>
  <si>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</si>
  <si>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</si>
  <si>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</si>
  <si>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</si>
  <si>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</si>
  <si>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</si>
  <si>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</si>
  <si>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</si>
  <si>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</si>
  <si>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</si>
  <si>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</si>
  <si>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</si>
  <si>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</si>
  <si>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</si>
  <si>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</si>
  <si>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</si>
  <si>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</si>
  <si>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</si>
  <si>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</si>
  <si>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</si>
  <si>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</si>
  <si>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</si>
  <si>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</si>
  <si>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</si>
  <si>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</si>
  <si>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</si>
  <si>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</si>
  <si>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</si>
  <si>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</si>
  <si>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</si>
  <si>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</si>
  <si>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</si>
  <si>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</si>
  <si>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</si>
  <si>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</si>
  <si>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</si>
  <si>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</si>
  <si>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</si>
  <si>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</si>
  <si>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</si>
  <si>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</si>
  <si>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</si>
  <si>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</si>
  <si>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</si>
  <si>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</si>
  <si>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</si>
  <si>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</si>
  <si>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</si>
  <si>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</si>
  <si>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</si>
  <si>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</si>
  <si>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</si>
  <si>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</si>
  <si>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</si>
  <si>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</si>
  <si>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</si>
  <si>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</si>
  <si>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</si>
  <si>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</si>
  <si>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</si>
  <si>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</si>
  <si>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</si>
  <si>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</si>
  <si>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</si>
  <si>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</si>
  <si>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</si>
  <si>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</si>
  <si>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</si>
  <si>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</si>
  <si>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</si>
  <si>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</si>
  <si>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</si>
  <si>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</si>
  <si>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</si>
  <si>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</si>
  <si>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</si>
  <si>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</si>
  <si>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</si>
  <si>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</si>
  <si>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</si>
  <si>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</si>
  <si>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</si>
  <si>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</si>
  <si>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</si>
  <si>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</si>
  <si>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</si>
  <si>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</si>
  <si>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</si>
  <si>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</si>
  <si>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</si>
  <si>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</si>
  <si>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</si>
  <si>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</si>
  <si>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</si>
  <si>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</si>
  <si>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</si>
  <si>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</si>
  <si>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</si>
  <si>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</si>
  <si>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</si>
  <si>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</si>
  <si>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</si>
  <si>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</si>
  <si>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</si>
  <si>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</si>
  <si>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</si>
  <si>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</si>
  <si>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</si>
  <si>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</si>
  <si>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</si>
  <si>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</si>
  <si>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</si>
  <si>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</si>
  <si>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</si>
  <si>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</si>
  <si>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</si>
  <si>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</si>
  <si>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</si>
  <si>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</si>
  <si>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</si>
  <si>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</si>
  <si>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</si>
  <si>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</si>
  <si>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</si>
  <si>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</si>
  <si>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</si>
  <si>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</si>
  <si>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</si>
  <si>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</si>
  <si>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</si>
  <si>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</si>
  <si>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</si>
  <si>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</si>
  <si>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</si>
  <si>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</si>
  <si>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</si>
  <si>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</si>
  <si>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</si>
  <si>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</si>
  <si>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</si>
  <si>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</si>
  <si>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</si>
  <si>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</si>
  <si>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</si>
  <si>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</si>
  <si>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</si>
  <si>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</si>
  <si>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</si>
  <si>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</si>
  <si>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</si>
  <si>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</si>
  <si>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</si>
  <si>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</si>
  <si>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</si>
  <si>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</si>
  <si>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</si>
  <si>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</si>
  <si>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</si>
  <si>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</si>
  <si>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</si>
  <si>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</si>
  <si>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</si>
  <si>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</si>
  <si>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</si>
  <si>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</si>
  <si>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</si>
  <si>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</si>
  <si>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</si>
  <si>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</si>
  <si>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</si>
  <si>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</si>
  <si>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</si>
  <si>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</si>
  <si>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</si>
  <si>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</si>
  <si>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</si>
  <si>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</si>
  <si>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</si>
  <si>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</si>
  <si>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</si>
  <si>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</si>
  <si>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</si>
  <si>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</si>
  <si>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</si>
  <si>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</si>
  <si>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</si>
  <si>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</si>
  <si>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</si>
  <si>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</si>
  <si>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</si>
  <si>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</si>
  <si>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</si>
  <si>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</si>
  <si>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</si>
  <si>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</si>
  <si>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</si>
  <si>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</si>
  <si>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</si>
  <si>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</si>
  <si>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</si>
  <si>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</si>
  <si>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</si>
  <si>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</si>
  <si>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</si>
  <si>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</si>
  <si>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</si>
  <si>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</si>
  <si>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</si>
  <si>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</si>
  <si>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</si>
  <si>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</si>
  <si>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</si>
  <si>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</si>
  <si>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</si>
  <si>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</si>
  <si>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</si>
  <si>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</si>
  <si>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</si>
  <si>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</si>
  <si>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</si>
  <si>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</si>
  <si>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</si>
  <si>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</si>
  <si>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</si>
  <si>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</si>
  <si>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</si>
  <si>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</si>
  <si>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</si>
  <si>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</si>
  <si>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</si>
  <si>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</si>
  <si>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</si>
  <si>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</si>
  <si>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</si>
  <si>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</si>
  <si>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</si>
  <si>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</si>
  <si>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</si>
  <si>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</si>
  <si>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</si>
  <si>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</si>
  <si>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</si>
  <si>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</si>
  <si>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</si>
  <si>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</si>
  <si>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</si>
  <si>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</si>
  <si>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</si>
  <si>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</si>
  <si>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</si>
  <si>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</si>
  <si>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</si>
  <si>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</si>
  <si>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</si>
  <si>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</si>
  <si>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</si>
  <si>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</si>
  <si>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</si>
  <si>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</si>
  <si>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</si>
  <si>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</si>
  <si>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</si>
  <si>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</si>
  <si>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</si>
  <si>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</si>
  <si>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</si>
  <si>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</si>
  <si>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</si>
  <si>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</si>
  <si>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</si>
  <si>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</si>
  <si>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</si>
  <si>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</si>
  <si>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</si>
  <si>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</si>
  <si>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</si>
  <si>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</si>
  <si>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</si>
  <si>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</si>
  <si>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</si>
  <si>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</si>
  <si>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</si>
  <si>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</si>
  <si>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</si>
  <si>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</si>
  <si>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</si>
  <si>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</si>
  <si>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</si>
  <si>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</si>
  <si>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</si>
  <si>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</si>
  <si>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</si>
  <si>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</si>
  <si>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</si>
  <si>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</si>
  <si>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</si>
  <si>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</si>
  <si>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</si>
  <si>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</si>
  <si>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</si>
  <si>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</si>
  <si>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</si>
  <si>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</si>
  <si>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</si>
  <si>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</si>
  <si>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</si>
  <si>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</si>
  <si>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</si>
  <si>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</si>
  <si>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</si>
  <si>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</si>
  <si>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</si>
  <si>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</si>
  <si>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</si>
  <si>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</si>
  <si>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</si>
  <si>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</si>
  <si>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</si>
  <si>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</si>
  <si>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</si>
  <si>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</si>
  <si>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</si>
  <si>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</si>
  <si>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</si>
  <si>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</si>
  <si>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</si>
  <si>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</si>
  <si>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</si>
  <si>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</si>
  <si>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</si>
  <si>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</si>
  <si>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</si>
  <si>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</si>
  <si>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</si>
  <si>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</si>
  <si>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</si>
  <si>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</si>
  <si>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</si>
  <si>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</si>
  <si>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</si>
  <si>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</si>
  <si>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</si>
  <si>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</si>
  <si>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</si>
  <si>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</si>
  <si>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</si>
  <si>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</si>
  <si>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</si>
  <si>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</si>
  <si>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</si>
  <si>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</si>
  <si>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</si>
  <si>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</si>
  <si>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</si>
  <si>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</si>
  <si>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</si>
  <si>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</si>
  <si>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</si>
  <si>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</si>
  <si>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</si>
  <si>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</si>
  <si>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</si>
  <si>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</si>
  <si>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</si>
  <si>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</si>
  <si>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</si>
  <si>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</si>
  <si>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</si>
  <si>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</si>
  <si>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</si>
  <si>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</si>
  <si>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</si>
  <si>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</si>
  <si>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</si>
  <si>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</si>
  <si>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</si>
  <si>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</si>
  <si>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</si>
  <si>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</si>
  <si>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</si>
  <si>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</si>
  <si>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</si>
  <si>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</si>
  <si>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</si>
  <si>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</si>
  <si>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</si>
  <si>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</si>
  <si>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</si>
  <si>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</si>
  <si>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</si>
  <si>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</si>
  <si>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</si>
  <si>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</si>
  <si>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</si>
  <si>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</si>
  <si>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</si>
  <si>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</si>
  <si>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</si>
  <si>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</si>
  <si>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</si>
  <si>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</si>
  <si>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</si>
  <si>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</si>
  <si>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</si>
  <si>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</si>
  <si>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</si>
  <si>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</si>
  <si>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</si>
  <si>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</si>
  <si>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</si>
  <si>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</si>
  <si>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</si>
  <si>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</si>
  <si>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</si>
  <si>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</si>
  <si>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</si>
  <si>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</si>
  <si>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</si>
  <si>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</si>
  <si>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</si>
  <si>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</si>
  <si>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</si>
  <si>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</si>
  <si>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</si>
  <si>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</si>
  <si>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</si>
  <si>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</si>
  <si>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</si>
  <si>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</si>
  <si>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</si>
  <si>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</si>
  <si>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</si>
  <si>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</si>
  <si>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</si>
  <si>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</si>
  <si>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</si>
  <si>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</si>
  <si>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</si>
  <si>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</si>
  <si>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</si>
  <si>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</si>
  <si>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</si>
  <si>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</si>
  <si>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</si>
  <si>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</si>
  <si>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</si>
  <si>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</si>
  <si>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</si>
  <si>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</si>
  <si>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</si>
  <si>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</si>
  <si>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</si>
  <si>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</si>
  <si>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</si>
  <si>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</si>
  <si>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</si>
  <si>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</si>
  <si>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</si>
  <si>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</si>
  <si>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</si>
  <si>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</si>
  <si>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</si>
  <si>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</si>
  <si>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</si>
  <si>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</si>
  <si>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</si>
  <si>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</si>
  <si>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</si>
  <si>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</si>
  <si>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</si>
  <si>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</si>
  <si>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</si>
  <si>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</si>
  <si>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</si>
  <si>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</si>
  <si>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</si>
  <si>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</si>
  <si>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</si>
  <si>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</si>
  <si>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</si>
  <si>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</si>
  <si>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</si>
  <si>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</si>
  <si>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</si>
  <si>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</si>
  <si>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</si>
  <si>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</si>
  <si>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</si>
  <si>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</si>
  <si>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</si>
  <si>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</si>
  <si>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</si>
  <si>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</si>
  <si>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</si>
  <si>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</si>
  <si>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</si>
  <si>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</si>
  <si>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</si>
  <si>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</si>
  <si>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</si>
  <si>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</si>
  <si>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</si>
  <si>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</si>
  <si>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</si>
  <si>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</si>
  <si>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</si>
  <si>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</si>
  <si>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</si>
  <si>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</si>
  <si>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</si>
  <si>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</si>
  <si>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</si>
  <si>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</si>
  <si>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</si>
  <si>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</si>
  <si>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</si>
  <si>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</si>
  <si>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</si>
  <si>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</si>
  <si>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</si>
  <si>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</si>
  <si>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</si>
  <si>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</si>
  <si>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</si>
  <si>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</si>
  <si>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</si>
  <si>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</si>
  <si>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</si>
  <si>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</si>
  <si>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</si>
  <si>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</si>
  <si>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</si>
  <si>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</si>
  <si>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</si>
  <si>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</si>
  <si>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</si>
  <si>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</si>
  <si>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</si>
  <si>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</si>
  <si>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</si>
  <si>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</si>
  <si>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</si>
  <si>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</si>
  <si>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</si>
  <si>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</si>
  <si>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</si>
  <si>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</si>
  <si>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</si>
  <si>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</si>
  <si>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</si>
  <si>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</si>
  <si>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</si>
  <si>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</si>
  <si>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</si>
  <si>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</si>
  <si>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</si>
  <si>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</si>
  <si>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</si>
  <si>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</si>
  <si>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</si>
  <si>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</si>
  <si>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</si>
  <si>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</si>
  <si>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</si>
  <si>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</si>
  <si>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</si>
  <si>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</si>
  <si>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</si>
  <si>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</si>
  <si>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</si>
  <si>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</si>
  <si>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</si>
  <si>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</si>
  <si>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</si>
  <si>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</si>
  <si>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</si>
  <si>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</si>
  <si>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</si>
  <si>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</si>
  <si>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</si>
  <si>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</si>
  <si>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</si>
  <si>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</si>
  <si>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</si>
  <si>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</si>
  <si>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</si>
  <si>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</si>
  <si>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</si>
  <si>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</si>
  <si>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</si>
  <si>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</si>
  <si>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</si>
  <si>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</si>
  <si>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</si>
  <si>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</si>
  <si>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</si>
  <si>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</si>
  <si>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</si>
  <si>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</si>
  <si>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</si>
  <si>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</si>
  <si>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</si>
  <si>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</si>
  <si>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</si>
  <si>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</si>
  <si>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</si>
  <si>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</si>
  <si>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</si>
  <si>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</si>
  <si>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</si>
  <si>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</si>
  <si>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</si>
  <si>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</si>
  <si>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</si>
  <si>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</si>
  <si>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</si>
  <si>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</si>
  <si>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</si>
  <si>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</si>
  <si>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</si>
  <si>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</si>
  <si>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</si>
  <si>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</si>
  <si>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</si>
  <si>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</si>
  <si>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</si>
  <si>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</si>
  <si>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</si>
  <si>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</si>
  <si>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</si>
  <si>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</si>
  <si>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</si>
  <si>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</si>
  <si>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</si>
  <si>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</si>
  <si>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</si>
  <si>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</si>
  <si>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</si>
  <si>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</si>
  <si>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</si>
  <si>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</si>
  <si>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</si>
  <si>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</si>
  <si>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</si>
  <si>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</si>
  <si>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</si>
  <si>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</si>
  <si>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</si>
  <si>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</si>
  <si>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</si>
  <si>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</si>
  <si>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</si>
  <si>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</si>
  <si>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</si>
  <si>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</si>
  <si>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</si>
  <si>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</si>
  <si>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</si>
  <si>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</si>
  <si>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</si>
  <si>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</si>
  <si>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</si>
  <si>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</si>
  <si>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</si>
  <si>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</si>
  <si>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</si>
  <si>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</si>
  <si>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</si>
  <si>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</si>
  <si>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</si>
  <si>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</si>
  <si>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</si>
  <si>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</si>
  <si>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</si>
  <si>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</si>
  <si>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</si>
  <si>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</si>
  <si>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</si>
  <si>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</si>
  <si>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</si>
  <si>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</si>
  <si>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</si>
  <si>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</si>
  <si>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</si>
  <si>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</si>
  <si>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</si>
  <si>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</si>
  <si>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</si>
  <si>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</si>
  <si>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</si>
  <si>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</si>
  <si>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</si>
  <si>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</si>
  <si>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</si>
  <si>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</si>
  <si>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</si>
  <si>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</si>
  <si>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</si>
  <si>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</si>
  <si>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</si>
  <si>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</si>
  <si>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</si>
  <si>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</si>
  <si>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</si>
  <si>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</si>
  <si>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</si>
  <si>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</si>
  <si>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</si>
  <si>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</si>
  <si>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</si>
  <si>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</si>
  <si>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</si>
  <si>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</si>
  <si>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</si>
  <si>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</si>
  <si>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</si>
  <si>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</si>
  <si>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</si>
  <si>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</si>
  <si>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</si>
  <si>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</si>
  <si>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</si>
  <si>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</si>
  <si>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</si>
  <si>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</si>
  <si>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</si>
  <si>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</si>
  <si>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</si>
  <si>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</si>
  <si>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</si>
  <si>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</si>
  <si>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</si>
  <si>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</si>
  <si>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</si>
  <si>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</si>
  <si>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</si>
  <si>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</si>
  <si>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</si>
  <si>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</si>
  <si>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</si>
  <si>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</si>
  <si>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</si>
  <si>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</si>
  <si>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</si>
  <si>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</si>
  <si>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</si>
  <si>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</si>
  <si>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</si>
  <si>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</si>
  <si>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</si>
  <si>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</si>
  <si>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</si>
  <si>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</si>
  <si>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</si>
  <si>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</si>
  <si>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</si>
  <si>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</si>
  <si>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</si>
  <si>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</si>
  <si>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</si>
  <si>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</si>
  <si>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</si>
  <si>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</si>
  <si>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</si>
  <si>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</si>
  <si>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</si>
  <si>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</si>
  <si>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</si>
  <si>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</si>
  <si>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</si>
  <si>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</si>
  <si>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</si>
  <si>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</si>
  <si>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</si>
  <si>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</si>
  <si>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</si>
  <si>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</si>
  <si>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</si>
  <si>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</si>
  <si>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</si>
  <si>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</si>
  <si>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</si>
  <si>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</si>
  <si>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</si>
  <si>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</si>
  <si>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</si>
  <si>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</si>
  <si>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</si>
  <si>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</si>
  <si>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</si>
  <si>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</si>
  <si>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</si>
  <si>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</si>
  <si>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</si>
  <si>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</si>
  <si>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</si>
  <si>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</si>
  <si>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</si>
  <si>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</si>
  <si>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</si>
  <si>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</si>
  <si>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</si>
  <si>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</si>
  <si>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</si>
  <si>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</si>
  <si>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</si>
  <si>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</si>
  <si>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</si>
  <si>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</si>
  <si>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</si>
  <si>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</si>
  <si>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</si>
  <si>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</si>
  <si>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</si>
  <si>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</si>
  <si>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</si>
  <si>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</si>
  <si>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</si>
  <si>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</si>
  <si>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</si>
  <si>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</si>
  <si>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</si>
  <si>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</si>
  <si>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</si>
  <si>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</si>
  <si>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</si>
  <si>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</si>
  <si>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</si>
  <si>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</si>
  <si>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</si>
  <si>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</si>
  <si>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</si>
  <si>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</si>
  <si>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</si>
  <si>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</si>
  <si>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</si>
  <si>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</si>
  <si>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</si>
  <si>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</si>
  <si>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</si>
  <si>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</si>
  <si>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</si>
  <si>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</si>
  <si>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</si>
  <si>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</si>
  <si>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</si>
  <si>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</si>
  <si>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</si>
  <si>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</si>
  <si>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</si>
  <si>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</si>
  <si>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</si>
  <si>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</si>
  <si>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</si>
  <si>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</si>
  <si>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</si>
  <si>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</si>
  <si>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</si>
  <si>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</si>
  <si>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</si>
  <si>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</si>
  <si>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</si>
  <si>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</si>
  <si>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</si>
  <si>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</si>
  <si>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</si>
  <si>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</si>
  <si>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</si>
  <si>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</si>
  <si>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</si>
  <si>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</si>
  <si>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</si>
  <si>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</si>
  <si>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</si>
  <si>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</si>
  <si>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</si>
  <si>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</si>
  <si>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</si>
  <si>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</si>
  <si>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</si>
  <si>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</si>
  <si>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</si>
  <si>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</si>
  <si>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</si>
  <si>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</si>
  <si>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</si>
  <si>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</si>
  <si>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</si>
  <si>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</si>
  <si>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</si>
  <si>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</si>
  <si>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</si>
  <si>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</si>
  <si>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</si>
  <si>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</si>
  <si>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</si>
  <si>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</si>
  <si>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</si>
  <si>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</si>
  <si>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</si>
  <si>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</si>
  <si>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</si>
  <si>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</si>
  <si>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</si>
  <si>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</si>
  <si>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</si>
  <si>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</si>
  <si>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</si>
  <si>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</si>
  <si>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</si>
  <si>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</si>
  <si>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</si>
  <si>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</si>
  <si>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</si>
  <si>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</si>
  <si>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</si>
  <si>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</si>
  <si>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</si>
  <si>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</si>
  <si>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</si>
  <si>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</si>
  <si>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</si>
  <si>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</si>
  <si>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</si>
  <si>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</si>
  <si>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</si>
  <si>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</si>
  <si>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</si>
  <si>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</si>
  <si>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</si>
  <si>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</si>
  <si>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</si>
  <si>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</si>
  <si>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</si>
  <si>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</si>
  <si>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</si>
  <si>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</si>
  <si>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</si>
  <si>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</si>
  <si>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</si>
  <si>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</si>
  <si>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</si>
  <si>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</si>
  <si>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</si>
  <si>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</si>
  <si>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</si>
  <si>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</si>
  <si>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</si>
  <si>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</si>
  <si>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</si>
  <si>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</si>
  <si>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</si>
  <si>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</si>
  <si>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</si>
  <si>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</si>
  <si>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</si>
  <si>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</si>
  <si>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</si>
  <si>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</si>
  <si>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</si>
  <si>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</si>
  <si>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</si>
  <si>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</si>
  <si>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</si>
  <si>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</si>
  <si>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</si>
  <si>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</si>
  <si>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</si>
  <si>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</si>
  <si>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</si>
  <si>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</si>
  <si>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</si>
  <si>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</si>
  <si>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</si>
  <si>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</si>
  <si>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</si>
  <si>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</si>
  <si>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</si>
  <si>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</si>
  <si>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</si>
  <si>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</si>
  <si>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</si>
  <si>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</si>
  <si>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</si>
  <si>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</si>
  <si>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</si>
  <si>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</si>
  <si>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</si>
  <si>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</si>
  <si>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</si>
  <si>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</si>
  <si>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</si>
  <si>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</si>
  <si>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</si>
  <si>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</si>
  <si>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</si>
  <si>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</si>
  <si>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</si>
  <si>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</si>
  <si>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</si>
  <si>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</si>
  <si>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</si>
  <si>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</si>
  <si>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</si>
  <si>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</si>
  <si>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</si>
  <si>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</si>
  <si>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</si>
  <si>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</si>
  <si>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</si>
  <si>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</si>
  <si>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</si>
  <si>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</si>
  <si>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</si>
  <si>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</si>
  <si>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</si>
  <si>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</si>
  <si>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</si>
  <si>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</si>
  <si>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</si>
  <si>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</si>
  <si>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</si>
  <si>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</si>
  <si>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</si>
  <si>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</si>
  <si>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</si>
  <si>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</si>
  <si>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</si>
  <si>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</si>
  <si>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</si>
  <si>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</si>
  <si>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</si>
  <si>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</si>
  <si>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</si>
  <si>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</si>
  <si>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</si>
  <si>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</si>
  <si>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</si>
  <si>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</si>
  <si>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</si>
  <si>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</si>
  <si>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</si>
  <si>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</si>
  <si>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</si>
  <si>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</si>
  <si>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</si>
  <si>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</si>
  <si>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</si>
  <si>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</si>
  <si>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</si>
  <si>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</si>
  <si>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</si>
  <si>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</si>
  <si>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</si>
  <si>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</si>
  <si>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</si>
  <si>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</si>
  <si>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</si>
  <si>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</si>
  <si>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</si>
  <si>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</si>
  <si>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</si>
  <si>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</si>
  <si>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</si>
  <si>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</si>
  <si>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</si>
  <si>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</si>
  <si>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</si>
  <si>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</si>
  <si>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</si>
  <si>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</si>
  <si>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</si>
  <si>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</si>
  <si>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</si>
  <si>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</si>
  <si>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</si>
  <si>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</si>
  <si>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</si>
  <si>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</si>
  <si>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</si>
  <si>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</si>
  <si>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</si>
  <si>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</si>
  <si>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</si>
  <si>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</si>
  <si>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</si>
  <si>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</si>
  <si>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</si>
  <si>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</si>
  <si>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</si>
  <si>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</si>
  <si>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</si>
  <si>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</si>
  <si>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</si>
  <si>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</si>
  <si>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</si>
  <si>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</si>
  <si>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</si>
  <si>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</si>
  <si>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</si>
  <si>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</si>
  <si>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</si>
  <si>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</si>
  <si>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</si>
  <si>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</si>
  <si>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</si>
  <si>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</si>
  <si>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</si>
  <si>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</si>
  <si>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</si>
  <si>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</si>
  <si>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</si>
  <si>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</si>
  <si>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</si>
  <si>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</si>
  <si>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</si>
  <si>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</si>
  <si>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</si>
  <si>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</si>
  <si>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</si>
  <si>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</si>
  <si>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</si>
  <si>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</si>
  <si>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</si>
  <si>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</si>
  <si>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</si>
  <si>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</si>
  <si>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</si>
  <si>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</si>
  <si>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</si>
  <si>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</si>
  <si>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</si>
  <si>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</si>
  <si>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</si>
  <si>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</si>
  <si>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</si>
  <si>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</si>
  <si>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</si>
  <si>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</si>
  <si>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</si>
  <si>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</si>
  <si>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</si>
  <si>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</si>
  <si>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</si>
  <si>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</si>
  <si>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</si>
  <si>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</si>
  <si>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</si>
  <si>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</si>
  <si>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</si>
  <si>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</si>
  <si>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</si>
  <si>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</si>
  <si>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</si>
  <si>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</si>
  <si>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</si>
  <si>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</si>
  <si>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</si>
  <si>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</si>
  <si>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</si>
  <si>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</si>
  <si>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</si>
  <si>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</si>
  <si>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</si>
  <si>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</si>
  <si>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</si>
  <si>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</si>
  <si>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</si>
  <si>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</si>
  <si>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</si>
  <si>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</si>
  <si>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</si>
  <si>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</si>
  <si>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</si>
  <si>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</si>
  <si>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</si>
  <si>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</si>
  <si>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</si>
  <si>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</si>
  <si>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</si>
  <si>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</si>
  <si>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</si>
  <si>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</si>
  <si>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</si>
  <si>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</si>
  <si>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</si>
  <si>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</si>
  <si>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</si>
  <si>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</si>
  <si>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</si>
  <si>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</si>
  <si>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</si>
  <si>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</si>
  <si>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</si>
  <si>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</si>
  <si>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</si>
  <si>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</si>
  <si>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</si>
  <si>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</si>
  <si>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</si>
  <si>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</si>
  <si>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</si>
  <si>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</si>
  <si>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</si>
  <si>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</si>
  <si>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</si>
  <si>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</si>
  <si>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</si>
  <si>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</si>
  <si>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</si>
  <si>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</si>
  <si>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</si>
  <si>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</si>
  <si>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</si>
  <si>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</si>
  <si>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</si>
  <si>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</si>
  <si>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</si>
  <si>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</si>
  <si>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</si>
  <si>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</si>
  <si>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</si>
  <si>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</si>
  <si>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</si>
  <si>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</si>
  <si>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</si>
  <si>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</si>
  <si>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</si>
  <si>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</si>
  <si>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</si>
  <si>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</si>
  <si>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</si>
  <si>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</si>
  <si>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</si>
  <si>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</si>
  <si>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</si>
  <si>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</si>
  <si>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</si>
  <si>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</si>
  <si>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</si>
  <si>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</si>
  <si>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</si>
  <si>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</si>
  <si>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</si>
  <si>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</si>
  <si>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</si>
  <si>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</si>
  <si>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</si>
  <si>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</si>
  <si>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</si>
  <si>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</si>
  <si>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</si>
  <si>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</si>
  <si>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</si>
  <si>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</si>
  <si>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</si>
  <si>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</si>
  <si>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</si>
  <si>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</si>
  <si>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</si>
  <si>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</si>
  <si>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</si>
  <si>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</si>
  <si>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</si>
  <si>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</si>
  <si>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</si>
  <si>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</si>
  <si>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</si>
  <si>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</si>
  <si>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</si>
  <si>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</si>
  <si>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</si>
  <si>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</si>
  <si>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</si>
  <si>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</si>
  <si>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</si>
  <si>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</si>
  <si>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</si>
  <si>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</si>
  <si>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</si>
  <si>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</si>
  <si>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</si>
  <si>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</si>
  <si>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</si>
  <si>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</si>
  <si>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</si>
  <si>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</si>
  <si>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</si>
  <si>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</si>
  <si>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</si>
  <si>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</si>
  <si>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</si>
  <si>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</si>
  <si>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</si>
  <si>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</si>
  <si>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</si>
  <si>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</si>
  <si>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</si>
  <si>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</si>
  <si>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</si>
  <si>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</si>
  <si>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</si>
  <si>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</si>
  <si>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</si>
  <si>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</si>
  <si>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</si>
  <si>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</si>
  <si>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</si>
  <si>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</si>
  <si>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</si>
  <si>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</si>
  <si>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</si>
  <si>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</si>
  <si>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</si>
  <si>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</si>
  <si>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</si>
  <si>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</si>
  <si>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</si>
  <si>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</si>
  <si>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</si>
  <si>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</si>
  <si>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</si>
  <si>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</si>
  <si>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</si>
  <si>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</si>
  <si>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</si>
  <si>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</si>
  <si>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</si>
  <si>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</si>
  <si>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</si>
  <si>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</si>
  <si>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</si>
  <si>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</si>
  <si>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</si>
  <si>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</si>
  <si>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</si>
  <si>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</si>
  <si>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</si>
  <si>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</si>
  <si>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</si>
  <si>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</si>
  <si>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</si>
  <si>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</si>
  <si>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</si>
  <si>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</si>
  <si>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</si>
  <si>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</si>
  <si>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</si>
  <si>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</si>
  <si>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</si>
  <si>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</si>
  <si>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</si>
  <si>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</si>
  <si>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</si>
  <si>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</si>
  <si>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</si>
  <si>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</si>
  <si>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</si>
  <si>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</si>
  <si>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</si>
  <si>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</si>
  <si>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</si>
  <si>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</si>
  <si>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</si>
  <si>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</si>
  <si>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</si>
  <si>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</si>
  <si>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</si>
  <si>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</si>
  <si>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</si>
  <si>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</si>
  <si>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</si>
  <si>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</si>
  <si>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</si>
  <si>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</si>
  <si>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</si>
  <si>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</si>
  <si>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</si>
  <si>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</si>
  <si>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</si>
  <si>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</si>
  <si>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</si>
  <si>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</si>
  <si>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</si>
  <si>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</si>
  <si>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</si>
  <si>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</si>
  <si>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</si>
  <si>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</si>
  <si>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</si>
  <si>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</si>
  <si>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</si>
  <si>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</si>
  <si>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</si>
  <si>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</si>
  <si>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</si>
  <si>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</si>
  <si>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</si>
  <si>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</si>
  <si>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</si>
  <si>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</si>
  <si>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</si>
  <si>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</si>
  <si>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</si>
  <si>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</si>
  <si>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</si>
  <si>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</si>
  <si>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</si>
  <si>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</si>
  <si>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</si>
  <si>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</si>
  <si>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</si>
  <si>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</si>
  <si>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</si>
  <si>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</si>
  <si>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</si>
  <si>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</si>
  <si>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</si>
  <si>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</si>
  <si>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</si>
  <si>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</si>
  <si>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</si>
  <si>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</si>
  <si>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</si>
  <si>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</si>
  <si>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</si>
  <si>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</si>
  <si>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</si>
  <si>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</si>
  <si>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</si>
  <si>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</si>
  <si>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</si>
  <si>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</si>
  <si>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</si>
  <si>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</si>
  <si>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</si>
  <si>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</si>
  <si>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</si>
  <si>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</si>
  <si>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</si>
  <si>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</si>
  <si>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</si>
  <si>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</si>
  <si>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</si>
  <si>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</si>
  <si>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</si>
  <si>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</si>
  <si>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</si>
  <si>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</si>
  <si>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</si>
  <si>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</si>
  <si>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</si>
  <si>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</si>
  <si>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</si>
  <si>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</si>
  <si>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</si>
  <si>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</si>
  <si>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</si>
  <si>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</si>
  <si>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</si>
  <si>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</si>
  <si>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</si>
  <si>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</si>
  <si>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</si>
  <si>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</si>
  <si>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</si>
  <si>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</si>
  <si>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</si>
  <si>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</si>
  <si>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</si>
  <si>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</si>
  <si>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</si>
  <si>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</si>
  <si>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</si>
  <si>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</si>
  <si>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</si>
  <si>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</si>
  <si>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</si>
  <si>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</si>
  <si>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</si>
  <si>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</si>
  <si>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</si>
  <si>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</si>
  <si>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</si>
  <si>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</si>
  <si>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</si>
  <si>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</si>
  <si>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</si>
  <si>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</si>
  <si>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</si>
  <si>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</si>
  <si>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</si>
  <si>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</si>
  <si>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</si>
  <si>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</si>
  <si>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</si>
  <si>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</si>
  <si>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</si>
  <si>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</si>
  <si>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</si>
  <si>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</si>
  <si>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</si>
  <si>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</si>
  <si>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</si>
  <si>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</si>
  <si>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</si>
  <si>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</si>
  <si>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</si>
  <si>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</si>
  <si>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</si>
  <si>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</si>
  <si>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</si>
  <si>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</si>
  <si>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</si>
  <si>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</si>
  <si>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</si>
  <si>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</si>
  <si>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</si>
  <si>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</si>
  <si>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</si>
  <si>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</si>
  <si>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</si>
  <si>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</si>
  <si>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</si>
  <si>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</si>
  <si>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</si>
  <si>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</si>
  <si>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</si>
  <si>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</si>
  <si>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</si>
  <si>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</si>
  <si>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</si>
  <si>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</si>
  <si>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</si>
  <si>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</si>
  <si>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</si>
  <si>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</si>
  <si>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</si>
  <si>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</si>
  <si>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</si>
  <si>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</si>
  <si>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</si>
  <si>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</si>
  <si>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</si>
  <si>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</si>
  <si>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</si>
  <si>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</si>
  <si>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</si>
  <si>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</si>
  <si>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</si>
  <si>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</si>
  <si>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</si>
  <si>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</si>
  <si>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</si>
  <si>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</si>
  <si>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</si>
  <si>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</si>
  <si>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</si>
  <si>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</si>
  <si>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</si>
  <si>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</si>
  <si>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</si>
  <si>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</si>
  <si>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</si>
  <si>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</si>
  <si>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</si>
  <si>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</si>
  <si>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</si>
  <si>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</si>
  <si>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</si>
  <si>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</si>
  <si>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</si>
  <si>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</si>
  <si>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</si>
  <si>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</si>
  <si>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</si>
  <si>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</si>
  <si>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</si>
  <si>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</si>
  <si>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</si>
  <si>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</si>
  <si>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</si>
  <si>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</si>
  <si>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</si>
  <si>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</si>
  <si>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</si>
  <si>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</si>
  <si>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</si>
  <si>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</si>
  <si>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</si>
  <si>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</si>
  <si>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</si>
  <si>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</si>
  <si>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</si>
  <si>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</si>
  <si>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</si>
  <si>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</si>
  <si>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</si>
  <si>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</si>
  <si>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</si>
  <si>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</si>
  <si>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</si>
  <si>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</si>
  <si>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</si>
  <si>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</si>
  <si>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</si>
  <si>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</si>
  <si>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</si>
  <si>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</si>
  <si>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</si>
  <si>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</si>
  <si>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</si>
  <si>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</si>
  <si>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</si>
  <si>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</si>
  <si>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</si>
  <si>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</si>
  <si>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</si>
  <si>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</si>
  <si>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</si>
  <si>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</si>
  <si>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</si>
  <si>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</si>
  <si>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</si>
  <si>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</si>
  <si>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</si>
  <si>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</si>
  <si>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</si>
  <si>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</si>
  <si>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</si>
  <si>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</si>
  <si>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</si>
  <si>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</si>
  <si>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</si>
  <si>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</si>
  <si>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</si>
  <si>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</si>
  <si>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</si>
  <si>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</si>
  <si>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</si>
  <si>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</si>
  <si>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</si>
  <si>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</si>
  <si>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</si>
  <si>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</si>
  <si>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</si>
  <si>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</si>
  <si>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</si>
  <si>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</si>
  <si>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</si>
  <si>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</si>
  <si>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</si>
  <si>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</si>
  <si>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</si>
  <si>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</si>
  <si>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</si>
  <si>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</si>
  <si>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</si>
  <si>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</si>
  <si>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</si>
  <si>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</si>
  <si>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</si>
  <si>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</si>
  <si>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</si>
  <si>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</si>
  <si>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</si>
  <si>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</si>
  <si>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</si>
  <si>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</si>
  <si>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</si>
  <si>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</si>
  <si>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</si>
  <si>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</si>
  <si>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</si>
  <si>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</si>
  <si>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</si>
  <si>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</si>
  <si>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</si>
  <si>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</si>
  <si>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</si>
  <si>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</si>
  <si>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</si>
  <si>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</si>
  <si>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</si>
  <si>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</si>
  <si>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</si>
  <si>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</si>
  <si>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</si>
  <si>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</si>
  <si>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</si>
  <si>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</si>
  <si>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</si>
  <si>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</si>
  <si>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</si>
  <si>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</si>
  <si>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</si>
  <si>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</si>
  <si>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</si>
  <si>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</si>
  <si>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</si>
  <si>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</si>
  <si>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</si>
  <si>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</si>
  <si>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</si>
  <si>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</si>
  <si>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</si>
  <si>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</si>
  <si>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</si>
  <si>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</si>
  <si>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</si>
  <si>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</si>
  <si>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</si>
  <si>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</si>
  <si>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</si>
  <si>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</si>
  <si>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</si>
  <si>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</si>
  <si>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</si>
  <si>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</si>
  <si>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</si>
  <si>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</si>
  <si>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</si>
  <si>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</si>
  <si>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</si>
  <si>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</si>
  <si>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</si>
  <si>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</si>
  <si>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</si>
  <si>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</si>
  <si>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</si>
  <si>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</si>
  <si>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</si>
  <si>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</si>
  <si>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</si>
  <si>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</si>
  <si>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</si>
  <si>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</si>
  <si>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</si>
  <si>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</si>
  <si>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</si>
  <si>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</si>
  <si>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</si>
  <si>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</si>
  <si>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</si>
  <si>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</si>
  <si>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</si>
  <si>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</si>
  <si>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</si>
  <si>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</si>
  <si>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</si>
  <si>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</si>
  <si>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</si>
  <si>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</si>
  <si>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</si>
  <si>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</si>
  <si>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</si>
  <si>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</si>
  <si>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</si>
  <si>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</si>
  <si>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</si>
  <si>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</si>
  <si>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</si>
  <si>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</si>
  <si>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</si>
  <si>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</si>
  <si>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</si>
  <si>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</si>
  <si>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</si>
  <si>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</si>
  <si>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</si>
  <si>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</si>
  <si>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</si>
  <si>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</si>
  <si>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</si>
  <si>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</si>
  <si>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</si>
  <si>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</si>
  <si>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</si>
  <si>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</si>
  <si>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</si>
  <si>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</si>
  <si>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</si>
  <si>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</si>
  <si>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</si>
  <si>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</si>
  <si>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</si>
  <si>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</si>
  <si>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</si>
  <si>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</si>
  <si>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</si>
  <si>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</si>
  <si>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</si>
  <si>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</si>
  <si>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</si>
  <si>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</si>
  <si>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</si>
  <si>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</si>
  <si>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</si>
  <si>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</si>
  <si>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</si>
  <si>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</si>
  <si>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</si>
  <si>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</si>
  <si>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</si>
  <si>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</si>
  <si>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</si>
  <si>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</si>
  <si>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</si>
  <si>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</si>
  <si>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</si>
  <si>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</si>
  <si>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</si>
  <si>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</si>
  <si>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</si>
  <si>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</si>
  <si>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</si>
  <si>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</si>
  <si>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</si>
  <si>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</si>
  <si>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</si>
  <si>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</si>
  <si>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</si>
  <si>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</si>
  <si>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</si>
  <si>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</si>
  <si>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</si>
  <si>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</si>
  <si>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</si>
  <si>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</si>
  <si>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</si>
  <si>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</si>
  <si>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</si>
  <si>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</si>
  <si>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</si>
  <si>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</si>
  <si>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</si>
  <si>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</si>
  <si>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</si>
  <si>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</si>
  <si>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</si>
  <si>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</si>
  <si>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</si>
  <si>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</si>
  <si>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</si>
  <si>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</si>
  <si>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</si>
  <si>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</si>
  <si>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</si>
  <si>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</si>
  <si>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</si>
  <si>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</si>
  <si>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</si>
  <si>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</si>
  <si>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</si>
  <si>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</si>
  <si>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</si>
  <si>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</si>
  <si>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</si>
  <si>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</si>
  <si>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</si>
  <si>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</si>
  <si>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</si>
  <si>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</si>
  <si>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</si>
  <si>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</si>
  <si>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</si>
  <si>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</si>
  <si>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</si>
  <si>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</si>
  <si>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</si>
  <si>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</si>
  <si>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</si>
  <si>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</si>
  <si>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</si>
  <si>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</si>
  <si>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</si>
  <si>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</si>
  <si>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</si>
  <si>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</si>
  <si>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</si>
  <si>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</si>
  <si>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</si>
  <si>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</si>
  <si>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</si>
  <si>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</si>
  <si>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</si>
  <si>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</si>
  <si>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</si>
  <si>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</si>
  <si>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</si>
  <si>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</si>
  <si>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</si>
  <si>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</si>
  <si>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</si>
  <si>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</si>
  <si>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</si>
  <si>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</si>
  <si>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</si>
  <si>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</si>
  <si>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</si>
  <si>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</si>
  <si>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</si>
  <si>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</si>
  <si>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</si>
  <si>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</si>
  <si>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</si>
  <si>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</si>
  <si>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</si>
  <si>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</si>
  <si>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</si>
  <si>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</si>
  <si>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</si>
  <si>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</si>
  <si>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</si>
  <si>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</si>
  <si>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</si>
  <si>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</si>
  <si>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</si>
  <si>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</si>
  <si>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</si>
  <si>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</si>
  <si>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</si>
  <si>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</si>
  <si>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</si>
  <si>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</si>
  <si>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</si>
  <si>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</si>
  <si>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</si>
  <si>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</si>
  <si>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</si>
  <si>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</si>
  <si>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</si>
  <si>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</si>
  <si>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</si>
  <si>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</si>
  <si>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</si>
  <si>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</si>
  <si>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</si>
  <si>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</si>
  <si>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</si>
  <si>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</si>
  <si>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</si>
  <si>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</si>
  <si>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</si>
  <si>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</si>
  <si>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</si>
  <si>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</si>
  <si>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</si>
  <si>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</si>
  <si>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</si>
  <si>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</si>
  <si>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</si>
  <si>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</si>
  <si>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</si>
  <si>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</si>
  <si>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</si>
  <si>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</si>
  <si>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</si>
  <si>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</si>
  <si>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</si>
  <si>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</si>
  <si>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</si>
  <si>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</si>
  <si>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</si>
  <si>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</si>
  <si>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</si>
  <si>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</si>
  <si>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</si>
  <si>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</si>
  <si>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</si>
  <si>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</si>
  <si>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</si>
  <si>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</si>
  <si>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</si>
  <si>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</si>
  <si>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</si>
  <si>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</si>
  <si>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</si>
  <si>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</si>
  <si>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</si>
  <si>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</si>
  <si>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</si>
  <si>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</si>
  <si>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</si>
  <si>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</si>
  <si>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</si>
  <si>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</si>
  <si>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</si>
  <si>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</si>
  <si>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</si>
  <si>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</si>
  <si>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</si>
  <si>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</si>
  <si>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</si>
  <si>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</si>
  <si>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</si>
  <si>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</si>
  <si>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</si>
  <si>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</si>
  <si>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</si>
  <si>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</si>
  <si>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</si>
  <si>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</si>
  <si>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</si>
  <si>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</si>
  <si>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</si>
  <si>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</si>
  <si>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</si>
  <si>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</si>
  <si>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</si>
  <si>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</si>
  <si>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</si>
  <si>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</si>
  <si>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</si>
  <si>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</si>
  <si>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</si>
  <si>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</si>
  <si>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</si>
  <si>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</si>
  <si>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</si>
  <si>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</si>
  <si>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</si>
  <si>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</si>
  <si>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</si>
  <si>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</si>
  <si>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</si>
  <si>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</si>
  <si>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</si>
  <si>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</si>
  <si>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</si>
  <si>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</si>
  <si>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</si>
  <si>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</si>
  <si>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</si>
  <si>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</si>
  <si>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</si>
  <si>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</si>
  <si>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</si>
  <si>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</si>
  <si>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</si>
  <si>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</si>
  <si>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</si>
  <si>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</si>
  <si>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</si>
  <si>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</si>
  <si>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</si>
  <si>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</si>
  <si>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</si>
  <si>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</si>
  <si>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</si>
  <si>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</si>
  <si>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</si>
  <si>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</si>
  <si>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</si>
  <si>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</si>
  <si>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</si>
  <si>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</si>
  <si>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</si>
  <si>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</si>
  <si>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</si>
  <si>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</si>
  <si>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</si>
  <si>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</si>
  <si>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</si>
  <si>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</si>
  <si>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</si>
  <si>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</si>
  <si>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</si>
  <si>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</si>
  <si>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</si>
  <si>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</si>
  <si>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</si>
  <si>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</si>
  <si>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</si>
  <si>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</si>
  <si>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</si>
  <si>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</si>
  <si>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</si>
  <si>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</si>
  <si>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</si>
  <si>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</si>
  <si>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</si>
  <si>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</si>
  <si>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</si>
  <si>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</si>
  <si>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</si>
  <si>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</si>
  <si>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</si>
  <si>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</si>
  <si>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</si>
  <si>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</si>
  <si>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</si>
  <si>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</si>
  <si>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</si>
  <si>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</si>
  <si>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</si>
  <si>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</si>
  <si>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</si>
  <si>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</si>
  <si>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</si>
  <si>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</si>
  <si>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</si>
  <si>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</si>
  <si>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</si>
  <si>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</si>
  <si>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</si>
  <si>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</si>
  <si>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</si>
  <si>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</si>
  <si>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</si>
  <si>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</si>
  <si>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</si>
  <si>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</si>
  <si>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</si>
  <si>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</si>
  <si>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</si>
  <si>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</si>
  <si>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</si>
  <si>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</si>
  <si>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</si>
  <si>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</si>
  <si>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</si>
  <si>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</si>
  <si>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</si>
  <si>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</si>
  <si>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</si>
  <si>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</si>
  <si>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</si>
  <si>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</si>
  <si>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</si>
  <si>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</si>
  <si>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</si>
  <si>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</si>
  <si>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</si>
  <si>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</si>
  <si>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</si>
  <si>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</si>
  <si>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</si>
  <si>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</si>
  <si>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</si>
  <si>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</si>
  <si>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</si>
  <si>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</si>
  <si>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</si>
  <si>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</si>
  <si>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</si>
  <si>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</si>
  <si>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</si>
  <si>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</si>
  <si>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</si>
  <si>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</si>
  <si>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</si>
  <si>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</si>
  <si>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</si>
  <si>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</si>
  <si>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</si>
  <si>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</si>
  <si>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</si>
  <si>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</si>
  <si>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</si>
  <si>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</si>
  <si>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</si>
  <si>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</si>
  <si>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</si>
  <si>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</si>
  <si>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</si>
  <si>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</si>
  <si>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</si>
  <si>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</si>
  <si>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</si>
  <si>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</si>
  <si>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</si>
  <si>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</si>
  <si>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</si>
  <si>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</si>
  <si>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</si>
  <si>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</si>
  <si>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</si>
  <si>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</si>
  <si>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</si>
  <si>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</si>
  <si>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</si>
  <si>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</si>
  <si>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</si>
  <si>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</si>
  <si>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</si>
  <si>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</si>
  <si>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</si>
  <si>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</si>
  <si>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</si>
  <si>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</si>
  <si>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</si>
  <si>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</si>
  <si>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</si>
  <si>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</si>
  <si>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</si>
  <si>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</si>
  <si>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</si>
  <si>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</si>
  <si>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</si>
  <si>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</si>
  <si>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</si>
  <si>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</si>
  <si>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</si>
  <si>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</si>
  <si>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</si>
  <si>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</si>
  <si>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</si>
  <si>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</si>
  <si>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</si>
  <si>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</si>
  <si>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</si>
  <si>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</si>
  <si>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</si>
  <si>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</si>
  <si>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</si>
  <si>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</si>
  <si>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</si>
  <si>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</si>
  <si>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</si>
  <si>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</si>
  <si>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</si>
  <si>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</si>
  <si>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</si>
  <si>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</si>
  <si>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</si>
  <si>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</si>
  <si>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</si>
  <si>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</si>
  <si>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</si>
  <si>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</si>
  <si>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</si>
  <si>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</si>
  <si>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</si>
  <si>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</si>
  <si>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</si>
  <si>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</si>
  <si>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</si>
  <si>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</si>
  <si>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</si>
  <si>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</si>
  <si>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</si>
  <si>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</si>
  <si>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</si>
  <si>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</si>
  <si>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</si>
  <si>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</si>
  <si>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</si>
  <si>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</si>
  <si>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</si>
  <si>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</si>
  <si>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</si>
  <si>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</si>
  <si>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</si>
  <si>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</si>
  <si>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</si>
  <si>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</si>
  <si>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</si>
  <si>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</si>
  <si>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</si>
  <si>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</si>
  <si>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</si>
  <si>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</si>
  <si>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</si>
  <si>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</si>
  <si>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</si>
  <si>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</si>
  <si>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</si>
  <si>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</si>
  <si>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</si>
  <si>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</si>
  <si>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</si>
  <si>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</si>
  <si>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</si>
  <si>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</si>
  <si>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</si>
  <si>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</si>
  <si>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</si>
  <si>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</si>
  <si>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</si>
  <si>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</si>
  <si>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</si>
  <si>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</si>
  <si>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</si>
  <si>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</si>
  <si>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</si>
  <si>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</si>
  <si>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</si>
  <si>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</si>
  <si>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</si>
  <si>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</si>
  <si>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</si>
  <si>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</si>
  <si>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</si>
  <si>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</si>
  <si>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</si>
  <si>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</si>
  <si>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</si>
  <si>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</si>
  <si>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</si>
  <si>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</si>
  <si>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</si>
  <si>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</si>
  <si>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</si>
  <si>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</si>
  <si>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</si>
  <si>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</si>
  <si>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</si>
  <si>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</si>
  <si>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</si>
  <si>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</si>
  <si>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</si>
  <si>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</si>
  <si>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</si>
  <si>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</si>
  <si>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</si>
  <si>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</si>
  <si>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</si>
  <si>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</si>
  <si>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</si>
  <si>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</si>
  <si>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</si>
  <si>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</si>
  <si>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</si>
  <si>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</si>
  <si>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</si>
  <si>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</si>
  <si>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</si>
  <si>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</si>
  <si>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</si>
  <si>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</si>
  <si>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</si>
  <si>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</si>
  <si>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</si>
  <si>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</si>
  <si>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</si>
  <si>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</si>
  <si>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</si>
  <si>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</si>
  <si>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</si>
  <si>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</si>
  <si>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</si>
  <si>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</si>
  <si>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</si>
  <si>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</si>
  <si>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</si>
  <si>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</si>
  <si>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</si>
  <si>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</si>
  <si>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</si>
  <si>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</si>
  <si>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</si>
  <si>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</si>
  <si>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</si>
  <si>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</si>
  <si>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</si>
  <si>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</si>
  <si>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</si>
  <si>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</si>
  <si>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</si>
  <si>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</si>
  <si>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</si>
  <si>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</si>
  <si>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</si>
  <si>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</si>
  <si>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</si>
  <si>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</si>
  <si>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</si>
  <si>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</si>
  <si>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</si>
  <si>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</si>
  <si>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</si>
  <si>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</si>
  <si>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</si>
  <si>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</si>
  <si>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</si>
  <si>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</si>
  <si>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</si>
  <si>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</si>
  <si>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</si>
  <si>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</si>
  <si>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</si>
  <si>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</si>
  <si>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</si>
  <si>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</si>
  <si>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</si>
  <si>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</si>
  <si>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</si>
  <si>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</si>
  <si>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</si>
  <si>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</si>
  <si>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</si>
  <si>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</si>
  <si>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</si>
  <si>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</si>
  <si>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</si>
  <si>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</si>
  <si>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</si>
  <si>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</si>
  <si>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</si>
  <si>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</si>
  <si>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</si>
  <si>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</si>
  <si>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</si>
  <si>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</si>
  <si>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</si>
  <si>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</si>
  <si>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</si>
  <si>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</si>
  <si>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</si>
  <si>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</si>
  <si>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</si>
  <si>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</si>
  <si>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</si>
  <si>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</si>
  <si>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</si>
  <si>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</si>
  <si>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</si>
  <si>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</si>
  <si>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</si>
  <si>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</si>
  <si>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</si>
  <si>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</si>
  <si>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</si>
  <si>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</si>
  <si>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</si>
  <si>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</si>
  <si>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</si>
  <si>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</si>
  <si>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</si>
  <si>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</si>
  <si>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</si>
  <si>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</si>
  <si>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</si>
  <si>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</si>
  <si>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</si>
  <si>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</si>
  <si>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</si>
  <si>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</si>
  <si>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</si>
  <si>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</si>
  <si>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</si>
  <si>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</si>
  <si>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</si>
  <si>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</si>
  <si>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</si>
  <si>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</si>
  <si>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</si>
  <si>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</si>
  <si>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</si>
  <si>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</si>
  <si>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</si>
  <si>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</si>
  <si>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</si>
  <si>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</si>
  <si>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</si>
  <si>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</si>
  <si>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</si>
  <si>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</si>
  <si>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</si>
  <si>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</si>
  <si>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</si>
  <si>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</si>
  <si>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</si>
  <si>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</si>
  <si>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</si>
  <si>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</si>
  <si>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</si>
  <si>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</si>
  <si>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</si>
  <si>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</si>
  <si>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</si>
  <si>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</si>
  <si>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</si>
  <si>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</si>
  <si>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</si>
  <si>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</si>
  <si>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</si>
  <si>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</si>
  <si>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</si>
  <si>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</si>
  <si>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</si>
  <si>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</si>
  <si>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</si>
  <si>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</si>
  <si>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</si>
  <si>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</si>
  <si>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</si>
  <si>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</si>
  <si>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</si>
  <si>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</si>
  <si>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</si>
  <si>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</si>
  <si>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</si>
  <si>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</si>
  <si>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</si>
  <si>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</si>
  <si>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</si>
  <si>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</si>
  <si>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</si>
  <si>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</si>
  <si>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</si>
  <si>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</si>
  <si>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</si>
  <si>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</si>
  <si>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</si>
  <si>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</si>
  <si>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</si>
  <si>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</si>
  <si>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</si>
  <si>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</si>
  <si>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</si>
  <si>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</si>
  <si>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</si>
  <si>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</si>
  <si>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</si>
  <si>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</si>
  <si>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</si>
  <si>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</si>
  <si>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</si>
  <si>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</si>
  <si>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</si>
  <si>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</si>
  <si>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</si>
  <si>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</si>
  <si>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</si>
  <si>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</si>
  <si>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</si>
  <si>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</si>
  <si>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</si>
  <si>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</si>
  <si>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</si>
  <si>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</si>
  <si>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</si>
  <si>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</si>
  <si>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</si>
  <si>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</si>
  <si>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</si>
  <si>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</si>
  <si>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</si>
  <si>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</si>
  <si>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</si>
  <si>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</si>
  <si>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</si>
  <si>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</si>
  <si>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</si>
  <si>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</si>
  <si>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</si>
  <si>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</si>
  <si>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</si>
  <si>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</si>
  <si>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</si>
  <si>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</si>
  <si>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</si>
  <si>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</si>
  <si>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</si>
  <si>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</si>
  <si>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</si>
  <si>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</si>
  <si>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</si>
  <si>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</si>
  <si>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</si>
  <si>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</si>
  <si>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</si>
  <si>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</si>
  <si>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</si>
  <si>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</si>
  <si>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</si>
  <si>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</si>
  <si>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</si>
  <si>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</si>
  <si>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</si>
  <si>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</si>
  <si>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</si>
  <si>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</si>
  <si>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</si>
  <si>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</si>
  <si>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</si>
  <si>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</si>
  <si>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</si>
  <si>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</si>
  <si>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</si>
  <si>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</si>
  <si>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</si>
  <si>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</si>
  <si>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</si>
  <si>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</si>
  <si>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</si>
  <si>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</si>
  <si>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</si>
  <si>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</si>
  <si>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</si>
  <si>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</si>
  <si>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</si>
  <si>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</si>
  <si>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</si>
  <si>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</si>
  <si>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</si>
  <si>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</si>
  <si>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</si>
  <si>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</si>
  <si>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</si>
  <si>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</si>
  <si>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</si>
  <si>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</si>
  <si>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</si>
  <si>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</si>
  <si>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</si>
  <si>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</si>
  <si>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</si>
  <si>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</si>
  <si>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</si>
  <si>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</si>
  <si>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</si>
  <si>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</si>
  <si>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</si>
  <si>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</si>
  <si>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</si>
  <si>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</si>
  <si>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</si>
  <si>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</si>
  <si>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</si>
  <si>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</si>
  <si>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</si>
  <si>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</si>
  <si>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</si>
  <si>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</si>
  <si>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</si>
  <si>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</si>
  <si>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</si>
  <si>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</si>
  <si>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</si>
  <si>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</si>
  <si>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</si>
  <si>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</si>
  <si>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</si>
  <si>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</si>
  <si>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</si>
  <si>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</si>
  <si>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</si>
  <si>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</si>
  <si>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</si>
  <si>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</si>
  <si>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</si>
  <si>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</si>
  <si>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</si>
  <si>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</si>
  <si>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</si>
  <si>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</si>
  <si>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</si>
  <si>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</si>
  <si>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</si>
  <si>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</si>
  <si>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</si>
  <si>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</si>
  <si>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</si>
  <si>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</si>
  <si>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</si>
  <si>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</si>
  <si>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</si>
  <si>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</si>
  <si>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</si>
  <si>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</si>
  <si>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</si>
  <si>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</si>
  <si>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</si>
  <si>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</si>
  <si>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</si>
  <si>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</si>
  <si>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</si>
  <si>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</si>
  <si>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</si>
  <si>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</si>
  <si>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</si>
  <si>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</si>
  <si>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</si>
  <si>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</si>
  <si>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</si>
  <si>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</si>
  <si>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</si>
  <si>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</si>
  <si>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</si>
  <si>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</si>
  <si>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</si>
  <si>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</si>
  <si>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</si>
  <si>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</si>
  <si>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</si>
  <si>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</si>
  <si>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</si>
  <si>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</si>
  <si>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</si>
  <si>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</si>
  <si>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</si>
  <si>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</si>
  <si>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</si>
  <si>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</si>
  <si>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</si>
  <si>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</si>
  <si>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</si>
  <si>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</si>
  <si>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</si>
  <si>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</si>
  <si>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</si>
  <si>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</si>
  <si>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</si>
  <si>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</si>
  <si>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</si>
  <si>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</si>
  <si>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</si>
  <si>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</si>
  <si>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</si>
  <si>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</si>
  <si>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</si>
  <si>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</si>
  <si>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</si>
  <si>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</si>
  <si>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</si>
  <si>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</si>
  <si>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</si>
  <si>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</si>
  <si>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</si>
  <si>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</si>
  <si>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</si>
  <si>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</si>
  <si>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</si>
  <si>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</si>
  <si>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</si>
  <si>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</si>
  <si>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</si>
  <si>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</si>
  <si>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</si>
  <si>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</si>
  <si>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</si>
  <si>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</si>
  <si>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</si>
  <si>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</si>
  <si>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</si>
  <si>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</si>
  <si>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</si>
  <si>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</si>
  <si>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</si>
  <si>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</si>
  <si>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</si>
  <si>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</si>
  <si>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</si>
  <si>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</si>
  <si>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</si>
  <si>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</si>
  <si>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</si>
  <si>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</si>
  <si>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</si>
  <si>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</si>
  <si>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</si>
  <si>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</si>
  <si>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</si>
  <si>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</si>
  <si>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</si>
  <si>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</si>
  <si>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</si>
  <si>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</si>
  <si>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</si>
  <si>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</si>
  <si>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</si>
  <si>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</si>
  <si>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</si>
  <si>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</si>
  <si>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</si>
  <si>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</si>
  <si>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</si>
  <si>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</si>
  <si>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</si>
  <si>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</si>
  <si>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</si>
  <si>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</si>
  <si>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</si>
  <si>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</si>
  <si>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</si>
  <si>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</si>
  <si>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</si>
  <si>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</si>
  <si>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</si>
  <si>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</si>
  <si>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</si>
  <si>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</si>
  <si>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</si>
  <si>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</si>
  <si>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</si>
  <si>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</si>
  <si>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</si>
  <si>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</si>
  <si>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</si>
  <si>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</si>
  <si>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</si>
  <si>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</si>
  <si>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</si>
  <si>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</si>
  <si>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</si>
  <si>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</si>
  <si>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</si>
  <si>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</si>
  <si>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</si>
  <si>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</si>
  <si>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</si>
  <si>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</si>
  <si>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</si>
  <si>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</si>
  <si>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</si>
  <si>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</si>
  <si>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</si>
  <si>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</si>
  <si>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</si>
  <si>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</si>
  <si>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</si>
  <si>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</si>
  <si>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</si>
  <si>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</si>
  <si>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</si>
  <si>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</si>
  <si>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</si>
  <si>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</si>
  <si>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</si>
  <si>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</si>
  <si>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</si>
  <si>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</si>
  <si>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</si>
  <si>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</si>
  <si>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</si>
  <si>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</si>
  <si>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</si>
  <si>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</si>
  <si>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</si>
  <si>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</si>
  <si>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</si>
  <si>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</si>
  <si>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</si>
  <si>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</si>
  <si>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</si>
  <si>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</si>
  <si>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</si>
  <si>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</si>
  <si>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</si>
  <si>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</si>
  <si>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</si>
  <si>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</si>
  <si>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</si>
  <si>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</si>
  <si>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</si>
  <si>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</si>
  <si>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</si>
  <si>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</si>
  <si>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</si>
  <si>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</si>
  <si>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</si>
  <si>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</si>
  <si>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</si>
  <si>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</si>
  <si>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</si>
  <si>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</si>
  <si>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</si>
  <si>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</si>
  <si>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</si>
  <si>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</si>
  <si>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</si>
  <si>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</si>
  <si>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</si>
  <si>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</si>
  <si>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</si>
  <si>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</si>
  <si>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</si>
  <si>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</si>
  <si>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</si>
  <si>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</si>
  <si>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</si>
  <si>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</si>
  <si>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</si>
  <si>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</si>
  <si>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</si>
  <si>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</si>
  <si>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</si>
  <si>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</si>
  <si>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</si>
  <si>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</si>
  <si>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</si>
  <si>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</si>
  <si>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</si>
  <si>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</si>
  <si>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</si>
  <si>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</si>
  <si>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</si>
  <si>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</si>
  <si>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</si>
  <si>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</si>
  <si>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</si>
  <si>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</si>
  <si>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</si>
  <si>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</si>
  <si>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</si>
  <si>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</si>
  <si>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</si>
  <si>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</si>
  <si>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</si>
  <si>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</si>
  <si>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</si>
  <si>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</si>
  <si>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</si>
  <si>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</si>
  <si>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</si>
  <si>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</si>
  <si>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</si>
  <si>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</si>
  <si>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</si>
  <si>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</si>
  <si>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</si>
  <si>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</si>
  <si>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</si>
  <si>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</si>
  <si>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</si>
  <si>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</si>
  <si>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</si>
  <si>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</si>
  <si>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</si>
  <si>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</si>
  <si>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</si>
  <si>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</si>
  <si>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</si>
  <si>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</si>
  <si>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</si>
  <si>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</si>
  <si>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</si>
  <si>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</si>
  <si>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</si>
  <si>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</si>
  <si>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</si>
  <si>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</si>
  <si>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</si>
  <si>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</si>
  <si>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</si>
  <si>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</si>
  <si>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</si>
  <si>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</si>
  <si>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</si>
  <si>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</si>
  <si>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</si>
  <si>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</si>
  <si>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</si>
  <si>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</si>
  <si>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</si>
  <si>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</si>
  <si>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</si>
  <si>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</si>
  <si>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</si>
  <si>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</si>
  <si>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</si>
  <si>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</si>
  <si>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</si>
  <si>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</si>
  <si>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</si>
  <si>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</si>
  <si>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</si>
  <si>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</si>
  <si>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</si>
  <si>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</si>
  <si>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</si>
  <si>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</si>
  <si>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</si>
  <si>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</si>
  <si>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</si>
  <si>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</si>
  <si>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</si>
  <si>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</si>
  <si>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</si>
  <si>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</si>
  <si>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</si>
  <si>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</si>
  <si>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</si>
  <si>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</si>
  <si>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</si>
  <si>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</si>
  <si>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</si>
  <si>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</si>
  <si>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</si>
  <si>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</si>
  <si>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</si>
  <si>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</si>
  <si>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</si>
  <si>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</si>
  <si>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</si>
  <si>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</si>
  <si>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</si>
  <si>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</si>
  <si>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</si>
  <si>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</si>
  <si>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</si>
  <si>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</si>
  <si>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</si>
  <si>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</si>
  <si>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</si>
  <si>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</si>
  <si>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</si>
  <si>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</si>
  <si>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</si>
  <si>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</si>
  <si>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</si>
  <si>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</si>
  <si>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</si>
  <si>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</si>
  <si>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</si>
  <si>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</si>
  <si>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</si>
  <si>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</si>
  <si>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</si>
  <si>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</si>
  <si>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</si>
  <si>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</si>
  <si>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</si>
  <si>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</si>
  <si>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</si>
  <si>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</si>
  <si>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</si>
  <si>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</si>
  <si>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</si>
  <si>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</si>
  <si>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</si>
  <si>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</si>
  <si>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</si>
  <si>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</si>
  <si>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</si>
  <si>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</si>
  <si>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</si>
  <si>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</si>
  <si>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</si>
  <si>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</si>
  <si>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</si>
  <si>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</si>
  <si>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</si>
  <si>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</si>
  <si>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</si>
  <si>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</si>
  <si>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</si>
  <si>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</si>
  <si>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</si>
  <si>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</si>
  <si>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</si>
  <si>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</si>
  <si>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</si>
  <si>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</si>
  <si>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</si>
  <si>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</si>
  <si>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</si>
  <si>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</si>
  <si>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</si>
  <si>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</si>
  <si>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</si>
  <si>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</si>
  <si>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</si>
  <si>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</si>
  <si>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</si>
  <si>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</si>
  <si>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</si>
  <si>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</si>
  <si>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</si>
  <si>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</si>
  <si>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</si>
  <si>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</si>
  <si>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</si>
  <si>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</si>
  <si>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</si>
  <si>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</si>
  <si>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</si>
  <si>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</si>
  <si>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</si>
  <si>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</si>
  <si>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</si>
  <si>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</si>
  <si>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</si>
  <si>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</si>
  <si>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</si>
  <si>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</si>
  <si>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</si>
  <si>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</si>
  <si>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</si>
  <si>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</si>
  <si>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</si>
  <si>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</si>
  <si>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</si>
  <si>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</si>
  <si>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</si>
  <si>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</si>
  <si>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</si>
  <si>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</si>
  <si>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</si>
  <si>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</si>
  <si>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</si>
  <si>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</si>
  <si>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</si>
  <si>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</si>
  <si>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</si>
  <si>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</si>
  <si>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</si>
  <si>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</si>
  <si>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</si>
  <si>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</si>
  <si>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</si>
  <si>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</si>
  <si>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</si>
  <si>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</si>
  <si>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</si>
  <si>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</si>
  <si>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</si>
  <si>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</si>
  <si>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</si>
  <si>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</si>
  <si>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</si>
  <si>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</si>
  <si>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</si>
  <si>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</si>
  <si>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</si>
  <si>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</si>
  <si>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</si>
  <si>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</si>
  <si>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</si>
  <si>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</si>
  <si>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</si>
  <si>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</si>
  <si>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</si>
  <si>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</si>
  <si>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</si>
  <si>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</si>
  <si>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</si>
  <si>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</si>
  <si>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</si>
  <si>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</si>
  <si>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</si>
  <si>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</si>
  <si>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</si>
  <si>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</si>
  <si>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</si>
  <si>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</si>
  <si>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</si>
  <si>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</si>
  <si>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</si>
  <si>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</si>
  <si>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</si>
  <si>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</si>
  <si>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</si>
  <si>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</si>
  <si>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</si>
  <si>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</si>
  <si>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</si>
  <si>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</si>
  <si>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</si>
  <si>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</si>
  <si>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</si>
  <si>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</si>
  <si>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</si>
  <si>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</si>
  <si>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</si>
  <si>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</si>
  <si>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</si>
  <si>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</si>
  <si>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</si>
  <si>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</si>
  <si>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</si>
  <si>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</si>
  <si>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</si>
  <si>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</si>
  <si>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</si>
  <si>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</si>
  <si>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</si>
  <si>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</si>
  <si>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</si>
  <si>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</si>
  <si>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</si>
  <si>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</si>
  <si>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</si>
  <si>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</si>
  <si>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</si>
  <si>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</si>
  <si>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</si>
  <si>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</si>
  <si>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</si>
  <si>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</si>
  <si>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</si>
  <si>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</si>
  <si>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</si>
  <si>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</si>
  <si>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</si>
  <si>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</si>
  <si>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</si>
  <si>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</si>
  <si>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</si>
  <si>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</si>
  <si>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</si>
  <si>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</si>
  <si>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</si>
  <si>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</si>
  <si>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</si>
  <si>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</si>
  <si>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</si>
  <si>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</si>
  <si>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</si>
  <si>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</si>
  <si>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</si>
  <si>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</si>
  <si>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</si>
  <si>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</si>
  <si>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</si>
  <si>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</si>
  <si>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</si>
  <si>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</si>
  <si>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</si>
  <si>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</si>
  <si>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</si>
  <si>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</si>
  <si>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</si>
  <si>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</si>
  <si>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</si>
  <si>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</si>
  <si>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</si>
  <si>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</si>
  <si>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</si>
  <si>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</si>
  <si>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</si>
  <si>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</si>
  <si>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</si>
  <si>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</si>
  <si>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</si>
  <si>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</si>
  <si>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</si>
  <si>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</si>
  <si>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</si>
  <si>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</si>
  <si>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</si>
  <si>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</si>
  <si>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</si>
  <si>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</si>
  <si>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</si>
  <si>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</si>
  <si>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</si>
  <si>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</si>
  <si>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</si>
  <si>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</si>
  <si>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</si>
  <si>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</si>
  <si>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</si>
  <si>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</si>
  <si>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</si>
  <si>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</si>
  <si>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</si>
  <si>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</si>
  <si>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</si>
  <si>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</si>
  <si>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</si>
  <si>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</si>
  <si>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</si>
  <si>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</si>
  <si>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</si>
  <si>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</si>
  <si>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</si>
  <si>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</si>
  <si>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</si>
  <si>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</si>
  <si>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</si>
  <si>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</si>
  <si>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</si>
  <si>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</si>
  <si>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</si>
  <si>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</si>
  <si>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</si>
  <si>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</si>
  <si>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</si>
  <si>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</si>
  <si>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</si>
  <si>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</si>
  <si>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</si>
  <si>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</si>
  <si>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</si>
  <si>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</si>
  <si>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</si>
  <si>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</si>
  <si>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</si>
  <si>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</si>
  <si>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</si>
  <si>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</si>
  <si>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</si>
  <si>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</si>
  <si>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</si>
  <si>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</si>
  <si>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</si>
  <si>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</si>
  <si>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</si>
  <si>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</si>
  <si>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</si>
  <si>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</si>
  <si>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</si>
  <si>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</si>
  <si>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</si>
  <si>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</si>
  <si>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</si>
  <si>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</si>
  <si>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</si>
  <si>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</si>
  <si>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</si>
  <si>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</si>
  <si>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</si>
  <si>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</si>
  <si>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</si>
  <si>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</si>
  <si>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</si>
  <si>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</si>
  <si>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</si>
  <si>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</si>
  <si>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</si>
  <si>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</si>
  <si>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</si>
  <si>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</si>
  <si>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</si>
  <si>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</si>
  <si>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</si>
  <si>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</si>
  <si>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</si>
  <si>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</si>
  <si>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</si>
  <si>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</si>
  <si>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</si>
  <si>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</si>
  <si>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</si>
  <si>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</si>
  <si>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</si>
  <si>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</si>
  <si>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</si>
  <si>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</si>
  <si>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</si>
  <si>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</si>
  <si>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</si>
  <si>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</si>
  <si>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</si>
  <si>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</si>
  <si>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</si>
  <si>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</si>
  <si>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</si>
  <si>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</si>
  <si>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</si>
  <si>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</si>
  <si>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</si>
  <si>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</si>
  <si>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</si>
  <si>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</si>
  <si>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</si>
  <si>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</si>
  <si>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</si>
  <si>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</si>
  <si>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</si>
  <si>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</si>
  <si>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</si>
  <si>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</si>
  <si>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</si>
  <si>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</si>
  <si>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</si>
  <si>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</si>
  <si>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</si>
  <si>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</si>
  <si>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</si>
  <si>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</si>
  <si>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</si>
  <si>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</si>
  <si>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</si>
  <si>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</si>
  <si>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</si>
  <si>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</si>
  <si>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</si>
  <si>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</si>
  <si>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</si>
  <si>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</si>
  <si>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</si>
  <si>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</si>
  <si>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</si>
  <si>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</si>
  <si>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</si>
  <si>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</si>
  <si>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</si>
  <si>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</si>
  <si>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</si>
  <si>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</si>
  <si>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</si>
  <si>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</si>
  <si>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</si>
  <si>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</si>
  <si>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</si>
  <si>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</si>
  <si>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</si>
  <si>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</si>
  <si>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</si>
  <si>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</si>
  <si>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</si>
  <si>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</si>
  <si>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</si>
  <si>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</si>
  <si>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</si>
  <si>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</si>
  <si>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</si>
  <si>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</si>
  <si>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</si>
  <si>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</si>
  <si>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</si>
  <si>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</si>
  <si>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</si>
  <si>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</si>
  <si>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</si>
  <si>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</si>
  <si>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</si>
  <si>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</si>
  <si>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</si>
  <si>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</si>
  <si>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</si>
  <si>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</si>
  <si>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</si>
  <si>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</si>
  <si>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</si>
  <si>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</si>
  <si>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</si>
  <si>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</si>
  <si>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</si>
  <si>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</si>
  <si>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</si>
  <si>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</si>
  <si>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</si>
  <si>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</si>
  <si>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</si>
  <si>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</si>
  <si>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</si>
  <si>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</si>
  <si>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</si>
  <si>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</si>
  <si>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</si>
  <si>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</si>
  <si>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</si>
  <si>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</si>
  <si>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</si>
  <si>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</si>
  <si>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</si>
  <si>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</si>
  <si>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</si>
  <si>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</si>
  <si>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</si>
  <si>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</si>
  <si>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</si>
  <si>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</si>
  <si>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</si>
  <si>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</si>
  <si>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</si>
  <si>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</si>
  <si>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</si>
  <si>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</si>
  <si>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</si>
  <si>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</si>
  <si>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</si>
  <si>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</si>
  <si>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</si>
  <si>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</si>
  <si>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</si>
  <si>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</si>
  <si>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</si>
  <si>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</si>
  <si>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</si>
  <si>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</si>
  <si>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</si>
  <si>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</si>
  <si>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</si>
  <si>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</si>
  <si>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</si>
  <si>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</si>
  <si>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</si>
  <si>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</si>
  <si>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</si>
  <si>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</si>
  <si>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</si>
  <si>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</si>
  <si>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</si>
  <si>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</si>
  <si>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</si>
  <si>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</si>
  <si>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</si>
  <si>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</si>
  <si>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</si>
  <si>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</si>
  <si>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</si>
  <si>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</si>
  <si>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</si>
  <si>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</si>
  <si>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</si>
  <si>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</si>
  <si>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</si>
  <si>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</si>
  <si>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</si>
  <si>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</si>
  <si>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</si>
  <si>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</si>
  <si>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</si>
  <si>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</si>
  <si>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</si>
  <si>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</si>
  <si>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</si>
  <si>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</si>
  <si>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</si>
  <si>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</si>
  <si>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</si>
  <si>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</si>
  <si>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</si>
  <si>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</si>
  <si>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</si>
  <si>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</si>
  <si>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</si>
  <si>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</si>
  <si>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</si>
  <si>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</si>
  <si>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</si>
  <si>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</si>
  <si>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</si>
  <si>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</si>
  <si>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</si>
  <si>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</si>
  <si>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</si>
  <si>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</si>
  <si>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</si>
  <si>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</si>
  <si>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</si>
  <si>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</si>
  <si>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</si>
  <si>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</si>
  <si>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</si>
  <si>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</si>
  <si>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</si>
  <si>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</si>
  <si>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</si>
  <si>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</si>
  <si>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</si>
  <si>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</si>
  <si>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</si>
  <si>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</si>
  <si>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</si>
  <si>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</si>
  <si>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</si>
  <si>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</si>
  <si>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</si>
  <si>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</si>
  <si>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</si>
  <si>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</si>
  <si>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</si>
  <si>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</si>
  <si>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</si>
  <si>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</si>
  <si>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</si>
  <si>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</si>
  <si>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</si>
  <si>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</si>
  <si>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</si>
  <si>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</si>
  <si>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</si>
  <si>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</si>
  <si>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</si>
  <si>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</si>
  <si>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</si>
  <si>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</si>
  <si>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</si>
  <si>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</si>
  <si>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</si>
  <si>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</si>
  <si>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</si>
  <si>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</si>
  <si>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</si>
  <si>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</si>
  <si>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</si>
  <si>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</si>
  <si>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</si>
  <si>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</si>
  <si>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</si>
  <si>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</si>
  <si>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</si>
  <si>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</si>
  <si>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</si>
  <si>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</si>
  <si>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</si>
  <si>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</si>
  <si>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</si>
  <si>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</si>
  <si>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</si>
  <si>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</si>
  <si>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</si>
  <si>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</si>
  <si>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</si>
  <si>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</si>
  <si>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</si>
  <si>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</si>
  <si>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</si>
  <si>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</si>
  <si>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</si>
  <si>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</si>
  <si>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</si>
  <si>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</si>
  <si>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</si>
  <si>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</si>
  <si>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</si>
  <si>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</si>
  <si>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</si>
  <si>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</si>
  <si>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</si>
  <si>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</si>
  <si>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</si>
  <si>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</si>
  <si>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</si>
  <si>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</si>
  <si>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</si>
  <si>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</si>
  <si>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</si>
  <si>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</si>
  <si>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</si>
  <si>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</si>
  <si>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</si>
  <si>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</si>
  <si>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</si>
  <si>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</si>
  <si>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</si>
  <si>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</si>
  <si>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</si>
  <si>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</si>
  <si>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</si>
  <si>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</si>
  <si>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</si>
  <si>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</si>
  <si>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</si>
  <si>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</si>
  <si>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</si>
  <si>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</si>
  <si>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</si>
  <si>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</si>
  <si>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</si>
  <si>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</si>
  <si>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</si>
  <si>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</si>
  <si>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</si>
  <si>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</si>
  <si>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</si>
  <si>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</si>
  <si>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</si>
  <si>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</si>
  <si>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</si>
  <si>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</si>
  <si>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</si>
  <si>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</si>
  <si>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</si>
  <si>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</si>
  <si>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</si>
  <si>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</si>
  <si>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</si>
  <si>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</si>
  <si>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</si>
  <si>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</si>
  <si>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</si>
  <si>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</si>
  <si>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</si>
  <si>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</si>
  <si>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</si>
  <si>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</si>
  <si>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</si>
  <si>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</si>
  <si>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</si>
  <si>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</si>
  <si>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</si>
  <si>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</si>
  <si>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</si>
  <si>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</si>
  <si>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</si>
  <si>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</si>
  <si>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</si>
  <si>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</si>
  <si>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</si>
  <si>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</si>
  <si>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</si>
  <si>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</si>
  <si>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</si>
  <si>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</si>
  <si>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</si>
  <si>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</si>
  <si>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</si>
  <si>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</si>
  <si>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</si>
  <si>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</si>
  <si>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</si>
  <si>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</si>
  <si>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</si>
  <si>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</si>
  <si>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</si>
  <si>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</si>
  <si>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</si>
  <si>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</si>
  <si>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</si>
  <si>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</si>
  <si>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</si>
  <si>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</si>
  <si>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</si>
  <si>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</si>
  <si>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</si>
  <si>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</si>
  <si>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</si>
  <si>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</si>
  <si>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</si>
  <si>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</si>
  <si>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</si>
  <si>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</si>
  <si>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</si>
  <si>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</si>
  <si>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</si>
  <si>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</si>
  <si>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</si>
  <si>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</si>
  <si>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</si>
  <si>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</si>
  <si>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</si>
  <si>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</si>
  <si>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</si>
  <si>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</si>
  <si>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</si>
  <si>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</si>
  <si>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</si>
  <si>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</si>
  <si>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</si>
  <si>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</si>
  <si>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</si>
  <si>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</si>
  <si>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</si>
  <si>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</si>
  <si>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</si>
  <si>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</si>
  <si>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</si>
  <si>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</si>
  <si>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</si>
  <si>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</si>
  <si>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</si>
  <si>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</si>
  <si>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</si>
  <si>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</si>
  <si>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</si>
  <si>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</si>
  <si>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</si>
  <si>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</si>
  <si>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</si>
  <si>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</si>
  <si>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</si>
  <si>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</si>
  <si>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</si>
  <si>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</si>
  <si>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</si>
  <si>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</si>
  <si>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</si>
  <si>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</si>
  <si>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</si>
  <si>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</si>
  <si>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</si>
  <si>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</si>
  <si>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</si>
  <si>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</si>
  <si>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</si>
  <si>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</si>
  <si>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</si>
  <si>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</si>
  <si>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</si>
  <si>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</si>
  <si>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</si>
  <si>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</si>
  <si>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</si>
  <si>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</si>
  <si>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</si>
  <si>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</si>
  <si>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</si>
  <si>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</si>
  <si>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</si>
  <si>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</si>
  <si>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</si>
  <si>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</si>
  <si>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</si>
  <si>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</si>
  <si>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</si>
  <si>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</si>
  <si>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</si>
  <si>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</si>
  <si>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</si>
  <si>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</si>
  <si>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</si>
  <si>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</si>
  <si>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</si>
  <si>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</si>
  <si>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</si>
  <si>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</si>
  <si>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</si>
  <si>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</si>
  <si>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</si>
  <si>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</si>
  <si>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</si>
  <si>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</si>
  <si>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</si>
  <si>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</si>
  <si>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</si>
  <si>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</si>
  <si>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</si>
  <si>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</si>
  <si>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</si>
  <si>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</si>
  <si>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</si>
  <si>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</si>
  <si>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</si>
  <si>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</si>
  <si>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</si>
  <si>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</si>
  <si>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</si>
  <si>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</si>
  <si>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</si>
  <si>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</si>
  <si>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</si>
  <si>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</si>
  <si>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</si>
  <si>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</si>
  <si>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</si>
  <si>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</si>
  <si>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</si>
  <si>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</si>
  <si>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</si>
  <si>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</si>
  <si>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</si>
  <si>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</si>
  <si>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</si>
  <si>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</si>
  <si>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</si>
  <si>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</si>
  <si>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</si>
  <si>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</si>
  <si>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</si>
  <si>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</si>
  <si>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</si>
  <si>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</si>
  <si>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</si>
  <si>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</si>
  <si>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</si>
  <si>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</si>
  <si>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</si>
  <si>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</si>
  <si>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</si>
  <si>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</si>
  <si>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</si>
  <si>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</si>
  <si>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</si>
  <si>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</si>
  <si>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</si>
  <si>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</si>
  <si>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</si>
  <si>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</si>
  <si>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</si>
  <si>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</si>
  <si>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</si>
  <si>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</si>
  <si>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</si>
  <si>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</si>
  <si>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</si>
  <si>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</si>
  <si>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</si>
  <si>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</si>
  <si>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</si>
  <si>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</si>
  <si>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</si>
  <si>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</si>
  <si>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</si>
  <si>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</si>
  <si>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</si>
  <si>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</si>
  <si>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</si>
  <si>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</si>
  <si>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</si>
  <si>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</si>
  <si>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</si>
  <si>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</si>
  <si>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</si>
  <si>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</si>
  <si>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</si>
  <si>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</si>
  <si>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</si>
  <si>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</si>
  <si>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</si>
  <si>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</si>
  <si>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</si>
  <si>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</si>
  <si>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</si>
  <si>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</si>
  <si>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</si>
  <si>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</si>
  <si>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</si>
  <si>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</si>
  <si>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</si>
  <si>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</si>
  <si>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</si>
  <si>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</si>
  <si>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</si>
  <si>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</si>
  <si>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</si>
  <si>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</si>
  <si>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</si>
  <si>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</si>
  <si>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</si>
  <si>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</si>
  <si>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</si>
  <si>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</si>
  <si>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</si>
  <si>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</si>
  <si>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</si>
  <si>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</si>
  <si>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</si>
  <si>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</si>
  <si>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</si>
  <si>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</si>
  <si>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</si>
  <si>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</si>
  <si>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</si>
  <si>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</si>
  <si>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</si>
  <si>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</si>
  <si>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</si>
  <si>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</si>
  <si>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</si>
  <si>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</si>
  <si>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</si>
  <si>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</si>
  <si>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</si>
  <si>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</si>
  <si>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</si>
  <si>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</si>
  <si>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</si>
  <si>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</si>
  <si>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</si>
  <si>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</si>
  <si>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</si>
  <si>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</si>
  <si>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</si>
  <si>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</si>
  <si>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</si>
  <si>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</si>
  <si>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</si>
  <si>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</si>
  <si>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</si>
  <si>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</si>
  <si>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</si>
  <si>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</si>
  <si>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</si>
  <si>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</si>
  <si>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</si>
  <si>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</si>
  <si>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</si>
  <si>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</si>
  <si>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</si>
  <si>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</si>
  <si>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</si>
  <si>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</si>
  <si>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</si>
  <si>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</si>
  <si>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</si>
  <si>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</si>
  <si>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</si>
  <si>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</si>
  <si>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</si>
  <si>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</si>
  <si>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</si>
  <si>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</si>
  <si>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</si>
  <si>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</si>
  <si>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</si>
  <si>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</si>
  <si>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</si>
  <si>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</si>
  <si>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</si>
  <si>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</si>
  <si>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</si>
  <si>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</si>
  <si>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</si>
  <si>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</si>
  <si>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</si>
  <si>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</si>
  <si>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</si>
  <si>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</si>
  <si>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</si>
  <si>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</si>
  <si>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</si>
  <si>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</si>
  <si>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</si>
  <si>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</si>
  <si>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</si>
  <si>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</si>
  <si>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</si>
  <si>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</si>
  <si>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</si>
  <si>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</si>
  <si>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</si>
  <si>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</si>
  <si>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</si>
  <si>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</si>
  <si>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</si>
  <si>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</si>
  <si>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</si>
  <si>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</si>
  <si>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</si>
  <si>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</si>
  <si>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</si>
  <si>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</si>
  <si>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</si>
  <si>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</si>
  <si>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</si>
  <si>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</si>
  <si>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</si>
  <si>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</si>
  <si>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</si>
  <si>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</si>
  <si>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</si>
  <si>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</si>
  <si>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</si>
  <si>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</si>
  <si>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</si>
  <si>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</si>
  <si>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</si>
  <si>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</si>
  <si>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</si>
  <si>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</si>
  <si>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</si>
  <si>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</si>
  <si>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</si>
  <si>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</si>
  <si>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</si>
  <si>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</si>
  <si>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</si>
  <si>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</si>
  <si>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</si>
  <si>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</si>
  <si>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</si>
  <si>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</si>
  <si>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</si>
  <si>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</si>
  <si>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</si>
  <si>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</si>
  <si>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</si>
  <si>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</si>
  <si>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</si>
  <si>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</si>
  <si>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</si>
  <si>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</si>
  <si>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</si>
  <si>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</si>
  <si>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</si>
  <si>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</si>
  <si>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</si>
  <si>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</si>
  <si>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</si>
  <si>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</si>
  <si>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</si>
  <si>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</si>
  <si>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</si>
  <si>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</si>
  <si>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</si>
  <si>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</si>
  <si>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</si>
  <si>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</si>
  <si>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</si>
  <si>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</si>
  <si>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</si>
  <si>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</si>
  <si>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</si>
  <si>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</si>
  <si>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</si>
  <si>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</si>
  <si>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</si>
  <si>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</si>
  <si>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</si>
  <si>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</si>
  <si>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</si>
  <si>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</si>
  <si>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</si>
  <si>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</si>
  <si>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</si>
  <si>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</si>
  <si>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</si>
  <si>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</si>
  <si>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</si>
  <si>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</si>
  <si>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</si>
  <si>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</si>
  <si>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</si>
  <si>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</si>
  <si>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</si>
  <si>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</si>
  <si>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</si>
  <si>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</si>
  <si>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</si>
  <si>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</si>
  <si>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</si>
  <si>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</si>
  <si>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</si>
  <si>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</si>
  <si>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</si>
  <si>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</si>
  <si>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</si>
  <si>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</si>
  <si>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</si>
  <si>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</si>
  <si>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</si>
  <si>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</si>
  <si>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</si>
  <si>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</si>
  <si>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</si>
  <si>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</si>
  <si>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</si>
  <si>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</si>
  <si>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</si>
  <si>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</si>
  <si>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</si>
  <si>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</si>
  <si>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</si>
  <si>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</si>
  <si>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</si>
  <si>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</si>
  <si>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</si>
  <si>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</si>
  <si>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</si>
  <si>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</si>
  <si>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</si>
  <si>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</si>
  <si>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</si>
  <si>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</si>
  <si>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</si>
  <si>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</si>
  <si>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</si>
  <si>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</si>
  <si>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</si>
  <si>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</si>
  <si>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</si>
  <si>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</si>
  <si>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</si>
  <si>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</si>
  <si>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</si>
  <si>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</si>
  <si>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</si>
  <si>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</si>
  <si>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</si>
  <si>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</si>
  <si>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</si>
  <si>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</si>
  <si>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</si>
  <si>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</si>
  <si>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</si>
  <si>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</si>
  <si>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</si>
  <si>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</si>
  <si>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</si>
  <si>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</si>
  <si>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</si>
  <si>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</si>
  <si>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</si>
  <si>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</si>
  <si>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</si>
  <si>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</si>
  <si>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</si>
  <si>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</si>
  <si>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</si>
  <si>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</si>
  <si>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</si>
  <si>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</si>
  <si>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</si>
  <si>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</si>
  <si>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</si>
  <si>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</si>
  <si>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</si>
  <si>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</si>
  <si>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</si>
  <si>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</si>
  <si>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</si>
  <si>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</si>
  <si>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</si>
  <si>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</si>
  <si>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</si>
  <si>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</si>
  <si>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</si>
  <si>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</si>
  <si>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</si>
  <si>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</si>
  <si>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</si>
  <si>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</si>
  <si>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</si>
  <si>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</si>
  <si>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</si>
  <si>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</si>
  <si>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</si>
  <si>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</si>
  <si>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</si>
  <si>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</si>
  <si>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</si>
  <si>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</si>
  <si>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</si>
  <si>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</si>
  <si>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</si>
  <si>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</si>
  <si>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</si>
  <si>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</si>
  <si>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</si>
  <si>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</si>
  <si>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</si>
  <si>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</si>
  <si>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</si>
  <si>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</si>
  <si>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</si>
  <si>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</si>
  <si>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</si>
  <si>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</si>
  <si>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</si>
  <si>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</si>
  <si>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</si>
  <si>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</si>
  <si>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</si>
  <si>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</si>
  <si>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</si>
  <si>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</si>
  <si>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</si>
  <si>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</si>
  <si>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</si>
  <si>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</si>
  <si>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</si>
  <si>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</si>
  <si>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</si>
  <si>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</si>
  <si>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</si>
  <si>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</si>
  <si>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</si>
  <si>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</si>
  <si>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</si>
  <si>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</si>
  <si>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</si>
  <si>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</si>
  <si>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</si>
  <si>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</si>
  <si>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</si>
  <si>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</si>
  <si>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</si>
  <si>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</si>
  <si>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</si>
  <si>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</si>
  <si>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</si>
  <si>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</si>
  <si>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</si>
  <si>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</si>
  <si>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</si>
  <si>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</si>
  <si>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</si>
  <si>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</si>
  <si>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</si>
  <si>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</si>
  <si>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</si>
  <si>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</si>
  <si>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</si>
  <si>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</si>
  <si>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</si>
  <si>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</si>
  <si>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</si>
  <si>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</si>
  <si>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</si>
  <si>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</si>
  <si>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</si>
  <si>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</si>
  <si>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</si>
  <si>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</si>
  <si>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</si>
  <si>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</si>
  <si>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</si>
  <si>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</si>
  <si>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</si>
  <si>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</si>
  <si>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</si>
  <si>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</si>
  <si>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</si>
  <si>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</si>
  <si>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</si>
  <si>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</si>
  <si>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</si>
  <si>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</si>
  <si>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</si>
  <si>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</si>
  <si>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</si>
  <si>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</si>
  <si>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</si>
  <si>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</si>
  <si>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</si>
  <si>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</si>
  <si>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</si>
  <si>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</si>
  <si>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</si>
  <si>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</si>
  <si>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</si>
  <si>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</si>
  <si>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</si>
  <si>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</si>
  <si>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</si>
  <si>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</si>
  <si>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</si>
  <si>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</si>
  <si>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</si>
  <si>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</si>
  <si>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</si>
  <si>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</si>
  <si>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</si>
  <si>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</si>
  <si>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</si>
  <si>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</si>
  <si>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</si>
  <si>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</si>
  <si>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</si>
  <si>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</si>
  <si>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</si>
  <si>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</si>
  <si>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</si>
  <si>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</si>
  <si>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</si>
  <si>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</si>
  <si>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</si>
  <si>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</si>
  <si>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</si>
  <si>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</si>
  <si>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</si>
  <si>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</si>
  <si>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</si>
  <si>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</si>
  <si>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</si>
  <si>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</si>
  <si>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</si>
  <si>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</si>
  <si>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</si>
  <si>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</si>
  <si>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</si>
  <si>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</si>
  <si>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</si>
  <si>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</si>
  <si>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</si>
  <si>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</si>
  <si>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</si>
  <si>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</si>
  <si>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</si>
  <si>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</si>
  <si>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</si>
  <si>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</si>
  <si>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</si>
  <si>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</si>
  <si>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</si>
  <si>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</si>
  <si>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</si>
  <si>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</si>
  <si>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</si>
  <si>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</si>
  <si>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</si>
  <si>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</si>
  <si>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</si>
  <si>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</si>
  <si>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</si>
  <si>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</si>
  <si>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</si>
  <si>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</si>
  <si>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</si>
  <si>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</si>
  <si>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</si>
  <si>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</si>
  <si>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</si>
  <si>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</si>
  <si>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</si>
  <si>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</si>
  <si>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</si>
  <si>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</si>
  <si>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</si>
  <si>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</si>
  <si>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</si>
  <si>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</si>
  <si>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</si>
  <si>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</si>
  <si>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</si>
  <si>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</si>
  <si>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</si>
  <si>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</si>
  <si>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</si>
  <si>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</si>
  <si>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</si>
  <si>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</si>
  <si>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</si>
  <si>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</si>
  <si>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</si>
  <si>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</si>
  <si>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</si>
  <si>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</si>
  <si>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</si>
  <si>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</si>
  <si>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</si>
  <si>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</si>
  <si>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</si>
  <si>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</si>
  <si>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</si>
  <si>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</si>
  <si>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</si>
  <si>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</si>
  <si>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</si>
  <si>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</si>
  <si>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</si>
  <si>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</si>
  <si>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</si>
  <si>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</si>
  <si>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</si>
  <si>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</si>
  <si>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</si>
  <si>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</si>
  <si>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</si>
  <si>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</si>
  <si>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</si>
  <si>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</si>
  <si>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</si>
  <si>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</si>
  <si>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</si>
  <si>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</si>
  <si>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</si>
  <si>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</si>
  <si>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</si>
  <si>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</si>
  <si>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</si>
  <si>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</si>
  <si>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</si>
  <si>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</si>
  <si>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</si>
  <si>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</si>
  <si>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</si>
  <si>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</si>
  <si>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</si>
  <si>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</si>
  <si>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</si>
  <si>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</si>
  <si>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</si>
  <si>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</si>
  <si>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</si>
  <si>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</si>
  <si>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</si>
  <si>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</si>
  <si>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</si>
  <si>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</si>
  <si>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</si>
  <si>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</si>
  <si>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</si>
  <si>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</si>
  <si>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</si>
  <si>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</si>
  <si>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</si>
  <si>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</si>
  <si>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</si>
  <si>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</si>
  <si>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</si>
  <si>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</si>
  <si>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</si>
  <si>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</si>
  <si>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</si>
  <si>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</si>
  <si>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</si>
  <si>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</si>
  <si>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</si>
  <si>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</si>
  <si>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</si>
  <si>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</si>
  <si>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</si>
  <si>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</si>
  <si>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</si>
  <si>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</si>
  <si>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</si>
  <si>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</si>
  <si>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</si>
  <si>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</si>
  <si>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</si>
  <si>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</si>
  <si>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</si>
  <si>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</si>
  <si>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</si>
  <si>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</si>
  <si>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</si>
  <si>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</si>
  <si>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</si>
  <si>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</si>
  <si>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</si>
  <si>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</si>
  <si>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</si>
  <si>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</si>
  <si>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</si>
  <si>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</si>
  <si>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</si>
  <si>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</si>
  <si>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</si>
  <si>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</si>
  <si>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</si>
  <si>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</si>
  <si>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</si>
  <si>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</si>
  <si>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</si>
  <si>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</si>
  <si>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</si>
  <si>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</si>
  <si>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</si>
  <si>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</si>
  <si>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</si>
  <si>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</si>
  <si>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</si>
  <si>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</si>
  <si>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</si>
  <si>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</si>
  <si>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</si>
  <si>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</si>
  <si>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</si>
  <si>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</si>
  <si>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</si>
  <si>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</si>
  <si>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</si>
  <si>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</si>
  <si>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</si>
  <si>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</si>
  <si>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</si>
  <si>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</si>
  <si>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</si>
  <si>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</si>
  <si>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</si>
  <si>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</si>
  <si>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</si>
  <si>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</si>
  <si>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</si>
  <si>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</si>
  <si>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</si>
  <si>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</si>
  <si>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</si>
  <si>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</si>
  <si>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</si>
  <si>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</si>
  <si>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</si>
  <si>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</si>
  <si>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</si>
  <si>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</si>
  <si>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</si>
  <si>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</si>
  <si>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</si>
  <si>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</si>
  <si>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</si>
  <si>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</si>
  <si>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</si>
  <si>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</si>
  <si>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</si>
  <si>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</si>
  <si>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</si>
  <si>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</si>
  <si>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</si>
  <si>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</si>
  <si>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</si>
  <si>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</si>
  <si>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</si>
  <si>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</si>
  <si>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</si>
  <si>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</si>
  <si>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</si>
  <si>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</si>
  <si>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</si>
  <si>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</si>
  <si>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</si>
  <si>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</si>
  <si>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</si>
  <si>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</si>
  <si>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</si>
  <si>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</si>
  <si>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</si>
  <si>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</si>
  <si>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</si>
  <si>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</si>
  <si>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</si>
  <si>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</si>
  <si>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</si>
  <si>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</si>
  <si>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</si>
  <si>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</si>
  <si>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</si>
  <si>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</si>
  <si>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</si>
  <si>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</si>
  <si>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</si>
  <si>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</si>
  <si>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</si>
  <si>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</si>
  <si>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</si>
  <si>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</si>
  <si>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</si>
  <si>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</si>
  <si>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</si>
  <si>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</si>
  <si>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</si>
  <si>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</si>
  <si>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</si>
  <si>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</si>
  <si>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</si>
  <si>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</si>
  <si>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</si>
  <si>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</si>
  <si>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</si>
  <si>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</si>
  <si>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</si>
  <si>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</si>
  <si>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</si>
  <si>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</si>
  <si>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</si>
  <si>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</si>
  <si>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</si>
  <si>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</si>
  <si>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</si>
  <si>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</si>
  <si>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</si>
  <si>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</si>
  <si>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</si>
  <si>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</si>
  <si>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</si>
  <si>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</si>
  <si>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</si>
  <si>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</si>
  <si>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</si>
  <si>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</si>
  <si>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</si>
  <si>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</si>
  <si>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</si>
  <si>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</si>
  <si>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</si>
  <si>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</si>
  <si>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</si>
  <si>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</si>
  <si>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</si>
  <si>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</si>
  <si>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</si>
  <si>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</si>
  <si>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</si>
  <si>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</si>
  <si>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</si>
  <si>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</si>
  <si>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</si>
  <si>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</si>
  <si>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</si>
  <si>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</si>
  <si>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</si>
  <si>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</si>
  <si>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</si>
  <si>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</si>
  <si>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</si>
  <si>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</si>
  <si>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</si>
  <si>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</si>
  <si>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</si>
  <si>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</si>
  <si>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</si>
  <si>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</si>
  <si>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</si>
  <si>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</si>
  <si>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</si>
  <si>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</si>
  <si>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</si>
  <si>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</si>
  <si>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</si>
  <si>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</si>
  <si>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</si>
  <si>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</si>
  <si>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</si>
  <si>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</si>
  <si>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</si>
  <si>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</si>
  <si>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</si>
  <si>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</si>
  <si>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</si>
  <si>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</si>
  <si>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</si>
  <si>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</si>
  <si>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</si>
  <si>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</si>
  <si>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</si>
  <si>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</si>
  <si>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</si>
  <si>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</si>
  <si>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</si>
  <si>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</si>
  <si>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</si>
  <si>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</si>
  <si>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</si>
  <si>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</si>
  <si>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</si>
  <si>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</si>
  <si>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</si>
  <si>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</si>
  <si>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</si>
  <si>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</si>
  <si>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</si>
  <si>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</si>
  <si>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</si>
  <si>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</si>
  <si>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</si>
  <si>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</si>
  <si>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</si>
  <si>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車車屍搭普</t>
    <phoneticPr fontId="2" type="noConversion"/>
  </si>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</sst>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9">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printerSettings" Target="../printerSettings/printerSettings1.bin"/><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47" Type="http://schemas.openxmlformats.org/officeDocument/2006/relationships/printerSettings" Target="../printerSettings/printerSettings2.bin"/><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37"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1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zoomScale="85" zoomScaleNormal="85" workbookViewId="0">
      <pane xSplit="1" ySplit="1" topLeftCell="B492" activePane="bottomRight" state="frozen"/>
      <selection pane="topRight" activeCell="B1" sqref="B1"/>
      <selection pane="bottomLeft" activeCell="A2" sqref="A2"/>
      <selection pane="bottomRight" activeCell="A504" sqref="A504"/>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8959</v>
      </c>
      <c r="AA480" s="112">
        <v>415</v>
      </c>
      <c r="AB480" s="111" t="s">
        <v>8960</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8951</v>
      </c>
      <c r="M483" s="112">
        <v>2508</v>
      </c>
      <c r="N483" s="111" t="s">
        <v>8952</v>
      </c>
      <c r="O483" s="112">
        <v>1262</v>
      </c>
      <c r="P483" s="111" t="s">
        <v>5730</v>
      </c>
      <c r="Q483" s="112">
        <v>838</v>
      </c>
      <c r="R483" s="111" t="s">
        <v>8953</v>
      </c>
      <c r="S483" s="112">
        <v>259</v>
      </c>
      <c r="T483" s="111" t="s">
        <v>5732</v>
      </c>
      <c r="U483" s="112">
        <v>129</v>
      </c>
      <c r="V483" s="111" t="s">
        <v>5733</v>
      </c>
      <c r="W483" s="112">
        <v>26</v>
      </c>
      <c r="X483" s="111" t="s">
        <v>8954</v>
      </c>
      <c r="Y483" s="112">
        <v>259</v>
      </c>
      <c r="Z483" s="111" t="s">
        <v>8955</v>
      </c>
      <c r="AA483" s="112">
        <v>542</v>
      </c>
      <c r="AB483" s="111" t="s">
        <v>8956</v>
      </c>
      <c r="AC483" s="112">
        <v>1397</v>
      </c>
      <c r="AD483" s="111" t="s">
        <v>8957</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8958</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4" si="20">IF(A491="", "", "gift-codes.html?game=" &amp; A491)</f>
        <v>gift-codes.html?game=Pond Pals</v>
      </c>
      <c r="G491" s="9" t="s">
        <v>8769</v>
      </c>
      <c r="H491" s="9" t="str">
        <f t="shared" ref="H491:H554"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8949</v>
      </c>
      <c r="W494" s="112">
        <v>129</v>
      </c>
      <c r="X494" s="111" t="s">
        <v>3709</v>
      </c>
      <c r="Y494" s="112">
        <v>78</v>
      </c>
      <c r="Z494" s="111" t="s">
        <v>8950</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29"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29"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29"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29" ht="28.5" customHeight="1" thickBot="1">
      <c r="A500" s="114" t="s">
        <v>8884</v>
      </c>
      <c r="C500" s="8" t="s">
        <v>8883</v>
      </c>
      <c r="D500" s="9" t="s">
        <v>8880</v>
      </c>
      <c r="E500" s="9" t="s">
        <v>8882</v>
      </c>
      <c r="F500" s="8" t="str">
        <f t="shared" si="20"/>
        <v>gift-codes.html?game=車車屍搭普</v>
      </c>
      <c r="G500" s="9" t="s">
        <v>8881</v>
      </c>
      <c r="H500" s="9" t="str">
        <f t="shared" si="21"/>
        <v>https://www.ssbuy.tw/game-detail.html?game=車車屍搭普</v>
      </c>
      <c r="I500" s="10" t="s">
        <v>8896</v>
      </c>
      <c r="J500" s="16" t="s">
        <v>5418</v>
      </c>
      <c r="K500" s="39" t="s">
        <v>5446</v>
      </c>
      <c r="L500" s="111" t="s">
        <v>8942</v>
      </c>
      <c r="M500" s="112">
        <v>2760</v>
      </c>
      <c r="N500" s="111" t="s">
        <v>8943</v>
      </c>
      <c r="O500" s="112">
        <v>1431</v>
      </c>
      <c r="P500" s="111" t="s">
        <v>8944</v>
      </c>
      <c r="Q500" s="112">
        <v>567</v>
      </c>
      <c r="R500" s="111" t="s">
        <v>8945</v>
      </c>
      <c r="S500" s="112">
        <v>279</v>
      </c>
      <c r="T500" s="111" t="s">
        <v>8946</v>
      </c>
      <c r="U500" s="112">
        <v>147</v>
      </c>
      <c r="V500" s="111" t="s">
        <v>8947</v>
      </c>
      <c r="W500" s="112">
        <v>28</v>
      </c>
      <c r="X500" s="111" t="s">
        <v>8948</v>
      </c>
      <c r="Y500" s="112">
        <v>147</v>
      </c>
      <c r="Z500" s="111" t="s">
        <v>8075</v>
      </c>
      <c r="AA500" s="112">
        <v>147</v>
      </c>
      <c r="AB500" s="21"/>
      <c r="AC500" s="22"/>
    </row>
    <row r="501" spans="1:29" ht="28.5" customHeight="1" thickBot="1">
      <c r="A501" s="114" t="s">
        <v>8921</v>
      </c>
      <c r="C501" s="8" t="s">
        <v>8925</v>
      </c>
      <c r="D501" s="9" t="s">
        <v>8924</v>
      </c>
      <c r="E501" s="9" t="s">
        <v>8923</v>
      </c>
      <c r="F501" s="8" t="str">
        <f t="shared" si="20"/>
        <v>gift-codes.html?game=鋼嵐</v>
      </c>
      <c r="G501" s="9" t="s">
        <v>8922</v>
      </c>
      <c r="H501" s="9" t="str">
        <f t="shared" si="21"/>
        <v>https://www.ssbuy.tw/game-detail.html?game=鋼嵐</v>
      </c>
      <c r="I501" s="10" t="s">
        <v>8926</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29" ht="28.5" customHeight="1" thickBot="1">
      <c r="A502" s="114" t="s">
        <v>8935</v>
      </c>
      <c r="C502" s="8" t="s">
        <v>8930</v>
      </c>
      <c r="D502" s="127" t="s">
        <v>8927</v>
      </c>
      <c r="E502" s="9" t="s">
        <v>8928</v>
      </c>
      <c r="F502" s="8" t="str">
        <f t="shared" si="20"/>
        <v>gift-codes.html?game=Illusion Connect：Re</v>
      </c>
      <c r="G502" s="9" t="s">
        <v>8929</v>
      </c>
      <c r="H502" s="9" t="str">
        <f t="shared" si="21"/>
        <v>https://www.ssbuy.tw/game-detail.html?game=Illusion Connect：Re</v>
      </c>
      <c r="I502" s="10" t="s">
        <v>8937</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29" ht="28.5" customHeight="1" thickBot="1">
      <c r="A503" s="114" t="s">
        <v>8931</v>
      </c>
      <c r="C503" s="8" t="s">
        <v>8934</v>
      </c>
      <c r="D503" s="9" t="s">
        <v>8932</v>
      </c>
      <c r="F503" s="8" t="str">
        <f t="shared" si="20"/>
        <v>gift-codes.html?game=最強石器：重返尼斯</v>
      </c>
      <c r="G503" s="9" t="s">
        <v>8933</v>
      </c>
      <c r="H503" s="9" t="str">
        <f t="shared" si="21"/>
        <v>https://www.ssbuy.tw/game-detail.html?game=最強石器：重返尼斯</v>
      </c>
      <c r="I503" s="10" t="s">
        <v>8936</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29" ht="28.5" customHeight="1" thickBot="1">
      <c r="A504" s="114" t="s">
        <v>8994</v>
      </c>
      <c r="C504" s="8" t="s">
        <v>9000</v>
      </c>
      <c r="D504" s="9" t="s">
        <v>8997</v>
      </c>
      <c r="E504" s="9" t="s">
        <v>8999</v>
      </c>
      <c r="F504" s="8" t="str">
        <f t="shared" si="20"/>
        <v>gift-codes.html?game=雙面神姬</v>
      </c>
      <c r="G504" s="9" t="s">
        <v>8998</v>
      </c>
      <c r="H504" s="9" t="str">
        <f t="shared" si="21"/>
        <v>https://www.ssbuy.tw/game-detail.html?game=雙面神姬</v>
      </c>
      <c r="I504" s="10" t="s">
        <v>9009</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29" ht="28.5" customHeight="1" thickBot="1">
      <c r="A505" s="114" t="s">
        <v>8995</v>
      </c>
      <c r="C505" s="8" t="s">
        <v>9001</v>
      </c>
      <c r="D505" s="9" t="s">
        <v>9002</v>
      </c>
      <c r="E505" s="9" t="s">
        <v>9004</v>
      </c>
      <c r="F505" s="8" t="str">
        <f t="shared" si="20"/>
        <v>gift-codes.html?game=生存33天</v>
      </c>
      <c r="G505" s="9" t="s">
        <v>9003</v>
      </c>
      <c r="H505" s="9" t="str">
        <f t="shared" si="21"/>
        <v>https://www.ssbuy.tw/game-detail.html?game=生存33天</v>
      </c>
      <c r="I505" s="10" t="s">
        <v>9010</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29" ht="28.5" customHeight="1" thickBot="1">
      <c r="A506" s="114" t="s">
        <v>8996</v>
      </c>
      <c r="C506" s="8" t="s">
        <v>9005</v>
      </c>
      <c r="D506" s="9" t="s">
        <v>9006</v>
      </c>
      <c r="E506" s="9" t="s">
        <v>9008</v>
      </c>
      <c r="F506" s="8" t="str">
        <f t="shared" si="20"/>
        <v>gift-codes.html?game=初心者傳説：夢境大冒險</v>
      </c>
      <c r="G506" s="9" t="s">
        <v>9007</v>
      </c>
      <c r="H506" s="9" t="str">
        <f t="shared" si="21"/>
        <v>https://www.ssbuy.tw/game-detail.html?game=初心者傳説：夢境大冒險</v>
      </c>
      <c r="I506" s="10" t="s">
        <v>9011</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29" ht="28.5" customHeight="1">
      <c r="F507" s="8" t="str">
        <f t="shared" si="20"/>
        <v/>
      </c>
      <c r="H507" s="9" t="str">
        <f t="shared" si="21"/>
        <v/>
      </c>
    </row>
    <row r="508" spans="1:29" ht="28.5" customHeight="1">
      <c r="F508" s="8" t="str">
        <f t="shared" si="20"/>
        <v/>
      </c>
      <c r="H508" s="9" t="str">
        <f t="shared" si="21"/>
        <v/>
      </c>
    </row>
    <row r="509" spans="1:29" ht="28.5" customHeight="1">
      <c r="F509" s="8" t="str">
        <f t="shared" si="20"/>
        <v/>
      </c>
      <c r="H509" s="9" t="str">
        <f t="shared" si="21"/>
        <v/>
      </c>
    </row>
    <row r="510" spans="1:29" ht="28.5" customHeight="1">
      <c r="F510" s="8" t="str">
        <f t="shared" si="20"/>
        <v/>
      </c>
      <c r="H510" s="9" t="str">
        <f t="shared" si="21"/>
        <v/>
      </c>
    </row>
    <row r="511" spans="1:29" ht="28.5" customHeight="1">
      <c r="F511" s="8" t="str">
        <f t="shared" si="20"/>
        <v/>
      </c>
      <c r="H511" s="9" t="str">
        <f t="shared" si="21"/>
        <v/>
      </c>
    </row>
    <row r="512" spans="1:29"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IF(A555="", "", "gift-codes.html?game=" &amp; A555)</f>
        <v/>
      </c>
      <c r="H555" s="9" t="str">
        <f t="shared" ref="H555:H613" si="22">IF(A555="", "", "https://www.ssbuy.tw/game-detail.html?game="&amp;A555)</f>
        <v/>
      </c>
    </row>
    <row r="556" spans="6:8" ht="28.5" customHeight="1">
      <c r="F556" s="8" t="str">
        <f>IF(A556="", "", "gift-codes.html?game=" &amp; A556)</f>
        <v/>
      </c>
      <c r="H556" s="9" t="str">
        <f t="shared" si="22"/>
        <v/>
      </c>
    </row>
    <row r="557" spans="6:8" ht="28.5" customHeight="1">
      <c r="F557" s="8" t="str">
        <f>IF(A557="", "", "gift-codes.html?game=" &amp; A557)</f>
        <v/>
      </c>
      <c r="H557" s="9" t="str">
        <f t="shared" si="22"/>
        <v/>
      </c>
    </row>
    <row r="558" spans="6:8" ht="28.5" customHeight="1">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s>
  <pageMargins left="0.7" right="0.7" top="0.75" bottom="0.75" header="0.3" footer="0.3"/>
  <pageSetup paperSize="9" orientation="portrait" r:id="rId34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tabSelected="1" zoomScale="85" zoomScaleNormal="85" workbookViewId="0">
      <pane xSplit="1" ySplit="1" topLeftCell="M496" activePane="bottomRight" state="frozen"/>
      <selection pane="topRight" activeCell="B1" sqref="B1"/>
      <selection pane="bottomLeft" activeCell="A2" sqref="A2"/>
      <selection pane="bottomRight" activeCell="O507" sqref="O507"/>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8897</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8899</v>
      </c>
      <c r="G480" s="3" t="s">
        <v>8900</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8898</v>
      </c>
      <c r="AM480" s="6" t="s">
        <v>8988</v>
      </c>
      <c r="AO480" s="6" t="s">
        <v>8989</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8979</v>
      </c>
      <c r="G490" s="3" t="s">
        <v>8980</v>
      </c>
      <c r="H490" s="51" t="s">
        <v>6988</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8885</v>
      </c>
      <c r="H494" s="51" t="s">
        <v>6988</v>
      </c>
      <c r="K494" s="100" t="s">
        <v>5495</v>
      </c>
      <c r="L494" s="51" t="s">
        <v>5496</v>
      </c>
      <c r="M494" s="6" t="s">
        <v>8903</v>
      </c>
      <c r="O494" s="6" t="s">
        <v>8938</v>
      </c>
      <c r="Q494" s="6" t="s">
        <v>8939</v>
      </c>
      <c r="S494" s="6" t="s">
        <v>8940</v>
      </c>
      <c r="U494" s="6" t="s">
        <v>2056</v>
      </c>
      <c r="W494" s="6" t="s">
        <v>8941</v>
      </c>
      <c r="Y494" s="6" t="s">
        <v>1933</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8966</v>
      </c>
      <c r="H496" s="51" t="s">
        <v>6988</v>
      </c>
      <c r="K496" s="100" t="s">
        <v>5495</v>
      </c>
      <c r="L496" s="51" t="s">
        <v>5496</v>
      </c>
      <c r="M496" s="6" t="s">
        <v>8961</v>
      </c>
      <c r="O496" s="6" t="s">
        <v>8962</v>
      </c>
      <c r="Q496" s="6" t="s">
        <v>8963</v>
      </c>
      <c r="S496" s="6" t="s">
        <v>8964</v>
      </c>
      <c r="U496" s="6" t="s">
        <v>4140</v>
      </c>
      <c r="W496" s="6" t="s">
        <v>8965</v>
      </c>
    </row>
    <row r="497" spans="1:42"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8895</v>
      </c>
    </row>
    <row r="498" spans="1:42"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8976</v>
      </c>
      <c r="G499" s="3" t="s">
        <v>8977</v>
      </c>
      <c r="H499" s="3" t="s">
        <v>8978</v>
      </c>
      <c r="I499" s="51" t="s">
        <v>6988</v>
      </c>
      <c r="K499" s="100" t="s">
        <v>5495</v>
      </c>
      <c r="L499" s="51" t="s">
        <v>5496</v>
      </c>
      <c r="M499" s="6" t="s">
        <v>8974</v>
      </c>
      <c r="O499" s="6" t="s">
        <v>8975</v>
      </c>
    </row>
    <row r="500" spans="1:42" ht="28.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8885</v>
      </c>
      <c r="H500" s="51" t="s">
        <v>6988</v>
      </c>
      <c r="K500" s="100" t="s">
        <v>5495</v>
      </c>
      <c r="L500" s="51" t="s">
        <v>5496</v>
      </c>
      <c r="M500" s="6" t="s">
        <v>8886</v>
      </c>
      <c r="N500" s="40" t="s">
        <v>8889</v>
      </c>
      <c r="O500" s="6" t="s">
        <v>8887</v>
      </c>
      <c r="P500" s="40" t="s">
        <v>8890</v>
      </c>
      <c r="Q500" s="6" t="s">
        <v>8888</v>
      </c>
      <c r="R500" s="40" t="s">
        <v>8891</v>
      </c>
      <c r="S500" s="6" t="s">
        <v>8892</v>
      </c>
      <c r="U500" s="6" t="s">
        <v>8893</v>
      </c>
      <c r="W500" s="6" t="s">
        <v>8894</v>
      </c>
      <c r="Y500" s="6" t="s">
        <v>8901</v>
      </c>
      <c r="Z500" s="40" t="s">
        <v>8908</v>
      </c>
      <c r="AA500" s="6" t="s">
        <v>8902</v>
      </c>
      <c r="AB500" s="40" t="s">
        <v>8909</v>
      </c>
      <c r="AC500" s="6" t="s">
        <v>8793</v>
      </c>
      <c r="AD500" s="40" t="s">
        <v>8910</v>
      </c>
      <c r="AE500" s="6" t="s">
        <v>2056</v>
      </c>
      <c r="AF500" s="40" t="s">
        <v>8911</v>
      </c>
      <c r="AG500" s="6" t="s">
        <v>8903</v>
      </c>
      <c r="AH500" s="40" t="s">
        <v>8912</v>
      </c>
      <c r="AI500" s="6" t="s">
        <v>8904</v>
      </c>
      <c r="AJ500" s="40" t="s">
        <v>8913</v>
      </c>
      <c r="AK500" s="6" t="s">
        <v>8905</v>
      </c>
      <c r="AL500" s="40" t="s">
        <v>8914</v>
      </c>
      <c r="AM500" s="6" t="s">
        <v>8906</v>
      </c>
      <c r="AN500" s="40" t="s">
        <v>8915</v>
      </c>
      <c r="AO500" s="6" t="s">
        <v>8907</v>
      </c>
      <c r="AP500" s="40" t="s">
        <v>8916</v>
      </c>
    </row>
    <row r="501" spans="1:42" ht="28.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8917</v>
      </c>
      <c r="N501" s="128" t="s">
        <v>8918</v>
      </c>
      <c r="O501" s="6" t="s">
        <v>8919</v>
      </c>
      <c r="P501" s="40" t="s">
        <v>8920</v>
      </c>
    </row>
    <row r="502" spans="1:42" ht="28.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8973</v>
      </c>
      <c r="G502" s="3" t="s">
        <v>7509</v>
      </c>
      <c r="H502" s="51" t="s">
        <v>6988</v>
      </c>
      <c r="K502" s="100" t="s">
        <v>5495</v>
      </c>
      <c r="L502" s="51" t="s">
        <v>5496</v>
      </c>
      <c r="M502" s="6" t="s">
        <v>8967</v>
      </c>
      <c r="O502" s="40" t="s">
        <v>8968</v>
      </c>
      <c r="Q502" s="6" t="s">
        <v>8969</v>
      </c>
      <c r="S502" s="6" t="s">
        <v>8970</v>
      </c>
      <c r="U502" s="6" t="s">
        <v>8971</v>
      </c>
      <c r="W502" s="6" t="s">
        <v>8972</v>
      </c>
      <c r="Y502" s="6" t="s">
        <v>8982</v>
      </c>
      <c r="AA502" s="6" t="s">
        <v>8983</v>
      </c>
      <c r="AC502" s="6" t="s">
        <v>8984</v>
      </c>
      <c r="AE502" s="6" t="s">
        <v>8985</v>
      </c>
      <c r="AG502" s="6" t="s">
        <v>8986</v>
      </c>
      <c r="AI502" s="6" t="s">
        <v>8987</v>
      </c>
    </row>
    <row r="503" spans="1:42" ht="28.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8993</v>
      </c>
      <c r="H503" s="51" t="s">
        <v>6988</v>
      </c>
      <c r="K503" s="100" t="s">
        <v>5495</v>
      </c>
      <c r="L503" s="51" t="s">
        <v>5496</v>
      </c>
      <c r="M503" s="6" t="s">
        <v>8981</v>
      </c>
      <c r="O503" s="6" t="s">
        <v>8990</v>
      </c>
      <c r="Q503" s="6" t="s">
        <v>8991</v>
      </c>
      <c r="S503" s="6" t="s">
        <v>8992</v>
      </c>
      <c r="U503" s="6" t="s">
        <v>9025</v>
      </c>
      <c r="W503" s="6" t="s">
        <v>9026</v>
      </c>
      <c r="Y503" s="6" t="s">
        <v>9027</v>
      </c>
    </row>
    <row r="504" spans="1:42" ht="28.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5232</v>
      </c>
      <c r="K504" s="100" t="s">
        <v>5495</v>
      </c>
      <c r="L504" s="51" t="s">
        <v>5496</v>
      </c>
      <c r="M504" s="6" t="s">
        <v>9012</v>
      </c>
      <c r="O504" s="6" t="s">
        <v>9013</v>
      </c>
      <c r="Q504" s="6" t="s">
        <v>9014</v>
      </c>
      <c r="S504" s="6" t="s">
        <v>9015</v>
      </c>
    </row>
    <row r="505" spans="1:42" ht="28.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9016</v>
      </c>
      <c r="O505" s="6" t="s">
        <v>9017</v>
      </c>
      <c r="Q505" s="6" t="s">
        <v>9018</v>
      </c>
      <c r="S505" s="6" t="s">
        <v>9019</v>
      </c>
      <c r="U505" s="6" t="s">
        <v>9020</v>
      </c>
      <c r="W505" s="6" t="s">
        <v>9021</v>
      </c>
      <c r="Y505" s="6" t="s">
        <v>9022</v>
      </c>
      <c r="AA505" s="6" t="s">
        <v>9023</v>
      </c>
      <c r="AC505" s="6" t="s">
        <v>9024</v>
      </c>
    </row>
    <row r="506" spans="1:42" ht="28.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5232</v>
      </c>
      <c r="K506" s="100" t="s">
        <v>5495</v>
      </c>
      <c r="L506" s="51" t="s">
        <v>5496</v>
      </c>
    </row>
    <row r="507" spans="1:42" ht="28.5" customHeight="1">
      <c r="A507" s="67" t="str">
        <f>IF(games!A507="", "", games!A507)</f>
        <v/>
      </c>
      <c r="C507" s="51" t="str">
        <f t="shared" si="20"/>
        <v/>
      </c>
      <c r="D507" s="51" t="str">
        <f t="shared" si="21"/>
        <v/>
      </c>
      <c r="E507" s="91" t="str">
        <f>IF(games!I507&lt;&gt;"", games!I507, "")</f>
        <v/>
      </c>
    </row>
    <row r="508" spans="1:42" ht="28.5" customHeight="1">
      <c r="A508" s="67" t="str">
        <f>IF(games!A508="", "", games!A508)</f>
        <v/>
      </c>
      <c r="C508" s="51" t="str">
        <f t="shared" si="20"/>
        <v/>
      </c>
      <c r="D508" s="51" t="str">
        <f t="shared" si="21"/>
        <v/>
      </c>
      <c r="E508" s="91" t="str">
        <f>IF(games!I508&lt;&gt;"", games!I508, "")</f>
        <v/>
      </c>
    </row>
    <row r="509" spans="1:42" ht="28.5" customHeight="1">
      <c r="A509" s="67" t="str">
        <f>IF(games!A509="", "", games!A509)</f>
        <v/>
      </c>
      <c r="C509" s="51" t="str">
        <f t="shared" si="20"/>
        <v/>
      </c>
      <c r="D509" s="51" t="str">
        <f t="shared" si="21"/>
        <v/>
      </c>
      <c r="E509" s="91" t="str">
        <f>IF(games!I509&lt;&gt;"", games!I509, "")</f>
        <v/>
      </c>
    </row>
    <row r="510" spans="1:42" ht="28.5" customHeight="1">
      <c r="A510" s="67" t="str">
        <f>IF(games!A510="", "", games!A510)</f>
        <v/>
      </c>
      <c r="C510" s="51" t="str">
        <f t="shared" si="20"/>
        <v/>
      </c>
      <c r="D510" s="51" t="str">
        <f t="shared" si="21"/>
        <v/>
      </c>
      <c r="E510" s="91" t="str">
        <f>IF(games!I510&lt;&gt;"", games!I510, "")</f>
        <v/>
      </c>
    </row>
    <row r="511" spans="1:42" ht="28.5" customHeight="1">
      <c r="A511" s="67" t="str">
        <f>IF(games!A511="", "", games!A511)</f>
        <v/>
      </c>
      <c r="C511" s="51" t="str">
        <f t="shared" si="20"/>
        <v/>
      </c>
      <c r="D511" s="51" t="str">
        <f t="shared" si="21"/>
        <v/>
      </c>
      <c r="E511" s="91" t="str">
        <f>IF(games!I511&lt;&gt;"", games!I511, "")</f>
        <v/>
      </c>
    </row>
    <row r="512" spans="1:42" ht="28.5" customHeight="1">
      <c r="A512" s="67" t="str">
        <f>IF(games!A512="", "", games!A512)</f>
        <v/>
      </c>
      <c r="C512" s="51" t="str">
        <f t="shared" si="20"/>
        <v/>
      </c>
      <c r="D512" s="51" t="str">
        <f t="shared" si="21"/>
        <v/>
      </c>
      <c r="E512" s="91" t="str">
        <f>IF(games!I512&lt;&gt;"", games!I512, "")</f>
        <v/>
      </c>
    </row>
    <row r="513" spans="1:5" ht="28.5" customHeight="1">
      <c r="A513" s="67" t="str">
        <f>IF(games!A513="", "", games!A513)</f>
        <v/>
      </c>
      <c r="C513" s="51" t="str">
        <f t="shared" si="20"/>
        <v/>
      </c>
      <c r="D513" s="51" t="str">
        <f t="shared" si="21"/>
        <v/>
      </c>
      <c r="E513" s="91" t="str">
        <f>IF(games!I513&lt;&gt;"", games!I513, "")</f>
        <v/>
      </c>
    </row>
    <row r="514" spans="1:5" ht="28.5" customHeight="1">
      <c r="A514" s="67" t="str">
        <f>IF(games!A514="", "", games!A514)</f>
        <v/>
      </c>
      <c r="C514" s="51" t="str">
        <f t="shared" si="20"/>
        <v/>
      </c>
      <c r="D514" s="51" t="str">
        <f t="shared" si="21"/>
        <v/>
      </c>
      <c r="E514" s="91" t="str">
        <f>IF(games!I514&lt;&gt;"", games!I514, "")</f>
        <v/>
      </c>
    </row>
    <row r="515" spans="1:5" ht="28.5" customHeight="1">
      <c r="A515" s="67" t="str">
        <f>IF(games!A515="", "", games!A515)</f>
        <v/>
      </c>
      <c r="C515" s="51" t="str">
        <f t="shared" si="20"/>
        <v/>
      </c>
      <c r="D515" s="51" t="str">
        <f t="shared" si="21"/>
        <v/>
      </c>
      <c r="E515" s="91" t="str">
        <f>IF(games!I515&lt;&gt;"", games!I515, "")</f>
        <v/>
      </c>
    </row>
    <row r="516" spans="1:5" ht="28.5" customHeight="1">
      <c r="A516" s="67" t="str">
        <f>IF(games!A516="", "", games!A516)</f>
        <v/>
      </c>
      <c r="C516" s="51" t="str">
        <f t="shared" si="20"/>
        <v/>
      </c>
      <c r="D516" s="51" t="str">
        <f t="shared" si="21"/>
        <v/>
      </c>
      <c r="E516" s="91" t="str">
        <f>IF(games!I516&lt;&gt;"", games!I516, "")</f>
        <v/>
      </c>
    </row>
    <row r="517" spans="1:5" ht="28.5" customHeight="1">
      <c r="A517" s="67" t="str">
        <f>IF(games!A517="", "", games!A517)</f>
        <v/>
      </c>
      <c r="C517" s="51" t="str">
        <f t="shared" si="20"/>
        <v/>
      </c>
      <c r="D517" s="51" t="str">
        <f t="shared" si="21"/>
        <v/>
      </c>
      <c r="E517" s="91" t="str">
        <f>IF(games!I517&lt;&gt;"", games!I517, "")</f>
        <v/>
      </c>
    </row>
    <row r="518" spans="1:5" ht="28.5" customHeight="1">
      <c r="A518" s="67" t="str">
        <f>IF(games!A518="", "", games!A518)</f>
        <v/>
      </c>
      <c r="C518" s="51" t="str">
        <f t="shared" si="20"/>
        <v/>
      </c>
      <c r="D518" s="51" t="str">
        <f t="shared" si="21"/>
        <v/>
      </c>
      <c r="E518" s="91" t="str">
        <f>IF(games!I518&lt;&gt;"", games!I518, "")</f>
        <v/>
      </c>
    </row>
    <row r="519" spans="1:5" ht="28.5" customHeight="1">
      <c r="A519" s="67" t="str">
        <f>IF(games!A519="", "", games!A519)</f>
        <v/>
      </c>
      <c r="C519" s="51" t="str">
        <f t="shared" si="20"/>
        <v/>
      </c>
      <c r="D519" s="51" t="str">
        <f t="shared" si="21"/>
        <v/>
      </c>
      <c r="E519" s="91" t="str">
        <f>IF(games!I519&lt;&gt;"", games!I519, "")</f>
        <v/>
      </c>
    </row>
    <row r="520" spans="1:5" ht="28.5" customHeight="1">
      <c r="A520" s="67" t="str">
        <f>IF(games!A520="", "", games!A520)</f>
        <v/>
      </c>
      <c r="C520" s="51" t="str">
        <f t="shared" si="20"/>
        <v/>
      </c>
      <c r="D520" s="51" t="str">
        <f t="shared" si="21"/>
        <v/>
      </c>
      <c r="E520" s="91" t="str">
        <f>IF(games!I520&lt;&gt;"", games!I520, "")</f>
        <v/>
      </c>
    </row>
    <row r="521" spans="1:5" ht="28.5" customHeight="1">
      <c r="A521" s="67" t="str">
        <f>IF(games!A521="", "", games!A521)</f>
        <v/>
      </c>
      <c r="C521" s="51" t="str">
        <f t="shared" si="20"/>
        <v/>
      </c>
      <c r="D521" s="51" t="str">
        <f t="shared" si="21"/>
        <v/>
      </c>
      <c r="E521" s="91" t="str">
        <f>IF(games!I521&lt;&gt;"", games!I521, "")</f>
        <v/>
      </c>
    </row>
    <row r="522" spans="1:5" ht="28.5" customHeight="1">
      <c r="A522" s="67" t="str">
        <f>IF(games!A522="", "", games!A522)</f>
        <v/>
      </c>
      <c r="C522" s="51" t="str">
        <f t="shared" si="20"/>
        <v/>
      </c>
      <c r="D522" s="51" t="str">
        <f t="shared" si="21"/>
        <v/>
      </c>
      <c r="E522" s="91" t="str">
        <f>IF(games!I522&lt;&gt;"", games!I522, "")</f>
        <v/>
      </c>
    </row>
    <row r="523" spans="1:5" ht="28.5" customHeight="1">
      <c r="A523" s="67" t="str">
        <f>IF(games!A523="", "", games!A523)</f>
        <v/>
      </c>
      <c r="C523" s="51" t="str">
        <f t="shared" si="20"/>
        <v/>
      </c>
      <c r="D523" s="51" t="str">
        <f t="shared" si="21"/>
        <v/>
      </c>
      <c r="E523" s="91" t="str">
        <f>IF(games!I523&lt;&gt;"", games!I523, "")</f>
        <v/>
      </c>
    </row>
    <row r="524" spans="1:5" ht="28.5" customHeight="1">
      <c r="A524" s="67" t="str">
        <f>IF(games!A524="", "", games!A524)</f>
        <v/>
      </c>
      <c r="C524" s="51" t="str">
        <f t="shared" si="20"/>
        <v/>
      </c>
      <c r="D524" s="51" t="str">
        <f t="shared" si="21"/>
        <v/>
      </c>
      <c r="E524" s="91" t="str">
        <f>IF(games!I524&lt;&gt;"", games!I524, "")</f>
        <v/>
      </c>
    </row>
    <row r="525" spans="1:5" ht="28.5" customHeight="1">
      <c r="A525" s="67" t="str">
        <f>IF(games!A525="", "", games!A525)</f>
        <v/>
      </c>
      <c r="C525" s="51" t="str">
        <f t="shared" si="20"/>
        <v/>
      </c>
      <c r="D525" s="51" t="str">
        <f t="shared" si="21"/>
        <v/>
      </c>
      <c r="E525" s="91" t="str">
        <f>IF(games!I525&lt;&gt;"", games!I525, "")</f>
        <v/>
      </c>
    </row>
    <row r="526" spans="1:5" ht="28.5" customHeight="1">
      <c r="A526" s="67" t="str">
        <f>IF(games!A526="", "", games!A526)</f>
        <v/>
      </c>
      <c r="C526" s="51" t="str">
        <f t="shared" si="20"/>
        <v/>
      </c>
      <c r="D526" s="51" t="str">
        <f t="shared" si="21"/>
        <v/>
      </c>
      <c r="E526" s="91" t="str">
        <f>IF(games!I526&lt;&gt;"", games!I526, "")</f>
        <v/>
      </c>
    </row>
    <row r="527" spans="1:5" ht="28.5" customHeight="1">
      <c r="A527" s="67" t="str">
        <f>IF(games!A527="", "", games!A527)</f>
        <v/>
      </c>
      <c r="C527" s="51" t="str">
        <f t="shared" si="20"/>
        <v/>
      </c>
      <c r="D527" s="51" t="str">
        <f t="shared" si="21"/>
        <v/>
      </c>
      <c r="E527" s="91" t="str">
        <f>IF(games!I527&lt;&gt;"", games!I527, "")</f>
        <v/>
      </c>
    </row>
    <row r="528" spans="1:5" ht="28.5" customHeight="1">
      <c r="A528" s="67" t="str">
        <f>IF(games!A528="", "", games!A528)</f>
        <v/>
      </c>
      <c r="C528" s="51" t="str">
        <f t="shared" si="20"/>
        <v/>
      </c>
      <c r="D528" s="51" t="str">
        <f t="shared" si="21"/>
        <v/>
      </c>
      <c r="E528" s="91" t="str">
        <f>IF(games!I528&lt;&gt;"", games!I528, "")</f>
        <v/>
      </c>
    </row>
    <row r="529" spans="1:5" ht="28.5" customHeight="1">
      <c r="A529" s="67" t="str">
        <f>IF(games!A529="", "", games!A529)</f>
        <v/>
      </c>
      <c r="C529" s="51" t="str">
        <f t="shared" si="20"/>
        <v/>
      </c>
      <c r="D529" s="51" t="str">
        <f t="shared" si="21"/>
        <v/>
      </c>
      <c r="E529" s="91" t="str">
        <f>IF(games!I529&lt;&gt;"", games!I529, "")</f>
        <v/>
      </c>
    </row>
    <row r="530" spans="1:5" ht="28.5" customHeight="1">
      <c r="A530" s="67" t="str">
        <f>IF(games!A530="", "", games!A530)</f>
        <v/>
      </c>
      <c r="C530" s="51" t="str">
        <f t="shared" si="20"/>
        <v/>
      </c>
      <c r="D530" s="51" t="str">
        <f t="shared" si="21"/>
        <v/>
      </c>
      <c r="E530" s="91" t="str">
        <f>IF(games!I530&lt;&gt;"", games!I530, "")</f>
        <v/>
      </c>
    </row>
    <row r="531" spans="1:5" ht="28.5" customHeight="1">
      <c r="A531" s="67" t="str">
        <f>IF(games!A531="", "", games!A531)</f>
        <v/>
      </c>
      <c r="C531" s="51" t="str">
        <f t="shared" si="20"/>
        <v/>
      </c>
      <c r="D531" s="51" t="str">
        <f t="shared" si="21"/>
        <v/>
      </c>
      <c r="E531" s="91" t="str">
        <f>IF(games!I531&lt;&gt;"", games!I531, "")</f>
        <v/>
      </c>
    </row>
    <row r="532" spans="1:5" ht="28.5" customHeight="1">
      <c r="A532" s="67" t="str">
        <f>IF(games!A532="", "", games!A532)</f>
        <v/>
      </c>
      <c r="C532" s="51" t="str">
        <f t="shared" si="20"/>
        <v/>
      </c>
      <c r="D532" s="51" t="str">
        <f t="shared" si="21"/>
        <v/>
      </c>
      <c r="E532" s="91" t="str">
        <f>IF(games!I532&lt;&gt;"", games!I532, "")</f>
        <v/>
      </c>
    </row>
    <row r="533" spans="1:5" ht="28.5" customHeight="1">
      <c r="A533" s="67" t="str">
        <f>IF(games!A533="", "", games!A533)</f>
        <v/>
      </c>
      <c r="C533" s="51" t="str">
        <f t="shared" si="20"/>
        <v/>
      </c>
      <c r="D533" s="51" t="str">
        <f t="shared" si="21"/>
        <v/>
      </c>
      <c r="E533" s="91" t="str">
        <f>IF(games!I533&lt;&gt;"", games!I533, "")</f>
        <v/>
      </c>
    </row>
    <row r="534" spans="1:5" ht="28.5" customHeight="1">
      <c r="A534" s="67" t="str">
        <f>IF(games!A534="", "", games!A534)</f>
        <v/>
      </c>
      <c r="C534" s="51" t="str">
        <f t="shared" si="20"/>
        <v/>
      </c>
      <c r="D534" s="51" t="str">
        <f t="shared" si="21"/>
        <v/>
      </c>
      <c r="E534" s="91" t="str">
        <f>IF(games!I534&lt;&gt;"", games!I534, "")</f>
        <v/>
      </c>
    </row>
    <row r="535" spans="1:5" ht="28.5" customHeight="1">
      <c r="A535" s="67" t="str">
        <f>IF(games!A535="", "", games!A535)</f>
        <v/>
      </c>
      <c r="C535" s="51" t="str">
        <f t="shared" si="20"/>
        <v/>
      </c>
      <c r="D535" s="51" t="str">
        <f t="shared" si="21"/>
        <v/>
      </c>
      <c r="E535" s="91" t="str">
        <f>IF(games!I535&lt;&gt;"", games!I535, "")</f>
        <v/>
      </c>
    </row>
    <row r="536" spans="1:5" ht="28.5" customHeight="1">
      <c r="A536" s="67" t="str">
        <f>IF(games!A536="", "", games!A536)</f>
        <v/>
      </c>
      <c r="C536" s="51" t="str">
        <f t="shared" si="20"/>
        <v/>
      </c>
      <c r="D536" s="51" t="str">
        <f t="shared" si="21"/>
        <v/>
      </c>
      <c r="E536" s="91" t="str">
        <f>IF(games!I536&lt;&gt;"", games!I536, "")</f>
        <v/>
      </c>
    </row>
    <row r="537" spans="1:5" ht="28.5" customHeight="1">
      <c r="A537" s="67" t="str">
        <f>IF(games!A537="", "", games!A537)</f>
        <v/>
      </c>
      <c r="C537" s="51" t="str">
        <f t="shared" si="20"/>
        <v/>
      </c>
      <c r="D537" s="51" t="str">
        <f t="shared" si="21"/>
        <v/>
      </c>
      <c r="E537" s="91" t="str">
        <f>IF(games!I537&lt;&gt;"", games!I537, "")</f>
        <v/>
      </c>
    </row>
    <row r="538" spans="1:5" ht="28.5" customHeight="1">
      <c r="A538" s="67" t="str">
        <f>IF(games!A538="", "", games!A538)</f>
        <v/>
      </c>
      <c r="C538" s="51" t="str">
        <f t="shared" si="20"/>
        <v/>
      </c>
      <c r="D538" s="51" t="str">
        <f t="shared" si="21"/>
        <v/>
      </c>
      <c r="E538" s="91" t="str">
        <f>IF(games!I538&lt;&gt;"", games!I538, "")</f>
        <v/>
      </c>
    </row>
    <row r="539" spans="1:5" ht="28.5" customHeight="1">
      <c r="A539" s="67" t="str">
        <f>IF(games!A539="", "", games!A539)</f>
        <v/>
      </c>
      <c r="C539" s="51" t="str">
        <f t="shared" si="20"/>
        <v/>
      </c>
      <c r="D539" s="51" t="str">
        <f t="shared" si="21"/>
        <v/>
      </c>
      <c r="E539" s="91" t="str">
        <f>IF(games!I539&lt;&gt;"", games!I539, "")</f>
        <v/>
      </c>
    </row>
    <row r="540" spans="1:5" ht="28.5" customHeight="1">
      <c r="A540" s="67" t="str">
        <f>IF(games!A540="", "", games!A540)</f>
        <v/>
      </c>
      <c r="C540" s="51" t="str">
        <f t="shared" si="20"/>
        <v/>
      </c>
      <c r="D540" s="51" t="str">
        <f t="shared" si="21"/>
        <v/>
      </c>
      <c r="E540" s="91" t="str">
        <f>IF(games!I540&lt;&gt;"", games!I540, "")</f>
        <v/>
      </c>
    </row>
    <row r="541" spans="1:5" ht="28.5" customHeight="1">
      <c r="A541" s="67" t="str">
        <f>IF(games!A541="", "", games!A541)</f>
        <v/>
      </c>
      <c r="C541" s="51" t="str">
        <f t="shared" si="20"/>
        <v/>
      </c>
      <c r="D541" s="51" t="str">
        <f t="shared" si="21"/>
        <v/>
      </c>
      <c r="E541" s="91" t="str">
        <f>IF(games!I541&lt;&gt;"", games!I541, "")</f>
        <v/>
      </c>
    </row>
    <row r="542" spans="1:5" ht="28.5" customHeight="1">
      <c r="A542" s="67" t="str">
        <f>IF(games!A542="", "", games!A542)</f>
        <v/>
      </c>
      <c r="C542" s="51" t="str">
        <f t="shared" si="20"/>
        <v/>
      </c>
      <c r="D542" s="51" t="str">
        <f t="shared" si="21"/>
        <v/>
      </c>
      <c r="E542" s="91" t="str">
        <f>IF(games!I542&lt;&gt;"", games!I542, "")</f>
        <v/>
      </c>
    </row>
    <row r="543" spans="1:5" ht="28.5" customHeight="1">
      <c r="A543" s="67" t="str">
        <f>IF(games!A543="", "", games!A543)</f>
        <v/>
      </c>
      <c r="C543" s="51" t="str">
        <f t="shared" si="20"/>
        <v/>
      </c>
      <c r="D543" s="51" t="str">
        <f t="shared" si="21"/>
        <v/>
      </c>
      <c r="E543" s="91" t="str">
        <f>IF(games!I543&lt;&gt;"", games!I543, "")</f>
        <v/>
      </c>
    </row>
    <row r="544" spans="1:5" ht="28.5" customHeight="1">
      <c r="A544" s="67" t="str">
        <f>IF(games!A544="", "", games!A544)</f>
        <v/>
      </c>
      <c r="C544" s="51" t="str">
        <f t="shared" si="20"/>
        <v/>
      </c>
      <c r="D544" s="51" t="str">
        <f t="shared" si="21"/>
        <v/>
      </c>
      <c r="E544" s="91" t="str">
        <f>IF(games!I544&lt;&gt;"", games!I544, "")</f>
        <v/>
      </c>
    </row>
    <row r="545" spans="1:5" ht="28.5" customHeight="1">
      <c r="A545" s="67" t="str">
        <f>IF(games!A545="", "", games!A545)</f>
        <v/>
      </c>
      <c r="C545" s="51" t="str">
        <f t="shared" ref="C545:C580" si="22">IF(A545="","", "giftcodesbanner/" &amp; A545 &amp; "-禮包碼.jpg")</f>
        <v/>
      </c>
      <c r="D545" s="51" t="str">
        <f t="shared" ref="D545:D580" si="23">IF(A545="","", "https://www.ssbuy.tw/gift-codes.html?game="&amp;A545)</f>
        <v/>
      </c>
      <c r="E545" s="91" t="str">
        <f>IF(games!I545&lt;&gt;"", games!I545, "")</f>
        <v/>
      </c>
    </row>
    <row r="546" spans="1:5" ht="28.5" customHeight="1">
      <c r="A546" s="67" t="str">
        <f>IF(games!A546="", "", games!A546)</f>
        <v/>
      </c>
      <c r="C546" s="51" t="str">
        <f t="shared" si="22"/>
        <v/>
      </c>
      <c r="D546" s="51" t="str">
        <f t="shared" si="23"/>
        <v/>
      </c>
      <c r="E546" s="91" t="str">
        <f>IF(games!I546&lt;&gt;"", games!I546, "")</f>
        <v/>
      </c>
    </row>
    <row r="547" spans="1:5" ht="28.5" customHeight="1">
      <c r="A547" s="67" t="str">
        <f>IF(games!A547="", "", games!A547)</f>
        <v/>
      </c>
      <c r="C547" s="51" t="str">
        <f t="shared" si="22"/>
        <v/>
      </c>
      <c r="D547" s="51" t="str">
        <f t="shared" si="23"/>
        <v/>
      </c>
      <c r="E547" s="91" t="str">
        <f>IF(games!I547&lt;&gt;"", games!I547, "")</f>
        <v/>
      </c>
    </row>
    <row r="548" spans="1:5" ht="28.5" customHeight="1">
      <c r="A548" s="67" t="str">
        <f>IF(games!A548="", "", games!A548)</f>
        <v/>
      </c>
      <c r="C548" s="51" t="str">
        <f t="shared" si="22"/>
        <v/>
      </c>
      <c r="D548" s="51" t="str">
        <f t="shared" si="23"/>
        <v/>
      </c>
      <c r="E548" s="91" t="str">
        <f>IF(games!I548&lt;&gt;"", games!I548, "")</f>
        <v/>
      </c>
    </row>
    <row r="549" spans="1:5" ht="28.5" customHeight="1">
      <c r="A549" s="67" t="str">
        <f>IF(games!A549="", "", games!A549)</f>
        <v/>
      </c>
      <c r="C549" s="51" t="str">
        <f t="shared" si="22"/>
        <v/>
      </c>
      <c r="D549" s="51" t="str">
        <f t="shared" si="23"/>
        <v/>
      </c>
      <c r="E549" s="91" t="str">
        <f>IF(games!I549&lt;&gt;"", games!I549, "")</f>
        <v/>
      </c>
    </row>
    <row r="550" spans="1:5" ht="28.5" customHeight="1">
      <c r="A550" s="67" t="str">
        <f>IF(games!A550="", "", games!A550)</f>
        <v/>
      </c>
      <c r="C550" s="51" t="str">
        <f t="shared" si="22"/>
        <v/>
      </c>
      <c r="D550" s="51" t="str">
        <f t="shared" si="23"/>
        <v/>
      </c>
      <c r="E550" s="91" t="str">
        <f>IF(games!I550&lt;&gt;"", games!I550, "")</f>
        <v/>
      </c>
    </row>
    <row r="551" spans="1:5" ht="28.5" customHeight="1">
      <c r="A551" s="67" t="str">
        <f>IF(games!A551="", "", games!A551)</f>
        <v/>
      </c>
      <c r="C551" s="51" t="str">
        <f t="shared" si="22"/>
        <v/>
      </c>
      <c r="D551" s="51" t="str">
        <f t="shared" si="23"/>
        <v/>
      </c>
      <c r="E551" s="91" t="str">
        <f>IF(games!I551&lt;&gt;"", games!I551, "")</f>
        <v/>
      </c>
    </row>
    <row r="552" spans="1:5" ht="28.5" customHeight="1">
      <c r="A552" s="67" t="str">
        <f>IF(games!A552="", "", games!A552)</f>
        <v/>
      </c>
      <c r="C552" s="51" t="str">
        <f t="shared" si="22"/>
        <v/>
      </c>
      <c r="D552" s="51" t="str">
        <f t="shared" si="23"/>
        <v/>
      </c>
      <c r="E552" s="91" t="str">
        <f>IF(games!I552&lt;&gt;"", games!I552, "")</f>
        <v/>
      </c>
    </row>
    <row r="553" spans="1:5" ht="28.5" customHeight="1">
      <c r="A553" s="67" t="str">
        <f>IF(games!A553="", "", games!A553)</f>
        <v/>
      </c>
      <c r="C553" s="51" t="str">
        <f t="shared" si="22"/>
        <v/>
      </c>
      <c r="D553" s="51" t="str">
        <f t="shared" si="23"/>
        <v/>
      </c>
      <c r="E553" s="91" t="str">
        <f>IF(games!I553&lt;&gt;"", games!I553, "")</f>
        <v/>
      </c>
    </row>
    <row r="554" spans="1:5" ht="28.5" customHeight="1">
      <c r="A554" s="67" t="str">
        <f>IF(games!A554="", "", games!A554)</f>
        <v/>
      </c>
      <c r="C554" s="51" t="str">
        <f t="shared" si="22"/>
        <v/>
      </c>
      <c r="D554" s="51" t="str">
        <f t="shared" si="23"/>
        <v/>
      </c>
      <c r="E554" s="91" t="str">
        <f>IF(games!I554&lt;&gt;"", games!I554, "")</f>
        <v/>
      </c>
    </row>
    <row r="555" spans="1:5" ht="28.5" customHeight="1">
      <c r="A555" s="67" t="str">
        <f>IF(games!A555="", "", games!A555)</f>
        <v/>
      </c>
      <c r="C555" s="51" t="str">
        <f t="shared" si="22"/>
        <v/>
      </c>
      <c r="D555" s="51" t="str">
        <f t="shared" si="23"/>
        <v/>
      </c>
      <c r="E555" s="91" t="str">
        <f>IF(games!I555&lt;&gt;"", games!I555, "")</f>
        <v/>
      </c>
    </row>
    <row r="556" spans="1:5" ht="28.5" customHeight="1">
      <c r="A556" s="67" t="str">
        <f>IF(games!A556="", "", games!A556)</f>
        <v/>
      </c>
      <c r="C556" s="51" t="str">
        <f t="shared" si="22"/>
        <v/>
      </c>
      <c r="D556" s="51" t="str">
        <f t="shared" si="23"/>
        <v/>
      </c>
      <c r="E556" s="91" t="str">
        <f>IF(games!I556&lt;&gt;"", games!I556, "")</f>
        <v/>
      </c>
    </row>
    <row r="557" spans="1:5" ht="28.5" customHeight="1">
      <c r="A557" s="67" t="str">
        <f>IF(games!A557="", "", games!A557)</f>
        <v/>
      </c>
      <c r="C557" s="51" t="str">
        <f t="shared" si="22"/>
        <v/>
      </c>
      <c r="D557" s="51" t="str">
        <f t="shared" si="23"/>
        <v/>
      </c>
      <c r="E557" s="91" t="str">
        <f>IF(games!I557&lt;&gt;"", games!I557, "")</f>
        <v/>
      </c>
    </row>
    <row r="558" spans="1:5" ht="28.5" customHeight="1">
      <c r="A558" s="67" t="str">
        <f>IF(games!A558="", "", games!A558)</f>
        <v/>
      </c>
      <c r="C558" s="51" t="str">
        <f t="shared" si="22"/>
        <v/>
      </c>
      <c r="D558" s="51" t="str">
        <f t="shared" si="23"/>
        <v/>
      </c>
      <c r="E558" s="91" t="str">
        <f>IF(games!I558&lt;&gt;"", games!I558, "")</f>
        <v/>
      </c>
    </row>
    <row r="559" spans="1:5" ht="28.5" customHeight="1">
      <c r="A559" s="67" t="str">
        <f>IF(games!A559="", "", games!A559)</f>
        <v/>
      </c>
      <c r="C559" s="51" t="str">
        <f t="shared" si="22"/>
        <v/>
      </c>
      <c r="D559" s="51" t="str">
        <f t="shared" si="23"/>
        <v/>
      </c>
      <c r="E559" s="91" t="str">
        <f>IF(games!I559&lt;&gt;"", games!I559, "")</f>
        <v/>
      </c>
    </row>
    <row r="560" spans="1:5"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ht="28.5" customHeight="1">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c r="C580" s="51" t="str">
        <f t="shared" si="22"/>
        <v/>
      </c>
      <c r="D580" s="51" t="str">
        <f t="shared" si="23"/>
        <v/>
      </c>
      <c r="E580" s="91" t="str">
        <f>IF(games!I580&lt;&gt;"", games!I580, "")</f>
        <v/>
      </c>
    </row>
    <row r="581" spans="1:5">
      <c r="A581" s="67" t="str">
        <f>IF(games!A581="", "", games!A581)</f>
        <v/>
      </c>
    </row>
    <row r="582" spans="1:5">
      <c r="A582" s="67"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s>
  <pageMargins left="0.7" right="0.7" top="0.75" bottom="0.75" header="0.3" footer="0.3"/>
  <pageSetup paperSize="9" orientation="portrait" r:id="rId24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2026-06-10T09:31:21Z</dcterms:modified>
</cp:coreProperties>
</file>