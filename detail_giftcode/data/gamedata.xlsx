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<sst xmlns="http://schemas.openxmlformats.org/spreadsheetml/2006/main" count="7379" uniqueCount="5046">
  <si>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</si>
  <si>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</si>
  <si>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</si>
  <si>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</si>
  <si>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</si>
  <si>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</si>
  <si>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</si>
  <si>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</si>
  <si>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</si>
  <si>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</si>
  <si>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</si>
  <si>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</si>
  <si>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</si>
  <si>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</si>
  <si>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</si>
  <si>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</si>
  <si>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</si>
  <si>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</si>
  <si>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</si>
  <si>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</si>
  <si>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</si>
  <si>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</si>
  <si>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</si>
  <si>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</si>
  <si>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</si>
  <si>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</si>
  <si>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</si>
  <si>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</si>
  <si>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</si>
  <si>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</si>
  <si>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</si>
  <si>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</si>
  <si>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</si>
  <si>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</si>
  <si>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</si>
  <si>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</si>
  <si>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</si>
  <si>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</si>
  <si>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</si>
  <si>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</si>
  <si>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</si>
  <si>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</si>
  <si>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</si>
  <si>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</si>
  <si>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</si>
  <si>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</si>
  <si>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</si>
  <si>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</si>
  <si>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</si>
  <si>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</si>
  <si>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</si>
  <si>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</si>
  <si>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</si>
  <si>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</si>
  <si>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</si>
  <si>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</si>
  <si>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</si>
  <si>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</si>
  <si>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</si>
  <si>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</si>
  <si>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</si>
  <si>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</si>
  <si>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</si>
  <si>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</si>
  <si>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</si>
  <si>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</si>
  <si>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</si>
  <si>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</si>
  <si>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</si>
  <si>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</si>
  <si>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</si>
  <si>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</si>
  <si>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</si>
  <si>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</si>
  <si>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</si>
  <si>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</si>
  <si>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</si>
  <si>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</si>
  <si>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</si>
  <si>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</si>
  <si>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</si>
  <si>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</si>
  <si>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</si>
  <si>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</si>
  <si>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</si>
  <si>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</si>
  <si>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</si>
  <si>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</si>
  <si>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</si>
  <si>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</si>
  <si>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</si>
  <si>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</si>
  <si>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</si>
  <si>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</si>
  <si>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</si>
  <si>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</si>
  <si>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</si>
  <si>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</si>
  <si>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</si>
  <si>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</si>
  <si>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</si>
  <si>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</si>
  <si>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</si>
  <si>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</si>
  <si>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</si>
  <si>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</si>
  <si>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</si>
  <si>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</si>
  <si>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</si>
  <si>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</si>
  <si>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</si>
  <si>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</si>
  <si>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</si>
  <si>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</si>
  <si>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</si>
  <si>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</si>
  <si>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</si>
  <si>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</si>
  <si>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</si>
  <si>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</si>
  <si>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</si>
  <si>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</si>
  <si>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</si>
  <si>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</si>
  <si>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</si>
  <si>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</si>
  <si>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</si>
  <si>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</si>
  <si>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</si>
  <si>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</si>
  <si>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</si>
  <si>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</si>
  <si>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</si>
  <si>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</si>
  <si>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</si>
  <si>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</si>
  <si>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</si>
  <si>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</si>
  <si>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</si>
  <si>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</si>
  <si>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</si>
  <si>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</si>
  <si>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</si>
  <si>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</si>
  <si>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</si>
  <si>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</si>
  <si>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</si>
  <si>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</si>
  <si>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</si>
  <si>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</si>
  <si>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</si>
  <si>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</si>
  <si>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</si>
  <si>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</si>
  <si>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</si>
  <si>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</si>
  <si>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</si>
  <si>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</si>
  <si>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</si>
  <si>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</si>
  <si>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</si>
  <si>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</si>
  <si>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</si>
  <si>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</si>
  <si>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</si>
  <si>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</si>
  <si>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</si>
  <si>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</si>
  <si>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</si>
  <si>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</si>
  <si>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</si>
  <si>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</si>
  <si>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</si>
  <si>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</si>
  <si>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</si>
  <si>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</si>
  <si>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</si>
  <si>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</si>
  <si>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</si>
  <si>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</si>
  <si>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</si>
  <si>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</si>
  <si>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</si>
  <si>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</si>
  <si>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</si>
  <si>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</si>
  <si>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</si>
  <si>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</si>
  <si>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</si>
  <si>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</si>
  <si>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</si>
  <si>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</si>
  <si>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</si>
  <si>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</si>
  <si>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</si>
  <si>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</si>
  <si>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</si>
  <si>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</si>
  <si>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</si>
  <si>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</si>
  <si>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</si>
  <si>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</si>
  <si>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</si>
  <si>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</si>
  <si>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</si>
  <si>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</si>
  <si>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</si>
  <si>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</si>
  <si>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</si>
  <si>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</si>
  <si>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</si>
  <si>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</si>
  <si>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</si>
  <si>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</si>
  <si>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</si>
  <si>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</si>
  <si>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</si>
  <si>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</si>
  <si>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</si>
  <si>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</si>
  <si>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</si>
  <si>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</si>
  <si>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</si>
  <si>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</si>
  <si>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</si>
  <si>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</si>
  <si>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</si>
  <si>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</si>
  <si>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</si>
  <si>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</si>
  <si>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</si>
  <si>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</si>
  <si>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</si>
  <si>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</si>
  <si>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</si>
  <si>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</si>
  <si>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</si>
  <si>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</si>
  <si>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</si>
  <si>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</si>
  <si>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</si>
  <si>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</si>
  <si>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</si>
  <si>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</si>
  <si>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</si>
  <si>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</si>
  <si>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</si>
  <si>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</si>
  <si>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</si>
  <si>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</si>
  <si>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</si>
  <si>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</si>
  <si>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</si>
  <si>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</si>
  <si>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</si>
  <si>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</si>
  <si>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</si>
  <si>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</si>
  <si>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</si>
  <si>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</si>
  <si>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</si>
  <si>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</si>
  <si>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</si>
  <si>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</si>
  <si>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</si>
  <si>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</si>
  <si>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</si>
  <si>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</si>
  <si>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</si>
  <si>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</si>
  <si>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</si>
  <si>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</si>
  <si>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</si>
  <si>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</si>
  <si>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</si>
  <si>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</si>
  <si>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</si>
  <si>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</si>
  <si>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</si>
  <si>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</si>
  <si>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</si>
  <si>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</si>
  <si>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</si>
  <si>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</si>
  <si>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</si>
  <si>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</si>
  <si>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</si>
  <si>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</si>
  <si>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</si>
  <si>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</si>
  <si>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</si>
  <si>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</si>
  <si>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</si>
  <si>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</si>
  <si>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</si>
  <si>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</si>
  <si>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</si>
  <si>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</si>
  <si>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</si>
  <si>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</si>
  <si>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</si>
  <si>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</si>
  <si>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</si>
  <si>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</si>
  <si>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</si>
  <si>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</si>
  <si>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</si>
  <si>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</si>
  <si>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</si>
  <si>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</si>
  <si>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</si>
  <si>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</si>
  <si>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</si>
  <si>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</si>
  <si>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</si>
  <si>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</si>
  <si>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</si>
  <si>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</si>
  <si>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</si>
  <si>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</si>
  <si>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</si>
  <si>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</si>
  <si>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</si>
  <si>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</si>
  <si>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</si>
  <si>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</si>
  <si>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</si>
  <si>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</si>
  <si>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</si>
  <si>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</si>
  <si>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</si>
  <si>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</si>
  <si>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</si>
  <si>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</si>
  <si>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</si>
  <si>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</si>
  <si>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</si>
  <si>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</si>
  <si>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</si>
  <si>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</si>
  <si>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</si>
  <si>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</si>
  <si>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</si>
  <si>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</si>
  <si>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</si>
  <si>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</si>
  <si>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</si>
  <si>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</si>
  <si>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</si>
  <si>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</si>
  <si>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</si>
  <si>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</si>
  <si>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</si>
  <si>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</si>
  <si>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</si>
  <si>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</si>
  <si>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</si>
  <si>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</si>
  <si>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</si>
  <si>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</si>
  <si>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</si>
  <si>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</si>
  <si>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</si>
  <si>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</si>
  <si>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</si>
  <si>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</si>
  <si>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</si>
  <si>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</si>
  <si>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</si>
  <si>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</si>
  <si>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</si>
  <si>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</si>
  <si>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</si>
  <si>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</si>
  <si>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</si>
  <si>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</si>
  <si>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</si>
  <si>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</si>
  <si>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</si>
  <si>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</si>
  <si>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</si>
  <si>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</si>
  <si>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</si>
  <si>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</si>
  <si>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</si>
  <si>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</si>
  <si>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</si>
  <si>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</si>
  <si>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</si>
  <si>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</si>
  <si>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</si>
  <si>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</si>
  <si>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</si>
  <si>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</si>
  <si>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</si>
  <si>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</si>
  <si>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</si>
  <si>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</si>
  <si>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</si>
  <si>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</si>
  <si>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</si>
  <si>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</si>
  <si>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</si>
  <si>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</si>
  <si>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</si>
  <si>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</si>
  <si>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</si>
  <si>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</si>
  <si>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</si>
  <si>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</si>
  <si>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</si>
  <si>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</si>
  <si>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</si>
  <si>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</si>
  <si>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</si>
  <si>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</si>
  <si>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</si>
  <si>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</si>
  <si>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</si>
  <si>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</si>
  <si>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</si>
  <si>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</si>
  <si>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</si>
  <si>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</si>
  <si>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</si>
  <si>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</si>
  <si>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</si>
  <si>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</si>
  <si>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</si>
  <si>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</si>
  <si>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</si>
  <si>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</si>
  <si>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</si>
  <si>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</si>
  <si>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</si>
  <si>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</si>
  <si>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</si>
  <si>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</si>
  <si>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</si>
  <si>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</si>
  <si>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</si>
  <si>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</si>
  <si>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</si>
  <si>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</si>
  <si>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</si>
  <si>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</si>
  <si>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</si>
  <si>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</si>
  <si>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</si>
  <si>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</si>
  <si>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</si>
  <si>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</si>
  <si>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</si>
  <si>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</si>
  <si>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</si>
  <si>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</si>
  <si>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</si>
  <si>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</si>
  <si>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</si>
  <si>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</si>
  <si>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</si>
  <si>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</si>
  <si>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</si>
  <si>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</si>
  <si>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</si>
  <si>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</si>
  <si>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</si>
  <si>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</si>
  <si>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</si>
  <si>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</si>
  <si>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</si>
  <si>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</si>
  <si>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</si>
  <si>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</si>
  <si>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</si>
  <si>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</si>
  <si>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</si>
  <si>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</si>
  <si>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</si>
  <si>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</si>
  <si>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</si>
  <si>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</si>
  <si>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</si>
  <si>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</si>
  <si>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</si>
  <si>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</si>
  <si>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</si>
  <si>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</si>
  <si>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</si>
  <si>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</si>
  <si>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</si>
  <si>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</si>
  <si>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</si>
  <si>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</si>
  <si>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</si>
  <si>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</si>
  <si>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</si>
  <si>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</si>
  <si>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</si>
  <si>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</si>
  <si>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</si>
  <si>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</si>
  <si>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</si>
  <si>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</si>
  <si>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</si>
  <si>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</si>
  <si>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</si>
  <si>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</si>
  <si>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</si>
  <si>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</si>
  <si>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</si>
  <si>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</si>
  <si>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</si>
  <si>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</si>
  <si>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</si>
  <si>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</si>
  <si>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</si>
  <si>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</si>
  <si>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</si>
  <si>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</si>
  <si>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</si>
  <si>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</si>
  <si>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</si>
  <si>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</si>
  <si>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</si>
  <si>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</si>
  <si>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</si>
  <si>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</si>
  <si>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</si>
  <si>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</si>
  <si>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</si>
  <si>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</si>
  <si>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</si>
  <si>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</si>
  <si>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</si>
  <si>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</si>
  <si>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</si>
  <si>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</si>
  <si>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</si>
  <si>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</si>
  <si>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</si>
  <si>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</si>
  <si>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</si>
  <si>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</si>
  <si>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</si>
  <si>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</si>
  <si>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</si>
  <si>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</si>
  <si>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</si>
  <si>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</si>
  <si>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</si>
  <si>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</si>
  <si>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</si>
  <si>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</si>
  <si>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</si>
  <si>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</si>
  <si>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</si>
  <si>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</si>
  <si>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</si>
  <si>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</si>
  <si>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</si>
  <si>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</si>
  <si>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</si>
  <si>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</si>
  <si>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</si>
  <si>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</si>
  <si>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</si>
  <si>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</si>
  <si>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</si>
  <si>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</si>
  <si>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</si>
  <si>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</si>
  <si>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</si>
  <si>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</si>
  <si>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</si>
  <si>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</si>
  <si>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</si>
  <si>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</si>
  <si>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</si>
  <si>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</si>
  <si>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</si>
  <si>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</si>
  <si>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</si>
  <si>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</si>
  <si>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</si>
  <si>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</si>
  <si>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</si>
  <si>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</si>
  <si>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</si>
  <si>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</si>
  <si>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</si>
  <si>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</si>
  <si>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</si>
  <si>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</si>
  <si>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</si>
  <si>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</si>
  <si>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</si>
  <si>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</si>
  <si>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</si>
  <si>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</si>
  <si>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</si>
  <si>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</si>
  <si>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</si>
  <si>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</si>
  <si>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</si>
  <si>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</si>
  <si>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</si>
  <si>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</si>
  <si>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</si>
  <si>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</si>
  <si>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</si>
  <si>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</si>
  <si>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</si>
  <si>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</si>
  <si>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</si>
  <si>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</si>
  <si>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</si>
  <si>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</si>
  <si>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</si>
  <si>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</si>
  <si>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</si>
  <si>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</si>
  <si>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</si>
  <si>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</si>
  <si>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</si>
  <si>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</si>
  <si>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</si>
  <si>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</si>
  <si>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</si>
  <si>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</si>
  <si>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</si>
  <si>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</si>
  <si>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</si>
  <si>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</si>
  <si>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</si>
  <si>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</si>
  <si>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</si>
  <si>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</si>
  <si>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</si>
  <si>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</si>
  <si>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</si>
  <si>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</si>
  <si>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</si>
  <si>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</si>
  <si>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</si>
  <si>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</si>
  <si>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</si>
  <si>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</si>
  <si>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</si>
  <si>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</si>
  <si>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</si>
  <si>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</si>
  <si>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</si>
  <si>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</si>
  <si>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</si>
  <si>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</si>
  <si>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</si>
  <si>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</si>
  <si>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</si>
  <si>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</si>
  <si>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</si>
  <si>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</si>
  <si>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</si>
  <si>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</si>
  <si>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</si>
  <si>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</si>
  <si>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</si>
  <si>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</si>
  <si>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</si>
  <si>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</si>
  <si>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</si>
  <si>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</si>
  <si>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</si>
  <si>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</si>
  <si>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</si>
  <si>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</si>
  <si>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</si>
  <si>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</si>
  <si>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</si>
  <si>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</si>
  <si>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</si>
  <si>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</si>
  <si>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</si>
  <si>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</si>
  <si>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</si>
  <si>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</si>
  <si>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</si>
  <si>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</si>
  <si>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</si>
  <si>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</si>
  <si>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</si>
  <si>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</si>
  <si>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</si>
  <si>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</si>
  <si>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</si>
  <si>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</si>
  <si>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</si>
  <si>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</si>
  <si>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</si>
  <si>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</si>
  <si>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</si>
  <si>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</si>
  <si>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</si>
  <si>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</si>
  <si>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</si>
  <si>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</si>
  <si>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</si>
  <si>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</si>
  <si>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</si>
  <si>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</si>
  <si>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</si>
  <si>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</si>
  <si>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</si>
  <si>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</si>
  <si>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</si>
  <si>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</si>
  <si>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</si>
  <si>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</si>
  <si>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</si>
  <si>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</si>
  <si>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</si>
  <si>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</si>
  <si>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</si>
  <si>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</si>
  <si>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</si>
  <si>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</si>
  <si>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</si>
  <si>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</si>
  <si>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</si>
  <si>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</si>
  <si>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</si>
  <si>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</si>
  <si>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</si>
  <si>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</si>
  <si>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</si>
  <si>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</si>
  <si>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</si>
  <si>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</si>
  <si>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</si>
  <si>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</si>
  <si>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</si>
  <si>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</si>
  <si>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</si>
  <si>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</si>
  <si>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</si>
  <si>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</si>
  <si>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</si>
  <si>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</si>
  <si>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</si>
  <si>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</si>
  <si>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</si>
  <si>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</si>
  <si>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</si>
  <si>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</si>
  <si>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</si>
  <si>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</si>
  <si>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</si>
  <si>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</si>
  <si>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</si>
  <si>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</si>
  <si>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</si>
  <si>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</si>
  <si>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</si>
  <si>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</si>
  <si>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</si>
  <si>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</si>
  <si>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</si>
  <si>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</si>
  <si>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</si>
  <si>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</si>
  <si>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</si>
  <si>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</si>
  <si>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</si>
  <si>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</si>
  <si>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</si>
  <si>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</si>
  <si>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</si>
  <si>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</si>
  <si>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</si>
  <si>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</si>
  <si>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</si>
  <si>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</si>
  <si>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</si>
  <si>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</si>
  <si>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</si>
  <si>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</si>
  <si>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</si>
  <si>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</si>
  <si>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</si>
  <si>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</si>
  <si>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</si>
  <si>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</si>
  <si>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</si>
  <si>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</si>
  <si>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</si>
  <si>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</si>
  <si>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</si>
  <si>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</si>
  <si>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</si>
  <si>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</si>
  <si>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</si>
  <si>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</si>
  <si>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</si>
  <si>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</si>
  <si>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</si>
  <si>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</si>
  <si>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</si>
  <si>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</si>
  <si>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</si>
  <si>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</si>
  <si>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</si>
  <si>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</si>
  <si>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</si>
  <si>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</si>
  <si>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</si>
  <si>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</si>
  <si>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</si>
  <si>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</si>
  <si>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</si>
  <si>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</si>
  <si>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</si>
  <si>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</si>
  <si>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</si>
  <si>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</si>
  <si>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</si>
  <si>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</si>
  <si>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</si>
  <si>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</si>
  <si>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</si>
  <si>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</si>
  <si>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</si>
  <si>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</si>
  <si>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</si>
  <si>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</si>
  <si>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</si>
  <si>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</si>
  <si>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</si>
  <si>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</si>
  <si>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</si>
  <si>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</si>
  <si>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</si>
  <si>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</si>
  <si>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</si>
  <si>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</si>
  <si>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</si>
  <si>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</si>
  <si>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</si>
  <si>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</si>
  <si>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</si>
  <si>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</si>
  <si>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</si>
  <si>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</si>
  <si>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</si>
  <si>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</si>
  <si>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</si>
  <si>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</si>
  <si>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</si>
  <si>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</si>
  <si>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</si>
  <si>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</si>
  <si>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</si>
  <si>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</si>
  <si>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</si>
  <si>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</si>
  <si>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</si>
  <si>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</si>
  <si>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</si>
  <si>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</si>
  <si>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</si>
  <si>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</si>
  <si>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</si>
  <si>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</si>
  <si>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</si>
  <si>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</si>
  <si>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</si>
  <si>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</si>
  <si>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</si>
  <si>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</si>
  <si>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</si>
  <si>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</si>
  <si>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</si>
  <si>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</si>
  <si>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</si>
  <si>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</si>
  <si>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</si>
  <si>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</si>
  <si>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</si>
  <si>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</si>
  <si>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</si>
  <si>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</si>
  <si>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</si>
  <si>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</si>
  <si>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</si>
  <si>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</si>
  <si>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</si>
  <si>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</si>
  <si>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</si>
  <si>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</si>
  <si>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</si>
  <si>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</si>
  <si>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</si>
  <si>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</si>
  <si>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</si>
  <si>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</si>
  <si>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</si>
  <si>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</si>
  <si>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</si>
  <si>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</si>
  <si>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</si>
  <si>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</si>
  <si>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</si>
  <si>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</si>
  <si>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</si>
  <si>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</si>
  <si>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</si>
  <si>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</si>
  <si>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</si>
  <si>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</si>
  <si>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</si>
  <si>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</si>
  <si>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</si>
  <si>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</si>
  <si>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</si>
  <si>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</si>
  <si>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</si>
  <si>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</si>
  <si>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</si>
  <si>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</si>
  <si>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</si>
  <si>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</si>
  <si>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</si>
  <si>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</si>
  <si>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</si>
  <si>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</si>
  <si>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</si>
  <si>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</si>
  <si>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</si>
  <si>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</si>
  <si>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</si>
  <si>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</si>
  <si>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</si>
  <si>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</si>
  <si>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</si>
  <si>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</si>
  <si>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</si>
  <si>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</si>
  <si>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</si>
  <si>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</si>
  <si>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</si>
  <si>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</si>
  <si>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</si>
  <si>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</si>
  <si>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</si>
  <si>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</si>
  <si>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</si>
  <si>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</si>
  <si>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</si>
  <si>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</si>
  <si>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</si>
  <si>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</si>
  <si>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</si>
  <si>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</si>
  <si>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</si>
  <si>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</si>
  <si>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</si>
  <si>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</si>
  <si>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</si>
  <si>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</si>
  <si>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</si>
  <si>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</si>
  <si>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</si>
  <si>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</si>
  <si>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</si>
  <si>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</si>
  <si>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</si>
  <si>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</si>
  <si>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</si>
  <si>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</si>
  <si>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</si>
  <si>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</si>
  <si>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</si>
  <si>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</si>
  <si>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</si>
  <si>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</si>
  <si>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</si>
  <si>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</si>
  <si>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</si>
  <si>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</si>
  <si>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</si>
  <si>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</si>
  <si>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</si>
  <si>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</si>
  <si>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</si>
  <si>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</si>
  <si>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</si>
  <si>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</si>
  <si>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</si>
  <si>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</si>
  <si>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</si>
  <si>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</si>
  <si>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</si>
  <si>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</si>
  <si>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</si>
  <si>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</si>
  <si>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</si>
  <si>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</si>
  <si>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</si>
  <si>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</si>
  <si>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</si>
  <si>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</si>
  <si>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</si>
  <si>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</si>
  <si>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</si>
  <si>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</si>
  <si>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</si>
  <si>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</si>
  <si>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</si>
  <si>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</si>
  <si>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</si>
  <si>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</si>
  <si>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</si>
  <si>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</si>
  <si>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</si>
  <si>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</si>
  <si>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</si>
  <si>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</si>
  <si>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</si>
  <si>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</si>
  <si>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</si>
  <si>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</si>
  <si>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</si>
  <si>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</si>
  <si>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</si>
  <si>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</si>
  <si>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</si>
  <si>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</si>
  <si>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</si>
  <si>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</si>
  <si>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</si>
  <si>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</si>
  <si>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</si>
  <si>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</si>
  <si>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</si>
  <si>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</si>
  <si>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</si>
  <si>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</si>
  <si>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</si>
  <si>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</si>
  <si>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</si>
  <si>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</si>
  <si>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</si>
  <si>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</si>
  <si>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</si>
  <si>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</si>
  <si>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</si>
  <si>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</si>
  <si>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</si>
  <si>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</si>
  <si>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</si>
  <si>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</si>
  <si>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</si>
  <si>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</si>
  <si>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</si>
  <si>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</si>
  <si>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</si>
  <si>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</si>
  <si>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</si>
  <si>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</si>
  <si>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</si>
  <si>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</si>
  <si>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</si>
  <si>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</si>
  <si>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</si>
  <si>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</si>
  <si>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</si>
  <si>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</si>
  <si>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</si>
  <si>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</si>
  <si>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</si>
  <si>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</si>
  <si>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</si>
  <si>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</si>
  <si>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</si>
  <si>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</si>
  <si>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</si>
  <si>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</si>
  <si>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</si>
  <si>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</si>
  <si>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</si>
  <si>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</si>
  <si>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</si>
  <si>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</si>
  <si>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</si>
  <si>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</si>
  <si>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</si>
  <si>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</si>
  <si>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</si>
  <si>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</si>
  <si>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</si>
  <si>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</si>
  <si>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</si>
  <si>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</si>
  <si>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</si>
  <si>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</si>
  <si>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</si>
  <si>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</si>
  <si>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</si>
  <si>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</si>
  <si>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</si>
  <si>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</si>
  <si>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</si>
  <si>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</si>
  <si>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</si>
  <si>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</si>
  <si>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</si>
  <si>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</si>
  <si>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</si>
  <si>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</si>
  <si>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</si>
  <si>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</si>
  <si>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</si>
  <si>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</si>
  <si>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</si>
  <si>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</si>
  <si>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</si>
  <si>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</si>
  <si>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</si>
  <si>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</si>
  <si>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</si>
  <si>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</si>
  <si>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</si>
  <si>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</si>
  <si>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</si>
  <si>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</si>
  <si>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</si>
  <si>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</si>
  <si>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</si>
  <si>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</si>
  <si>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</si>
  <si>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</si>
  <si>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</si>
  <si>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</si>
  <si>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</si>
  <si>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</si>
  <si>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</si>
  <si>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</si>
  <si>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</si>
  <si>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</si>
  <si>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</si>
  <si>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</si>
  <si>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</si>
  <si>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</si>
  <si>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</si>
  <si>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</si>
  <si>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</si>
  <si>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</si>
  <si>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</si>
  <si>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</si>
  <si>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</si>
  <si>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</si>
  <si>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</si>
  <si>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</si>
  <si>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</si>
  <si>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</si>
  <si>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</si>
  <si>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</si>
  <si>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</si>
  <si>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</si>
  <si>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</si>
  <si>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</si>
  <si>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</si>
  <si>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</si>
  <si>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</si>
  <si>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</si>
  <si>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</si>
  <si>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</si>
  <si>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</si>
  <si>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</si>
  <si>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</si>
  <si>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</si>
  <si>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</si>
  <si>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</si>
  <si>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</si>
  <si>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</si>
  <si>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</si>
  <si>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</si>
  <si>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</si>
  <si>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</si>
  <si>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</si>
  <si>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</si>
  <si>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</si>
  <si>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</si>
  <si>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</si>
  <si>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</si>
  <si>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</si>
  <si>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</si>
  <si>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</si>
  <si>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</si>
  <si>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</si>
  <si>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</si>
  <si>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</si>
  <si>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</si>
  <si>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</si>
  <si>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</si>
  <si>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</si>
  <si>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</si>
  <si>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</si>
  <si>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</si>
  <si>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</si>
  <si>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</si>
  <si>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</si>
  <si>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</si>
  <si>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</si>
  <si>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</si>
  <si>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</si>
  <si>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</si>
  <si>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</si>
  <si>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</si>
  <si>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</si>
  <si>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</si>
  <si>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</si>
  <si>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</si>
  <si>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</si>
  <si>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</si>
  <si>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</si>
  <si>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</si>
  <si>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</si>
  <si>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</si>
  <si>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</si>
  <si>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</si>
  <si>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</si>
  <si>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</si>
  <si>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</si>
  <si>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</si>
  <si>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</si>
  <si>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</si>
  <si>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</si>
  <si>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</si>
  <si>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</si>
  <si>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</si>
  <si>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</si>
  <si>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</si>
  <si>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</si>
  <si>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</si>
  <si>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</si>
  <si>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</si>
  <si>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</si>
  <si>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</si>
  <si>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</si>
  <si>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</si>
  <si>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</si>
  <si>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</si>
  <si>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</si>
  <si>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</si>
  <si>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</si>
  <si>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</si>
  <si>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</si>
  <si>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</si>
  <si>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</si>
  <si>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</si>
  <si>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</si>
  <si>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</si>
  <si>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</si>
  <si>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</si>
  <si>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</si>
  <si>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</si>
  <si>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</si>
  <si>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</si>
  <si>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</si>
  <si>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</si>
  <si>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</si>
  <si>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</si>
  <si>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</si>
  <si>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</si>
  <si>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</si>
  <si>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</si>
  <si>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</si>
  <si>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</si>
  <si>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</si>
  <si>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</si>
  <si>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</si>
  <si>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</si>
  <si>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</si>
  <si>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</si>
  <si>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</si>
  <si>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</si>
  <si>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</si>
  <si>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</si>
  <si>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</si>
  <si>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</si>
  <si>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</si>
  <si>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</si>
  <si>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</si>
  <si>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</si>
  <si>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</si>
  <si>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</si>
  <si>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</si>
  <si>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</si>
  <si>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</si>
  <si>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</si>
  <si>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</si>
  <si>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</si>
  <si>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</si>
  <si>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</si>
  <si>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</si>
  <si>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</si>
  <si>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</si>
  <si>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</si>
  <si>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</si>
  <si>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</si>
  <si>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</si>
  <si>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</si>
  <si>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</si>
  <si>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</si>
  <si>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</si>
  <si>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</si>
  <si>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</si>
  <si>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</si>
  <si>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</si>
  <si>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</si>
  <si>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</si>
  <si>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</si>
  <si>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</si>
  <si>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</si>
  <si>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</si>
  <si>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</si>
  <si>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</si>
  <si>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</si>
  <si>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</si>
  <si>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</si>
  <si>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</si>
  <si>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</si>
  <si>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</si>
  <si>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</si>
  <si>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</si>
  <si>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</si>
  <si>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</si>
  <si>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</si>
  <si>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</si>
  <si>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</si>
  <si>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</si>
  <si>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</si>
  <si>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</si>
  <si>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</si>
  <si>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</si>
  <si>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</si>
  <si>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</si>
  <si>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</si>
  <si>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</si>
  <si>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</si>
  <si>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</si>
  <si>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</si>
  <si>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</si>
  <si>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</si>
  <si>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</si>
  <si>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</si>
  <si>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</si>
  <si>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</si>
  <si>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</si>
  <si>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</si>
  <si>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</si>
  <si>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</si>
  <si>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</si>
  <si>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</si>
  <si>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</si>
  <si>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</si>
  <si>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</si>
  <si>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</si>
  <si>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</si>
  <si>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</si>
  <si>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</si>
  <si>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</si>
  <si>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</si>
  <si>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</si>
  <si>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</si>
  <si>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</si>
  <si>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</si>
  <si>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</si>
  <si>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</si>
  <si>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</si>
  <si>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</si>
  <si>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</si>
  <si>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</si>
  <si>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</si>
  <si>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</si>
  <si>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</si>
  <si>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</si>
  <si>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</si>
  <si>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</si>
  <si>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</si>
  <si>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</si>
  <si>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</si>
  <si>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</si>
  <si>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</si>
  <si>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</si>
  <si>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</si>
  <si>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</si>
  <si>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</si>
  <si>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</si>
  <si>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</si>
  <si>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</si>
  <si>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</si>
  <si>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</si>
  <si>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</si>
  <si>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</si>
  <si>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</si>
  <si>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</si>
  <si>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</si>
  <si>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</si>
  <si>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</si>
  <si>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</si>
  <si>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</si>
  <si>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</si>
  <si>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</si>
  <si>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</si>
  <si>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</si>
  <si>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</si>
  <si>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</si>
  <si>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</si>
  <si>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</si>
  <si>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</si>
  <si>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</si>
  <si>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</si>
  <si>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</si>
  <si>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</si>
  <si>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</si>
  <si>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</si>
  <si>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</si>
  <si>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</si>
  <si>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</si>
  <si>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</si>
  <si>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</si>
  <si>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</si>
  <si>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</si>
  <si>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</si>
  <si>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</si>
  <si>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</si>
  <si>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</si>
  <si>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</si>
  <si>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</si>
  <si>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</si>
  <si>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</si>
  <si>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</si>
  <si>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</si>
  <si>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</si>
  <si>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</si>
  <si>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</si>
  <si>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</si>
  <si>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</si>
  <si>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</si>
  <si>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</si>
  <si>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</si>
  <si>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</si>
  <si>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</si>
  <si>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</si>
  <si>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</si>
  <si>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</si>
  <si>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</si>
  <si>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</si>
  <si>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</si>
  <si>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</si>
  <si>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</si>
  <si>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</si>
  <si>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</si>
  <si>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</si>
  <si>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</si>
  <si>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</si>
  <si>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</si>
  <si>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</si>
  <si>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</si>
  <si>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</si>
  <si>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</si>
  <si>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</si>
  <si>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</si>
  <si>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</si>
  <si>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</si>
  <si>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</si>
  <si>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</si>
  <si>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</si>
  <si>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</si>
  <si>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</si>
  <si>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</si>
  <si>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</si>
  <si>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</si>
  <si>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</si>
  <si>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</si>
  <si>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</si>
  <si>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</si>
  <si>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</si>
  <si>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</si>
  <si>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</si>
  <si>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</si>
  <si>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</si>
  <si>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</si>
  <si>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</si>
  <si>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</si>
  <si>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</si>
  <si>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</si>
  <si>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</si>
  <si>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</si>
  <si>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</si>
  <si>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</si>
  <si>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</si>
  <si>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</si>
  <si>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</si>
  <si>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</si>
  <si>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</si>
  <si>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</si>
  <si>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</si>
  <si>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</si>
  <si>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</si>
  <si>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</si>
  <si>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</si>
  <si>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</si>
  <si>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</si>
  <si>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</si>
  <si>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</si>
  <si>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</si>
  <si>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</si>
  <si>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</si>
  <si>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</si>
  <si>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</si>
  <si>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</si>
  <si>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</si>
  <si>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</si>
  <si>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</si>
  <si>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</si>
  <si>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</si>
  <si>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</si>
  <si>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</si>
  <si>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</si>
  <si>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</si>
  <si>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</si>
  <si>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</si>
  <si>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</si>
  <si>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</si>
  <si>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</si>
  <si>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</si>
  <si>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</si>
  <si>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</si>
  <si>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</si>
  <si>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</si>
  <si>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</si>
  <si>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</si>
  <si>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</si>
  <si>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</si>
  <si>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</si>
  <si>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</si>
  <si>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</si>
  <si>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</si>
  <si>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</si>
  <si>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</si>
  <si>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</si>
  <si>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</si>
  <si>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</si>
  <si>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</si>
  <si>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</si>
  <si>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</si>
  <si>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</si>
  <si>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</si>
  <si>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</si>
  <si>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</si>
  <si>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</si>
  <si>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</si>
  <si>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</si>
  <si>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</si>
  <si>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</si>
  <si>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</si>
  <si>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</si>
  <si>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</si>
  <si>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</si>
  <si>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</si>
  <si>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</si>
  <si>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</si>
  <si>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</si>
  <si>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</si>
  <si>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</si>
  <si>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</si>
  <si>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</si>
  <si>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</si>
  <si>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</si>
  <si>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</si>
  <si>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</si>
  <si>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</si>
  <si>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</si>
  <si>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</si>
  <si>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</si>
  <si>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</si>
  <si>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</si>
  <si>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</si>
  <si>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</si>
  <si>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</si>
  <si>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</si>
  <si>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</si>
  <si>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</si>
  <si>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</si>
  <si>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</si>
  <si>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</si>
  <si>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</si>
  <si>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</si>
  <si>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</si>
  <si>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</si>
  <si>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</si>
  <si>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</si>
  <si>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</si>
  <si>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</si>
  <si>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</si>
  <si>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</si>
  <si>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</si>
  <si>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</si>
  <si>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</si>
  <si>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</si>
  <si>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</si>
  <si>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</si>
  <si>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</si>
  <si>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</si>
  <si>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</si>
  <si>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</si>
  <si>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</si>
  <si>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</si>
  <si>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</si>
  <si>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</si>
  <si>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</si>
  <si>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</si>
  <si>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</si>
  <si>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</si>
  <si>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</si>
  <si>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</si>
  <si>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</si>
  <si>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</si>
  <si>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</si>
  <si>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</si>
  <si>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</si>
  <si>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</si>
  <si>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</si>
  <si>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</si>
  <si>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</si>
  <si>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</si>
  <si>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</si>
  <si>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</si>
  <si>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</si>
  <si>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</si>
  <si>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</si>
  <si>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</si>
  <si>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</si>
  <si>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</si>
  <si>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</si>
  <si>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</si>
  <si>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</si>
  <si>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</si>
  <si>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</si>
  <si>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</si>
  <si>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</si>
  <si>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</si>
  <si>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</si>
  <si>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</si>
  <si>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</si>
  <si>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</si>
  <si>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</si>
  <si>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</si>
  <si>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</si>
  <si>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</si>
  <si>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</si>
  <si>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</si>
  <si>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</si>
  <si>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</si>
  <si>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</si>
  <si>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</si>
  <si>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</si>
  <si>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</si>
  <si>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</si>
  <si>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</si>
  <si>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</si>
  <si>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</si>
  <si>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</si>
  <si>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</si>
  <si>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</si>
  <si>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</si>
  <si>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</si>
  <si>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</si>
  <si>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</si>
  <si>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</si>
  <si>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</si>
  <si>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</si>
  <si>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</si>
  <si>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</si>
  <si>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</si>
  <si>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</si>
  <si>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</si>
  <si>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</si>
  <si>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</si>
  <si>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</si>
  <si>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</si>
  <si>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</si>
  <si>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</si>
  <si>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</si>
  <si>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</si>
  <si>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</si>
  <si>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</si>
  <si>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</si>
  <si>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</si>
  <si>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</si>
  <si>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</si>
  <si>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</si>
  <si>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</si>
  <si>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</si>
  <si>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</si>
  <si>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</si>
  <si>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</si>
  <si>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</si>
  <si>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</si>
  <si>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</si>
  <si>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</si>
  <si>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</si>
  <si>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</si>
  <si>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</si>
  <si>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</si>
  <si>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</si>
  <si>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</si>
  <si>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</si>
  <si>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</si>
  <si>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</si>
  <si>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</si>
  <si>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</si>
  <si>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</si>
  <si>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</si>
  <si>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</si>
  <si>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</si>
  <si>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</si>
  <si>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</si>
  <si>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</si>
  <si>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</si>
  <si>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</si>
  <si>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</si>
  <si>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</si>
  <si>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</si>
  <si>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</si>
  <si>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</si>
  <si>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</si>
  <si>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</si>
  <si>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</si>
  <si>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</si>
  <si>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</si>
  <si>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</si>
  <si>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</si>
  <si>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</si>
  <si>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</si>
  <si>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</si>
  <si>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</si>
  <si>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</si>
  <si>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</si>
  <si>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</si>
  <si>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</si>
  <si>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</si>
  <si>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</si>
  <si>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</si>
  <si>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</si>
  <si>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</si>
  <si>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</si>
  <si>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</si>
  <si>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</si>
  <si>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</si>
  <si>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</si>
  <si>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</si>
  <si>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</si>
  <si>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</si>
  <si>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</si>
  <si>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</si>
  <si>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</si>
  <si>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</si>
  <si>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</si>
  <si>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</si>
  <si>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</si>
  <si>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</si>
  <si>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</si>
  <si>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</si>
  <si>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</si>
  <si>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</si>
  <si>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</si>
  <si>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</si>
  <si>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</si>
  <si>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</si>
  <si>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</si>
  <si>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</si>
  <si>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</si>
  <si>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</si>
  <si>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</si>
  <si>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</si>
  <si>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</si>
  <si>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</si>
  <si>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</si>
  <si>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</si>
  <si>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</si>
  <si>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</si>
  <si>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</si>
  <si>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</si>
  <si>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</si>
  <si>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</si>
  <si>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</si>
  <si>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</si>
  <si>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</si>
  <si>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</si>
  <si>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</si>
  <si>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</si>
  <si>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</si>
  <si>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</si>
  <si>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</si>
  <si>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</si>
  <si>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</si>
  <si>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</si>
  <si>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</si>
  <si>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</si>
  <si>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</si>
  <si>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</si>
  <si>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</si>
  <si>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</si>
  <si>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</si>
  <si>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</si>
  <si>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</si>
  <si>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</si>
  <si>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</si>
  <si>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</si>
  <si>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</si>
  <si>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</si>
  <si>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</si>
  <si>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</si>
  <si>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</si>
  <si>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</si>
  <si>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</si>
  <si>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</si>
  <si>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</si>
  <si>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</si>
  <si>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</si>
  <si>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</si>
  <si>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</si>
  <si>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</si>
  <si>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</si>
  <si>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</si>
  <si>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</si>
  <si>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</si>
  <si>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</si>
  <si>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</si>
  <si>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</si>
  <si>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</si>
  <si>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</si>
  <si>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</si>
  <si>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</si>
  <si>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</si>
  <si>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</si>
  <si>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</si>
  <si>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</si>
  <si>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</si>
  <si>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</si>
  <si>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</si>
  <si>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</si>
  <si>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</si>
  <si>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</si>
  <si>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</si>
  <si>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</si>
  <si>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</si>
  <si>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</si>
  <si>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</si>
  <si>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</si>
  <si>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</si>
  <si>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</si>
  <si>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</si>
  <si>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</si>
  <si>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</si>
  <si>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</si>
  <si>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</si>
  <si>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</si>
  <si>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</si>
  <si>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</si>
  <si>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</si>
  <si>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</si>
  <si>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</si>
  <si>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</si>
  <si>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</si>
  <si>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</si>
  <si>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</si>
  <si>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</si>
  <si>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</si>
  <si>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</si>
  <si>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</si>
  <si>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</si>
  <si>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</si>
  <si>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</si>
  <si>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</si>
  <si>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</si>
  <si>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</si>
  <si>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</si>
  <si>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</si>
  <si>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</si>
  <si>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</si>
  <si>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</si>
  <si>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</si>
  <si>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</si>
  <si>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</si>
  <si>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</si>
  <si>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</si>
  <si>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</si>
  <si>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</si>
  <si>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</si>
  <si>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</si>
  <si>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</si>
  <si>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</si>
  <si>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</si>
  <si>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</si>
  <si>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</si>
  <si>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</si>
  <si>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</si>
  <si>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</si>
  <si>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</si>
  <si>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</si>
  <si>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</si>
  <si>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</si>
  <si>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</si>
  <si>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</si>
  <si>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</si>
  <si>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</si>
  <si>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</si>
  <si>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</si>
  <si>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</si>
  <si>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</si>
  <si>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</si>
  <si>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</si>
  <si>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</si>
  <si>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</si>
  <si>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</si>
  <si>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</si>
  <si>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</si>
  <si>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</si>
  <si>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</si>
  <si>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</si>
  <si>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</si>
  <si>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</si>
  <si>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</si>
  <si>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</si>
  <si>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</si>
  <si>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</si>
  <si>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</si>
  <si>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</si>
  <si>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</si>
  <si>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</si>
  <si>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</si>
  <si>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</si>
  <si>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</si>
  <si>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</si>
  <si>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</si>
  <si>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</si>
  <si>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</si>
  <si>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</si>
  <si>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</si>
  <si>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</si>
  <si>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</si>
  <si>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</si>
  <si>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</si>
  <si>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</si>
  <si>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</si>
  <si>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</si>
  <si>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</si>
  <si>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</si>
  <si>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</si>
  <si>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</si>
  <si>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</si>
  <si>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</si>
  <si>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</si>
  <si>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</si>
  <si>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</si>
  <si>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</si>
  <si>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</si>
  <si>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</si>
  <si>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</si>
  <si>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</si>
  <si>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</si>
  <si>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</si>
  <si>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</si>
  <si>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</si>
  <si>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</si>
  <si>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</si>
  <si>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</si>
  <si>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</si>
  <si>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</si>
  <si>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</si>
  <si>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</si>
  <si>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</si>
  <si>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</si>
  <si>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</si>
  <si>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</si>
  <si>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</si>
  <si>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</si>
  <si>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</si>
  <si>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</si>
  <si>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</si>
  <si>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</si>
  <si>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</si>
  <si>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</si>
  <si>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</si>
  <si>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</si>
  <si>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</si>
  <si>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</si>
  <si>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</si>
  <si>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</si>
  <si>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</si>
  <si>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</si>
  <si>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</si>
  <si>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</si>
  <si>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</si>
  <si>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</si>
  <si>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</si>
  <si>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</si>
  <si>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</si>
  <si>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</si>
  <si>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</si>
  <si>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</si>
  <si>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</si>
  <si>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</si>
  <si>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</si>
  <si>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</si>
  <si>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</si>
  <si>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</si>
  <si>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</si>
  <si>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</si>
  <si>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</si>
  <si>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</si>
  <si>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</si>
  <si>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</si>
  <si>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</si>
  <si>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</si>
  <si>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</si>
  <si>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</si>
  <si>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</si>
  <si>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</si>
  <si>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</si>
  <si>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</si>
  <si>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</si>
  <si>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</si>
  <si>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</si>
  <si>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</si>
  <si>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</si>
  <si>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</si>
  <si>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</si>
  <si>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</si>
  <si>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</si>
  <si>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</si>
  <si>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</si>
  <si>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</si>
  <si>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</si>
  <si>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</si>
  <si>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</si>
  <si>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</si>
  <si>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</si>
  <si>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</si>
  <si>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</si>
  <si>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</si>
  <si>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</si>
  <si>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</si>
  <si>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</si>
  <si>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</si>
  <si>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</si>
  <si>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</si>
  <si>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</si>
  <si>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</si>
  <si>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</si>
  <si>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</si>
  <si>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</si>
  <si>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</si>
  <si>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</si>
  <si>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</si>
  <si>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</si>
  <si>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</si>
  <si>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</si>
  <si>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</si>
  <si>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</si>
  <si>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</si>
  <si>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</si>
  <si>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</si>
  <si>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</si>
  <si>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</si>
  <si>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</si>
  <si>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</si>
  <si>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</si>
  <si>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</si>
  <si>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</si>
  <si>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</si>
  <si>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</si>
  <si>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</si>
  <si>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</si>
  <si>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</si>
  <si>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</si>
  <si>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</si>
  <si>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</si>
  <si>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</si>
  <si>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</si>
  <si>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</si>
  <si>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</si>
  <si>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</si>
  <si>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</si>
  <si>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</si>
  <si>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</si>
  <si>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</si>
  <si>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</si>
  <si>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</si>
  <si>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</si>
  <si>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</si>
  <si>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</si>
  <si>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</si>
  <si>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</si>
  <si>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</si>
  <si>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</si>
  <si>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</si>
  <si>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</si>
  <si>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</si>
  <si>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</si>
  <si>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</si>
  <si>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</si>
  <si>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</si>
  <si>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</si>
  <si>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</si>
  <si>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</si>
  <si>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</si>
  <si>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</si>
  <si>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</si>
  <si>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</si>
  <si>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</si>
  <si>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</si>
  <si>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</si>
  <si>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</si>
  <si>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</si>
  <si>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</si>
  <si>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</si>
  <si>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</si>
  <si>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</si>
  <si>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</si>
  <si>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</si>
  <si>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</si>
  <si>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</si>
  <si>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</si>
  <si>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</si>
  <si>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</si>
  <si>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</si>
  <si>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</si>
  <si>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</si>
  <si>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</si>
  <si>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</si>
  <si>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</si>
  <si>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</si>
  <si>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</si>
  <si>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</si>
  <si>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</si>
  <si>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</si>
  <si>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</si>
  <si>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</si>
  <si>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</si>
  <si>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</si>
  <si>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</si>
  <si>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</si>
  <si>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</si>
  <si>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</si>
  <si>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</si>
  <si>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</si>
  <si>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</si>
  <si>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</si>
  <si>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</si>
  <si>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</si>
  <si>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</si>
  <si>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</si>
  <si>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</si>
  <si>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</si>
  <si>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</si>
  <si>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</si>
  <si>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</si>
  <si>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</si>
  <si>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</si>
  <si>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</si>
  <si>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</si>
  <si>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</si>
  <si>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</si>
  <si>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</si>
  <si>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</si>
  <si>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</si>
  <si>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</si>
  <si>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</si>
  <si>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</si>
  <si>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</si>
  <si>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</si>
  <si>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</si>
  <si>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</si>
  <si>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</si>
  <si>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</si>
  <si>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</si>
  <si>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</si>
  <si>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</si>
  <si>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</si>
  <si>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</si>
  <si>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</si>
  <si>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</si>
  <si>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</si>
  <si>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</si>
  <si>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</si>
  <si>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</si>
  <si>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</si>
  <si>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</si>
  <si>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</si>
  <si>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</si>
  <si>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</si>
  <si>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</si>
  <si>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</si>
  <si>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</si>
  <si>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</si>
  <si>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</si>
  <si>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</si>
  <si>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</si>
  <si>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</si>
  <si>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</si>
  <si>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</si>
  <si>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</si>
  <si>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</si>
  <si>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</si>
  <si>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</si>
  <si>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</si>
  <si>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</si>
  <si>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</si>
  <si>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</si>
  <si>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</si>
  <si>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</si>
  <si>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</si>
  <si>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</si>
  <si>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</si>
  <si>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</si>
  <si>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</si>
  <si>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</si>
  <si>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</si>
  <si>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</si>
  <si>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</si>
  <si>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</si>
  <si>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</si>
  <si>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</si>
  <si>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</si>
  <si>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</si>
  <si>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</si>
  <si>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</si>
  <si>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</si>
  <si>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</si>
  <si>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</si>
  <si>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</si>
  <si>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</si>
  <si>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</si>
  <si>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</si>
  <si>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</si>
  <si>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</si>
  <si>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</si>
  <si>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</si>
  <si>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</si>
  <si>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</si>
  <si>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</si>
  <si>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</si>
  <si>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</si>
  <si>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</si>
  <si>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</si>
  <si>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</si>
  <si>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</si>
  <si>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</si>
  <si>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</si>
  <si>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</si>
  <si>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</si>
  <si>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</si>
  <si>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</si>
  <si>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</si>
  <si>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</si>
  <si>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</si>
  <si>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</si>
  <si>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</si>
  <si>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</si>
  <si>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</si>
  <si>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</si>
  <si>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</si>
  <si>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</si>
  <si>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</si>
  <si>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</si>
  <si>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</si>
  <si>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</si>
  <si>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</si>
  <si>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</si>
  <si>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</si>
  <si>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</si>
  <si>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</si>
  <si>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</si>
  <si>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</si>
  <si>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</si>
  <si>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</si>
  <si>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</si>
  <si>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</si>
  <si>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</si>
  <si>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</si>
  <si>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</si>
  <si>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</si>
  <si>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</si>
  <si>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</si>
  <si>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</si>
  <si>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</si>
  <si>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</si>
  <si>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</si>
  <si>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</si>
  <si>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</si>
  <si>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</si>
  <si>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</si>
  <si>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</si>
  <si>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</si>
  <si>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</si>
  <si>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</si>
  <si>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</si>
  <si>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</si>
  <si>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</si>
  <si>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</si>
  <si>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</si>
  <si>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</si>
  <si>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</si>
  <si>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</si>
  <si>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</si>
  <si>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</si>
  <si>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</si>
  <si>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</si>
  <si>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</si>
  <si>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</si>
  <si>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</si>
  <si>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</si>
  <si>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</si>
  <si>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</si>
  <si>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</si>
  <si>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</si>
  <si>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</si>
  <si>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</si>
  <si>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</si>
  <si>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</si>
  <si>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</si>
  <si>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</si>
  <si>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</si>
  <si>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</si>
  <si>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</si>
  <si>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</si>
  <si>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</si>
  <si>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</si>
  <si>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</si>
  <si>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</si>
  <si>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</si>
  <si>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</si>
  <si>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</si>
  <si>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</si>
  <si>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</si>
  <si>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</si>
  <si>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</si>
  <si>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</si>
  <si>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</si>
  <si>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</si>
  <si>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</si>
  <si>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</si>
  <si>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</si>
  <si>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</si>
  <si>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</si>
  <si>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</si>
  <si>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</si>
  <si>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</si>
  <si>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</si>
  <si>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</si>
  <si>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</si>
  <si>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</si>
  <si>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</si>
  <si>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</si>
  <si>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</si>
  <si>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</si>
  <si>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</si>
  <si>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</si>
  <si>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</si>
  <si>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</si>
  <si>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</si>
  <si>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</si>
  <si>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</si>
  <si>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</si>
  <si>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</si>
  <si>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</si>
  <si>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</si>
  <si>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</si>
  <si>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</si>
  <si>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</si>
  <si>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</si>
  <si>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</si>
  <si>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</si>
  <si>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</si>
  <si>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</si>
  <si>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</si>
  <si>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</si>
  <si>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</si>
  <si>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</si>
  <si>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</si>
  <si>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</si>
  <si>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</si>
  <si>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</si>
  <si>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</si>
  <si>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</si>
  <si>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</si>
  <si>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</si>
  <si>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</si>
  <si>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</si>
  <si>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</si>
  <si>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</si>
  <si>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</si>
  <si>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</si>
  <si>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</si>
  <si>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</si>
  <si>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</si>
  <si>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</si>
  <si>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</si>
  <si>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</si>
  <si>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</si>
  <si>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</si>
  <si>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</si>
  <si>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</si>
  <si>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</si>
  <si>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</si>
  <si>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</si>
  <si>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</si>
  <si>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</si>
  <si>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</si>
  <si>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</si>
  <si>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</si>
  <si>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</si>
  <si>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</si>
  <si>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</si>
  <si>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</si>
  <si>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</si>
  <si>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</si>
  <si>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</si>
  <si>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</si>
  <si>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</si>
  <si>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</si>
  <si>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</si>
  <si>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</si>
  <si>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</si>
  <si>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</si>
  <si>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</si>
  <si>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</si>
  <si>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</si>
  <si>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</si>
  <si>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</si>
  <si>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</si>
  <si>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</si>
  <si>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</si>
  <si>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</si>
  <si>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</si>
  <si>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</si>
  <si>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</si>
  <si>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</si>
  <si>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</si>
  <si>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</si>
  <si>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</si>
  <si>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</si>
  <si>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</si>
  <si>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</si>
  <si>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</si>
  <si>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</si>
  <si>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</si>
  <si>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</si>
  <si>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</si>
  <si>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</si>
  <si>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</si>
  <si>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</si>
  <si>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</si>
  <si>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</si>
  <si>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</si>
  <si>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</si>
  <si>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</si>
  <si>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</si>
  <si>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</si>
  <si>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</si>
  <si>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</si>
  <si>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</si>
  <si>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</si>
  <si>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</si>
  <si>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</si>
  <si>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</si>
  <si>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</si>
  <si>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</si>
  <si>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</si>
  <si>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</si>
  <si>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</si>
  <si>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</si>
  <si>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</si>
  <si>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</si>
  <si>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</si>
  <si>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</si>
  <si>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</si>
  <si>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</si>
  <si>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</si>
  <si>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</si>
  <si>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</si>
  <si>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</si>
  <si>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</si>
  <si>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</si>
  <si>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</si>
  <si>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</si>
  <si>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</si>
  <si>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</si>
  <si>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</si>
  <si>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</si>
  <si>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</si>
  <si>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</si>
  <si>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</si>
  <si>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</si>
  <si>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</si>
  <si>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</si>
  <si>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</si>
  <si>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</si>
  <si>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</si>
  <si>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</si>
  <si>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</si>
  <si>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</si>
  <si>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</si>
  <si>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</si>
  <si>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</si>
  <si>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</si>
  <si>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</si>
  <si>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</si>
  <si>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</si>
  <si>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</si>
  <si>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</si>
  <si>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</si>
  <si>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</si>
  <si>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</si>
  <si>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</si>
  <si>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</si>
  <si>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</si>
  <si>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</si>
  <si>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</si>
  <si>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</si>
  <si>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</si>
  <si>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</si>
  <si>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</si>
  <si>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</si>
  <si>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</si>
  <si>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</si>
  <si>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</si>
  <si>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</si>
  <si>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</si>
  <si>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</si>
  <si>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</si>
  <si>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</si>
  <si>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</si>
  <si>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</si>
  <si>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</si>
  <si>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</si>
  <si>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</si>
  <si>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</si>
  <si>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</si>
  <si>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</si>
  <si>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</si>
  <si>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</si>
  <si>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</si>
  <si>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</si>
  <si>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</si>
  <si>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</si>
  <si>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</si>
  <si>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</si>
  <si>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</si>
  <si>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</si>
  <si>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</si>
  <si>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</si>
  <si>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</si>
  <si>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</si>
  <si>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</si>
  <si>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</si>
  <si>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</si>
  <si>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</si>
  <si>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</si>
  <si>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</si>
  <si>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</si>
  <si>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</si>
  <si>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</si>
  <si>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</si>
  <si>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</si>
  <si>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</si>
  <si>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</si>
  <si>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</si>
  <si>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</si>
  <si>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</si>
  <si>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</si>
  <si>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</si>
  <si>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</si>
  <si>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</si>
  <si>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</si>
  <si>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</si>
  <si>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</si>
  <si>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</si>
  <si>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</si>
  <si>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</si>
  <si>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</si>
  <si>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</si>
  <si>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</si>
  <si>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</si>
  <si>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</si>
  <si>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</si>
  <si>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</si>
  <si>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</si>
  <si>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</si>
  <si>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</si>
  <si>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</si>
  <si>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</si>
  <si>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</si>
  <si>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</si>
  <si>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</si>
  <si>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</si>
  <si>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</si>
  <si>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</si>
  <si>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</si>
  <si>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</si>
  <si>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</si>
  <si>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</si>
  <si>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</si>
  <si>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</si>
  <si>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</si>
  <si>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</si>
  <si>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</si>
  <si>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</si>
  <si>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</si>
  <si>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</si>
  <si>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</si>
  <si>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</si>
  <si>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</si>
  <si>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</si>
  <si>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</si>
  <si>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</si>
  <si>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</si>
  <si>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</si>
  <si>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</si>
  <si>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</si>
  <si>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</si>
  <si>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</si>
  <si>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</si>
  <si>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</si>
  <si>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</si>
  <si>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</si>
  <si>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</si>
  <si>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</si>
  <si>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</si>
  <si>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</si>
  <si>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</si>
  <si>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</si>
  <si>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</si>
  <si>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</si>
  <si>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</si>
  <si>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</si>
  <si>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</si>
  <si>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</si>
  <si>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</si>
  <si>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</si>
  <si>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</si>
  <si>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</si>
  <si>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</si>
  <si>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</si>
  <si>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</si>
  <si>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</si>
  <si>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</si>
  <si>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</si>
  <si>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</si>
  <si>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</si>
  <si>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</si>
  <si>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</si>
  <si>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</si>
  <si>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</si>
  <si>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</si>
  <si>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</si>
  <si>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</si>
  <si>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</si>
  <si>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</si>
  <si>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</si>
  <si>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</si>
  <si>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</si>
  <si>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</si>
  <si>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</si>
  <si>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</si>
  <si>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</si>
  <si>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</si>
  <si>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</si>
  <si>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</si>
  <si>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</si>
  <si>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</si>
  <si>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</si>
  <si>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</si>
  <si>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</si>
  <si>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</si>
  <si>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</si>
  <si>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</si>
  <si>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</si>
  <si>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</si>
  <si>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</si>
  <si>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</si>
  <si>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</si>
  <si>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</si>
  <si>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</si>
  <si>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</si>
  <si>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</si>
  <si>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</si>
  <si>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</si>
  <si>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</si>
  <si>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</si>
  <si>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</si>
  <si>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</si>
  <si>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</si>
  <si>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</si>
  <si>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</si>
  <si>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</si>
  <si>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</si>
  <si>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</si>
  <si>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</si>
  <si>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</si>
  <si>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</si>
  <si>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</si>
  <si>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</si>
  <si>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</si>
  <si>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</si>
  <si>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</si>
  <si>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</si>
  <si>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</si>
  <si>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</si>
  <si>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</si>
  <si>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</si>
  <si>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</si>
  <si>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</si>
  <si>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</si>
  <si>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</si>
  <si>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</si>
  <si>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</si>
  <si>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</si>
  <si>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</si>
  <si>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</si>
  <si>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</si>
  <si>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</si>
  <si>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</si>
  <si>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</si>
  <si>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</si>
  <si>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</si>
  <si>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</si>
  <si>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</si>
  <si>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</si>
  <si>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</si>
  <si>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</si>
  <si>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</si>
  <si>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</si>
  <si>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</si>
  <si>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</si>
  <si>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</si>
  <si>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</si>
  <si>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</si>
  <si>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</si>
  <si>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</si>
  <si>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</si>
  <si>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</si>
  <si>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</si>
  <si>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</si>
  <si>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</si>
  <si>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</si>
  <si>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</si>
  <si>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</si>
  <si>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</si>
  <si>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</si>
  <si>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</si>
  <si>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</si>
  <si>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</si>
  <si>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</si>
  <si>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</si>
  <si>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</si>
  <si>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</si>
  <si>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</si>
  <si>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</si>
  <si>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</si>
  <si>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</si>
  <si>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</si>
  <si>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</si>
  <si>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</si>
  <si>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</si>
  <si>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</si>
  <si>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</si>
  <si>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</si>
  <si>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</si>
  <si>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</si>
  <si>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</si>
  <si>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</si>
  <si>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</si>
  <si>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</si>
  <si>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</si>
  <si>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</si>
  <si>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</si>
  <si>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</si>
  <si>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</si>
  <si>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</si>
  <si>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</si>
  <si>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</si>
  <si>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</si>
  <si>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</si>
  <si>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</si>
  <si>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</si>
  <si>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</si>
  <si>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</si>
  <si>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</si>
  <si>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</si>
  <si>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</si>
  <si>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</si>
  <si>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</si>
  <si>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</si>
  <si>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</si>
  <si>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</si>
  <si>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</si>
  <si>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</si>
  <si>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</si>
  <si>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</si>
  <si>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</si>
  <si>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</si>
  <si>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</si>
  <si>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</si>
  <si>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</si>
  <si>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</si>
  <si>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</si>
  <si>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</si>
  <si>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</si>
  <si>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</si>
  <si>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</si>
  <si>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</si>
  <si>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</si>
  <si>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</si>
  <si>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</si>
  <si>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</si>
  <si>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</si>
  <si>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</si>
  <si>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</si>
  <si>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</si>
  <si>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</si>
  <si>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</si>
  <si>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</si>
  <si>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</si>
  <si>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</si>
  <si>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</si>
  <si>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</si>
  <si>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</si>
  <si>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</si>
  <si>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</si>
  <si>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</si>
  <si>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</si>
  <si>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</si>
  <si>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</si>
  <si>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</si>
  <si>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</si>
  <si>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</si>
  <si>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</si>
  <si>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</si>
  <si>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</si>
  <si>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</si>
  <si>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</si>
  <si>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</si>
  <si>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</si>
  <si>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</si>
  <si>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</si>
  <si>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</si>
  <si>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</si>
  <si>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</si>
  <si>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</si>
  <si>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</si>
  <si>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</si>
  <si>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</si>
  <si>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</si>
  <si>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</si>
  <si>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</si>
  <si>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</si>
  <si>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</si>
  <si>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</si>
  <si>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</si>
  <si>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</si>
  <si>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</si>
  <si>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</si>
  <si>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</si>
  <si>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</si>
  <si>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</si>
  <si>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</si>
  <si>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</si>
  <si>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</si>
  <si>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</si>
  <si>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</si>
  <si>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</si>
  <si>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</si>
  <si>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</si>
  <si>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</si>
  <si>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</si>
  <si>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</si>
  <si>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</si>
  <si>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</si>
  <si>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</si>
  <si>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</si>
  <si>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</si>
  <si>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</si>
  <si>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</si>
  <si>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</si>
  <si>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</si>
  <si>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</si>
  <si>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</si>
  <si>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</si>
  <si>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</si>
  <si>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</si>
  <si>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</si>
  <si>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</si>
  <si>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</si>
  <si>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</si>
  <si>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</si>
  <si>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</si>
  <si>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</si>
  <si>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</si>
  <si>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</si>
  <si>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</si>
  <si>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</si>
  <si>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</si>
  <si>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</si>
  <si>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</si>
  <si>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</si>
  <si>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</si>
  <si>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</si>
  <si>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</si>
  <si>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</si>
  <si>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</si>
  <si>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</si>
  <si>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</si>
  <si>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</si>
  <si>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</si>
  <si>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</si>
  <si>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</si>
  <si>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</si>
  <si>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</si>
  <si>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</si>
  <si>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</si>
  <si>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</si>
  <si>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</si>
  <si>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</si>
  <si>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</si>
  <si>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</si>
  <si>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</si>
  <si>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</si>
  <si>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</si>
  <si>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</si>
  <si>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</si>
  <si>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</si>
  <si>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</si>
  <si>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</si>
  <si>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</si>
  <si>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</si>
  <si>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</si>
  <si>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</si>
  <si>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</si>
  <si>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</si>
  <si>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</si>
  <si>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</si>
  <si>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</si>
  <si>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</si>
  <si>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</si>
  <si>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</si>
  <si>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</si>
  <si>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</si>
  <si>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</si>
  <si>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</si>
  <si>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</si>
  <si>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</si>
  <si>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</si>
  <si>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</si>
  <si>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</si>
  <si>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</si>
  <si>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</si>
  <si>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</si>
  <si>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</si>
  <si>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</si>
  <si>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</si>
  <si>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</si>
  <si>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</si>
  <si>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</si>
  <si>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</si>
  <si>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</si>
  <si>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</si>
  <si>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</si>
  <si>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</si>
  <si>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</si>
  <si>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</si>
  <si>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</si>
  <si>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</si>
  <si>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</si>
  <si>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</si>
  <si>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</si>
  <si>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</si>
  <si>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</si>
  <si>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</si>
  <si>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</si>
  <si>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</si>
  <si>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</si>
  <si>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</si>
  <si>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</si>
  <si>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</si>
  <si>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</si>
  <si>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</si>
  <si>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</si>
  <si>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</si>
  <si>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</si>
  <si>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</si>
  <si>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</si>
  <si>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</si>
  <si>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</si>
  <si>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</si>
  <si>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</si>
  <si>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</si>
  <si>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</si>
  <si>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</si>
  <si>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</si>
  <si>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</si>
  <si>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</si>
  <si>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</si>
  <si>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</si>
  <si>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</si>
  <si>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</si>
  <si>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</si>
  <si>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</si>
  <si>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</si>
  <si>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</si>
  <si>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</si>
  <si>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</si>
  <si>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</si>
  <si>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</si>
  <si>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</si>
  <si>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</si>
  <si>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</si>
  <si>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</si>
  <si>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</si>
  <si>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</si>
  <si>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</si>
  <si>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</si>
  <si>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</si>
  <si>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</si>
  <si>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</si>
  <si>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</si>
  <si>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</si>
  <si>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</si>
  <si>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</si>
  <si>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</si>
  <si>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</si>
  <si>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</si>
  <si>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</si>
  <si>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</si>
  <si>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</si>
  <si>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</si>
  <si>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</si>
  <si>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</si>
  <si>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</si>
  <si>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</si>
  <si>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</si>
  <si>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</si>
  <si>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</si>
  <si>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</si>
  <si>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</si>
  <si>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</si>
  <si>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</si>
  <si>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</si>
  <si>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</si>
  <si>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</si>
  <si>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</si>
  <si>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</si>
  <si>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</si>
  <si>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</si>
  <si>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</si>
  <si>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</si>
  <si>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</si>
  <si>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</si>
  <si>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</si>
  <si>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</si>
  <si>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</si>
  <si>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</si>
  <si>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</si>
  <si>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</si>
  <si>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</si>
  <si>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</si>
  <si>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</si>
  <si>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</si>
  <si>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</si>
  <si>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</si>
  <si>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</si>
  <si>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</si>
  <si>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</si>
  <si>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</si>
  <si>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</si>
  <si>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</si>
  <si>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</si>
  <si>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</si>
  <si>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</si>
  <si>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</si>
  <si>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</si>
  <si>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</si>
  <si>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</si>
  <si>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</si>
  <si>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</si>
  <si>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</si>
  <si>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</si>
  <si>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</si>
  <si>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</si>
  <si>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</si>
  <si>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</si>
  <si>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</si>
  <si>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</si>
  <si>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</si>
  <si>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</si>
  <si>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</si>
  <si>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</si>
  <si>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</si>
  <si>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</si>
  <si>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</si>
  <si>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</si>
  <si>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</si>
  <si>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</si>
  <si>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</si>
  <si>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</si>
  <si>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</si>
  <si>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</si>
  <si>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</si>
  <si>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</si>
  <si>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</si>
  <si>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</si>
  <si>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</si>
  <si>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</si>
  <si>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</si>
  <si>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</si>
  <si>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</si>
  <si>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</si>
  <si>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</si>
  <si>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</si>
  <si>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</si>
  <si>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</si>
  <si>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</si>
  <si>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</si>
  <si>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</si>
  <si>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</si>
  <si>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</si>
  <si>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</si>
  <si>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</si>
  <si>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</si>
  <si>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</si>
  <si>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</si>
  <si>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</si>
  <si>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</si>
  <si>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</si>
  <si>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</si>
  <si>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</si>
  <si>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</si>
  <si>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</si>
  <si>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</si>
  <si>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</si>
  <si>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</si>
  <si>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</si>
  <si>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</si>
  <si>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</si>
  <si>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</si>
  <si>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</si>
  <si>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</si>
  <si>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</si>
  <si>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</si>
  <si>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</si>
  <si>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</si>
  <si>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</si>
  <si>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</si>
  <si>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</si>
  <si>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</si>
  <si>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</si>
  <si>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</si>
  <si>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</si>
  <si>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</si>
  <si>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</si>
  <si>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</si>
  <si>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</si>
  <si>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</si>
  <si>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</si>
  <si>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</si>
  <si>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</si>
  <si>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</si>
  <si>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</si>
  <si>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</si>
  <si>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</si>
  <si>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</si>
  <si>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</si>
  <si>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</si>
  <si>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</si>
  <si>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</si>
  <si>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</si>
  <si>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</si>
  <si>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</si>
  <si>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</si>
  <si>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</si>
  <si>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</si>
  <si>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</si>
  <si>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</si>
  <si>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</si>
  <si>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</si>
  <si>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</si>
  <si>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</si>
  <si>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</si>
  <si>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</si>
  <si>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</si>
  <si>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</si>
  <si>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</si>
  <si>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</si>
  <si>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</si>
  <si>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</si>
  <si>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</si>
  <si>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</si>
  <si>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</si>
  <si>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</si>
  <si>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</si>
  <si>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</si>
  <si>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</si>
  <si>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</si>
  <si>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</si>
  <si>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</si>
  <si>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</si>
  <si>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</si>
  <si>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</si>
  <si>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</si>
  <si>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</si>
  <si>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</si>
  <si>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</si>
  <si>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</si>
  <si>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</si>
  <si>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</si>
  <si>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</si>
  <si>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</si>
  <si>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</si>
  <si>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</si>
  <si>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</si>
  <si>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</si>
  <si>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</si>
  <si>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</si>
  <si>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</si>
  <si>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</si>
  <si>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</si>
  <si>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</si>
  <si>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</si>
  <si>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</si>
  <si>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</si>
  <si>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</si>
  <si>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</si>
  <si>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</si>
  <si>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</si>
  <si>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</si>
  <si>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</si>
  <si>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</si>
  <si>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</si>
  <si>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</si>
  <si>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</si>
  <si>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</si>
  <si>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</si>
  <si>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</si>
  <si>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</si>
  <si>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</si>
  <si>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</si>
  <si>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</si>
  <si>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</si>
  <si>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</si>
  <si>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</si>
  <si>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</si>
  <si>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</si>
  <si>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</si>
  <si>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</si>
  <si>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</si>
  <si>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</si>
  <si>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</si>
  <si>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</si>
  <si>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</si>
  <si>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</si>
  <si>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</si>
  <si>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</si>
  <si>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</si>
  <si>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</si>
  <si>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</si>
  <si>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</si>
  <si>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</si>
  <si>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</si>
  <si>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</si>
  <si>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</si>
  <si>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</si>
  <si>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</si>
  <si>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</si>
  <si>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</si>
  <si>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</si>
  <si>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</si>
  <si>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</si>
  <si>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</si>
  <si>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</si>
  <si>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</si>
  <si>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</si>
  <si>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</si>
  <si>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</si>
  <si>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</si>
  <si>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</si>
  <si>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</si>
  <si>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</si>
  <si>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</si>
  <si>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</si>
  <si>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</si>
  <si>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</si>
  <si>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</si>
  <si>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</si>
  <si>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</si>
  <si>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</si>
  <si>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</si>
  <si>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</si>
  <si>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</si>
  <si>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</si>
  <si>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</si>
  <si>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</si>
  <si>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</si>
  <si>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</si>
  <si>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</si>
  <si>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</si>
  <si>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</si>
  <si>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</si>
  <si>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</si>
  <si>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</si>
  <si>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</si>
  <si>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</si>
  <si>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</si>
  <si>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</si>
  <si>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</si>
  <si>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</si>
  <si>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</si>
  <si>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</si>
  <si>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</si>
  <si>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</si>
  <si>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</si>
  <si>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</si>
  <si>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</si>
  <si>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</si>
  <si>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</si>
  <si>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</si>
  <si>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</si>
  <si>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</si>
  <si>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</si>
  <si>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</si>
  <si>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</si>
  <si>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</si>
  <si>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</si>
  <si>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</si>
  <si>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</si>
  <si>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</si>
  <si>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</si>
  <si>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</si>
  <si>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</si>
  <si>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</si>
  <si>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</si>
  <si>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</si>
  <si>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</si>
  <si>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</si>
  <si>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</si>
  <si>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</si>
  <si>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</si>
  <si>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</si>
  <si>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</si>
  <si>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</si>
  <si>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</si>
  <si>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</si>
  <si>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</si>
  <si>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</si>
  <si>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</si>
  <si>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</si>
  <si>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</si>
  <si>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</si>
  <si>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</si>
  <si>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</si>
  <si>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</si>
  <si>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</si>
  <si>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</si>
  <si>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</si>
  <si>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</si>
  <si>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</si>
  <si>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</si>
  <si>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</si>
  <si>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</si>
  <si>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</si>
  <si>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</si>
  <si>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</si>
  <si>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</si>
  <si>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</si>
  <si>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</si>
  <si>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</si>
  <si>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</si>
  <si>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</si>
  <si>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</si>
  <si>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</si>
  <si>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</si>
  <si>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</si>
  <si>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</si>
  <si>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</si>
  <si>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</si>
  <si>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</si>
  <si>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</si>
  <si>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</si>
  <si>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</si>
  <si>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</si>
  <si>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</si>
  <si>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</si>
  <si>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</si>
  <si>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</si>
  <si>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</si>
  <si>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</si>
  <si>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</si>
  <si>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</si>
  <si>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</si>
  <si>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</si>
  <si>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</si>
  <si>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</si>
  <si>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</si>
  <si>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</si>
  <si>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</si>
  <si>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</si>
  <si>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</si>
  <si>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</si>
  <si>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</si>
  <si>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</si>
  <si>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</si>
  <si>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</si>
  <si>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</si>
  <si>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</si>
  <si>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</si>
  <si>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</si>
  <si>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</si>
  <si>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</si>
  <si>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</si>
  <si>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</si>
  <si>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</si>
  <si>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</si>
  <si>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</si>
  <si>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</si>
  <si>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</si>
  <si>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</si>
  <si>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</si>
  <si>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</si>
  <si>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</si>
  <si>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</si>
  <si>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</si>
  <si>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</si>
  <si>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</si>
  <si>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</si>
  <si>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</si>
  <si>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</si>
  <si>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</si>
  <si>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</si>
  <si>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</si>
  <si>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</si>
  <si>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</si>
  <si>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</si>
  <si>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</si>
  <si>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</si>
  <si>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</si>
  <si>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</si>
  <si>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</si>
  <si>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</si>
  <si>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</si>
  <si>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</si>
  <si>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</si>
  <si>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</si>
  <si>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</si>
  <si>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</si>
  <si>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</si>
  <si>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</si>
  <si>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</si>
  <si>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</si>
  <si>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</si>
  <si>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</si>
  <si>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</si>
  <si>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</si>
  <si>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</si>
  <si>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</si>
  <si>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</si>
  <si>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</si>
  <si>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</si>
  <si>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</si>
  <si>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</si>
  <si>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</si>
  <si>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</si>
  <si>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</si>
  <si>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</si>
  <si>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</si>
  <si>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</si>
  <si>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</si>
  <si>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</si>
  <si>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</si>
  <si>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</si>
  <si>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</si>
  <si>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</si>
  <si>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</si>
  <si>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</si>
  <si>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</si>
  <si>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</si>
  <si>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</si>
  <si>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</si>
  <si>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</si>
  <si>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</si>
  <si>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</si>
  <si>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</si>
  <si>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</si>
  <si>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</si>
  <si>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</si>
  <si>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</si>
  <si>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</si>
  <si>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</si>
  <si>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</si>
  <si>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</si>
  <si>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</si>
  <si>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</si>
  <si>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</si>
  <si>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</si>
  <si>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</si>
  <si>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</si>
  <si>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</si>
  <si>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</si>
  <si>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</si>
  <si>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</si>
  <si>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</si>
  <si>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</si>
  <si>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</si>
  <si>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</si>
  <si>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</si>
  <si>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</si>
  <si>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</si>
  <si>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</si>
  <si>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</si>
  <si>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</si>
  <si>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</si>
  <si>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</si>
  <si>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</si>
  <si>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</si>
  <si>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</si>
  <si>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</si>
  <si>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</si>
  <si>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</si>
  <si>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</si>
  <si>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</si>
  <si>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</si>
  <si>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</si>
  <si>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</si>
  <si>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</si>
  <si>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</si>
  <si>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</si>
  <si>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</si>
  <si>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</si>
  <si>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</si>
  <si>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</si>
  <si>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</si>
  <si>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</si>
  <si>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</si>
  <si>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</si>
  <si>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</si>
  <si>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</si>
  <si>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</si>
  <si>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</si>
  <si>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</si>
  <si>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</si>
  <si>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</si>
  <si>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</si>
  <si>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</si>
  <si>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</si>
  <si>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</si>
  <si>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</si>
  <si>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</si>
  <si>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</si>
  <si>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</si>
  <si>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</si>
  <si>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</si>
  <si>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</si>
  <si>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</si>
  <si>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</si>
  <si>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</si>
  <si>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</si>
  <si>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</si>
  <si>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</si>
  <si>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</si>
  <si>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</si>
  <si>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</si>
  <si>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</si>
  <si>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</si>
  <si>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</si>
  <si>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</si>
  <si>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</si>
  <si>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</si>
  <si>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</si>
  <si>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</si>
  <si>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</si>
  <si>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</si>
  <si>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</si>
  <si>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</si>
  <si>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</si>
  <si>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</si>
  <si>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</si>
  <si>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</si>
  <si>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</si>
  <si>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</si>
  <si>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</si>
  <si>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</si>
  <si>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</si>
  <si>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</si>
  <si>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</si>
  <si>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</si>
  <si>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</si>
  <si>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</si>
  <si>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</si>
  <si>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</si>
  <si>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</si>
  <si>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</si>
  <si>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</si>
  <si>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</si>
  <si>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</si>
  <si>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</si>
  <si>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</si>
  <si>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</si>
  <si>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</si>
  <si>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</si>
  <si>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</si>
  <si>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</si>
  <si>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</si>
  <si>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</si>
  <si>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</si>
  <si>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</si>
  <si>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</si>
  <si>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</si>
  <si>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</si>
  <si>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</si>
  <si>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</si>
  <si>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</si>
  <si>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</si>
  <si>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</si>
  <si>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</si>
  <si>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</si>
  <si>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</si>
  <si>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</si>
  <si>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</si>
  <si>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</si>
  <si>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</si>
  <si>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</si>
  <si>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</si>
  <si>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</si>
  <si>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</si>
  <si>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</si>
  <si>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</si>
  <si>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</si>
  <si>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</si>
  <si>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</si>
  <si>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</si>
  <si>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</si>
  <si>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</si>
  <si>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</si>
  <si>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</si>
  <si>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</si>
  <si>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</si>
  <si>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</si>
  <si>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</si>
  <si>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</si>
  <si>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</si>
  <si>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</si>
  <si>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</si>
  <si>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</si>
  <si>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</si>
  <si>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</si>
  <si>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</si>
  <si>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</si>
  <si>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</si>
  <si>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</si>
  <si>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</si>
  <si>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</si>
  <si>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</si>
  <si>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</si>
  <si>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</si>
  <si>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</si>
  <si>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</si>
  <si>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</si>
  <si>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</si>
  <si>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</si>
  <si>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</si>
  <si>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</si>
  <si>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</si>
  <si>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</si>
  <si>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</si>
  <si>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</si>
  <si>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</si>
  <si>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</si>
  <si>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</si>
  <si>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</si>
  <si>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</si>
  <si>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</si>
  <si>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</si>
  <si>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</si>
  <si>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</si>
  <si>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</si>
  <si>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</si>
  <si>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</si>
  <si>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</si>
  <si>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</si>
  <si>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</si>
  <si>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</si>
  <si>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</si>
  <si>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</si>
  <si>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</si>
  <si>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</si>
  <si>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</si>
  <si>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</si>
  <si>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</si>
  <si>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</si>
  <si>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</si>
  <si>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</si>
  <si>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</si>
  <si>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</si>
  <si>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</si>
  <si>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</si>
  <si>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</si>
  <si>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</si>
  <si>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</si>
  <si>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</si>
  <si>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</si>
  <si>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</si>
  <si>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</si>
  <si>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</si>
  <si>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</si>
  <si>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</si>
  <si>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</si>
  <si>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</si>
  <si>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</si>
  <si>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</si>
  <si>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</si>
  <si>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</si>
  <si>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</si>
  <si>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</si>
  <si>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</si>
  <si>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</si>
  <si>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</si>
  <si>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</si>
  <si>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</si>
  <si>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</si>
  <si>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</si>
  <si>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</si>
  <si>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</si>
  <si>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</si>
  <si>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</si>
  <si>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</si>
  <si>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</si>
  <si>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</si>
  <si>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</si>
  <si>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</si>
  <si>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</si>
  <si>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</si>
  <si>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</si>
  <si>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</si>
  <si>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</si>
  <si>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</si>
  <si>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</si>
  <si>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</si>
  <si>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</si>
  <si>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</si>
  <si>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</si>
  <si>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</si>
  <si>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</si>
  <si>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</si>
  <si>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</si>
  <si>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</si>
  <si>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</si>
  <si>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</si>
  <si>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</si>
  <si>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</si>
  <si>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</si>
  <si>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</si>
  <si>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</si>
  <si>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</si>
  <si>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</si>
  <si>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</si>
  <si>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</si>
  <si>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</si>
  <si>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</si>
  <si>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</si>
  <si>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</si>
  <si>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</si>
  <si>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</si>
  <si>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</si>
  <si>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</si>
  <si>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</si>
  <si>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</si>
  <si>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</si>
  <si>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</si>
  <si>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</si>
  <si>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</si>
  <si>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</si>
  <si>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</si>
  <si>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</si>
  <si>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</si>
  <si>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</si>
  <si>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</si>
  <si>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</si>
  <si>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</si>
  <si>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</si>
  <si>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</si>
  <si>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</si>
  <si>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</si>
  <si>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</si>
  <si>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</si>
  <si>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</si>
  <si>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</si>
  <si>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</si>
  <si>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</si>
  <si>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</si>
  <si>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</si>
  <si>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</si>
  <si>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</si>
  <si>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</si>
  <si>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</si>
  <si>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</si>
  <si>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</si>
  <si>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</si>
  <si>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</si>
  <si>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</si>
  <si>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</si>
  <si>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</si>
  <si>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</si>
  <si>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</si>
  <si>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</si>
  <si>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</si>
  <si>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</si>
  <si>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</si>
  <si>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</si>
  <si>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</si>
  <si>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</si>
  <si>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</si>
  <si>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</si>
  <si>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</si>
  <si>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</si>
  <si>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</si>
  <si>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</si>
  <si>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</si>
  <si>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</si>
  <si>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</si>
  <si>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</si>
  <si>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</si>
  <si>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</si>
  <si>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</si>
  <si>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</si>
  <si>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</si>
  <si>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</si>
  <si>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</si>
  <si>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</si>
  <si>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</si>
  <si>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</si>
  <si>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</si>
  <si>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</si>
  <si>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</si>
  <si>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</si>
  <si>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</si>
  <si>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</si>
  <si>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</si>
  <si>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</si>
  <si>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</si>
  <si>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</si>
  <si>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</si>
  <si>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</si>
  <si>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</si>
  <si>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</si>
  <si>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</si>
  <si>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</si>
  <si>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</si>
  <si>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</si>
  <si>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</si>
  <si>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</si>
  <si>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</si>
  <si>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</si>
  <si>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</si>
  <si>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</si>
  <si>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</si>
  <si>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</si>
  <si>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</si>
  <si>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</si>
  <si>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</si>
  <si>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</si>
  <si>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</si>
  <si>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</si>
  <si>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</si>
  <si>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</si>
  <si>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</si>
  <si>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</si>
  <si>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</si>
  <si>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</si>
  <si>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</si>
  <si>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</si>
  <si>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</si>
  <si>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</si>
  <si>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</si>
  <si>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</si>
  <si>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</si>
  <si>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</si>
  <si>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</si>
  <si>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</si>
  <si>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</si>
  <si>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</si>
  <si>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</si>
  <si>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</si>
  <si>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</si>
  <si>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</si>
  <si>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</si>
  <si>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</si>
  <si>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</si>
  <si>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</si>
  <si>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</si>
  <si>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</si>
  <si>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</si>
  <si>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</si>
  <si>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</si>
  <si>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</si>
  <si>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</si>
  <si>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</si>
  <si>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</si>
  <si>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</si>
  <si>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</si>
  <si>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</si>
  <si>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</si>
  <si>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</si>
  <si>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</si>
  <si>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</si>
  <si>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</si>
  <si>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</si>
  <si>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</si>
  <si>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</si>
  <si>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</si>
  <si>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</si>
  <si>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</si>
  <si>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</si>
  <si>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</si>
  <si>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</si>
  <si>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</si>
  <si>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</si>
  <si>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</si>
  <si>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</si>
  <si>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</si>
  <si>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</si>
  <si>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</si>
  <si>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</si>
  <si>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</si>
  <si>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</si>
  <si>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</si>
  <si>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</si>
  <si>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</si>
  <si>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</si>
  <si>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</si>
  <si>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</si>
  <si>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</si>
  <si>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</si>
  <si>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</si>
  <si>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</si>
  <si>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</si>
  <si>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</si>
  <si>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</si>
  <si>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</si>
  <si>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</si>
  <si>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</si>
  <si>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</si>
  <si>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</si>
  <si>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</si>
  <si>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</si>
  <si>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</si>
  <si>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</si>
  <si>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</si>
  <si>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</si>
  <si>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</si>
  <si>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</si>
  <si>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</si>
  <si>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</si>
  <si>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</si>
  <si>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</si>
  <si>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</si>
  <si>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</si>
  <si>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</si>
  <si>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</si>
  <si>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</si>
  <si>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</si>
  <si>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</si>
  <si>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</si>
  <si>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</si>
  <si>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</si>
  <si>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</si>
  <si>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</si>
  <si>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</si>
  <si>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</si>
  <si>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</si>
  <si>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</si>
  <si>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</si>
  <si>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</si>
  <si>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</si>
  <si>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</si>
  <si>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</si>
  <si>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</si>
  <si>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</si>
  <si>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</si>
  <si>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</si>
  <si>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</si>
  <si>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</si>
  <si>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</si>
  <si>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</si>
  <si>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</si>
  <si>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</si>
  <si>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</si>
  <si>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</si>
  <si>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</si>
  <si>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</si>
  <si>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</si>
  <si>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</si>
  <si>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</si>
  <si>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</si>
  <si>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</si>
  <si>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</si>
  <si>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</si>
  <si>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</si>
  <si>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</si>
  <si>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</si>
  <si>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</si>
  <si>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</si>
  <si>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</si>
  <si>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</si>
  <si>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</si>
  <si>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</si>
  <si>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</si>
  <si>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</si>
  <si>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</si>
  <si>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</si>
  <si>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</si>
  <si>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</si>
  <si>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</si>
  <si>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</si>
  <si>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</si>
  <si>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</si>
  <si>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</si>
  <si>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</si>
  <si>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</si>
  <si>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</si>
  <si>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</si>
  <si>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</si>
  <si>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</si>
  <si>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</si>
  <si>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</si>
  <si>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</si>
  <si>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</si>
  <si>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</si>
  <si>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</si>
  <si>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</si>
  <si>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</si>
  <si>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</si>
  <si>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</si>
  <si>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</si>
  <si>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</si>
  <si>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</si>
  <si>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</si>
  <si>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</si>
  <si>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</si>
  <si>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</si>
  <si>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</si>
  <si>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</si>
  <si>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</si>
  <si>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</si>
  <si>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</si>
  <si>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</si>
  <si>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</si>
  <si>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</si>
  <si>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</si>
  <si>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</si>
  <si>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</si>
  <si>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</si>
  <si>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</si>
  <si>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</si>
  <si>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</si>
  <si>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</si>
  <si>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</si>
  <si>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</si>
  <si>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</si>
  <si>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</si>
  <si>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</si>
  <si>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</si>
  <si>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</si>
  <si>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</si>
  <si>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</si>
  <si>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</si>
  <si>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</si>
  <si>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</si>
  <si>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</si>
  <si>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</si>
  <si>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</si>
  <si>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</si>
  <si>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</si>
  <si>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</si>
  <si>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</si>
  <si>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</si>
  <si>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</si>
  <si>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</si>
  <si>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</si>
  <si>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</si>
  <si>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</si>
  <si>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</si>
  <si>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</si>
  <si>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</si>
  <si>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</si>
  <si>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</si>
  <si>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</si>
  <si>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</si>
  <si>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</si>
  <si>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</si>
  <si>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</si>
  <si>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</si>
  <si>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</si>
  <si>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</si>
  <si>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</si>
  <si>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</si>
  <si>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</si>
  <si>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</si>
  <si>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</si>
  <si>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</si>
  <si>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</si>
  <si>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</si>
  <si>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</si>
  <si>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</si>
  <si>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</si>
  <si>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</si>
  <si>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</si>
  <si>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</si>
  <si>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</si>
  <si>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</si>
  <si>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</si>
  <si>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</si>
  <si>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</si>
  <si>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</si>
  <si>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</si>
  <si>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</si>
  <si>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</si>
  <si>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</si>
  <si>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</si>
  <si>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</si>
  <si>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</si>
  <si>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</si>
  <si>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</si>
  <si>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</si>
  <si>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</si>
  <si>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</si>
  <si>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</si>
  <si>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</si>
  <si>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</si>
  <si>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</si>
  <si>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</si>
  <si>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</si>
  <si>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</si>
  <si>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</si>
  <si>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</si>
  <si>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</si>
  <si>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</si>
  <si>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</si>
  <si>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</si>
  <si>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</si>
  <si>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</si>
  <si>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</si>
  <si>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</si>
  <si>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</si>
  <si>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</si>
  <si>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</si>
  <si>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</si>
  <si>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</si>
  <si>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</si>
  <si>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</si>
  <si>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</si>
  <si>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</si>
  <si>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</si>
  <si>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</si>
  <si>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</si>
  <si>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</si>
  <si>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</si>
  <si>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</si>
  <si>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</si>
  <si>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</si>
  <si>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</si>
  <si>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</si>
  <si>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</si>
  <si>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</si>
  <si>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</si>
  <si>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</si>
  <si>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</si>
  <si>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</si>
  <si>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</si>
  <si>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</si>
  <si>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</si>
  <si>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</si>
  <si>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</si>
  <si>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</si>
  <si>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</si>
  <si>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</si>
  <si>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</si>
  <si>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</si>
  <si>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</si>
  <si>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</si>
  <si>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</si>
  <si>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</si>
  <si>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</si>
  <si>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</si>
  <si>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</si>
  <si>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</si>
  <si>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</si>
  <si>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</si>
  <si>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</si>
  <si>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</si>
  <si>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</si>
  <si>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</si>
  <si>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</si>
  <si>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</si>
  <si>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</si>
  <si>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</si>
  <si>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</si>
  <si>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</si>
  <si>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</si>
  <si>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</si>
  <si>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</si>
  <si>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</si>
  <si>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</si>
  <si>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</si>
  <si>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</si>
  <si>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</si>
  <si>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</si>
  <si>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</si>
  <si>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</si>
  <si>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</si>
  <si>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</si>
  <si>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</si>
  <si>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</si>
  <si>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</si>
  <si>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</si>
  <si>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</si>
  <si>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</si>
  <si>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</si>
  <si>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</si>
  <si>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</si>
  <si>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</si>
  <si>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</si>
  <si>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</si>
  <si>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</si>
  <si>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</si>
  <si>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</si>
  <si>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</si>
  <si>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</si>
  <si>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</si>
  <si>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</si>
  <si>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</si>
  <si>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</si>
  <si>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</si>
  <si>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</si>
  <si>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</si>
  <si>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</si>
  <si>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</si>
  <si>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</si>
  <si>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</si>
  <si>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</si>
  <si>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</si>
  <si>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</si>
  <si>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</si>
  <si>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</si>
  <si>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</si>
  <si>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</si>
  <si>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</si>
  <si>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</si>
  <si>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</si>
  <si>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</si>
  <si>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</si>
  <si>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</si>
  <si>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</si>
  <si>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</si>
  <si>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</si>
  <si>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</si>
  <si>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</si>
  <si>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</si>
  <si>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</si>
  <si>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</si>
  <si>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</si>
  <si>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</si>
  <si>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</si>
  <si>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</si>
  <si>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</si>
  <si>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</si>
  <si>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</si>
  <si>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</si>
  <si>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</si>
  <si>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</si>
  <si>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</si>
  <si>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</si>
  <si>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</si>
  <si>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</si>
  <si>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</si>
  <si>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</si>
  <si>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</si>
  <si>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</si>
  <si>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</si>
  <si>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</si>
  <si>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</si>
  <si>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</si>
  <si>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</si>
  <si>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</si>
  <si>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</si>
  <si>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</si>
  <si>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</si>
  <si>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</si>
  <si>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</si>
  <si>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</si>
  <si>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</si>
  <si>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</si>
  <si>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</si>
  <si>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</si>
  <si>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</si>
  <si>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</si>
  <si>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</si>
  <si>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</si>
  <si>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</si>
  <si>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</si>
  <si>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</si>
  <si>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</si>
  <si>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</si>
  <si>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</si>
  <si>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</si>
  <si>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</si>
  <si>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</si>
  <si>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</si>
  <si>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</si>
  <si>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</si>
  <si>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</si>
  <si>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</si>
  <si>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</si>
  <si>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</si>
  <si>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</si>
  <si>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</si>
  <si>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</si>
  <si>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</si>
  <si>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</si>
  <si>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</si>
  <si>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</si>
  <si>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</si>
  <si>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</si>
  <si>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</si>
  <si>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</si>
  <si>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</si>
  <si>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</si>
  <si>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</si>
  <si>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</si>
  <si>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</si>
  <si>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</si>
  <si>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</si>
  <si>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</si>
  <si>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</si>
  <si>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</si>
  <si>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</si>
  <si>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</si>
  <si>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</si>
  <si>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</si>
  <si>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</si>
  <si>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</si>
  <si>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</si>
  <si>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</si>
  <si>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</si>
  <si>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</si>
  <si>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</si>
  <si>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</si>
  <si>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</si>
  <si>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</si>
  <si>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</si>
  <si>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</si>
  <si>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</si>
  <si>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</si>
  <si>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</si>
  <si>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</si>
  <si>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</si>
  <si>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</si>
  <si>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</si>
  <si>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</si>
  <si>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</si>
  <si>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</si>
  <si>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</si>
  <si>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</si>
  <si>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</si>
  <si>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</si>
  <si>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</si>
  <si>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</si>
  <si>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</si>
  <si>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</si>
  <si>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</si>
  <si>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</si>
  <si>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</si>
  <si>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</si>
  <si>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</si>
  <si>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</si>
  <si>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</si>
  <si>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</si>
  <si>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</si>
  <si>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</si>
  <si>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</si>
  <si>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</si>
  <si>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</si>
  <si>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</si>
  <si>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</si>
  <si>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</si>
  <si>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</si>
  <si>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</si>
  <si>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</si>
  <si>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</si>
  <si>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</si>
  <si>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</si>
  <si>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</si>
  <si>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</si>
  <si>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</si>
  <si>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</si>
  <si>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</si>
  <si>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</si>
  <si>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</si>
  <si>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</si>
  <si>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</si>
  <si>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</si>
  <si>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</si>
  <si>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</si>
  <si>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</si>
  <si>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</si>
  <si>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</si>
  <si>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</si>
  <si>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</si>
  <si>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</si>
  <si>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</si>
  <si>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</si>
  <si>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</si>
  <si>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</si>
  <si>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</si>
  <si>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</si>
  <si>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</si>
  <si>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</si>
  <si>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</si>
  <si>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</si>
  <si>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</si>
  <si>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</si>
  <si>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</si>
  <si>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</si>
  <si>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</si>
  <si>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</si>
  <si>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</si>
  <si>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</si>
  <si>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</si>
  <si>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</si>
  <si>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</si>
  <si>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</si>
  <si>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</si>
  <si>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</si>
  <si>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</si>
  <si>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</si>
  <si>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</si>
  <si>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</si>
  <si>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</si>
  <si>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</si>
  <si>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</si>
  <si>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</si>
  <si>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</si>
  <si>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</si>
  <si>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</si>
  <si>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</si>
  <si>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</si>
  <si>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</si>
  <si>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</si>
  <si>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</si>
  <si>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</si>
  <si>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</si>
  <si>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</si>
  <si>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</si>
  <si>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</si>
  <si>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</si>
  <si>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</si>
  <si>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</si>
  <si>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</si>
  <si>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</si>
  <si>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</si>
  <si>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</si>
  <si>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</si>
  <si>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</si>
  <si>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</si>
  <si>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</si>
  <si>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</si>
  <si>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</si>
  <si>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</si>
  <si>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</si>
  <si>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</si>
  <si>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</si>
  <si>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</si>
  <si>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</si>
  <si>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</si>
  <si>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</si>
  <si>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</si>
  <si>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</si>
  <si>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</si>
  <si>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</si>
  <si>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</si>
  <si>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</si>
  <si>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</si>
  <si>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</si>
  <si>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</si>
  <si>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</si>
  <si>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</si>
  <si>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</si>
  <si>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</si>
  <si>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</si>
  <si>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</si>
  <si>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</si>
  <si>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</si>
  <si>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</si>
  <si>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</si>
  <si>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</si>
  <si>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</si>
  <si>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</si>
  <si>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</si>
  <si>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</si>
  <si>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</si>
  <si>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</si>
  <si>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</si>
  <si>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</si>
  <si>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</si>
  <si>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</si>
  <si>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</si>
  <si>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</si>
  <si>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</si>
  <si>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</si>
  <si>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</si>
  <si>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</si>
  <si>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</si>
  <si>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</si>
  <si>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</si>
  <si>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</si>
  <si>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</si>
  <si>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</si>
  <si>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</si>
  <si>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</si>
  <si>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</si>
  <si>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</si>
  <si>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</si>
  <si>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</si>
  <si>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</si>
  <si>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</si>
  <si>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</si>
  <si>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</si>
  <si>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</si>
  <si>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</si>
  <si>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</si>
  <si>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</si>
  <si>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</si>
  <si>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</si>
  <si>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</si>
  <si>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</si>
  <si>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</si>
  <si>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</si>
  <si>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</si>
  <si>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</si>
  <si>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</si>
  <si>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</si>
  <si>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</si>
  <si>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</si>
  <si>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</si>
  <si>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</si>
  <si>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</si>
  <si>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</si>
  <si>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</si>
  <si>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</si>
  <si>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</si>
  <si>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</si>
  <si>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</si>
  <si>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</si>
  <si>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</si>
  <si>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</si>
  <si>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</si>
  <si>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</si>
  <si>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</si>
  <si>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</si>
  <si>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</si>
  <si>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</si>
  <si>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</si>
  <si>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</si>
  <si>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</si>
  <si>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</si>
  <si>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</si>
  <si>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</si>
  <si>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</si>
  <si>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</si>
  <si>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</si>
  <si>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</si>
  <si>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</si>
  <si>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</si>
  <si>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</si>
  <si>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</si>
  <si>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</si>
  <si>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</si>
  <si>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</si>
  <si>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</si>
  <si>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</si>
  <si>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</si>
  <si>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</si>
  <si>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</si>
  <si>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</si>
  <si>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</si>
  <si>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</si>
  <si>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</si>
  <si>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</si>
  <si>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</si>
  <si>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</si>
  <si>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</si>
  <si>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</si>
  <si>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</si>
  <si>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</si>
  <si>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</si>
  <si>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</si>
  <si>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</si>
  <si>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</si>
  <si>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</si>
  <si>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</si>
  <si>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</si>
  <si>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</si>
  <si>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</si>
  <si>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</si>
  <si>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</si>
  <si>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</si>
  <si>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</si>
  <si>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</si>
  <si>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</si>
  <si>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</si>
  <si>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</si>
  <si>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</si>
  <si>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</si>
  <si>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</si>
  <si>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</si>
  <si>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</si>
  <si>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</si>
  <si>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</si>
  <si>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</si>
  <si>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</si>
  <si>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</si>
  <si>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</si>
  <si>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</si>
  <si>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</si>
  <si>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</si>
  <si>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</si>
  <si>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</si>
  <si>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</si>
  <si>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</si>
  <si>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</si>
  <si>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</si>
  <si>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</si>
  <si>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</si>
  <si>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</si>
  <si>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</si>
  <si>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</si>
  <si>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</si>
  <si>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</si>
  <si>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</si>
  <si>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</si>
  <si>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</si>
  <si>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</si>
  <si>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</si>
  <si>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</si>
  <si>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</si>
  <si>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</si>
  <si>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</si>
  <si>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</si>
  <si>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</si>
  <si>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</si>
  <si>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</si>
  <si>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</si>
  <si>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</si>
  <si>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</si>
  <si>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</si>
  <si>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</si>
  <si>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</si>
  <si>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</si>
  <si>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</si>
  <si>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</si>
  <si>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</si>
  <si>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</si>
  <si>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</si>
  <si>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</si>
  <si>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</si>
  <si>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</si>
  <si>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</si>
  <si>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</si>
  <si>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</si>
  <si>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</si>
  <si>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</si>
  <si>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</si>
  <si>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</si>
  <si>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</si>
  <si>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</si>
  <si>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</si>
  <si>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</si>
  <si>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</si>
  <si>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</si>
  <si>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</si>
  <si>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</si>
  <si>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</si>
  <si>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</si>
  <si>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</si>
  <si>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</si>
  <si>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</si>
  <si>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</si>
  <si>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</si>
  <si>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</si>
  <si>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</si>
  <si>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</si>
  <si>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</si>
  <si>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</si>
  <si>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</si>
  <si>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</si>
  <si>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</si>
  <si>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</si>
  <si>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</si>
  <si>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</si>
  <si>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</si>
  <si>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</si>
  <si>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</si>
  <si>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</si>
  <si>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</si>
  <si>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</si>
  <si>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</si>
  <si>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</si>
  <si>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</si>
  <si>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</si>
  <si>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</si>
  <si>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</si>
  <si>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</si>
  <si>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</si>
  <si>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</si>
  <si>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</si>
  <si>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</si>
  <si>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</si>
  <si>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</si>
  <si>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</si>
  <si>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</si>
  <si>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</si>
  <si>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</si>
  <si>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</si>
  <si>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</si>
  <si>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</si>
  <si>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</si>
  <si>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</si>
  <si>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</si>
  <si>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</si>
  <si>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</si>
  <si>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</si>
  <si>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</si>
  <si>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</si>
  <si>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</si>
  <si>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</si>
  <si>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</si>
  <si>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</si>
  <si>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</si>
  <si>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</si>
  <si>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</si>
  <si>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</si>
  <si>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</si>
  <si>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</si>
  <si>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</si>
  <si>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</si>
  <si>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</si>
  <si>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</si>
  <si>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</si>
  <si>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</si>
  <si>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</si>
  <si>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</si>
  <si>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</si>
  <si>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</si>
  <si>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</si>
  <si>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</si>
  <si>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</si>
  <si>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</si>
  <si>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</si>
  <si>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</si>
  <si>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</si>
  <si>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</si>
  <si>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</si>
  <si>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</si>
  <si>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</si>
  <si>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</si>
  <si>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</si>
  <si>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</si>
  <si>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</si>
  <si>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</si>
  <si>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</si>
  <si>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</si>
  <si>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</si>
  <si>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</si>
  <si>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</si>
  <si>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</si>
  <si>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</si>
  <si>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</si>
  <si>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</si>
  <si>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</si>
  <si>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</si>
  <si>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</si>
  <si>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</si>
  <si>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</si>
  <si>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</si>
  <si>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</si>
  <si>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</si>
  <si>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</si>
  <si>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</si>
  <si>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</si>
  <si>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</si>
  <si>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</si>
  <si>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</si>
  <si>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</si>
  <si>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</si>
  <si>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</si>
  <si>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</si>
  <si>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</si>
  <si>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</si>
  <si>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</si>
  <si>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</si>
  <si>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</si>
  <si>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</si>
  <si>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</si>
  <si>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</si>
  <si>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</si>
  <si>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</si>
  <si>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</si>
  <si>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</si>
  <si>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</si>
  <si>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</si>
  <si>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</si>
  <si>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</si>
  <si>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</si>
  <si>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</si>
  <si>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</si>
  <si>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</si>
  <si>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</si>
  <si>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</si>
  <si>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</si>
  <si>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</si>
  <si>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</si>
  <si>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</si>
  <si>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</si>
  <si>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</si>
  <si>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</si>
  <si>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</si>
  <si>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</si>
  <si>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</si>
  <si>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</si>
  <si>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</si>
  <si>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</si>
  <si>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</si>
  <si>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</si>
  <si>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</si>
  <si>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</si>
  <si>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</si>
  <si>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</si>
  <si>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</si>
  <si>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</si>
  <si>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</si>
  <si>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</si>
  <si>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</si>
  <si>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</si>
  <si>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</si>
  <si>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</si>
  <si>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</si>
  <si>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</si>
  <si>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</si>
  <si>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</si>
  <si>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</si>
  <si>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</si>
  <si>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</si>
  <si>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</si>
  <si>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</si>
  <si>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</si>
  <si>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</si>
  <si>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</si>
  <si>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</si>
  <si>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</si>
  <si>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</si>
  <si>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</si>
  <si>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</si>
  <si>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</si>
  <si>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</si>
  <si>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</si>
  <si>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</si>
  <si>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</si>
  <si>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</si>
  <si>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</si>
  <si>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</si>
  <si>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</si>
  <si>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</si>
  <si>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</si>
  <si>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</si>
  <si>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</si>
  <si>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</si>
  <si>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</si>
  <si>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</si>
  <si>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</si>
  <si>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</si>
  <si>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</si>
  <si>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</si>
  <si>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</si>
  <si>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</si>
  <si>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</si>
  <si>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</si>
  <si>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</si>
  <si>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</si>
  <si>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</si>
  <si>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</si>
  <si>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</si>
  <si>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</si>
  <si>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</si>
  <si>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</si>
  <si>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</si>
  <si>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</si>
  <si>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</si>
  <si>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</si>
  <si>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</si>
  <si>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</si>
  <si>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</si>
  <si>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</si>
  <si>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</si>
  <si>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</si>
  <si>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</si>
  <si>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</si>
  <si>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</si>
  <si>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</si>
  <si>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</si>
  <si>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</si>
  <si>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</si>
  <si>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</si>
  <si>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</si>
  <si>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</si>
  <si>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</si>
  <si>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</si>
  <si>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</si>
  <si>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</si>
  <si>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</si>
  <si>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</si>
  <si>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</si>
  <si>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</si>
  <si>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</si>
  <si>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</si>
  <si>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</si>
  <si>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</si>
  <si>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</si>
  <si>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</si>
  <si>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</si>
  <si>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</si>
  <si>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</si>
  <si>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</si>
  <si>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</si>
  <si>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</si>
  <si>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</si>
  <si>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</si>
  <si>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</si>
  <si>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</si>
  <si>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</si>
  <si>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</si>
  <si>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</si>
  <si>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</si>
  <si>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</si>
  <si>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</si>
  <si>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</si>
  <si>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</si>
  <si>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</si>
  <si>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</si>
  <si>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</si>
  <si>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</si>
  <si>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</si>
  <si>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</si>
  <si>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</si>
  <si>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</si>
  <si>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</si>
  <si>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</si>
  <si>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</si>
  <si>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</si>
  <si>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</si>
  <si>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</si>
  <si>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</si>
  <si>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</si>
  <si>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</si>
  <si>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</si>
  <si>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</si>
  <si>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</si>
  <si>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</si>
  <si>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</si>
  <si>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</si>
  <si>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</si>
  <si>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</si>
  <si>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</si>
  <si>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</si>
  <si>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</si>
  <si>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</si>
  <si>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</si>
  <si>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</si>
  <si>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</si>
  <si>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</si>
  <si>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</si>
  <si>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</si>
  <si>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</si>
  <si>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</si>
  <si>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</si>
  <si>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</si>
  <si>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</si>
  <si>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</si>
  <si>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</si>
  <si>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</si>
  <si>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</si>
  <si>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</si>
  <si>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</si>
  <si>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</si>
  <si>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</si>
  <si>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</si>
  <si>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</si>
  <si>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</si>
  <si>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teorival</t>
    <phoneticPr fontId="2" type="noConversion"/>
  </si>
  <si>
    <t>tastemywrath</t>
    <phoneticPr fontId="2" type="noConversion"/>
  </si>
  <si>
    <t>英雄召喚使用券x2</t>
    <phoneticPr fontId="2" type="noConversion"/>
  </si>
  <si>
    <t>金幣*20W</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</si>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</sst>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printerSettings" Target="../printerSettings/printerSettings1.bin"/><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I272" activePane="bottomRight" state="frozen"/>
      <selection pane="topRight" activeCell="B1" sqref="B1"/>
      <selection pane="bottomLeft" activeCell="A2" sqref="A2"/>
      <selection pane="bottomRight" activeCell="AB274" sqref="AB274:AC274"/>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3"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4882</v>
      </c>
      <c r="K263" s="72">
        <v>2371</v>
      </c>
      <c r="L263" s="1" t="s">
        <v>4883</v>
      </c>
      <c r="M263" s="72">
        <v>1204</v>
      </c>
      <c r="N263" s="1" t="s">
        <v>4884</v>
      </c>
      <c r="O263" s="72">
        <v>563</v>
      </c>
      <c r="P263" s="1" t="s">
        <v>4885</v>
      </c>
      <c r="Q263" s="72">
        <v>261</v>
      </c>
      <c r="R263" s="1" t="s">
        <v>4886</v>
      </c>
      <c r="S263" s="72">
        <v>128</v>
      </c>
      <c r="T263" s="1" t="s">
        <v>4887</v>
      </c>
      <c r="U263" s="72">
        <v>26</v>
      </c>
      <c r="V263" s="1" t="s">
        <v>4888</v>
      </c>
      <c r="W263" s="72">
        <v>400</v>
      </c>
      <c r="X263" s="1" t="s">
        <v>4889</v>
      </c>
      <c r="Y263" s="72">
        <v>128</v>
      </c>
      <c r="Z263" s="1" t="s">
        <v>4890</v>
      </c>
      <c r="AA263" s="72">
        <v>2371</v>
      </c>
      <c r="AB263" s="99" t="s">
        <v>4891</v>
      </c>
      <c r="AC263" s="72">
        <v>1204</v>
      </c>
      <c r="AD263" s="1" t="s">
        <v>4892</v>
      </c>
      <c r="AE263" s="72">
        <v>400</v>
      </c>
      <c r="AF263" s="1" t="s">
        <v>4893</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4894</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4943</v>
      </c>
      <c r="K267" s="72">
        <v>2371</v>
      </c>
      <c r="L267" s="1" t="s">
        <v>4944</v>
      </c>
      <c r="M267" s="72">
        <v>1204</v>
      </c>
      <c r="N267" s="1" t="s">
        <v>4945</v>
      </c>
      <c r="O267" s="72">
        <v>807</v>
      </c>
      <c r="P267" s="1" t="s">
        <v>4946</v>
      </c>
      <c r="Q267" s="72">
        <v>530</v>
      </c>
      <c r="R267" s="1" t="s">
        <v>4947</v>
      </c>
      <c r="S267" s="72">
        <v>294</v>
      </c>
      <c r="T267" s="1" t="s">
        <v>4948</v>
      </c>
      <c r="U267" s="72">
        <v>136</v>
      </c>
      <c r="V267" s="1" t="s">
        <v>4949</v>
      </c>
      <c r="W267" s="72">
        <v>29</v>
      </c>
      <c r="X267" s="1" t="s">
        <v>4950</v>
      </c>
      <c r="Y267" s="72">
        <v>136</v>
      </c>
      <c r="Z267" s="1" t="s">
        <v>4951</v>
      </c>
      <c r="AA267" s="72">
        <v>136</v>
      </c>
      <c r="AB267" s="1" t="s">
        <v>4952</v>
      </c>
      <c r="AC267" s="72">
        <v>196</v>
      </c>
    </row>
    <row r="268" spans="1:33" ht="22.5" customHeight="1" thickBot="1">
      <c r="A268" s="3" t="s">
        <v>4920</v>
      </c>
      <c r="C268" s="5" t="s">
        <v>4922</v>
      </c>
      <c r="D268" s="4" t="s">
        <v>4905</v>
      </c>
      <c r="E268" s="4" t="s">
        <v>4906</v>
      </c>
      <c r="F268" s="40" t="str">
        <f t="shared" ref="F268:F312" si="12">IF(A268="", "", "gift-codes.html?game=" &amp; A268)</f>
        <v>gift-codes.html?game=我的花園世界</v>
      </c>
      <c r="G268" s="4" t="s">
        <v>4921</v>
      </c>
      <c r="H268" s="41" t="str">
        <f t="shared" si="11"/>
        <v>https://www.ssbuy.tw/detail_giftcode/dist/gamedetail/我的花園世界.html</v>
      </c>
      <c r="I268" s="42" t="s">
        <v>4923</v>
      </c>
      <c r="J268" s="1" t="s">
        <v>4915</v>
      </c>
      <c r="K268" s="72">
        <v>2609</v>
      </c>
      <c r="L268" s="1" t="s">
        <v>204</v>
      </c>
      <c r="M268" s="72">
        <v>1365</v>
      </c>
      <c r="N268" s="1" t="s">
        <v>4916</v>
      </c>
      <c r="O268" s="72">
        <v>807</v>
      </c>
      <c r="P268" s="1" t="s">
        <v>4460</v>
      </c>
      <c r="Q268" s="72">
        <v>546</v>
      </c>
      <c r="R268" s="1" t="s">
        <v>4917</v>
      </c>
      <c r="S268" s="72">
        <v>400</v>
      </c>
      <c r="T268" s="1" t="s">
        <v>205</v>
      </c>
      <c r="U268" s="72">
        <v>269</v>
      </c>
      <c r="V268" s="1" t="s">
        <v>239</v>
      </c>
      <c r="W268" s="72">
        <v>145</v>
      </c>
      <c r="X268" s="1" t="s">
        <v>240</v>
      </c>
      <c r="Y268" s="72">
        <v>29</v>
      </c>
      <c r="Z268" s="1" t="s">
        <v>4918</v>
      </c>
      <c r="AA268" s="72">
        <v>29</v>
      </c>
      <c r="AB268" s="1" t="s">
        <v>4919</v>
      </c>
      <c r="AC268" s="72">
        <v>145</v>
      </c>
    </row>
    <row r="269" spans="1:33" ht="22.5" customHeight="1" thickBot="1">
      <c r="A269" s="72" t="s">
        <v>4953</v>
      </c>
      <c r="C269" s="5" t="s">
        <v>4958</v>
      </c>
      <c r="D269" s="41" t="s">
        <v>4960</v>
      </c>
      <c r="E269" s="41" t="s">
        <v>4959</v>
      </c>
      <c r="F269" s="40" t="str">
        <f t="shared" si="12"/>
        <v>gift-codes.html?game=Awakenloop</v>
      </c>
      <c r="G269" s="41" t="s">
        <v>4961</v>
      </c>
      <c r="H269" s="41" t="str">
        <f t="shared" si="11"/>
        <v>https://www.ssbuy.tw/detail_giftcode/dist/gamedetail/Awakenloop.html</v>
      </c>
      <c r="I269" s="42" t="s">
        <v>4977</v>
      </c>
      <c r="J269" s="1" t="s">
        <v>4860</v>
      </c>
      <c r="K269" s="72">
        <v>2343</v>
      </c>
      <c r="L269" s="1" t="s">
        <v>4861</v>
      </c>
      <c r="M269" s="72">
        <v>1190</v>
      </c>
      <c r="N269" s="1" t="s">
        <v>4862</v>
      </c>
      <c r="O269" s="72">
        <v>798</v>
      </c>
      <c r="P269" s="1" t="s">
        <v>4863</v>
      </c>
      <c r="Q269" s="72">
        <v>540</v>
      </c>
      <c r="R269" s="1" t="s">
        <v>4864</v>
      </c>
      <c r="S269" s="72">
        <v>395</v>
      </c>
      <c r="T269" s="1" t="s">
        <v>4865</v>
      </c>
      <c r="U269" s="72">
        <v>258</v>
      </c>
      <c r="V269" s="1" t="s">
        <v>4866</v>
      </c>
      <c r="W269" s="72">
        <v>126</v>
      </c>
      <c r="X269" s="1" t="s">
        <v>4995</v>
      </c>
      <c r="Y269" s="72">
        <v>52</v>
      </c>
      <c r="Z269" s="1" t="s">
        <v>4867</v>
      </c>
      <c r="AA269" s="72">
        <v>26</v>
      </c>
    </row>
    <row r="270" spans="1:33" ht="22.5" customHeight="1" thickBot="1">
      <c r="A270" s="72" t="s">
        <v>4954</v>
      </c>
      <c r="C270" s="40" t="s">
        <v>4965</v>
      </c>
      <c r="D270" s="41" t="s">
        <v>4962</v>
      </c>
      <c r="E270" s="41" t="s">
        <v>4963</v>
      </c>
      <c r="F270" s="40" t="str">
        <f t="shared" si="12"/>
        <v>gift-codes.html?game=Astellia</v>
      </c>
      <c r="G270" s="41" t="s">
        <v>4964</v>
      </c>
      <c r="H270" s="41" t="str">
        <f t="shared" si="11"/>
        <v>https://www.ssbuy.tw/detail_giftcode/dist/gamedetail/Astellia.html</v>
      </c>
      <c r="I270" s="42" t="s">
        <v>4978</v>
      </c>
      <c r="J270" s="1" t="s">
        <v>4996</v>
      </c>
      <c r="K270" s="72">
        <v>2076</v>
      </c>
      <c r="L270" s="1" t="s">
        <v>261</v>
      </c>
      <c r="M270" s="72">
        <v>1030</v>
      </c>
      <c r="N270" s="1" t="s">
        <v>263</v>
      </c>
      <c r="O270" s="72">
        <v>637</v>
      </c>
      <c r="P270" s="1" t="s">
        <v>3699</v>
      </c>
      <c r="Q270" s="72">
        <v>227</v>
      </c>
    </row>
    <row r="271" spans="1:33" ht="22.5" customHeight="1" thickBot="1">
      <c r="A271" s="72" t="s">
        <v>4955</v>
      </c>
      <c r="C271" s="40" t="s">
        <v>4975</v>
      </c>
      <c r="D271" s="40" t="s">
        <v>4975</v>
      </c>
      <c r="E271" s="41" t="s">
        <v>4976</v>
      </c>
      <c r="F271" s="40" t="str">
        <f t="shared" si="12"/>
        <v>gift-codes.html?game=華夏千秋</v>
      </c>
      <c r="G271" s="41" t="s">
        <v>4966</v>
      </c>
      <c r="H271" s="41" t="str">
        <f t="shared" si="11"/>
        <v>https://www.ssbuy.tw/detail_giftcode/dist/gamedetail/華夏千秋.html</v>
      </c>
      <c r="I271" s="42" t="s">
        <v>4979</v>
      </c>
      <c r="J271" s="1" t="s">
        <v>4997</v>
      </c>
      <c r="K271" s="72">
        <v>2579</v>
      </c>
      <c r="L271" s="1" t="s">
        <v>4998</v>
      </c>
      <c r="M271" s="72">
        <v>1988</v>
      </c>
      <c r="N271" s="1" t="s">
        <v>4999</v>
      </c>
      <c r="O271" s="72">
        <v>1349</v>
      </c>
      <c r="P271" s="1" t="s">
        <v>5000</v>
      </c>
      <c r="Q271" s="72">
        <v>950</v>
      </c>
      <c r="R271" s="1" t="s">
        <v>5001</v>
      </c>
      <c r="S271" s="72">
        <v>798</v>
      </c>
      <c r="T271" s="1" t="s">
        <v>5002</v>
      </c>
      <c r="U271" s="72">
        <v>749</v>
      </c>
      <c r="V271" s="1" t="s">
        <v>5003</v>
      </c>
      <c r="W271" s="72">
        <v>540</v>
      </c>
      <c r="X271" s="1" t="s">
        <v>5004</v>
      </c>
      <c r="Y271" s="72">
        <v>395</v>
      </c>
      <c r="Z271" s="1" t="s">
        <v>5005</v>
      </c>
      <c r="AA271" s="72">
        <v>346</v>
      </c>
      <c r="AB271" s="1" t="s">
        <v>5006</v>
      </c>
      <c r="AC271" s="72">
        <v>314</v>
      </c>
    </row>
    <row r="272" spans="1:33" ht="22.5" customHeight="1" thickBot="1">
      <c r="A272" s="72" t="s">
        <v>4956</v>
      </c>
      <c r="C272" s="40" t="s">
        <v>4967</v>
      </c>
      <c r="D272" s="41" t="s">
        <v>4970</v>
      </c>
      <c r="E272" s="41" t="s">
        <v>4969</v>
      </c>
      <c r="F272" s="40" t="str">
        <f t="shared" si="12"/>
        <v>gift-codes.html?game=萌塔娘</v>
      </c>
      <c r="G272" s="41" t="s">
        <v>4968</v>
      </c>
      <c r="H272" s="41" t="str">
        <f t="shared" si="11"/>
        <v>https://www.ssbuy.tw/detail_giftcode/dist/gamedetail/萌塔娘.html</v>
      </c>
      <c r="I272" s="42" t="s">
        <v>4980</v>
      </c>
      <c r="J272" s="1" t="s">
        <v>5007</v>
      </c>
      <c r="K272" s="72">
        <v>2579</v>
      </c>
      <c r="L272" s="1" t="s">
        <v>5008</v>
      </c>
      <c r="M272" s="72">
        <v>1349</v>
      </c>
      <c r="N272" s="1" t="s">
        <v>5009</v>
      </c>
      <c r="O272" s="72">
        <v>798</v>
      </c>
      <c r="P272" s="1" t="s">
        <v>5010</v>
      </c>
      <c r="Q272" s="72">
        <v>395</v>
      </c>
      <c r="R272" s="1" t="s">
        <v>5011</v>
      </c>
      <c r="S272" s="72">
        <v>266</v>
      </c>
      <c r="T272" s="1" t="s">
        <v>5012</v>
      </c>
      <c r="U272" s="72">
        <v>143</v>
      </c>
      <c r="V272" s="1" t="s">
        <v>5013</v>
      </c>
      <c r="W272" s="72">
        <v>29</v>
      </c>
    </row>
    <row r="273" spans="1:29" ht="22.5" customHeight="1" thickBot="1">
      <c r="A273" s="72" t="s">
        <v>4957</v>
      </c>
      <c r="C273" s="40" t="s">
        <v>4971</v>
      </c>
      <c r="D273" s="41" t="s">
        <v>4972</v>
      </c>
      <c r="E273" s="41" t="s">
        <v>4973</v>
      </c>
      <c r="F273" s="40" t="str">
        <f t="shared" si="12"/>
        <v>gift-codes.html?game=盜夢英雄2：幻野</v>
      </c>
      <c r="G273" s="41" t="s">
        <v>4974</v>
      </c>
      <c r="H273" s="41" t="str">
        <f t="shared" si="11"/>
        <v>https://www.ssbuy.tw/detail_giftcode/dist/gamedetail/盜夢英雄2：幻野.html</v>
      </c>
      <c r="I273" s="42" t="s">
        <v>4981</v>
      </c>
      <c r="J273" s="1" t="s">
        <v>5014</v>
      </c>
      <c r="K273" s="72">
        <v>2579</v>
      </c>
      <c r="L273" s="1" t="s">
        <v>1675</v>
      </c>
      <c r="M273" s="72">
        <v>1828</v>
      </c>
      <c r="N273" s="1" t="s">
        <v>1676</v>
      </c>
      <c r="O273" s="72">
        <v>1349</v>
      </c>
      <c r="P273" s="1" t="s">
        <v>1678</v>
      </c>
      <c r="Q273" s="72">
        <v>950</v>
      </c>
      <c r="R273" s="1" t="s">
        <v>151</v>
      </c>
      <c r="S273" s="72">
        <v>798</v>
      </c>
      <c r="T273" s="1" t="s">
        <v>5015</v>
      </c>
      <c r="U273" s="72">
        <v>669</v>
      </c>
      <c r="V273" s="1" t="s">
        <v>1679</v>
      </c>
      <c r="W273" s="72">
        <v>540</v>
      </c>
      <c r="X273" s="1" t="s">
        <v>153</v>
      </c>
      <c r="Y273" s="72">
        <v>395</v>
      </c>
      <c r="Z273" s="1" t="s">
        <v>5016</v>
      </c>
      <c r="AA273" s="72">
        <v>314</v>
      </c>
      <c r="AB273" s="1" t="s">
        <v>154</v>
      </c>
      <c r="AC273" s="72">
        <v>160</v>
      </c>
    </row>
    <row r="274" spans="1:29" ht="22.5" customHeight="1" thickBot="1">
      <c r="A274" s="70" t="s">
        <v>5034</v>
      </c>
      <c r="C274" s="40" t="s">
        <v>5031</v>
      </c>
      <c r="D274" s="41" t="s">
        <v>5032</v>
      </c>
      <c r="E274" s="41" t="s">
        <v>5033</v>
      </c>
      <c r="F274" s="40" t="str">
        <f t="shared" si="12"/>
        <v>gift-codes.html?game=貪婪洞窟：重生</v>
      </c>
      <c r="G274" s="4" t="s">
        <v>5035</v>
      </c>
      <c r="H274" s="41" t="str">
        <f t="shared" si="11"/>
        <v>https://www.ssbuy.tw/detail_giftcode/dist/gamedetail/貪婪洞窟：重生.html</v>
      </c>
      <c r="I274" s="42" t="s">
        <v>5036</v>
      </c>
      <c r="J274" s="1" t="s">
        <v>5037</v>
      </c>
      <c r="K274" s="72">
        <v>2343</v>
      </c>
      <c r="L274" s="1" t="s">
        <v>5038</v>
      </c>
      <c r="M274" s="72">
        <v>1190</v>
      </c>
      <c r="N274" s="1" t="s">
        <v>5039</v>
      </c>
      <c r="O274" s="72">
        <v>556</v>
      </c>
      <c r="P274" s="1" t="s">
        <v>5040</v>
      </c>
      <c r="Q274" s="72">
        <v>258</v>
      </c>
      <c r="R274" s="1" t="s">
        <v>5041</v>
      </c>
      <c r="S274" s="72">
        <v>126</v>
      </c>
      <c r="T274" s="1" t="s">
        <v>1377</v>
      </c>
      <c r="U274" s="72">
        <v>26</v>
      </c>
      <c r="V274" s="1" t="s">
        <v>5042</v>
      </c>
      <c r="W274" s="72">
        <v>556</v>
      </c>
      <c r="X274" s="1" t="s">
        <v>5043</v>
      </c>
      <c r="Y274" s="72">
        <v>556</v>
      </c>
      <c r="Z274" s="1" t="s">
        <v>5044</v>
      </c>
      <c r="AA274" s="72">
        <v>1190</v>
      </c>
      <c r="AB274" s="1" t="s">
        <v>5045</v>
      </c>
      <c r="AC274" s="72">
        <v>2343</v>
      </c>
    </row>
    <row r="275" spans="1:29" ht="22.5" customHeight="1">
      <c r="F275" s="40" t="str">
        <f t="shared" si="12"/>
        <v/>
      </c>
      <c r="H275" s="41" t="str">
        <f t="shared" si="11"/>
        <v/>
      </c>
    </row>
    <row r="276" spans="1:29" ht="22.5" customHeight="1">
      <c r="F276" s="40" t="str">
        <f t="shared" si="12"/>
        <v/>
      </c>
      <c r="H276" s="41" t="str">
        <f t="shared" si="11"/>
        <v/>
      </c>
    </row>
    <row r="277" spans="1:29" ht="22.5" customHeight="1">
      <c r="F277" s="40" t="str">
        <f t="shared" si="12"/>
        <v/>
      </c>
      <c r="H277" s="41" t="str">
        <f t="shared" si="11"/>
        <v/>
      </c>
    </row>
    <row r="278" spans="1:29" ht="22.5" customHeight="1">
      <c r="F278" s="40" t="str">
        <f t="shared" si="12"/>
        <v/>
      </c>
      <c r="H278" s="41" t="str">
        <f t="shared" si="11"/>
        <v/>
      </c>
    </row>
    <row r="279" spans="1:29" ht="22.5" customHeight="1">
      <c r="F279" s="40" t="str">
        <f t="shared" si="12"/>
        <v/>
      </c>
      <c r="H279" s="41" t="str">
        <f t="shared" si="11"/>
        <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s>
  <pageMargins left="0.7" right="0.7" top="0.75" bottom="0.75" header="0.3" footer="0.3"/>
  <pageSetup paperSize="9" orientation="portrait" r:id="rId2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B266" activePane="bottomRight" state="frozen"/>
      <selection pane="topRight" activeCell="B1" sqref="B1"/>
      <selection pane="bottomLeft" activeCell="A2" sqref="A2"/>
      <selection pane="bottomRight" activeCell="A274" sqref="A274"/>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4868</v>
      </c>
      <c r="S185" s="18" t="s">
        <v>4869</v>
      </c>
      <c r="U185" s="18" t="s">
        <v>4870</v>
      </c>
      <c r="W185" s="18" t="s">
        <v>4871</v>
      </c>
      <c r="Y185" s="18" t="s">
        <v>4872</v>
      </c>
      <c r="AA185" s="18" t="s">
        <v>4873</v>
      </c>
      <c r="AC185" s="18" t="s">
        <v>4874</v>
      </c>
      <c r="AE185" s="18" t="s">
        <v>4875</v>
      </c>
      <c r="AG185" s="18" t="s">
        <v>4876</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4878</v>
      </c>
      <c r="AI190" s="18" t="s">
        <v>4879</v>
      </c>
      <c r="AK190" s="18" t="s">
        <v>4880</v>
      </c>
      <c r="AM190" s="18" t="s">
        <v>4881</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4877</v>
      </c>
      <c r="AC227" s="18" t="s">
        <v>4992</v>
      </c>
      <c r="AE227" s="18" t="s">
        <v>4993</v>
      </c>
      <c r="AG227" s="18" t="s">
        <v>4994</v>
      </c>
      <c r="AI227" s="18" t="s">
        <v>5017</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c r="Y236" s="18" t="s">
        <v>5018</v>
      </c>
      <c r="AA236" s="18" t="s">
        <v>5019</v>
      </c>
      <c r="AB236" s="13" t="s">
        <v>5022</v>
      </c>
      <c r="AC236" s="18" t="s">
        <v>5020</v>
      </c>
      <c r="AD236" s="13" t="s">
        <v>5021</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4903</v>
      </c>
      <c r="L259" s="13" t="s">
        <v>4904</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4899</v>
      </c>
      <c r="G265" s="13" t="s">
        <v>4900</v>
      </c>
      <c r="H265" s="13" t="s">
        <v>4901</v>
      </c>
      <c r="I265" s="13" t="s">
        <v>4902</v>
      </c>
      <c r="K265" s="17" t="s">
        <v>4897</v>
      </c>
      <c r="L265" s="13" t="s">
        <v>4898</v>
      </c>
      <c r="M265" s="18" t="s">
        <v>4982</v>
      </c>
      <c r="O265" s="18" t="s">
        <v>4983</v>
      </c>
      <c r="Q265" s="18" t="s">
        <v>4984</v>
      </c>
      <c r="S265" s="18" t="s">
        <v>4985</v>
      </c>
      <c r="U265" s="18" t="s">
        <v>4986</v>
      </c>
      <c r="W265" s="18" t="s">
        <v>4987</v>
      </c>
      <c r="Y265" s="18" t="s">
        <v>4988</v>
      </c>
      <c r="AA265" s="18" t="s">
        <v>4989</v>
      </c>
      <c r="AC265" s="18" t="s">
        <v>4990</v>
      </c>
      <c r="AE265" s="18" t="s">
        <v>4991</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4932</v>
      </c>
      <c r="G267" s="13" t="s">
        <v>4933</v>
      </c>
      <c r="H267" s="13" t="s">
        <v>4934</v>
      </c>
      <c r="I267" s="13" t="s">
        <v>4935</v>
      </c>
      <c r="J267" s="13" t="s">
        <v>4936</v>
      </c>
      <c r="K267" s="17" t="s">
        <v>4924</v>
      </c>
      <c r="L267" s="13" t="s">
        <v>4937</v>
      </c>
      <c r="M267" s="18" t="s">
        <v>4925</v>
      </c>
      <c r="N267" s="13" t="s">
        <v>4938</v>
      </c>
      <c r="O267" s="18" t="s">
        <v>4926</v>
      </c>
      <c r="P267" s="13" t="s">
        <v>4939</v>
      </c>
      <c r="Q267" s="18" t="s">
        <v>4927</v>
      </c>
      <c r="R267" s="13" t="s">
        <v>4940</v>
      </c>
      <c r="S267" s="18" t="s">
        <v>4928</v>
      </c>
      <c r="T267" s="13" t="s">
        <v>4941</v>
      </c>
      <c r="U267" s="18" t="s">
        <v>4929</v>
      </c>
      <c r="V267" s="13" t="s">
        <v>4942</v>
      </c>
      <c r="W267" s="18" t="s">
        <v>4930</v>
      </c>
      <c r="X267" s="13" t="s">
        <v>4942</v>
      </c>
      <c r="Y267" s="18" t="s">
        <v>4931</v>
      </c>
      <c r="Z267" s="13" t="s">
        <v>4942</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4836</v>
      </c>
      <c r="G268" s="13" t="s">
        <v>4835</v>
      </c>
      <c r="H268" s="13" t="s">
        <v>2625</v>
      </c>
      <c r="I268" s="13" t="s">
        <v>4368</v>
      </c>
      <c r="K268" s="17" t="s">
        <v>4895</v>
      </c>
      <c r="L268" s="13" t="s">
        <v>4896</v>
      </c>
      <c r="M268" s="18" t="s">
        <v>4907</v>
      </c>
      <c r="N268" s="13" t="s">
        <v>4911</v>
      </c>
      <c r="O268" s="18" t="s">
        <v>4908</v>
      </c>
      <c r="P268" s="13" t="s">
        <v>4912</v>
      </c>
      <c r="Q268" s="18" t="s">
        <v>4909</v>
      </c>
      <c r="R268" s="13" t="s">
        <v>4913</v>
      </c>
      <c r="S268" s="18" t="s">
        <v>4910</v>
      </c>
      <c r="T268" s="13" t="s">
        <v>4914</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4836</v>
      </c>
      <c r="G269" s="13" t="s">
        <v>4835</v>
      </c>
      <c r="K269" s="17" t="s">
        <v>4836</v>
      </c>
      <c r="L269" s="13" t="s">
        <v>4835</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4836</v>
      </c>
      <c r="G270" s="13" t="s">
        <v>4835</v>
      </c>
      <c r="K270" s="17" t="s">
        <v>4836</v>
      </c>
      <c r="L270" s="13" t="s">
        <v>4835</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4836</v>
      </c>
      <c r="G271" s="13" t="s">
        <v>4835</v>
      </c>
      <c r="K271" s="17" t="s">
        <v>4836</v>
      </c>
      <c r="L271" s="13" t="s">
        <v>4835</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4836</v>
      </c>
      <c r="G272" s="13" t="s">
        <v>4835</v>
      </c>
      <c r="K272" s="17" t="s">
        <v>4836</v>
      </c>
      <c r="L272" s="13" t="s">
        <v>4835</v>
      </c>
    </row>
    <row r="273" spans="1:16">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7" t="s">
        <v>4836</v>
      </c>
      <c r="G273" s="13" t="s">
        <v>4835</v>
      </c>
      <c r="K273" s="17" t="s">
        <v>4836</v>
      </c>
      <c r="L273" s="13" t="s">
        <v>4835</v>
      </c>
    </row>
    <row r="274" spans="1:16">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5023</v>
      </c>
      <c r="G274" s="13" t="s">
        <v>5024</v>
      </c>
      <c r="H274" s="13" t="s">
        <v>2625</v>
      </c>
      <c r="I274" s="13" t="s">
        <v>4368</v>
      </c>
      <c r="K274" s="17" t="s">
        <v>5025</v>
      </c>
      <c r="L274" s="13" t="s">
        <v>5026</v>
      </c>
      <c r="M274" s="18" t="s">
        <v>5027</v>
      </c>
      <c r="N274" s="13" t="s">
        <v>5028</v>
      </c>
      <c r="O274" s="18" t="s">
        <v>5029</v>
      </c>
      <c r="P274" s="13" t="s">
        <v>5030</v>
      </c>
    </row>
    <row r="275" spans="1:16">
      <c r="A275" s="13" t="str">
        <f>IF(games!A275="", "", games!A275)</f>
        <v/>
      </c>
      <c r="C275" s="13" t="str">
        <f>IF(A275="","", "giftcodesbanner/" &amp; A275 &amp; "-禮包碼.jpg")</f>
        <v/>
      </c>
      <c r="D275" s="13" t="str">
        <f>IF(A275="","", "https://www.ssbuy.tw/gift-codes.html?game="&amp;A275)</f>
        <v/>
      </c>
      <c r="E275" s="14" t="str">
        <f>IF(games!I275&lt;&gt;"", games!I275, "")</f>
        <v/>
      </c>
    </row>
    <row r="276" spans="1:16">
      <c r="A276" s="13" t="str">
        <f>IF(games!A276="", "", games!A276)</f>
        <v/>
      </c>
      <c r="C276" s="13" t="str">
        <f>IF(A276="","", "giftcodesbanner/" &amp; A276 &amp; "-禮包碼.jpg")</f>
        <v/>
      </c>
      <c r="D276" s="13" t="str">
        <f>IF(A276="","", "https://www.ssbuy.tw/gift-codes.html?game="&amp;A276)</f>
        <v/>
      </c>
      <c r="E276" s="14" t="str">
        <f>IF(games!I276&lt;&gt;"", games!I276, "")</f>
        <v/>
      </c>
    </row>
    <row r="277" spans="1:16">
      <c r="A277" s="13" t="str">
        <f>IF(games!A277="", "", games!A277)</f>
        <v/>
      </c>
      <c r="C277" s="13" t="str">
        <f>IF(A277="","", "giftcodesbanner/" &amp; A277 &amp; "-禮包碼.jpg")</f>
        <v/>
      </c>
      <c r="D277" s="13" t="str">
        <f>IF(A277="","", "https://www.ssbuy.tw/gift-codes.html?game="&amp;A277)</f>
        <v/>
      </c>
      <c r="E277" s="14" t="str">
        <f>IF(games!I277&lt;&gt;"", games!I277, "")</f>
        <v/>
      </c>
    </row>
    <row r="278" spans="1:16">
      <c r="A278" s="13" t="str">
        <f>IF(games!A278="", "", games!A278)</f>
        <v/>
      </c>
      <c r="C278" s="13" t="str">
        <f>IF(A278="","", "giftcodesbanner/" &amp; A278 &amp; "-禮包碼.jpg")</f>
        <v/>
      </c>
      <c r="D278" s="13" t="str">
        <f>IF(A278="","", "https://www.ssbuy.tw/gift-codes.html?game="&amp;A278)</f>
        <v/>
      </c>
      <c r="E278" s="14" t="str">
        <f>IF(games!I278&lt;&gt;"", games!I278, "")</f>
        <v/>
      </c>
    </row>
    <row r="279" spans="1:16">
      <c r="A279" s="13" t="str">
        <f>IF(games!A279="", "", games!A279)</f>
        <v/>
      </c>
      <c r="C279" s="13" t="str">
        <f>IF(A279="","", "giftcodesbanner/" &amp; A279 &amp; "-禮包碼.jpg")</f>
        <v/>
      </c>
      <c r="D279" s="13" t="str">
        <f>IF(A279="","", "https://www.ssbuy.tw/gift-codes.html?game="&amp;A279)</f>
        <v/>
      </c>
      <c r="E279" s="14" t="str">
        <f>IF(games!I279&lt;&gt;"", games!I279, "")</f>
        <v/>
      </c>
    </row>
    <row r="280" spans="1:16">
      <c r="A280" s="13" t="str">
        <f>IF(games!A280="", "", games!A280)</f>
        <v/>
      </c>
      <c r="C280" s="13" t="str">
        <f>IF(A280="","", "giftcodesbanner/" &amp; A280 &amp; "-禮包碼.jpg")</f>
        <v/>
      </c>
      <c r="D280" s="13" t="str">
        <f>IF(A280="","", "https://www.ssbuy.tw/gift-codes.html?game="&amp;A280)</f>
        <v/>
      </c>
      <c r="E280" s="14" t="str">
        <f>IF(games!I280&lt;&gt;"", games!I280, "")</f>
        <v/>
      </c>
    </row>
    <row r="281" spans="1:16">
      <c r="A281" s="13" t="str">
        <f>IF(games!A281="", "", games!A281)</f>
        <v/>
      </c>
      <c r="C281" s="13" t="str">
        <f>IF(A281="","", "giftcodesbanner/" &amp; A281 &amp; "-禮包碼.jpg")</f>
        <v/>
      </c>
      <c r="D281" s="13" t="str">
        <f>IF(A281="","", "https://www.ssbuy.tw/gift-codes.html?game="&amp;A281)</f>
        <v/>
      </c>
      <c r="E281" s="14" t="str">
        <f>IF(games!I281&lt;&gt;"", games!I281, "")</f>
        <v/>
      </c>
    </row>
    <row r="282" spans="1:16">
      <c r="A282" s="13" t="str">
        <f>IF(games!A282="", "", games!A282)</f>
        <v/>
      </c>
      <c r="C282" s="13" t="str">
        <f>IF(A282="","", "giftcodesbanner/" &amp; A282 &amp; "-禮包碼.jpg")</f>
        <v/>
      </c>
      <c r="D282" s="13" t="str">
        <f>IF(A282="","", "https://www.ssbuy.tw/gift-codes.html?game="&amp;A282)</f>
        <v/>
      </c>
      <c r="E282" s="14" t="str">
        <f>IF(games!I282&lt;&gt;"", games!I282, "")</f>
        <v/>
      </c>
    </row>
    <row r="283" spans="1:16">
      <c r="A283" s="13" t="str">
        <f>IF(games!A283="", "", games!A283)</f>
        <v/>
      </c>
      <c r="C283" s="13" t="str">
        <f>IF(A283="","", "giftcodesbanner/" &amp; A283 &amp; "-禮包碼.jpg")</f>
        <v/>
      </c>
      <c r="D283" s="13" t="str">
        <f>IF(A283="","", "https://www.ssbuy.tw/gift-codes.html?game="&amp;A283)</f>
        <v/>
      </c>
      <c r="E283" s="14" t="str">
        <f>IF(games!I283&lt;&gt;"", games!I283, "")</f>
        <v/>
      </c>
    </row>
    <row r="284" spans="1:16">
      <c r="A284" s="13" t="str">
        <f>IF(games!A284="", "", games!A284)</f>
        <v/>
      </c>
      <c r="C284" s="13" t="str">
        <f>IF(A284="","", "giftcodesbanner/" &amp; A284 &amp; "-禮包碼.jpg")</f>
        <v/>
      </c>
      <c r="D284" s="13" t="str">
        <f>IF(A284="","", "https://www.ssbuy.tw/gift-codes.html?game="&amp;A284)</f>
        <v/>
      </c>
      <c r="E284" s="14" t="str">
        <f>IF(games!I284&lt;&gt;"", games!I284, "")</f>
        <v/>
      </c>
    </row>
    <row r="285" spans="1:16">
      <c r="A285" s="13" t="str">
        <f>IF(games!A285="", "", games!A285)</f>
        <v/>
      </c>
      <c r="C285" s="13" t="str">
        <f>IF(A285="","", "giftcodesbanner/" &amp; A285 &amp; "-禮包碼.jpg")</f>
        <v/>
      </c>
      <c r="D285" s="13" t="str">
        <f>IF(A285="","", "https://www.ssbuy.tw/gift-codes.html?game="&amp;A285)</f>
        <v/>
      </c>
      <c r="E285" s="14" t="str">
        <f>IF(games!I285&lt;&gt;"", games!I285, "")</f>
        <v/>
      </c>
    </row>
    <row r="286" spans="1:16">
      <c r="A286" s="13" t="str">
        <f>IF(games!A286="", "", games!A286)</f>
        <v/>
      </c>
      <c r="C286" s="13" t="str">
        <f>IF(A286="","", "giftcodesbanner/" &amp; A286 &amp; "-禮包碼.jpg")</f>
        <v/>
      </c>
      <c r="D286" s="13" t="str">
        <f>IF(A286="","", "https://www.ssbuy.tw/gift-codes.html?game="&amp;A286)</f>
        <v/>
      </c>
      <c r="E286" s="14" t="str">
        <f>IF(games!I286&lt;&gt;"", games!I286, "")</f>
        <v/>
      </c>
    </row>
    <row r="287" spans="1:16">
      <c r="A287" s="13" t="str">
        <f>IF(games!A287="", "", games!A287)</f>
        <v/>
      </c>
      <c r="C287" s="13" t="str">
        <f>IF(A287="","", "giftcodesbanner/" &amp; A287 &amp; "-禮包碼.jpg")</f>
        <v/>
      </c>
      <c r="D287" s="13" t="str">
        <f>IF(A287="","", "https://www.ssbuy.tw/gift-codes.html?game="&amp;A287)</f>
        <v/>
      </c>
      <c r="E287" s="14" t="str">
        <f>IF(games!I287&lt;&gt;"", games!I287, "")</f>
        <v/>
      </c>
    </row>
    <row r="288" spans="1:16">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2025-10-14T09:54:17Z</dcterms:modified>
</cp:coreProperties>
</file>