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<sst xmlns="http://schemas.openxmlformats.org/spreadsheetml/2006/main" count="7613" uniqueCount="5225">
  <si>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</si>
  <si>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</si>
  <si>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</si>
  <si>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</si>
  <si>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</si>
  <si>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</si>
  <si>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</si>
  <si>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</si>
  <si>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</si>
  <si>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</si>
  <si>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</si>
  <si>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</si>
  <si>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</si>
  <si>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</si>
  <si>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</si>
  <si>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</si>
  <si>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</si>
  <si>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</si>
  <si>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</si>
  <si>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</si>
  <si>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</si>
  <si>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</si>
  <si>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</si>
  <si>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</si>
  <si>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</si>
  <si>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</si>
  <si>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</si>
  <si>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</si>
  <si>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</si>
  <si>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</si>
  <si>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</si>
  <si>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</si>
  <si>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</si>
  <si>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</si>
  <si>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</si>
  <si>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</si>
  <si>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</si>
  <si>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</si>
  <si>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</si>
  <si>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</si>
  <si>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</si>
  <si>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</si>
  <si>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</si>
  <si>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</si>
  <si>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</si>
  <si>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</si>
  <si>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</si>
  <si>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</si>
  <si>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</si>
  <si>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</si>
  <si>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</si>
  <si>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</si>
  <si>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</si>
  <si>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</si>
  <si>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</si>
  <si>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</si>
  <si>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</si>
  <si>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</si>
  <si>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</si>
  <si>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</si>
  <si>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</si>
  <si>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</si>
  <si>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</si>
  <si>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</si>
  <si>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</si>
  <si>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</si>
  <si>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</si>
  <si>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</si>
  <si>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</si>
  <si>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</si>
  <si>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</si>
  <si>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</si>
  <si>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</si>
  <si>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</si>
  <si>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</si>
  <si>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</si>
  <si>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</si>
  <si>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</si>
  <si>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</si>
  <si>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</si>
  <si>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</si>
  <si>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</si>
  <si>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</si>
  <si>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</si>
  <si>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</si>
  <si>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</si>
  <si>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</si>
  <si>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</si>
  <si>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</si>
  <si>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</si>
  <si>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</si>
  <si>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</si>
  <si>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</si>
  <si>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</si>
  <si>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</si>
  <si>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</si>
  <si>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</si>
  <si>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</si>
  <si>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</si>
  <si>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</si>
  <si>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</si>
  <si>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</si>
  <si>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</si>
  <si>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</si>
  <si>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</si>
  <si>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</si>
  <si>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</si>
  <si>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</si>
  <si>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</si>
  <si>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</si>
  <si>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</si>
  <si>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</si>
  <si>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</si>
  <si>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</si>
  <si>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</si>
  <si>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</si>
  <si>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</si>
  <si>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</si>
  <si>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</si>
  <si>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</si>
  <si>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</si>
  <si>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</si>
  <si>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</si>
  <si>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</si>
  <si>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</si>
  <si>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</si>
  <si>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</si>
  <si>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</si>
  <si>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</si>
  <si>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</si>
  <si>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</si>
  <si>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</si>
  <si>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</si>
  <si>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</si>
  <si>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</si>
  <si>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</si>
  <si>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</si>
  <si>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</si>
  <si>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</si>
  <si>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</si>
  <si>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</si>
  <si>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</si>
  <si>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</si>
  <si>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</si>
  <si>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</si>
  <si>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</si>
  <si>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</si>
  <si>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</si>
  <si>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</si>
  <si>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</si>
  <si>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</si>
  <si>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</si>
  <si>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</si>
  <si>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</si>
  <si>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</si>
  <si>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</si>
  <si>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</si>
  <si>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</si>
  <si>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</si>
  <si>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</si>
  <si>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</si>
  <si>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</si>
  <si>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</si>
  <si>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</si>
  <si>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</si>
  <si>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</si>
  <si>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</si>
  <si>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</si>
  <si>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</si>
  <si>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</si>
  <si>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</si>
  <si>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</si>
  <si>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</si>
  <si>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</si>
  <si>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</si>
  <si>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</si>
  <si>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</si>
  <si>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</si>
  <si>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</si>
  <si>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</si>
  <si>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</si>
  <si>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</si>
  <si>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</si>
  <si>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</si>
  <si>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</si>
  <si>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</si>
  <si>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</si>
  <si>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</si>
  <si>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</si>
  <si>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</si>
  <si>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</si>
  <si>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</si>
  <si>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</si>
  <si>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</si>
  <si>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</si>
  <si>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</si>
  <si>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</si>
  <si>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</si>
  <si>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</si>
  <si>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</si>
  <si>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</si>
  <si>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</si>
  <si>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</si>
  <si>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</si>
  <si>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</si>
  <si>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</si>
  <si>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</si>
  <si>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</si>
  <si>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</si>
  <si>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</si>
  <si>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</si>
  <si>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</si>
  <si>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</si>
  <si>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</si>
  <si>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</si>
  <si>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</si>
  <si>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</si>
  <si>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</si>
  <si>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</si>
  <si>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</si>
  <si>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</si>
  <si>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</si>
  <si>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</si>
  <si>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</si>
  <si>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</si>
  <si>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</si>
  <si>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</si>
  <si>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</si>
  <si>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</si>
  <si>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</si>
  <si>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</si>
  <si>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</si>
  <si>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</si>
  <si>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</si>
  <si>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</si>
  <si>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</si>
  <si>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</si>
  <si>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</si>
  <si>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</si>
  <si>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</si>
  <si>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</si>
  <si>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</si>
  <si>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</si>
  <si>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</si>
  <si>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</si>
  <si>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</si>
  <si>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</si>
  <si>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</si>
  <si>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</si>
  <si>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</si>
  <si>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</si>
  <si>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</si>
  <si>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</si>
  <si>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</si>
  <si>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</si>
  <si>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</si>
  <si>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</si>
  <si>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</si>
  <si>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</si>
  <si>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</si>
  <si>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</si>
  <si>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</si>
  <si>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</si>
  <si>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</si>
  <si>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</si>
  <si>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</si>
  <si>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</si>
  <si>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</si>
  <si>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</si>
  <si>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</si>
  <si>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</si>
  <si>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</si>
  <si>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</si>
  <si>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</si>
  <si>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</si>
  <si>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</si>
  <si>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</si>
  <si>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</si>
  <si>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</si>
  <si>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</si>
  <si>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</si>
  <si>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</si>
  <si>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</si>
  <si>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</si>
  <si>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</si>
  <si>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</si>
  <si>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</si>
  <si>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</si>
  <si>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</si>
  <si>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</si>
  <si>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</si>
  <si>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</si>
  <si>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</si>
  <si>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</si>
  <si>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</si>
  <si>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</si>
  <si>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</si>
  <si>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</si>
  <si>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</si>
  <si>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</si>
  <si>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</si>
  <si>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</si>
  <si>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</si>
  <si>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</si>
  <si>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</si>
  <si>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</si>
  <si>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</si>
  <si>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</si>
  <si>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</si>
  <si>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</si>
  <si>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</si>
  <si>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</si>
  <si>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</si>
  <si>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</si>
  <si>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</si>
  <si>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</si>
  <si>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</si>
  <si>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</si>
  <si>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</si>
  <si>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</si>
  <si>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</si>
  <si>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</si>
  <si>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</si>
  <si>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</si>
  <si>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</si>
  <si>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</si>
  <si>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</si>
  <si>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</si>
  <si>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</si>
  <si>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</si>
  <si>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</si>
  <si>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</si>
  <si>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</si>
  <si>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</si>
  <si>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</si>
  <si>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</si>
  <si>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</si>
  <si>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</si>
  <si>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</si>
  <si>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</si>
  <si>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</si>
  <si>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</si>
  <si>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</si>
  <si>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</si>
  <si>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</si>
  <si>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</si>
  <si>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</si>
  <si>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</si>
  <si>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</si>
  <si>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</si>
  <si>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</si>
  <si>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</si>
  <si>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</si>
  <si>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</si>
  <si>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</si>
  <si>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</si>
  <si>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</si>
  <si>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</si>
  <si>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</si>
  <si>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</si>
  <si>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</si>
  <si>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</si>
  <si>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</si>
  <si>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</si>
  <si>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</si>
  <si>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</si>
  <si>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</si>
  <si>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</si>
  <si>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</si>
  <si>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</si>
  <si>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</si>
  <si>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</si>
  <si>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</si>
  <si>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</si>
  <si>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</si>
  <si>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</si>
  <si>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</si>
  <si>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</si>
  <si>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</si>
  <si>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</si>
  <si>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</si>
  <si>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</si>
  <si>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</si>
  <si>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</si>
  <si>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</si>
  <si>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</si>
  <si>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</si>
  <si>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</si>
  <si>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</si>
  <si>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</si>
  <si>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</si>
  <si>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</si>
  <si>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</si>
  <si>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</si>
  <si>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</si>
  <si>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</si>
  <si>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</si>
  <si>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</si>
  <si>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</si>
  <si>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</si>
  <si>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</si>
  <si>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</si>
  <si>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</si>
  <si>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</si>
  <si>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</si>
  <si>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</si>
  <si>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</si>
  <si>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</si>
  <si>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</si>
  <si>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</si>
  <si>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</si>
  <si>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</si>
  <si>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</si>
  <si>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</si>
  <si>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</si>
  <si>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</si>
  <si>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</si>
  <si>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</si>
  <si>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</si>
  <si>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</si>
  <si>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</si>
  <si>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</si>
  <si>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</si>
  <si>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</si>
  <si>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</si>
  <si>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</si>
  <si>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</si>
  <si>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</si>
  <si>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</si>
  <si>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</si>
  <si>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</si>
  <si>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</si>
  <si>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</si>
  <si>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</si>
  <si>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</si>
  <si>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</si>
  <si>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</si>
  <si>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</si>
  <si>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</si>
  <si>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</si>
  <si>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</si>
  <si>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</si>
  <si>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</si>
  <si>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</si>
  <si>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</si>
  <si>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</si>
  <si>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</si>
  <si>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</si>
  <si>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</si>
  <si>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</si>
  <si>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</si>
  <si>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</si>
  <si>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</si>
  <si>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</si>
  <si>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</si>
  <si>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</si>
  <si>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</si>
  <si>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</si>
  <si>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</si>
  <si>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</si>
  <si>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</si>
  <si>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</si>
  <si>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</si>
  <si>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</si>
  <si>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</si>
  <si>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</si>
  <si>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</si>
  <si>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</si>
  <si>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</si>
  <si>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</si>
  <si>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</si>
  <si>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</si>
  <si>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</si>
  <si>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</si>
  <si>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</si>
  <si>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</si>
  <si>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</si>
  <si>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</si>
  <si>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</si>
  <si>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</si>
  <si>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</si>
  <si>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</si>
  <si>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</si>
  <si>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</si>
  <si>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</si>
  <si>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</si>
  <si>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</si>
  <si>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</si>
  <si>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</si>
  <si>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</si>
  <si>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</si>
  <si>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</si>
  <si>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</si>
  <si>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</si>
  <si>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</si>
  <si>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</si>
  <si>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</si>
  <si>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</si>
  <si>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</si>
  <si>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</si>
  <si>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</si>
  <si>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</si>
  <si>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</si>
  <si>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</si>
  <si>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</si>
  <si>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</si>
  <si>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</si>
  <si>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</si>
  <si>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</si>
  <si>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</si>
  <si>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</si>
  <si>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</si>
  <si>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</si>
  <si>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</si>
  <si>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</si>
  <si>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</si>
  <si>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</si>
  <si>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</si>
  <si>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</si>
  <si>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</si>
  <si>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</si>
  <si>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</si>
  <si>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</si>
  <si>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</si>
  <si>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</si>
  <si>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</si>
  <si>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</si>
  <si>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</si>
  <si>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</si>
  <si>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</si>
  <si>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</si>
  <si>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</si>
  <si>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</si>
  <si>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</si>
  <si>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</si>
  <si>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</si>
  <si>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</si>
  <si>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</si>
  <si>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</si>
  <si>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</si>
  <si>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</si>
  <si>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</si>
  <si>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</si>
  <si>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</si>
  <si>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</si>
  <si>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</si>
  <si>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</si>
  <si>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</si>
  <si>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</si>
  <si>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</si>
  <si>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</si>
  <si>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</si>
  <si>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</si>
  <si>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</si>
  <si>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</si>
  <si>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</si>
  <si>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</si>
  <si>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</si>
  <si>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</si>
  <si>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</si>
  <si>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</si>
  <si>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</si>
  <si>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</si>
  <si>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</si>
  <si>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</si>
  <si>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</si>
  <si>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</si>
  <si>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</si>
  <si>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</si>
  <si>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</si>
  <si>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</si>
  <si>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</si>
  <si>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</si>
  <si>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</si>
  <si>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</si>
  <si>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</si>
  <si>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</si>
  <si>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</si>
  <si>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</si>
  <si>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</si>
  <si>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</si>
  <si>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</si>
  <si>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</si>
  <si>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</si>
  <si>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</si>
  <si>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</si>
  <si>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</si>
  <si>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</si>
  <si>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</si>
  <si>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</si>
  <si>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</si>
  <si>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</si>
  <si>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</si>
  <si>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</si>
  <si>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</si>
  <si>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</si>
  <si>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</si>
  <si>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</si>
  <si>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</si>
  <si>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</si>
  <si>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</si>
  <si>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</si>
  <si>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</si>
  <si>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</si>
  <si>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</si>
  <si>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</si>
  <si>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</si>
  <si>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</si>
  <si>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</si>
  <si>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</si>
  <si>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</si>
  <si>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</si>
  <si>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</si>
  <si>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</si>
  <si>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</si>
  <si>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</si>
  <si>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</si>
  <si>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</si>
  <si>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</si>
  <si>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</si>
  <si>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</si>
  <si>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</si>
  <si>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</si>
  <si>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</si>
  <si>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</si>
  <si>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</si>
  <si>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</si>
  <si>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</si>
  <si>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</si>
  <si>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</si>
  <si>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</si>
  <si>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</si>
  <si>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</si>
  <si>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</si>
  <si>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</si>
  <si>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</si>
  <si>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</si>
  <si>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</si>
  <si>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</si>
  <si>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</si>
  <si>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</si>
  <si>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</si>
  <si>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</si>
  <si>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</si>
  <si>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</si>
  <si>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</si>
  <si>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</si>
  <si>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</si>
  <si>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</si>
  <si>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</si>
  <si>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</si>
  <si>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</si>
  <si>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</si>
  <si>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</si>
  <si>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</si>
  <si>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</si>
  <si>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</si>
  <si>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</si>
  <si>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</si>
  <si>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</si>
  <si>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</si>
  <si>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</si>
  <si>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</si>
  <si>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</si>
  <si>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</si>
  <si>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</si>
  <si>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</si>
  <si>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</si>
  <si>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</si>
  <si>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</si>
  <si>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</si>
  <si>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</si>
  <si>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</si>
  <si>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</si>
  <si>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</si>
  <si>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</si>
  <si>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</si>
  <si>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</si>
  <si>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</si>
  <si>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</si>
  <si>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</si>
  <si>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</si>
  <si>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</si>
  <si>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</si>
  <si>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</si>
  <si>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</si>
  <si>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</si>
  <si>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</si>
  <si>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</si>
  <si>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</si>
  <si>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</si>
  <si>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</si>
  <si>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</si>
  <si>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</si>
  <si>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</si>
  <si>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</si>
  <si>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</si>
  <si>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</si>
  <si>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</si>
  <si>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</si>
  <si>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</si>
  <si>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</si>
  <si>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</si>
  <si>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</si>
  <si>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</si>
  <si>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</si>
  <si>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</si>
  <si>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</si>
  <si>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</si>
  <si>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</si>
  <si>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</si>
  <si>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</si>
  <si>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</si>
  <si>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</si>
  <si>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</si>
  <si>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</si>
  <si>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</si>
  <si>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</si>
  <si>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</si>
  <si>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</si>
  <si>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</si>
  <si>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</si>
  <si>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</si>
  <si>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</si>
  <si>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</si>
  <si>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</si>
  <si>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</si>
  <si>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</si>
  <si>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</si>
  <si>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</si>
  <si>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</si>
  <si>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</si>
  <si>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</si>
  <si>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</si>
  <si>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</si>
  <si>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</si>
  <si>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</si>
  <si>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</si>
  <si>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</si>
  <si>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</si>
  <si>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</si>
  <si>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</si>
  <si>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</si>
  <si>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</si>
  <si>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</si>
  <si>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</si>
  <si>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</si>
  <si>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</si>
  <si>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</si>
  <si>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</si>
  <si>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</si>
  <si>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</si>
  <si>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</si>
  <si>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</si>
  <si>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</si>
  <si>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</si>
  <si>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</si>
  <si>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</si>
  <si>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</si>
  <si>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</si>
  <si>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</si>
  <si>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</si>
  <si>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</si>
  <si>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</si>
  <si>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</si>
  <si>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</si>
  <si>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</si>
  <si>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</si>
  <si>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</si>
  <si>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</si>
  <si>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</si>
  <si>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</si>
  <si>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</si>
  <si>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</si>
  <si>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</si>
  <si>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</si>
  <si>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</si>
  <si>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</si>
  <si>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</si>
  <si>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</si>
  <si>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</si>
  <si>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</si>
  <si>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</si>
  <si>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</si>
  <si>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</si>
  <si>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</si>
  <si>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</si>
  <si>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</si>
  <si>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</si>
  <si>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</si>
  <si>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</si>
  <si>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</si>
  <si>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</si>
  <si>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</si>
  <si>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</si>
  <si>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</si>
  <si>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</si>
  <si>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</si>
  <si>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</si>
  <si>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</si>
  <si>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</si>
  <si>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</si>
  <si>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</si>
  <si>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</si>
  <si>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</si>
  <si>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</si>
  <si>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</si>
  <si>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</si>
  <si>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</si>
  <si>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</si>
  <si>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</si>
  <si>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</si>
  <si>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</si>
  <si>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</si>
  <si>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</si>
  <si>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</si>
  <si>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</si>
  <si>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</si>
  <si>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</si>
  <si>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</si>
  <si>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</si>
  <si>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</si>
  <si>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</si>
  <si>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</si>
  <si>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</si>
  <si>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</si>
  <si>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</si>
  <si>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</si>
  <si>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</si>
  <si>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</si>
  <si>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</si>
  <si>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</si>
  <si>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</si>
  <si>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</si>
  <si>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</si>
  <si>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</si>
  <si>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</si>
  <si>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</si>
  <si>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</si>
  <si>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</si>
  <si>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</si>
  <si>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</si>
  <si>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</si>
  <si>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</si>
  <si>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</si>
  <si>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</si>
  <si>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</si>
  <si>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</si>
  <si>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</si>
  <si>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</si>
  <si>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</si>
  <si>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</si>
  <si>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</si>
  <si>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</si>
  <si>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</si>
  <si>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</si>
  <si>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</si>
  <si>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</si>
  <si>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</si>
  <si>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</si>
  <si>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</si>
  <si>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</si>
  <si>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</si>
  <si>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</si>
  <si>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</si>
  <si>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</si>
  <si>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</si>
  <si>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</si>
  <si>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</si>
  <si>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</si>
  <si>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</si>
  <si>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</si>
  <si>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</si>
  <si>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</si>
  <si>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</si>
  <si>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</si>
  <si>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</si>
  <si>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</si>
  <si>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</si>
  <si>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</si>
  <si>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</si>
  <si>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</si>
  <si>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</si>
  <si>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</si>
  <si>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</si>
  <si>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</si>
  <si>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</si>
  <si>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</si>
  <si>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</si>
  <si>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</si>
  <si>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</si>
  <si>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</si>
  <si>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</si>
  <si>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</si>
  <si>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</si>
  <si>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</si>
  <si>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</si>
  <si>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</si>
  <si>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</si>
  <si>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</si>
  <si>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</si>
  <si>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</si>
  <si>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</si>
  <si>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</si>
  <si>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</si>
  <si>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</si>
  <si>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</si>
  <si>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</si>
  <si>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</si>
  <si>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</si>
  <si>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</si>
  <si>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</si>
  <si>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</si>
  <si>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</si>
  <si>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</si>
  <si>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</si>
  <si>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</si>
  <si>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</si>
  <si>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</si>
  <si>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</si>
  <si>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</si>
  <si>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</si>
  <si>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</si>
  <si>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</si>
  <si>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</si>
  <si>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</si>
  <si>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</si>
  <si>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</si>
  <si>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</si>
  <si>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</si>
  <si>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</si>
  <si>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</si>
  <si>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</si>
  <si>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</si>
  <si>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</si>
  <si>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</si>
  <si>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</si>
  <si>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</si>
  <si>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</si>
  <si>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</si>
  <si>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</si>
  <si>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</si>
  <si>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</si>
  <si>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</si>
  <si>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</si>
  <si>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</si>
  <si>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</si>
  <si>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</si>
  <si>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</si>
  <si>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</si>
  <si>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</si>
  <si>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</si>
  <si>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</si>
  <si>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</si>
  <si>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</si>
  <si>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</si>
  <si>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</si>
  <si>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</si>
  <si>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</si>
  <si>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</si>
  <si>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</si>
  <si>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</si>
  <si>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</si>
  <si>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</si>
  <si>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</si>
  <si>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</si>
  <si>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</si>
  <si>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</si>
  <si>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</si>
  <si>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</si>
  <si>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</si>
  <si>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</si>
  <si>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</si>
  <si>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</si>
  <si>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</si>
  <si>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</si>
  <si>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</si>
  <si>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</si>
  <si>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</si>
  <si>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</si>
  <si>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</si>
  <si>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</si>
  <si>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</si>
  <si>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</si>
  <si>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</si>
  <si>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</si>
  <si>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</si>
  <si>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</si>
  <si>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</si>
  <si>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</si>
  <si>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</si>
  <si>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</si>
  <si>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</si>
  <si>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</si>
  <si>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</si>
  <si>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</si>
  <si>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</si>
  <si>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</si>
  <si>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</si>
  <si>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</si>
  <si>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</si>
  <si>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</si>
  <si>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</si>
  <si>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</si>
  <si>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</si>
  <si>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</si>
  <si>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</si>
  <si>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</si>
  <si>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</si>
  <si>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</si>
  <si>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</si>
  <si>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</si>
  <si>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</si>
  <si>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</si>
  <si>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</si>
  <si>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</si>
  <si>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</si>
  <si>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</si>
  <si>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</si>
  <si>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</si>
  <si>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</si>
  <si>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</si>
  <si>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</si>
  <si>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</si>
  <si>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</si>
  <si>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</si>
  <si>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</si>
  <si>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</si>
  <si>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</si>
  <si>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</si>
  <si>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</si>
  <si>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</si>
  <si>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</si>
  <si>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</si>
  <si>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</si>
  <si>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</si>
  <si>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</si>
  <si>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</si>
  <si>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</si>
  <si>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</si>
  <si>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</si>
  <si>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</si>
  <si>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</si>
  <si>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</si>
  <si>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</si>
  <si>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</si>
  <si>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</si>
  <si>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</si>
  <si>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</si>
  <si>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</si>
  <si>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</si>
  <si>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</si>
  <si>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</si>
  <si>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</si>
  <si>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</si>
  <si>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</si>
  <si>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</si>
  <si>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</si>
  <si>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</si>
  <si>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</si>
  <si>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</si>
  <si>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</si>
  <si>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</si>
  <si>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</si>
  <si>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</si>
  <si>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</si>
  <si>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</si>
  <si>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</si>
  <si>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</si>
  <si>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</si>
  <si>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</si>
  <si>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</si>
  <si>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</si>
  <si>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</si>
  <si>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</si>
  <si>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</si>
  <si>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</si>
  <si>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</si>
  <si>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</si>
  <si>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</si>
  <si>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</si>
  <si>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</si>
  <si>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</si>
  <si>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</si>
  <si>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</si>
  <si>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</si>
  <si>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</si>
  <si>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</si>
  <si>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</si>
  <si>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</si>
  <si>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</si>
  <si>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</si>
  <si>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</si>
  <si>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</si>
  <si>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</si>
  <si>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</si>
  <si>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</si>
  <si>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</si>
  <si>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</si>
  <si>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</si>
  <si>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</si>
  <si>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</si>
  <si>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</si>
  <si>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</si>
  <si>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</si>
  <si>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</si>
  <si>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</si>
  <si>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</si>
  <si>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</si>
  <si>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</si>
  <si>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</si>
  <si>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</si>
  <si>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</si>
  <si>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</si>
  <si>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</si>
  <si>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</si>
  <si>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</si>
  <si>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</si>
  <si>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</si>
  <si>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</si>
  <si>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</si>
  <si>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</si>
  <si>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</si>
  <si>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</si>
  <si>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</si>
  <si>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</si>
  <si>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</si>
  <si>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</si>
  <si>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</si>
  <si>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</si>
  <si>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</si>
  <si>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</si>
  <si>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</si>
  <si>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</si>
  <si>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</si>
  <si>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</si>
  <si>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</si>
  <si>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</si>
  <si>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</si>
  <si>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</si>
  <si>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</si>
  <si>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</si>
  <si>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</si>
  <si>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</si>
  <si>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</si>
  <si>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</si>
  <si>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</si>
  <si>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</si>
  <si>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</si>
  <si>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</si>
  <si>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</si>
  <si>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</si>
  <si>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</si>
  <si>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</si>
  <si>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</si>
  <si>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</si>
  <si>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</si>
  <si>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</si>
  <si>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</si>
  <si>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</si>
  <si>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</si>
  <si>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</si>
  <si>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</si>
  <si>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</si>
  <si>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</si>
  <si>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</si>
  <si>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</si>
  <si>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</si>
  <si>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</si>
  <si>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</si>
  <si>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</si>
  <si>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</si>
  <si>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</si>
  <si>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</si>
  <si>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</si>
  <si>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</si>
  <si>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</si>
  <si>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</si>
  <si>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</si>
  <si>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</si>
  <si>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</si>
  <si>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</si>
  <si>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</si>
  <si>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</si>
  <si>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</si>
  <si>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</si>
  <si>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</si>
  <si>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</si>
  <si>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</si>
  <si>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</si>
  <si>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</si>
  <si>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</si>
  <si>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</si>
  <si>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</si>
  <si>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</si>
  <si>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</si>
  <si>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</si>
  <si>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</si>
  <si>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</si>
  <si>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</si>
  <si>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</si>
  <si>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</si>
  <si>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</si>
  <si>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</si>
  <si>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</si>
  <si>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</si>
  <si>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</si>
  <si>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</si>
  <si>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</si>
  <si>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</si>
  <si>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</si>
  <si>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</si>
  <si>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</si>
  <si>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</si>
  <si>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</si>
  <si>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</si>
  <si>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</si>
  <si>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</si>
  <si>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</si>
  <si>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</si>
  <si>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</si>
  <si>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</si>
  <si>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</si>
  <si>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</si>
  <si>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</si>
  <si>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</si>
  <si>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</si>
  <si>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</si>
  <si>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</si>
  <si>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</si>
  <si>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</si>
  <si>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</si>
  <si>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</si>
  <si>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</si>
  <si>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</si>
  <si>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</si>
  <si>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</si>
  <si>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</si>
  <si>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</si>
  <si>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</si>
  <si>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</si>
  <si>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</si>
  <si>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</si>
  <si>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</si>
  <si>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</si>
  <si>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</si>
  <si>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</si>
  <si>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</si>
  <si>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</si>
  <si>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</si>
  <si>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</si>
  <si>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</si>
  <si>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</si>
  <si>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</si>
  <si>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</si>
  <si>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</si>
  <si>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</si>
  <si>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</si>
  <si>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</si>
  <si>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</si>
  <si>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</si>
  <si>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</si>
  <si>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</si>
  <si>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</si>
  <si>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</si>
  <si>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</si>
  <si>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</si>
  <si>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</si>
  <si>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</si>
  <si>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</si>
  <si>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</si>
  <si>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</si>
  <si>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</si>
  <si>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</si>
  <si>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</si>
  <si>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</si>
  <si>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</si>
  <si>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</si>
  <si>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</si>
  <si>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</si>
  <si>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</si>
  <si>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</si>
  <si>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</si>
  <si>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</si>
  <si>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</si>
  <si>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</si>
  <si>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</si>
  <si>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</si>
  <si>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</si>
  <si>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</si>
  <si>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</si>
  <si>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</si>
  <si>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</si>
  <si>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</si>
  <si>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</si>
  <si>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</si>
  <si>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</si>
  <si>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</si>
  <si>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</si>
  <si>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</si>
  <si>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</si>
  <si>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</si>
  <si>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</si>
  <si>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</si>
  <si>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</si>
  <si>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</si>
  <si>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</si>
  <si>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</si>
  <si>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</si>
  <si>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</si>
  <si>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</si>
  <si>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</si>
  <si>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</si>
  <si>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</si>
  <si>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</si>
  <si>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</si>
  <si>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</si>
  <si>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</si>
  <si>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</si>
  <si>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</si>
  <si>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</si>
  <si>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</si>
  <si>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</si>
  <si>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</si>
  <si>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</si>
  <si>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</si>
  <si>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</si>
  <si>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</si>
  <si>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</si>
  <si>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</si>
  <si>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</si>
  <si>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</si>
  <si>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</si>
  <si>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</si>
  <si>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</si>
  <si>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</si>
  <si>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</si>
  <si>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</si>
  <si>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</si>
  <si>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</si>
  <si>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</si>
  <si>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</si>
  <si>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</si>
  <si>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</si>
  <si>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</si>
  <si>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</si>
  <si>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</si>
  <si>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</si>
  <si>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</si>
  <si>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</si>
  <si>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</si>
  <si>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</si>
  <si>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</si>
  <si>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</si>
  <si>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</si>
  <si>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</si>
  <si>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</si>
  <si>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</si>
  <si>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</si>
  <si>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</si>
  <si>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</si>
  <si>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</si>
  <si>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</si>
  <si>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</si>
  <si>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</si>
  <si>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</si>
  <si>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</si>
  <si>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</si>
  <si>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</si>
  <si>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</si>
  <si>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</si>
  <si>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</si>
  <si>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</si>
  <si>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</si>
  <si>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</si>
  <si>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</si>
  <si>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</si>
  <si>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</si>
  <si>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</si>
  <si>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</si>
  <si>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</si>
  <si>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</si>
  <si>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</si>
  <si>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</si>
  <si>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</si>
  <si>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</si>
  <si>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</si>
  <si>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</si>
  <si>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</si>
  <si>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</si>
  <si>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</si>
  <si>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</si>
  <si>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</si>
  <si>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</si>
  <si>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</si>
  <si>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</si>
  <si>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</si>
  <si>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</si>
  <si>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</si>
  <si>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</si>
  <si>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</si>
  <si>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</si>
  <si>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</si>
  <si>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</si>
  <si>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</si>
  <si>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</si>
  <si>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</si>
  <si>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</si>
  <si>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</si>
  <si>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</si>
  <si>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</si>
  <si>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</si>
  <si>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</si>
  <si>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</si>
  <si>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</si>
  <si>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</si>
  <si>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</si>
  <si>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</si>
  <si>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</si>
  <si>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</si>
  <si>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</si>
  <si>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</si>
  <si>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</si>
  <si>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</si>
  <si>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</si>
  <si>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</si>
  <si>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</si>
  <si>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</si>
  <si>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</si>
  <si>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</si>
  <si>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</si>
  <si>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</si>
  <si>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</si>
  <si>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</si>
  <si>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</si>
  <si>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</si>
  <si>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</si>
  <si>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</si>
  <si>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</si>
  <si>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</si>
  <si>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</si>
  <si>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</si>
  <si>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</si>
  <si>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</si>
  <si>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</si>
  <si>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</si>
  <si>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</si>
  <si>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</si>
  <si>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</si>
  <si>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</si>
  <si>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</si>
  <si>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</si>
  <si>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</si>
  <si>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</si>
  <si>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</si>
  <si>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</si>
  <si>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</si>
  <si>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</si>
  <si>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</si>
  <si>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</si>
  <si>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</si>
  <si>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</si>
  <si>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</si>
  <si>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</si>
  <si>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</si>
  <si>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</si>
  <si>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</si>
  <si>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</si>
  <si>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</si>
  <si>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</si>
  <si>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</si>
  <si>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</si>
  <si>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</si>
  <si>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</si>
  <si>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</si>
  <si>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</si>
  <si>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</si>
  <si>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</si>
  <si>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</si>
  <si>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</si>
  <si>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</si>
  <si>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</si>
  <si>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</si>
  <si>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</si>
  <si>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</si>
  <si>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</si>
  <si>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</si>
  <si>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</si>
  <si>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</si>
  <si>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</si>
  <si>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</si>
  <si>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</si>
  <si>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</si>
  <si>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</si>
  <si>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</si>
  <si>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</si>
  <si>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</si>
  <si>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</si>
  <si>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</si>
  <si>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</si>
  <si>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</si>
  <si>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</si>
  <si>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</si>
  <si>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</si>
  <si>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</si>
  <si>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</si>
  <si>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</si>
  <si>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</si>
  <si>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</si>
  <si>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</si>
  <si>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</si>
  <si>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</si>
  <si>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</si>
  <si>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</si>
  <si>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</si>
  <si>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</si>
  <si>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</si>
  <si>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</si>
  <si>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</si>
  <si>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</si>
  <si>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</si>
  <si>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</si>
  <si>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</si>
  <si>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</si>
  <si>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</si>
  <si>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</si>
  <si>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</si>
  <si>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</si>
  <si>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</si>
  <si>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</si>
  <si>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</si>
  <si>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</si>
  <si>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</si>
  <si>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</si>
  <si>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</si>
  <si>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</si>
  <si>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</si>
  <si>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</si>
  <si>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</si>
  <si>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</si>
  <si>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</si>
  <si>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</si>
  <si>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</si>
  <si>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</si>
  <si>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</si>
  <si>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</si>
  <si>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</si>
  <si>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</si>
  <si>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</si>
  <si>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</si>
  <si>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</si>
  <si>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</si>
  <si>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</si>
  <si>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</si>
  <si>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</si>
  <si>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</si>
  <si>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</si>
  <si>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</si>
  <si>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</si>
  <si>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</si>
  <si>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</si>
  <si>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</si>
  <si>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</si>
  <si>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</si>
  <si>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</si>
  <si>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</si>
  <si>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</si>
  <si>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</si>
  <si>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</si>
  <si>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</si>
  <si>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</si>
  <si>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</si>
  <si>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</si>
  <si>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</si>
  <si>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</si>
  <si>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</si>
  <si>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</si>
  <si>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</si>
  <si>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</si>
  <si>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</si>
  <si>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</si>
  <si>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</si>
  <si>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</si>
  <si>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</si>
  <si>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</si>
  <si>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</si>
  <si>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</si>
  <si>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</si>
  <si>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</si>
  <si>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</si>
  <si>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</si>
  <si>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</si>
  <si>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</si>
  <si>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</si>
  <si>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</si>
  <si>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</si>
  <si>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</si>
  <si>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</si>
  <si>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</si>
  <si>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</si>
  <si>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</si>
  <si>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</si>
  <si>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</si>
  <si>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</si>
  <si>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</si>
  <si>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</si>
  <si>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</si>
  <si>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</si>
  <si>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</si>
  <si>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</si>
  <si>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</si>
  <si>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</si>
  <si>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</si>
  <si>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</si>
  <si>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</si>
  <si>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</si>
  <si>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</si>
  <si>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</si>
  <si>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</si>
  <si>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</si>
  <si>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</si>
  <si>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</si>
  <si>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</si>
  <si>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</si>
  <si>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</si>
  <si>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</si>
  <si>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</si>
  <si>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</si>
  <si>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</si>
  <si>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</si>
  <si>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</si>
  <si>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</si>
  <si>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</si>
  <si>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</si>
  <si>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</si>
  <si>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</si>
  <si>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</si>
  <si>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</si>
  <si>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</si>
  <si>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</si>
  <si>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</si>
  <si>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</si>
  <si>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</si>
  <si>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</si>
  <si>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</si>
  <si>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</si>
  <si>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</si>
  <si>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</si>
  <si>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</si>
  <si>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</si>
  <si>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</si>
  <si>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</si>
  <si>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</si>
  <si>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</si>
  <si>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</si>
  <si>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</si>
  <si>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</si>
  <si>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</si>
  <si>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</si>
  <si>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</si>
  <si>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</si>
  <si>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</si>
  <si>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</si>
  <si>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</si>
  <si>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</si>
  <si>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</si>
  <si>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</si>
  <si>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</si>
  <si>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</si>
  <si>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</si>
  <si>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</si>
  <si>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</si>
  <si>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</si>
  <si>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</si>
  <si>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</si>
  <si>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</si>
  <si>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</si>
  <si>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</si>
  <si>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</si>
  <si>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</si>
  <si>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</si>
  <si>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</si>
  <si>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</si>
  <si>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</si>
  <si>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</si>
  <si>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</si>
  <si>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</si>
  <si>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</si>
  <si>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</si>
  <si>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</si>
  <si>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</si>
  <si>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</si>
  <si>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</si>
  <si>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</si>
  <si>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</si>
  <si>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</si>
  <si>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</si>
  <si>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</si>
  <si>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</si>
  <si>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</si>
  <si>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</si>
  <si>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</si>
  <si>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</si>
  <si>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</si>
  <si>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</si>
  <si>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</si>
  <si>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</si>
  <si>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</si>
  <si>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</si>
  <si>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</si>
  <si>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</si>
  <si>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</si>
  <si>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</si>
  <si>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</si>
  <si>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</si>
  <si>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</si>
  <si>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</si>
  <si>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</si>
  <si>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</si>
  <si>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</si>
  <si>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</si>
  <si>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</si>
  <si>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</si>
  <si>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</si>
  <si>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</si>
  <si>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</si>
  <si>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</si>
  <si>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</si>
  <si>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</si>
  <si>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</si>
  <si>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</si>
  <si>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</si>
  <si>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</si>
  <si>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</si>
  <si>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</si>
  <si>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</si>
  <si>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</si>
  <si>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</si>
  <si>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</si>
  <si>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</si>
  <si>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</si>
  <si>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</si>
  <si>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</si>
  <si>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</si>
  <si>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</si>
  <si>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</si>
  <si>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</si>
  <si>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</si>
  <si>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</si>
  <si>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</si>
  <si>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</si>
  <si>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</si>
  <si>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</si>
  <si>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</si>
  <si>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</si>
  <si>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</si>
  <si>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</si>
  <si>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</si>
  <si>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</si>
  <si>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</si>
  <si>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</si>
  <si>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</si>
  <si>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</si>
  <si>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</si>
  <si>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</si>
  <si>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</si>
  <si>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</si>
  <si>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</si>
  <si>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</si>
  <si>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</si>
  <si>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</si>
  <si>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</si>
  <si>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</si>
  <si>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</si>
  <si>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</si>
  <si>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</si>
  <si>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</si>
  <si>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</si>
  <si>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</si>
  <si>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</si>
  <si>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</si>
  <si>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</si>
  <si>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</si>
  <si>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</si>
  <si>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</si>
  <si>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</si>
  <si>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</si>
  <si>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</si>
  <si>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</si>
  <si>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</si>
  <si>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</si>
  <si>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</si>
  <si>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</si>
  <si>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</si>
  <si>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</si>
  <si>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</si>
  <si>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</si>
  <si>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</si>
  <si>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</si>
  <si>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</si>
  <si>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</si>
  <si>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</si>
  <si>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</si>
  <si>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</si>
  <si>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</si>
  <si>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</si>
  <si>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</si>
  <si>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</si>
  <si>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</si>
  <si>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</si>
  <si>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</si>
  <si>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</si>
  <si>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</si>
  <si>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</si>
  <si>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</si>
  <si>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</si>
  <si>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</si>
  <si>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</si>
  <si>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</si>
  <si>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</si>
  <si>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</si>
  <si>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</si>
  <si>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</si>
  <si>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</si>
  <si>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</si>
  <si>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</si>
  <si>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</si>
  <si>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</si>
  <si>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</si>
  <si>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</si>
  <si>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</si>
  <si>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</si>
  <si>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</si>
  <si>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</si>
  <si>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</si>
  <si>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</si>
  <si>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</si>
  <si>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</si>
  <si>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</si>
  <si>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</si>
  <si>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</si>
  <si>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</si>
  <si>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</si>
  <si>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</si>
  <si>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</si>
  <si>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</si>
  <si>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</si>
  <si>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</si>
  <si>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</si>
  <si>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</si>
  <si>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</si>
  <si>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</si>
  <si>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</si>
  <si>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</si>
  <si>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</si>
  <si>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</si>
  <si>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</si>
  <si>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</si>
  <si>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</si>
  <si>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</si>
  <si>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</si>
  <si>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</si>
  <si>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</si>
  <si>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</si>
  <si>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</si>
  <si>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</si>
  <si>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</si>
  <si>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</si>
  <si>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</si>
  <si>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</si>
  <si>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</si>
  <si>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</si>
  <si>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</si>
  <si>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</si>
  <si>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</si>
  <si>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</si>
  <si>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</si>
  <si>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</si>
  <si>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</si>
  <si>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</si>
  <si>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</si>
  <si>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</si>
  <si>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</si>
  <si>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</si>
  <si>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</si>
  <si>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</si>
  <si>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</si>
  <si>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</si>
  <si>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</si>
  <si>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</si>
  <si>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</si>
  <si>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</si>
  <si>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</si>
  <si>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</si>
  <si>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</si>
  <si>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</si>
  <si>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</si>
  <si>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</si>
  <si>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</si>
  <si>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</si>
  <si>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</si>
  <si>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</si>
  <si>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</si>
  <si>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</si>
  <si>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</si>
  <si>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</si>
  <si>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</si>
  <si>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</si>
  <si>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</si>
  <si>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</si>
  <si>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</si>
  <si>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</si>
  <si>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</si>
  <si>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</si>
  <si>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</si>
  <si>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</si>
  <si>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</si>
  <si>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</si>
  <si>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</si>
  <si>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</si>
  <si>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</si>
  <si>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</si>
  <si>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</si>
  <si>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</si>
  <si>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</si>
  <si>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</si>
  <si>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</si>
  <si>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</si>
  <si>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</si>
  <si>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</si>
  <si>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</si>
  <si>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</si>
  <si>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</si>
  <si>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</si>
  <si>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</si>
  <si>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</si>
  <si>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</si>
  <si>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</si>
  <si>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</si>
  <si>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</si>
  <si>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</si>
  <si>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</si>
  <si>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</si>
  <si>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</si>
  <si>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</si>
  <si>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</si>
  <si>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</si>
  <si>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</si>
  <si>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</si>
  <si>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</si>
  <si>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</si>
  <si>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</si>
  <si>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</si>
  <si>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</si>
  <si>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</si>
  <si>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</si>
  <si>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</si>
  <si>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</si>
  <si>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</si>
  <si>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</si>
  <si>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</si>
  <si>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</si>
  <si>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</si>
  <si>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</si>
  <si>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</si>
  <si>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</si>
  <si>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</si>
  <si>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</si>
  <si>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</si>
  <si>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</si>
  <si>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</si>
  <si>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</si>
  <si>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</si>
  <si>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</si>
  <si>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</si>
  <si>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</si>
  <si>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</si>
  <si>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</si>
  <si>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</si>
  <si>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</si>
  <si>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</si>
  <si>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</si>
  <si>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</si>
  <si>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</si>
  <si>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</si>
  <si>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</si>
  <si>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</si>
  <si>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</si>
  <si>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</si>
  <si>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</si>
  <si>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</si>
  <si>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</si>
  <si>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</si>
  <si>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</si>
  <si>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</si>
  <si>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</si>
  <si>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</si>
  <si>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</si>
  <si>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</si>
  <si>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</si>
  <si>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</si>
  <si>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</si>
  <si>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</si>
  <si>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</si>
  <si>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</si>
  <si>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</si>
  <si>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</si>
  <si>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</si>
  <si>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</si>
  <si>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</si>
  <si>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</si>
  <si>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</si>
  <si>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</si>
  <si>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</si>
  <si>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</si>
  <si>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</si>
  <si>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</si>
  <si>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</si>
  <si>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</si>
  <si>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</si>
  <si>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</si>
  <si>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</si>
  <si>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</si>
  <si>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</si>
  <si>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</si>
  <si>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</si>
  <si>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</si>
  <si>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</si>
  <si>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</si>
  <si>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</si>
  <si>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</si>
  <si>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</si>
  <si>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</si>
  <si>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</si>
  <si>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</si>
  <si>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</si>
  <si>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</si>
  <si>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</si>
  <si>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</si>
  <si>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</si>
  <si>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</si>
  <si>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</si>
  <si>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</si>
  <si>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</si>
  <si>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</si>
  <si>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</si>
  <si>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</si>
  <si>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</si>
  <si>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</si>
  <si>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</si>
  <si>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</si>
  <si>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</si>
  <si>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</si>
  <si>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</si>
  <si>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</si>
  <si>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</si>
  <si>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</si>
  <si>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</si>
  <si>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</si>
  <si>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</si>
  <si>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</si>
  <si>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</si>
  <si>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</si>
  <si>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</si>
  <si>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</si>
  <si>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</si>
  <si>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</si>
  <si>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</si>
  <si>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</si>
  <si>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</si>
  <si>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</si>
  <si>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</si>
  <si>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</si>
  <si>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</si>
  <si>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</si>
  <si>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</si>
  <si>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</si>
  <si>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</si>
  <si>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</si>
  <si>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</si>
  <si>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</si>
  <si>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</si>
  <si>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</si>
  <si>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</si>
  <si>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</si>
  <si>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</si>
  <si>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</si>
  <si>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</si>
  <si>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</si>
  <si>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</si>
  <si>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</si>
  <si>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</si>
  <si>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</si>
  <si>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</si>
  <si>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</si>
  <si>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</si>
  <si>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</si>
  <si>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</si>
  <si>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</si>
  <si>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</si>
  <si>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</si>
  <si>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</si>
  <si>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</si>
  <si>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</si>
  <si>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</si>
  <si>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</si>
  <si>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</si>
  <si>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</si>
  <si>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</si>
  <si>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</si>
  <si>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</si>
  <si>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</si>
  <si>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</si>
  <si>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</si>
  <si>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</si>
  <si>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</si>
  <si>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</si>
  <si>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</si>
  <si>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</si>
  <si>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</si>
  <si>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</si>
  <si>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</si>
  <si>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</si>
  <si>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</si>
  <si>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</si>
  <si>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</si>
  <si>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</si>
  <si>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</si>
  <si>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</si>
  <si>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</si>
  <si>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</si>
  <si>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</si>
  <si>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</si>
  <si>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</si>
  <si>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</si>
  <si>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</si>
  <si>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</si>
  <si>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</si>
  <si>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</si>
  <si>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</si>
  <si>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</si>
  <si>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</si>
  <si>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</si>
  <si>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</si>
  <si>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</si>
  <si>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</si>
  <si>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</si>
  <si>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</si>
  <si>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</si>
  <si>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</si>
  <si>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</si>
  <si>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</si>
  <si>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</si>
  <si>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</si>
  <si>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</si>
  <si>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</si>
  <si>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</si>
  <si>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</si>
  <si>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</si>
  <si>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</si>
  <si>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</si>
  <si>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</si>
  <si>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</si>
  <si>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</si>
  <si>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</si>
  <si>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</si>
  <si>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</si>
  <si>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</si>
  <si>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</si>
  <si>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</si>
  <si>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</si>
  <si>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</si>
  <si>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</si>
  <si>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</si>
  <si>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</si>
  <si>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</si>
  <si>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</si>
  <si>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</si>
  <si>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</si>
  <si>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</si>
  <si>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</si>
  <si>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</si>
  <si>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</si>
  <si>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</si>
  <si>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</si>
  <si>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</si>
  <si>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</si>
  <si>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</si>
  <si>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</si>
  <si>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</si>
  <si>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</si>
  <si>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</si>
  <si>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</si>
  <si>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</si>
  <si>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</si>
  <si>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</si>
  <si>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</si>
  <si>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</si>
  <si>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</si>
  <si>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</si>
  <si>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</si>
  <si>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</si>
  <si>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</si>
  <si>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</si>
  <si>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</si>
  <si>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</si>
  <si>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</si>
  <si>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</si>
  <si>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</si>
  <si>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</si>
  <si>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</si>
  <si>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</si>
  <si>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</si>
  <si>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</si>
  <si>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</si>
  <si>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</si>
  <si>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</si>
  <si>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</si>
  <si>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</si>
  <si>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</si>
  <si>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</si>
  <si>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</si>
  <si>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</si>
  <si>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</si>
  <si>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</si>
  <si>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</si>
  <si>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</si>
  <si>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</si>
  <si>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</si>
  <si>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</si>
  <si>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</si>
  <si>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</si>
  <si>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</si>
  <si>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</si>
  <si>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</si>
  <si>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</si>
  <si>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</si>
  <si>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</si>
  <si>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</si>
  <si>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</si>
  <si>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</si>
  <si>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</si>
  <si>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</si>
  <si>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</si>
  <si>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</si>
  <si>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</si>
  <si>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</si>
  <si>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</si>
  <si>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</si>
  <si>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</si>
  <si>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</si>
  <si>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</si>
  <si>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</si>
  <si>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</si>
  <si>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</si>
  <si>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</si>
  <si>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</si>
  <si>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</si>
  <si>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</si>
  <si>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</si>
  <si>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</si>
  <si>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</si>
  <si>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</si>
  <si>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</si>
  <si>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</si>
  <si>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</si>
  <si>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</si>
  <si>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</si>
  <si>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</si>
  <si>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</si>
  <si>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</si>
  <si>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</si>
  <si>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</si>
  <si>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</si>
  <si>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</si>
  <si>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</si>
  <si>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</si>
  <si>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</si>
  <si>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</si>
  <si>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</si>
  <si>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</si>
  <si>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</si>
  <si>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</si>
  <si>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</si>
  <si>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</si>
  <si>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</si>
  <si>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</si>
  <si>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</si>
  <si>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</si>
  <si>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</si>
  <si>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</si>
  <si>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</si>
  <si>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</si>
  <si>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</si>
  <si>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</si>
  <si>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</si>
  <si>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</si>
  <si>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</si>
  <si>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</si>
  <si>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</si>
  <si>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</si>
  <si>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</si>
  <si>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</si>
  <si>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</si>
  <si>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</si>
  <si>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</si>
  <si>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</si>
  <si>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</si>
  <si>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</si>
  <si>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</si>
  <si>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</si>
  <si>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</si>
  <si>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</si>
  <si>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</si>
  <si>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</si>
  <si>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</si>
  <si>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</si>
  <si>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</si>
  <si>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</si>
  <si>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</si>
  <si>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</si>
  <si>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</si>
  <si>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</si>
  <si>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</si>
  <si>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</si>
  <si>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</si>
  <si>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</si>
  <si>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</si>
  <si>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</si>
  <si>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</si>
  <si>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</si>
  <si>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</si>
  <si>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</si>
  <si>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</si>
  <si>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</si>
  <si>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</si>
  <si>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</si>
  <si>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</si>
  <si>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</si>
  <si>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</si>
  <si>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</si>
  <si>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</si>
  <si>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</si>
  <si>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</si>
  <si>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</si>
  <si>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</si>
  <si>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</si>
  <si>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</si>
  <si>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</si>
  <si>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</si>
  <si>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</si>
  <si>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</si>
  <si>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</si>
  <si>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</si>
  <si>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</si>
  <si>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</si>
  <si>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</si>
  <si>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</si>
  <si>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</si>
  <si>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</si>
  <si>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</si>
  <si>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</si>
  <si>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</si>
  <si>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</si>
  <si>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</si>
  <si>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</si>
  <si>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</si>
  <si>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</si>
  <si>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</si>
  <si>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</si>
  <si>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</si>
  <si>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</si>
  <si>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</si>
  <si>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</si>
  <si>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</si>
  <si>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</si>
  <si>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</si>
  <si>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</si>
  <si>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</si>
  <si>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</si>
  <si>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</si>
  <si>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</si>
  <si>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</si>
  <si>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</si>
  <si>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</si>
  <si>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</si>
  <si>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</si>
  <si>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</si>
  <si>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</si>
  <si>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</si>
  <si>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</si>
  <si>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</si>
  <si>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</si>
  <si>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</si>
  <si>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</si>
  <si>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</si>
  <si>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</si>
  <si>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</si>
  <si>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</si>
  <si>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</si>
  <si>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</si>
  <si>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</si>
  <si>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</si>
  <si>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</si>
  <si>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</si>
  <si>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</si>
  <si>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</si>
  <si>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</si>
  <si>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</si>
  <si>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</si>
  <si>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</si>
  <si>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</si>
  <si>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</si>
  <si>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</si>
  <si>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</si>
  <si>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</si>
  <si>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</si>
  <si>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</si>
  <si>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</si>
  <si>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</si>
  <si>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</si>
  <si>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</si>
  <si>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</si>
  <si>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</si>
  <si>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</si>
  <si>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</si>
  <si>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</si>
  <si>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</si>
  <si>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</si>
  <si>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</si>
  <si>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</si>
  <si>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</si>
  <si>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</si>
  <si>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</si>
  <si>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</si>
  <si>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</si>
  <si>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</si>
  <si>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</si>
  <si>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</si>
  <si>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</si>
  <si>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</si>
  <si>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</si>
  <si>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</si>
  <si>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</si>
  <si>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</si>
  <si>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</si>
  <si>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</si>
  <si>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</si>
  <si>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</si>
  <si>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</si>
  <si>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</si>
  <si>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</si>
  <si>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</si>
  <si>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</si>
  <si>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</si>
  <si>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</si>
  <si>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</si>
  <si>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</si>
  <si>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</si>
  <si>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</si>
  <si>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</si>
  <si>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</si>
  <si>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</si>
  <si>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</si>
  <si>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</si>
  <si>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</si>
  <si>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</si>
  <si>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</si>
  <si>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</si>
  <si>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</si>
  <si>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</si>
  <si>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</si>
  <si>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</si>
  <si>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</si>
  <si>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</si>
  <si>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</si>
  <si>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</si>
  <si>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</si>
  <si>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</si>
  <si>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</si>
  <si>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</si>
  <si>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</si>
  <si>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</si>
  <si>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</si>
  <si>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</si>
  <si>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</si>
  <si>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</si>
  <si>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</si>
  <si>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</si>
  <si>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</si>
  <si>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</si>
  <si>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</si>
  <si>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</si>
  <si>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</si>
  <si>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</si>
  <si>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</si>
  <si>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</si>
  <si>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</si>
  <si>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</si>
  <si>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</si>
  <si>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</si>
  <si>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</si>
  <si>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</si>
  <si>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</si>
  <si>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</si>
  <si>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</si>
  <si>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</si>
  <si>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</si>
  <si>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</si>
  <si>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</si>
  <si>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</si>
  <si>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</si>
  <si>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</si>
  <si>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</si>
  <si>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</si>
  <si>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</si>
  <si>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</si>
  <si>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</si>
  <si>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</si>
  <si>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</si>
  <si>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</si>
  <si>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</si>
  <si>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</si>
  <si>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</si>
  <si>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</si>
  <si>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</si>
  <si>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</si>
  <si>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</si>
  <si>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</si>
  <si>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</si>
  <si>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</si>
  <si>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</si>
  <si>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</si>
  <si>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</si>
  <si>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</si>
  <si>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</si>
  <si>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</si>
  <si>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</si>
  <si>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</si>
  <si>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</si>
  <si>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</si>
  <si>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</si>
  <si>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</si>
  <si>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</si>
  <si>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</si>
  <si>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</si>
  <si>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</si>
  <si>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</si>
  <si>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</si>
  <si>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</si>
  <si>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</si>
  <si>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</si>
  <si>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</si>
  <si>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</si>
  <si>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</si>
  <si>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</si>
  <si>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</si>
  <si>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</si>
  <si>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</si>
  <si>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</si>
  <si>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</si>
  <si>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</si>
  <si>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</si>
  <si>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</si>
  <si>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</si>
  <si>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</si>
  <si>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</si>
  <si>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</si>
  <si>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</si>
  <si>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</si>
  <si>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</si>
  <si>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</si>
  <si>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</si>
  <si>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</si>
  <si>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</si>
  <si>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</si>
  <si>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</si>
  <si>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</si>
  <si>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</si>
  <si>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</si>
  <si>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</si>
  <si>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</si>
  <si>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</si>
  <si>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</si>
  <si>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</si>
  <si>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</si>
  <si>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</si>
  <si>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</si>
  <si>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</si>
  <si>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</si>
  <si>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</si>
  <si>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</si>
  <si>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</si>
  <si>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</si>
  <si>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</si>
  <si>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</si>
  <si>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</si>
  <si>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</si>
  <si>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</si>
  <si>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</si>
  <si>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</si>
  <si>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</si>
  <si>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</si>
  <si>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</si>
  <si>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</si>
  <si>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</si>
  <si>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</si>
  <si>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</si>
  <si>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</si>
  <si>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</si>
  <si>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</si>
  <si>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</si>
  <si>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</si>
  <si>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</si>
  <si>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</si>
  <si>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</si>
  <si>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</si>
  <si>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</si>
  <si>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</si>
  <si>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</si>
  <si>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</si>
  <si>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</si>
  <si>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</si>
  <si>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</si>
  <si>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</si>
  <si>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</si>
  <si>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</si>
  <si>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</si>
  <si>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</si>
  <si>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</si>
  <si>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</si>
  <si>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</si>
  <si>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</si>
  <si>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</si>
  <si>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</si>
  <si>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</si>
  <si>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</si>
  <si>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</si>
  <si>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</si>
  <si>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</si>
  <si>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</si>
  <si>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</si>
  <si>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</si>
  <si>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</si>
  <si>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</si>
  <si>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</si>
  <si>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</si>
  <si>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</si>
  <si>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</si>
  <si>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</si>
  <si>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</si>
  <si>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</si>
  <si>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</si>
  <si>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</si>
  <si>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</si>
  <si>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</si>
  <si>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</si>
  <si>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</si>
  <si>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</si>
  <si>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</si>
  <si>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</si>
  <si>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</si>
  <si>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</si>
  <si>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</si>
  <si>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</si>
  <si>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</si>
  <si>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</si>
  <si>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</si>
  <si>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</si>
  <si>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</si>
  <si>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</si>
  <si>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</si>
  <si>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</si>
  <si>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</si>
  <si>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</si>
  <si>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</si>
  <si>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</si>
  <si>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</si>
  <si>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</si>
  <si>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</si>
  <si>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</si>
  <si>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</si>
  <si>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</si>
  <si>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</si>
  <si>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</si>
  <si>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</si>
  <si>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</si>
  <si>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</si>
  <si>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</si>
  <si>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</si>
  <si>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</si>
  <si>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</si>
  <si>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</si>
  <si>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</si>
  <si>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</si>
  <si>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</si>
  <si>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</si>
  <si>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</si>
  <si>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</si>
  <si>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</si>
  <si>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</si>
  <si>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</si>
  <si>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</si>
  <si>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</si>
  <si>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</si>
  <si>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</si>
  <si>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</si>
  <si>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</si>
  <si>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</si>
  <si>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</si>
  <si>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</si>
  <si>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</si>
  <si>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</si>
  <si>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</si>
  <si>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</si>
  <si>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</si>
  <si>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</si>
  <si>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</si>
  <si>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</si>
  <si>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</si>
  <si>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</si>
  <si>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</si>
  <si>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</si>
  <si>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</si>
  <si>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</si>
  <si>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</si>
  <si>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</si>
  <si>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</si>
  <si>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</si>
  <si>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</si>
  <si>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</si>
  <si>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</si>
  <si>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</si>
  <si>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</si>
  <si>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</si>
  <si>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</si>
  <si>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</si>
  <si>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</si>
  <si>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</si>
  <si>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</si>
  <si>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</si>
  <si>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</si>
  <si>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</si>
  <si>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</si>
  <si>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</si>
  <si>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</si>
  <si>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</si>
  <si>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</si>
  <si>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</si>
  <si>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</si>
  <si>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</si>
  <si>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</si>
  <si>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</si>
  <si>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</si>
  <si>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</si>
  <si>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</si>
  <si>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</si>
  <si>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</si>
  <si>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</si>
  <si>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</si>
  <si>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</si>
  <si>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</si>
  <si>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</si>
  <si>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</si>
  <si>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</si>
  <si>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</si>
  <si>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</si>
  <si>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</si>
  <si>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</si>
  <si>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</si>
  <si>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</si>
  <si>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</si>
  <si>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</si>
  <si>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</si>
  <si>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</si>
  <si>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</si>
  <si>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</si>
  <si>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</si>
  <si>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</si>
  <si>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</si>
  <si>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</si>
  <si>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</si>
  <si>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</si>
  <si>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</si>
  <si>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</si>
  <si>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</si>
  <si>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</si>
  <si>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</si>
  <si>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</si>
  <si>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</si>
  <si>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</si>
  <si>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</si>
  <si>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</si>
  <si>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</si>
  <si>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</si>
  <si>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</si>
  <si>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</si>
  <si>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</si>
  <si>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</si>
  <si>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</si>
  <si>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</si>
  <si>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</si>
  <si>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</si>
  <si>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</si>
  <si>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</si>
  <si>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</si>
  <si>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</si>
  <si>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</si>
  <si>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</si>
  <si>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</si>
  <si>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</si>
  <si>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</si>
  <si>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</si>
  <si>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</si>
  <si>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</si>
  <si>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</si>
  <si>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</si>
  <si>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</si>
  <si>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</si>
  <si>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</si>
  <si>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</si>
  <si>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</si>
  <si>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</si>
  <si>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</si>
  <si>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</si>
  <si>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</si>
  <si>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</si>
  <si>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</si>
  <si>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</si>
  <si>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</si>
  <si>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</si>
  <si>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</si>
  <si>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</si>
  <si>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</si>
  <si>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</si>
  <si>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</si>
  <si>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</si>
  <si>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</si>
  <si>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</si>
  <si>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</si>
  <si>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</si>
  <si>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</si>
  <si>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</si>
  <si>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</si>
  <si>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</si>
  <si>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</si>
  <si>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</si>
  <si>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</si>
  <si>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</si>
  <si>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</si>
  <si>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</si>
  <si>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</si>
  <si>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</si>
  <si>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</si>
  <si>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</si>
  <si>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</si>
  <si>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</si>
  <si>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</si>
  <si>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</si>
  <si>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</si>
  <si>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</si>
  <si>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</si>
  <si>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</si>
  <si>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</si>
  <si>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</si>
  <si>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</si>
  <si>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</si>
  <si>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</si>
  <si>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</si>
  <si>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</si>
  <si>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</si>
  <si>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</si>
  <si>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</si>
  <si>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</si>
  <si>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</si>
  <si>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</si>
  <si>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</si>
  <si>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</si>
  <si>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</si>
  <si>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</si>
  <si>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</si>
  <si>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</si>
  <si>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</si>
  <si>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</si>
  <si>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</si>
  <si>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</si>
  <si>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</si>
  <si>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</si>
  <si>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</si>
  <si>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</si>
  <si>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</si>
  <si>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</si>
  <si>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</si>
  <si>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</si>
  <si>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</si>
  <si>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</si>
  <si>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</si>
  <si>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</si>
  <si>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</si>
  <si>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</si>
  <si>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</si>
  <si>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</si>
  <si>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</si>
  <si>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</si>
  <si>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</si>
  <si>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</si>
  <si>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</si>
  <si>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</si>
  <si>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</si>
  <si>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</si>
  <si>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</si>
  <si>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</si>
  <si>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</si>
  <si>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</si>
  <si>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</si>
  <si>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</si>
  <si>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</si>
  <si>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</si>
  <si>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</si>
  <si>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</si>
  <si>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</si>
  <si>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</si>
  <si>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</si>
  <si>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</si>
  <si>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</si>
  <si>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</si>
  <si>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</si>
  <si>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</si>
  <si>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</si>
  <si>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</si>
  <si>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</si>
  <si>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</si>
  <si>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</si>
  <si>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</si>
  <si>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</si>
  <si>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</si>
  <si>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</si>
  <si>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</si>
  <si>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</si>
  <si>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</si>
  <si>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</si>
  <si>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</si>
  <si>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</si>
  <si>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</si>
  <si>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</si>
  <si>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</si>
  <si>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</si>
  <si>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</si>
  <si>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</si>
  <si>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</si>
  <si>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</si>
  <si>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</si>
  <si>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</si>
  <si>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</si>
  <si>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</si>
  <si>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</si>
  <si>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</si>
  <si>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</si>
  <si>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</si>
  <si>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</si>
  <si>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</si>
  <si>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</si>
  <si>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</si>
  <si>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</si>
  <si>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</si>
  <si>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</si>
  <si>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</si>
  <si>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</si>
  <si>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</si>
  <si>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</si>
  <si>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</si>
  <si>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</si>
  <si>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</si>
  <si>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</si>
  <si>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</si>
  <si>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</si>
  <si>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</si>
  <si>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</si>
  <si>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</si>
  <si>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</si>
  <si>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</si>
  <si>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</si>
  <si>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</si>
  <si>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</si>
  <si>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</si>
  <si>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</si>
  <si>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</si>
  <si>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</si>
  <si>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</si>
  <si>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</si>
  <si>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</si>
  <si>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</si>
  <si>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</si>
  <si>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</si>
  <si>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</si>
  <si>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</si>
  <si>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</si>
  <si>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</si>
  <si>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</si>
  <si>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</si>
  <si>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</si>
  <si>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</si>
  <si>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</si>
  <si>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</si>
  <si>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</si>
  <si>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</si>
  <si>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</si>
  <si>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</si>
  <si>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</si>
  <si>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</si>
  <si>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</si>
  <si>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</si>
  <si>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</si>
  <si>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</si>
  <si>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</si>
  <si>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</si>
  <si>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</si>
  <si>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</si>
  <si>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</si>
  <si>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</si>
  <si>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</si>
  <si>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</si>
  <si>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</si>
  <si>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</si>
  <si>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</si>
  <si>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</si>
  <si>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</si>
  <si>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</si>
  <si>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</si>
  <si>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</si>
  <si>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</si>
  <si>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</si>
  <si>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</si>
  <si>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</si>
  <si>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</si>
  <si>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</si>
  <si>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</si>
  <si>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</si>
  <si>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</si>
  <si>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</si>
  <si>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</si>
  <si>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</si>
  <si>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</si>
  <si>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</si>
  <si>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</si>
  <si>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</si>
  <si>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</si>
  <si>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</si>
  <si>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</si>
  <si>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</si>
  <si>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</si>
  <si>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</si>
  <si>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</si>
  <si>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</si>
  <si>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</si>
  <si>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</si>
  <si>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</si>
  <si>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</si>
  <si>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</si>
  <si>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</si>
  <si>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</si>
  <si>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</si>
  <si>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</si>
  <si>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</si>
  <si>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</si>
  <si>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</si>
  <si>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</si>
  <si>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</si>
  <si>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</si>
  <si>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</si>
  <si>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</si>
  <si>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</si>
  <si>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</si>
  <si>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</si>
  <si>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</si>
  <si>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</si>
  <si>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</si>
  <si>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</si>
  <si>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</si>
  <si>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</si>
  <si>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</si>
  <si>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</si>
  <si>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</si>
  <si>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</si>
  <si>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</si>
  <si>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</si>
  <si>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</si>
  <si>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</si>
  <si>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</si>
  <si>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</si>
  <si>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</si>
  <si>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</si>
  <si>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</si>
  <si>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</si>
  <si>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</si>
  <si>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</si>
  <si>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</si>
  <si>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</si>
  <si>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</si>
  <si>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</si>
  <si>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</si>
  <si>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</si>
  <si>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</si>
  <si>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</si>
  <si>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</si>
  <si>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</si>
  <si>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</si>
  <si>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</si>
  <si>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</si>
  <si>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</si>
  <si>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</si>
  <si>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</si>
  <si>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</si>
  <si>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</si>
  <si>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</si>
  <si>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</si>
  <si>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</si>
  <si>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</si>
  <si>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</si>
  <si>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</si>
  <si>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</si>
  <si>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</si>
  <si>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</si>
  <si>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</si>
  <si>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</si>
  <si>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</si>
  <si>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</si>
  <si>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</si>
  <si>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</si>
  <si>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</si>
  <si>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</si>
  <si>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</si>
  <si>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</si>
  <si>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</si>
  <si>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</si>
  <si>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</si>
  <si>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</si>
  <si>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</si>
  <si>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</si>
  <si>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</si>
  <si>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</si>
  <si>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</si>
  <si>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</si>
  <si>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</si>
  <si>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</si>
  <si>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</si>
  <si>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</si>
  <si>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</si>
  <si>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</si>
  <si>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</si>
  <si>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</si>
  <si>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</si>
  <si>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</si>
  <si>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</si>
  <si>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</si>
  <si>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</si>
  <si>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</si>
  <si>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</si>
  <si>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</si>
  <si>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</si>
  <si>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</si>
  <si>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</si>
  <si>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</si>
  <si>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</si>
  <si>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</si>
  <si>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</si>
  <si>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</si>
  <si>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</si>
  <si>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</si>
  <si>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</si>
  <si>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</si>
  <si>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</si>
  <si>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</si>
  <si>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</si>
  <si>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</si>
  <si>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</si>
  <si>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</si>
  <si>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</si>
  <si>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</si>
  <si>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</si>
  <si>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</si>
  <si>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</si>
  <si>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</si>
  <si>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</si>
  <si>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</si>
  <si>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</si>
  <si>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</si>
  <si>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</si>
  <si>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</si>
  <si>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</si>
  <si>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</si>
  <si>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</si>
  <si>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</si>
  <si>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</si>
  <si>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</si>
  <si>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</si>
  <si>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</si>
  <si>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</si>
  <si>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</si>
  <si>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</si>
  <si>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</si>
  <si>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</si>
  <si>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</si>
  <si>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</si>
  <si>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</si>
  <si>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</si>
  <si>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</si>
  <si>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</si>
  <si>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</si>
  <si>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</si>
  <si>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</si>
  <si>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</si>
  <si>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</si>
  <si>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</si>
  <si>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</si>
  <si>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</si>
  <si>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</si>
  <si>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</si>
  <si>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</si>
  <si>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</si>
  <si>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</si>
  <si>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</si>
  <si>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</si>
  <si>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</si>
  <si>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</si>
  <si>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</si>
  <si>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</si>
  <si>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</si>
  <si>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</si>
  <si>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</si>
  <si>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</si>
  <si>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</si>
  <si>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</si>
  <si>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</si>
  <si>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</si>
  <si>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</si>
  <si>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</si>
  <si>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</si>
  <si>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</si>
  <si>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</si>
  <si>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</si>
  <si>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</si>
  <si>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</si>
  <si>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</si>
  <si>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</si>
  <si>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</si>
  <si>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</si>
  <si>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</si>
  <si>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</si>
  <si>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</si>
  <si>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</si>
  <si>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</si>
  <si>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</si>
  <si>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</si>
  <si>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</si>
  <si>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</si>
  <si>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</si>
  <si>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</si>
  <si>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</si>
  <si>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</si>
  <si>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</si>
  <si>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</si>
  <si>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</si>
  <si>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</si>
  <si>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</si>
  <si>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</si>
  <si>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</si>
  <si>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</si>
  <si>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</si>
  <si>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</si>
  <si>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</si>
  <si>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</si>
  <si>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</si>
  <si>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</si>
  <si>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</si>
  <si>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</si>
  <si>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</si>
  <si>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</si>
  <si>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</si>
  <si>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</si>
  <si>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</si>
  <si>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</si>
  <si>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</si>
  <si>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</si>
  <si>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</si>
  <si>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</si>
  <si>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</si>
  <si>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</si>
  <si>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</si>
  <si>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</si>
  <si>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</si>
  <si>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</si>
  <si>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</si>
  <si>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</si>
  <si>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</si>
  <si>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</si>
  <si>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</si>
  <si>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</si>
  <si>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</si>
  <si>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</si>
  <si>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</si>
  <si>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</si>
  <si>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</si>
  <si>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</si>
  <si>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</si>
  <si>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</si>
  <si>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</si>
  <si>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</si>
  <si>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</si>
  <si>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</si>
  <si>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</si>
  <si>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</si>
  <si>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</si>
  <si>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</si>
  <si>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</si>
  <si>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</si>
  <si>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</si>
  <si>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</si>
  <si>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</si>
  <si>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</si>
  <si>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</si>
  <si>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</si>
  <si>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</si>
  <si>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</si>
  <si>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</si>
  <si>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</si>
  <si>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</si>
  <si>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</si>
  <si>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</si>
  <si>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</si>
  <si>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</si>
  <si>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</si>
  <si>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</si>
  <si>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</si>
  <si>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</si>
  <si>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</si>
  <si>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</si>
  <si>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</si>
  <si>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</si>
  <si>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</si>
  <si>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</si>
  <si>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</si>
  <si>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</si>
  <si>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</si>
  <si>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</si>
  <si>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</si>
  <si>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</si>
  <si>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</si>
  <si>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</si>
  <si>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</si>
  <si>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</si>
  <si>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</si>
  <si>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</si>
  <si>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</si>
  <si>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</si>
  <si>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</si>
  <si>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</si>
  <si>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</si>
  <si>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</si>
  <si>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</si>
  <si>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</si>
  <si>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</si>
  <si>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</si>
  <si>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</si>
  <si>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</si>
  <si>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</si>
  <si>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</si>
  <si>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</si>
  <si>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</si>
  <si>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</si>
  <si>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</si>
  <si>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</si>
  <si>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</si>
  <si>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</si>
  <si>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</si>
  <si>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</si>
  <si>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</si>
  <si>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</si>
  <si>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</si>
  <si>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</si>
  <si>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</si>
  <si>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</si>
  <si>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</si>
  <si>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</si>
  <si>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</si>
  <si>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</si>
  <si>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</si>
  <si>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</si>
  <si>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</si>
  <si>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</si>
  <si>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</si>
  <si>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</si>
  <si>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</si>
  <si>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</si>
  <si>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</si>
  <si>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</si>
  <si>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</si>
  <si>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</si>
  <si>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</si>
  <si>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</si>
  <si>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</si>
  <si>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</si>
  <si>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</si>
  <si>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</si>
  <si>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</si>
  <si>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</si>
  <si>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</si>
  <si>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</si>
  <si>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</si>
  <si>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</si>
  <si>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</si>
  <si>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</si>
  <si>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</si>
  <si>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</si>
  <si>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</si>
  <si>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</si>
  <si>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</si>
  <si>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</si>
  <si>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</si>
  <si>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</si>
  <si>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</si>
  <si>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</si>
  <si>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</si>
  <si>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</si>
  <si>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</si>
  <si>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</si>
  <si>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</si>
  <si>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</si>
  <si>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</si>
  <si>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</si>
  <si>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</si>
  <si>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</si>
  <si>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</si>
  <si>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</si>
  <si>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</si>
  <si>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</si>
  <si>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</si>
  <si>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</si>
  <si>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</si>
  <si>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</si>
  <si>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</si>
  <si>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</si>
  <si>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</si>
  <si>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</si>
  <si>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</si>
  <si>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</si>
  <si>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</si>
  <si>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</si>
  <si>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</si>
  <si>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</si>
  <si>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</si>
  <si>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</si>
  <si>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</si>
  <si>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</si>
  <si>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</si>
  <si>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</si>
  <si>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</si>
  <si>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</si>
  <si>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</si>
  <si>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</si>
  <si>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</si>
  <si>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</si>
  <si>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</si>
  <si>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</si>
  <si>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</si>
  <si>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</si>
  <si>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</si>
  <si>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</si>
  <si>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</si>
  <si>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</si>
  <si>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</si>
  <si>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</si>
  <si>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</si>
  <si>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</si>
  <si>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</si>
  <si>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</si>
  <si>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</si>
  <si>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</si>
  <si>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</si>
  <si>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</si>
  <si>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</si>
  <si>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</si>
  <si>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</si>
  <si>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</si>
  <si>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</si>
  <si>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</si>
  <si>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</si>
  <si>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</si>
  <si>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</si>
  <si>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</si>
  <si>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</si>
  <si>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</si>
  <si>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</si>
  <si>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</si>
  <si>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</si>
  <si>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</si>
  <si>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</si>
  <si>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</si>
  <si>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</si>
  <si>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</si>
  <si>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</si>
  <si>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</si>
  <si>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</si>
  <si>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</si>
  <si>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</si>
  <si>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</si>
  <si>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</si>
  <si>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</si>
  <si>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</si>
  <si>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</si>
  <si>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</si>
  <si>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</si>
  <si>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</si>
  <si>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</si>
  <si>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</si>
  <si>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</si>
  <si>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</si>
  <si>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</si>
  <si>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</si>
  <si>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</si>
  <si>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</si>
  <si>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</si>
  <si>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</si>
  <si>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</si>
  <si>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</si>
  <si>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</si>
  <si>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</si>
  <si>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</si>
  <si>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</si>
  <si>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</si>
  <si>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</si>
  <si>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</si>
  <si>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</si>
  <si>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</si>
  <si>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</si>
  <si>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</si>
  <si>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</si>
  <si>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</si>
  <si>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</si>
  <si>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</si>
  <si>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</si>
  <si>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</si>
  <si>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</si>
  <si>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</si>
  <si>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</si>
  <si>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</si>
  <si>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</si>
  <si>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</si>
  <si>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</si>
  <si>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</si>
  <si>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</si>
  <si>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</si>
  <si>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</si>
  <si>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</si>
  <si>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</si>
  <si>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</si>
  <si>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</si>
  <si>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</si>
  <si>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</si>
  <si>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</si>
  <si>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</si>
  <si>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</si>
  <si>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</si>
  <si>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</si>
  <si>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</si>
  <si>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</si>
  <si>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</si>
  <si>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</si>
  <si>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</si>
  <si>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</si>
  <si>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</si>
  <si>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</si>
  <si>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</si>
  <si>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</si>
  <si>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</si>
  <si>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</si>
  <si>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</si>
  <si>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</si>
  <si>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</si>
  <si>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</si>
  <si>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</si>
  <si>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</si>
  <si>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</si>
  <si>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</si>
  <si>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</si>
  <si>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</si>
  <si>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</si>
  <si>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</si>
  <si>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</si>
  <si>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</si>
  <si>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</si>
  <si>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</si>
  <si>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</si>
  <si>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</si>
  <si>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</si>
  <si>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</si>
  <si>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</si>
  <si>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</si>
  <si>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</si>
  <si>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</si>
  <si>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</si>
  <si>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</si>
  <si>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</si>
  <si>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</si>
  <si>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</si>
  <si>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</si>
  <si>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</si>
  <si>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</si>
  <si>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</si>
  <si>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</si>
  <si>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</si>
  <si>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</si>
  <si>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</si>
  <si>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</si>
  <si>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</si>
  <si>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</si>
  <si>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</si>
  <si>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</si>
  <si>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</si>
  <si>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</si>
  <si>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</si>
  <si>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</si>
  <si>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</si>
  <si>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</si>
  <si>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</si>
  <si>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</si>
  <si>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</si>
  <si>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</si>
  <si>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</si>
  <si>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</si>
  <si>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</si>
  <si>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</si>
  <si>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</si>
  <si>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</si>
  <si>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</si>
  <si>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</si>
  <si>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</si>
  <si>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</si>
  <si>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</si>
  <si>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</si>
  <si>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</si>
  <si>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</si>
  <si>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</si>
  <si>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</si>
  <si>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</si>
  <si>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</si>
  <si>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</si>
  <si>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</si>
  <si>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</si>
  <si>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</si>
  <si>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</si>
  <si>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</si>
  <si>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</si>
  <si>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</si>
  <si>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</si>
  <si>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</si>
  <si>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</si>
  <si>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</si>
  <si>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</si>
  <si>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</si>
  <si>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</si>
  <si>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</si>
  <si>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</si>
  <si>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</si>
  <si>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</si>
  <si>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</si>
  <si>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</si>
  <si>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</si>
  <si>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</si>
  <si>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</si>
  <si>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</si>
  <si>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</si>
  <si>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</si>
  <si>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</si>
  <si>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</si>
  <si>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</si>
  <si>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</si>
  <si>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</si>
  <si>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</si>
  <si>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</si>
  <si>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</si>
  <si>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</si>
  <si>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</si>
  <si>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</si>
  <si>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</si>
  <si>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</si>
  <si>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</si>
  <si>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</si>
  <si>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</si>
  <si>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</si>
  <si>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</si>
  <si>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</si>
  <si>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</si>
  <si>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</si>
  <si>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</si>
  <si>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</si>
  <si>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</si>
  <si>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</si>
  <si>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</si>
  <si>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</si>
  <si>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</si>
  <si>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</si>
  <si>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</si>
  <si>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</si>
  <si>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</si>
  <si>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</si>
  <si>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</si>
  <si>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</si>
  <si>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</si>
  <si>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</si>
  <si>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</si>
  <si>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</si>
  <si>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</si>
  <si>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</si>
  <si>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</si>
  <si>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</si>
  <si>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</si>
  <si>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</si>
  <si>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</si>
  <si>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</si>
  <si>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</si>
  <si>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</si>
  <si>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</si>
  <si>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</si>
  <si>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</si>
  <si>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</si>
  <si>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</si>
  <si>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</si>
  <si>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</si>
  <si>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</si>
  <si>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</si>
  <si>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</si>
  <si>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</si>
  <si>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</si>
  <si>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</si>
  <si>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</si>
  <si>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</si>
  <si>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</si>
  <si>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</si>
  <si>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</si>
  <si>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</si>
  <si>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</si>
  <si>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</si>
  <si>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</si>
  <si>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</si>
  <si>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</si>
  <si>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</si>
  <si>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</si>
  <si>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</si>
  <si>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</si>
  <si>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</si>
  <si>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</si>
  <si>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</si>
  <si>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</si>
  <si>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</si>
  <si>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</si>
  <si>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</si>
  <si>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</si>
  <si>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</si>
  <si>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</si>
  <si>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</si>
  <si>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</si>
  <si>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</si>
  <si>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</si>
  <si>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</si>
  <si>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</si>
  <si>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</si>
  <si>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</si>
  <si>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</si>
  <si>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</si>
  <si>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</si>
  <si>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</si>
  <si>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</si>
  <si>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</si>
  <si>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</si>
  <si>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</si>
  <si>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</si>
  <si>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</si>
  <si>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</si>
  <si>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</si>
  <si>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</si>
  <si>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</si>
  <si>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</si>
  <si>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</si>
  <si>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</si>
  <si>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</si>
  <si>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</si>
  <si>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</si>
  <si>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</si>
  <si>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</si>
  <si>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</si>
  <si>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</si>
  <si>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</si>
  <si>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</si>
  <si>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</si>
  <si>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</si>
  <si>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</si>
  <si>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</si>
  <si>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</si>
  <si>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</si>
  <si>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</si>
  <si>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</si>
  <si>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</si>
  <si>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</si>
  <si>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</si>
  <si>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</si>
  <si>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</si>
  <si>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</si>
  <si>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</si>
  <si>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</si>
  <si>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</si>
  <si>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</si>
  <si>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</si>
  <si>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</si>
  <si>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</si>
  <si>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</si>
  <si>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</si>
  <si>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</si>
  <si>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</si>
  <si>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</si>
  <si>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</si>
  <si>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</si>
  <si>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</si>
  <si>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</si>
  <si>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</si>
  <si>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</si>
  <si>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</si>
  <si>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</si>
  <si>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</si>
  <si>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</si>
  <si>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</si>
  <si>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</si>
  <si>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</si>
  <si>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</si>
  <si>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</si>
  <si>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</si>
  <si>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</si>
  <si>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</si>
  <si>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</si>
  <si>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</si>
  <si>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</si>
  <si>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</si>
  <si>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</si>
  <si>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</si>
  <si>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</si>
  <si>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</si>
  <si>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</si>
  <si>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</si>
  <si>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</si>
  <si>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</si>
  <si>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</si>
  <si>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</si>
  <si>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</si>
  <si>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</si>
  <si>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</si>
  <si>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</si>
  <si>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</si>
  <si>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</si>
  <si>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</si>
  <si>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</si>
  <si>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</si>
  <si>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</si>
  <si>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</si>
  <si>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</si>
  <si>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</si>
  <si>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</si>
  <si>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</si>
  <si>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</si>
  <si>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</si>
  <si>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</si>
  <si>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</si>
  <si>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</si>
  <si>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</si>
  <si>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</si>
  <si>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</si>
  <si>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</si>
  <si>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</si>
  <si>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</si>
  <si>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</si>
  <si>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</si>
  <si>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</si>
  <si>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</si>
  <si>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</si>
  <si>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</si>
  <si>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</si>
  <si>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</si>
  <si>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</si>
  <si>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</si>
  <si>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</si>
  <si>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</si>
  <si>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</si>
  <si>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</si>
  <si>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</si>
  <si>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</si>
  <si>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</si>
  <si>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</si>
  <si>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</si>
  <si>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</si>
  <si>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</si>
  <si>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</si>
  <si>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</si>
  <si>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</si>
  <si>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</si>
  <si>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</si>
  <si>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</si>
  <si>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</si>
  <si>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</si>
  <si>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</si>
  <si>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</si>
  <si>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</si>
  <si>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</si>
  <si>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</si>
  <si>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</si>
  <si>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</si>
  <si>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</si>
  <si>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</si>
  <si>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</si>
  <si>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</si>
  <si>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</si>
  <si>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</si>
  <si>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</si>
  <si>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</si>
  <si>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</si>
  <si>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</si>
  <si>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</si>
  <si>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</si>
  <si>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</si>
  <si>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</si>
  <si>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</si>
  <si>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</si>
  <si>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</si>
  <si>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</si>
  <si>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</si>
  <si>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</si>
  <si>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</si>
  <si>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</si>
  <si>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</si>
  <si>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</si>
  <si>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</si>
  <si>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</si>
  <si>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</si>
  <si>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</si>
  <si>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</si>
  <si>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</si>
  <si>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</si>
  <si>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</si>
  <si>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</si>
  <si>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</si>
  <si>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</si>
  <si>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</si>
  <si>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</si>
  <si>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</si>
  <si>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</si>
  <si>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</si>
  <si>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</si>
  <si>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</si>
  <si>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</si>
  <si>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</si>
  <si>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</si>
  <si>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</si>
  <si>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</si>
  <si>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</si>
  <si>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</si>
  <si>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</si>
  <si>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</si>
  <si>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</si>
  <si>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</si>
  <si>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</si>
  <si>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</si>
  <si>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</si>
  <si>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</si>
  <si>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</si>
  <si>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</si>
  <si>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</si>
  <si>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</si>
  <si>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</si>
  <si>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</si>
  <si>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</si>
  <si>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</si>
  <si>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</si>
  <si>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</si>
  <si>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</si>
  <si>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</si>
  <si>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</si>
  <si>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</si>
  <si>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</si>
  <si>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</si>
  <si>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</si>
  <si>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</si>
  <si>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</si>
  <si>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</si>
  <si>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</si>
  <si>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</si>
  <si>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</si>
  <si>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</si>
  <si>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</si>
  <si>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</si>
  <si>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</si>
  <si>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</si>
  <si>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</si>
  <si>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</si>
  <si>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</si>
  <si>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</si>
  <si>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</si>
  <si>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</si>
  <si>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</si>
  <si>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</si>
  <si>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</si>
  <si>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</si>
  <si>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</si>
  <si>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</si>
  <si>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</si>
  <si>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</si>
  <si>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</si>
  <si>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</si>
  <si>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</si>
  <si>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</si>
  <si>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</si>
  <si>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</si>
  <si>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</si>
  <si>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</si>
  <si>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</si>
  <si>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</si>
  <si>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</si>
  <si>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</si>
  <si>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</si>
  <si>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</si>
  <si>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</si>
  <si>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</si>
  <si>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</si>
  <si>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</si>
  <si>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</si>
  <si>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</si>
  <si>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</si>
  <si>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</si>
  <si>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</si>
  <si>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</si>
  <si>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</si>
  <si>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</si>
  <si>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</si>
  <si>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</si>
  <si>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</si>
  <si>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</si>
  <si>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</si>
  <si>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</si>
  <si>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</si>
  <si>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</si>
  <si>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</si>
  <si>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</si>
  <si>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</si>
  <si>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</si>
  <si>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</si>
  <si>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</si>
  <si>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</si>
  <si>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</si>
  <si>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</si>
  <si>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</si>
  <si>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</si>
  <si>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</si>
  <si>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</si>
  <si>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</si>
  <si>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</si>
  <si>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</si>
  <si>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</si>
  <si>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</si>
  <si>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</si>
  <si>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</si>
  <si>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</si>
  <si>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</si>
  <si>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</si>
  <si>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</si>
  <si>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</si>
  <si>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</si>
  <si>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</si>
  <si>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</si>
  <si>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</si>
  <si>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</si>
  <si>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</si>
  <si>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</si>
  <si>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</si>
  <si>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</si>
  <si>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</si>
  <si>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</si>
  <si>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</si>
  <si>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</si>
  <si>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</si>
  <si>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</si>
  <si>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</si>
  <si>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</si>
  <si>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</si>
  <si>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</si>
  <si>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</si>
  <si>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</si>
  <si>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</si>
  <si>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</si>
  <si>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</si>
  <si>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</si>
  <si>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</si>
  <si>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</si>
  <si>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</si>
  <si>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</si>
  <si>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</si>
  <si>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</si>
  <si>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</si>
  <si>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</si>
  <si>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</si>
  <si>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</si>
  <si>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</si>
  <si>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</si>
  <si>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</si>
  <si>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</si>
  <si>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</si>
  <si>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</si>
  <si>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</si>
  <si>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</si>
  <si>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</si>
  <si>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</si>
  <si>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</si>
  <si>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</si>
  <si>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</si>
  <si>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</si>
  <si>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</si>
  <si>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</si>
  <si>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</si>
  <si>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</si>
  <si>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</si>
  <si>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</si>
  <si>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</si>
  <si>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</si>
  <si>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</si>
  <si>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</si>
  <si>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</si>
  <si>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</si>
  <si>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</si>
  <si>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</si>
  <si>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</si>
  <si>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</si>
  <si>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</si>
  <si>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</si>
  <si>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</si>
  <si>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</si>
  <si>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</si>
  <si>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</si>
  <si>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</si>
  <si>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</si>
  <si>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</si>
  <si>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</si>
  <si>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</si>
  <si>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</si>
  <si>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</si>
  <si>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</si>
  <si>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</si>
  <si>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</si>
  <si>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</si>
  <si>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</si>
  <si>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</si>
  <si>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</si>
  <si>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</si>
  <si>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</si>
  <si>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</si>
  <si>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</si>
  <si>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</si>
  <si>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</si>
  <si>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</si>
  <si>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</si>
  <si>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</si>
  <si>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</si>
  <si>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</si>
  <si>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</si>
  <si>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</si>
  <si>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</si>
  <si>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</si>
  <si>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</si>
  <si>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</si>
  <si>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</si>
  <si>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</si>
  <si>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</si>
  <si>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</si>
  <si>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</si>
  <si>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</si>
  <si>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</si>
  <si>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</si>
  <si>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</si>
  <si>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</si>
  <si>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</si>
  <si>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</si>
  <si>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</si>
  <si>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</si>
  <si>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</si>
  <si>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</si>
  <si>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</si>
  <si>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</si>
  <si>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</si>
  <si>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</si>
  <si>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</si>
  <si>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</si>
  <si>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</si>
  <si>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</si>
  <si>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</si>
  <si>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</si>
  <si>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</si>
  <si>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</si>
  <si>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</si>
  <si>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</si>
  <si>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</si>
  <si>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</si>
  <si>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</si>
  <si>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</si>
  <si>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</si>
  <si>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</si>
  <si>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</si>
  <si>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</si>
  <si>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</si>
  <si>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</si>
  <si>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</si>
  <si>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</si>
  <si>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</si>
  <si>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</si>
  <si>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</si>
  <si>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</si>
  <si>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</si>
  <si>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</si>
  <si>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</si>
  <si>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</si>
  <si>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</si>
  <si>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</si>
  <si>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</si>
  <si>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</si>
  <si>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</si>
  <si>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</si>
  <si>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</si>
  <si>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</si>
  <si>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</si>
  <si>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</si>
  <si>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</si>
  <si>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</si>
  <si>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</si>
  <si>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</si>
  <si>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</si>
  <si>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</si>
  <si>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</si>
  <si>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</si>
  <si>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</si>
  <si>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</si>
  <si>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</si>
  <si>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</si>
  <si>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</si>
  <si>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</si>
  <si>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</si>
  <si>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</si>
  <si>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</si>
  <si>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</si>
  <si>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</si>
  <si>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</si>
  <si>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</si>
  <si>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</si>
  <si>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</si>
  <si>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</si>
  <si>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</si>
  <si>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</si>
  <si>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</si>
  <si>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</si>
  <si>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</si>
  <si>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</si>
  <si>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</si>
  <si>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</si>
  <si>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</si>
  <si>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</si>
  <si>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</si>
  <si>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</si>
  <si>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</si>
  <si>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</si>
  <si>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</si>
  <si>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</si>
  <si>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</si>
  <si>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</si>
  <si>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</si>
  <si>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</si>
  <si>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</si>
  <si>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</si>
  <si>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</si>
  <si>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</si>
  <si>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</si>
  <si>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</si>
  <si>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</si>
  <si>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</si>
  <si>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</si>
  <si>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</si>
  <si>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</si>
  <si>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</si>
  <si>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</si>
  <si>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</si>
  <si>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</si>
  <si>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</si>
  <si>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</si>
  <si>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</si>
  <si>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</si>
  <si>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</si>
  <si>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</si>
  <si>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</si>
  <si>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</si>
  <si>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</si>
  <si>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</si>
  <si>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</si>
  <si>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</si>
  <si>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</si>
  <si>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</si>
  <si>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</si>
  <si>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</si>
  <si>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</si>
  <si>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</si>
  <si>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</si>
  <si>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</si>
  <si>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</si>
  <si>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</si>
  <si>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</si>
  <si>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</si>
  <si>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</si>
  <si>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</si>
  <si>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</si>
  <si>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</si>
  <si>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</si>
  <si>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</si>
  <si>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</si>
  <si>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</si>
  <si>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</si>
  <si>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</si>
  <si>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</si>
  <si>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</si>
  <si>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</si>
  <si>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</si>
  <si>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</si>
  <si>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</si>
  <si>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</si>
  <si>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</si>
  <si>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</si>
  <si>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</si>
  <si>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</si>
  <si>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</si>
  <si>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</si>
  <si>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</si>
  <si>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</si>
  <si>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</si>
  <si>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</si>
  <si>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</si>
  <si>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</si>
  <si>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</si>
  <si>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</si>
  <si>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</si>
  <si>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</si>
  <si>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</si>
  <si>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</si>
  <si>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</si>
  <si>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</si>
  <si>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</si>
  <si>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</si>
  <si>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</si>
  <si>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</si>
  <si>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</si>
  <si>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</si>
  <si>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</si>
  <si>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</si>
  <si>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</si>
  <si>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</si>
  <si>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</si>
  <si>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</si>
  <si>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</si>
  <si>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</si>
  <si>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</si>
  <si>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</si>
  <si>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</si>
  <si>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</si>
  <si>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</si>
  <si>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</si>
  <si>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</si>
  <si>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</si>
  <si>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</si>
  <si>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</si>
  <si>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</si>
  <si>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</si>
  <si>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</si>
  <si>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</si>
  <si>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</si>
  <si>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</si>
  <si>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</si>
  <si>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</si>
  <si>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</si>
  <si>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</si>
  <si>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</si>
  <si>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</si>
  <si>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</si>
  <si>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</si>
  <si>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</si>
  <si>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</si>
  <si>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</si>
  <si>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</si>
  <si>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</si>
  <si>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</si>
  <si>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</si>
  <si>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</si>
  <si>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</si>
  <si>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</si>
  <si>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</si>
  <si>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</si>
  <si>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</si>
  <si>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</si>
  <si>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</si>
  <si>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</si>
  <si>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</si>
  <si>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</si>
  <si>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</si>
  <si>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</si>
  <si>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</si>
  <si>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</si>
  <si>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</si>
  <si>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</si>
  <si>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</si>
  <si>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</si>
  <si>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</si>
  <si>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</si>
  <si>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</si>
  <si>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</si>
  <si>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</si>
  <si>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</si>
  <si>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</si>
  <si>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</si>
  <si>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</si>
  <si>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</si>
  <si>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</si>
  <si>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</si>
  <si>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</si>
  <si>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</si>
  <si>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</si>
  <si>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</si>
  <si>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</si>
  <si>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</si>
  <si>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</si>
  <si>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</si>
  <si>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</si>
  <si>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</si>
  <si>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</si>
  <si>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</si>
  <si>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</si>
  <si>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</si>
  <si>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</si>
  <si>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</si>
  <si>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</si>
  <si>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</si>
  <si>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</si>
  <si>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</si>
  <si>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</si>
  <si>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</si>
  <si>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</si>
  <si>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</si>
  <si>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</si>
  <si>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</si>
  <si>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</si>
  <si>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</si>
  <si>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</si>
  <si>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</si>
  <si>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</si>
  <si>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</si>
  <si>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</si>
  <si>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</si>
  <si>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</si>
  <si>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</si>
  <si>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</si>
  <si>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</si>
  <si>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</si>
  <si>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</si>
  <si>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</si>
  <si>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</si>
  <si>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</si>
  <si>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</si>
  <si>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</si>
  <si>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</si>
  <si>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</si>
  <si>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</si>
  <si>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</si>
  <si>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</si>
  <si>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</si>
  <si>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</si>
  <si>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</si>
  <si>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</si>
  <si>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</si>
  <si>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</si>
  <si>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</si>
  <si>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</si>
  <si>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</si>
  <si>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</si>
  <si>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</si>
  <si>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</si>
  <si>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</si>
  <si>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</si>
  <si>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</si>
  <si>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</si>
  <si>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</si>
  <si>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</si>
  <si>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</si>
  <si>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</si>
  <si>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</si>
  <si>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</si>
  <si>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</si>
  <si>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</si>
  <si>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</si>
  <si>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</si>
  <si>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</si>
  <si>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</si>
  <si>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</si>
  <si>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</si>
  <si>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</si>
  <si>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</si>
  <si>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</si>
  <si>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</si>
  <si>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</si>
  <si>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</si>
  <si>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</si>
  <si>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</si>
  <si>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</si>
  <si>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</si>
  <si>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</si>
  <si>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</si>
  <si>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</si>
  <si>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</si>
  <si>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</si>
  <si>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</si>
  <si>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</si>
  <si>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</si>
  <si>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</si>
  <si>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</si>
  <si>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</si>
  <si>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</si>
  <si>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</si>
  <si>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</si>
  <si>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</si>
  <si>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</si>
  <si>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</si>
  <si>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</si>
  <si>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</si>
  <si>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</si>
  <si>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</si>
  <si>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</si>
  <si>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</si>
  <si>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</si>
  <si>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</si>
  <si>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</si>
  <si>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</si>
  <si>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</si>
  <si>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</si>
  <si>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</si>
  <si>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</si>
  <si>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</si>
  <si>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</si>
  <si>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</si>
  <si>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</si>
  <si>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</si>
  <si>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</si>
  <si>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</si>
  <si>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</si>
  <si>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</si>
  <si>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</si>
  <si>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</si>
  <si>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</si>
  <si>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</si>
  <si>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</si>
  <si>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</si>
  <si>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</si>
  <si>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</si>
  <si>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</si>
  <si>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</si>
  <si>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</si>
  <si>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</si>
  <si>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</si>
  <si>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</si>
  <si>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</si>
  <si>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</si>
  <si>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</si>
  <si>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</si>
  <si>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</si>
  <si>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</si>
  <si>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</si>
  <si>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</si>
  <si>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</si>
  <si>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</si>
  <si>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</si>
  <si>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</si>
  <si>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</si>
  <si>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</si>
  <si>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</si>
  <si>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</si>
  <si>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</si>
  <si>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</si>
  <si>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</si>
  <si>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</si>
  <si>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</si>
  <si>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</si>
  <si>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</si>
  <si>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</si>
  <si>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</si>
  <si>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</si>
  <si>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</si>
  <si>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</si>
  <si>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</si>
  <si>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</si>
  <si>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</si>
  <si>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</si>
  <si>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</si>
  <si>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</si>
  <si>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</si>
  <si>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</si>
  <si>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</si>
  <si>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</si>
  <si>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</si>
  <si>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</si>
  <si>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</si>
  <si>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</si>
  <si>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</si>
  <si>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</si>
  <si>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</si>
  <si>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</si>
  <si>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</si>
  <si>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</si>
  <si>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</si>
  <si>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</si>
  <si>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</si>
  <si>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</si>
  <si>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</si>
  <si>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</si>
  <si>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</si>
  <si>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</si>
  <si>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</si>
  <si>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</si>
  <si>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</si>
  <si>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</si>
  <si>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</si>
  <si>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</si>
  <si>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</si>
  <si>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</si>
  <si>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</si>
  <si>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</si>
  <si>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</si>
  <si>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</si>
  <si>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</si>
  <si>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</si>
  <si>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</si>
  <si>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</si>
  <si>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</si>
  <si>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</si>
  <si>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</si>
  <si>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</si>
  <si>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</si>
  <si>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</si>
  <si>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</si>
  <si>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</si>
  <si>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</si>
  <si>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</si>
  <si>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</si>
  <si>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</si>
  <si>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</si>
  <si>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</si>
  <si>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</si>
  <si>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</si>
  <si>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</si>
  <si>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</si>
  <si>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</si>
  <si>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</si>
  <si>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</si>
  <si>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</si>
  <si>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</si>
  <si>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</si>
  <si>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</si>
  <si>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</si>
  <si>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</si>
  <si>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</si>
  <si>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</si>
  <si>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</si>
  <si>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</si>
  <si>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</si>
  <si>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</si>
  <si>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</si>
  <si>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</si>
  <si>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</si>
  <si>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</si>
  <si>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</si>
  <si>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</si>
  <si>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</si>
  <si>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</si>
  <si>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</si>
  <si>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</si>
  <si>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</si>
  <si>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</si>
  <si>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</si>
  <si>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</si>
  <si>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</si>
  <si>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</si>
  <si>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</si>
  <si>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</si>
  <si>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</si>
  <si>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</si>
  <si>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</si>
  <si>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</si>
  <si>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</si>
  <si>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</si>
  <si>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</si>
  <si>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</si>
  <si>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</si>
  <si>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</si>
  <si>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</si>
  <si>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</si>
  <si>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</si>
  <si>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</si>
  <si>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</si>
  <si>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</si>
  <si>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</si>
  <si>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</si>
  <si>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</si>
  <si>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</si>
  <si>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</si>
  <si>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</si>
  <si>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</si>
  <si>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</si>
  <si>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</si>
  <si>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</si>
  <si>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</si>
  <si>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</si>
  <si>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</si>
  <si>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</si>
  <si>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</si>
  <si>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</si>
  <si>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</si>
  <si>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</si>
  <si>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</si>
  <si>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</si>
  <si>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</si>
  <si>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</si>
  <si>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</si>
  <si>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</si>
  <si>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</si>
  <si>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</si>
  <si>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</si>
  <si>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</si>
  <si>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</si>
  <si>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</si>
  <si>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</si>
  <si>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</si>
  <si>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</si>
  <si>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</si>
  <si>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</si>
  <si>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</si>
  <si>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</si>
  <si>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</si>
  <si>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</si>
  <si>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</si>
  <si>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</si>
  <si>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</si>
  <si>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</si>
  <si>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</si>
  <si>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</si>
  <si>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</si>
  <si>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</si>
  <si>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</si>
  <si>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</si>
  <si>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</si>
  <si>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</si>
  <si>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</si>
  <si>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</si>
  <si>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</si>
  <si>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</si>
  <si>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</si>
  <si>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</si>
  <si>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</si>
  <si>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</si>
  <si>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</si>
  <si>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</si>
  <si>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</si>
  <si>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</si>
  <si>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</si>
  <si>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</si>
  <si>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</si>
  <si>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</si>
  <si>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</si>
  <si>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</si>
  <si>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</si>
  <si>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</si>
  <si>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</si>
  <si>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</si>
  <si>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</si>
  <si>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</si>
  <si>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</si>
  <si>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</si>
  <si>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</si>
  <si>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</si>
  <si>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</si>
  <si>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</si>
  <si>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</si>
  <si>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</si>
  <si>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</si>
  <si>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</si>
  <si>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</si>
  <si>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</si>
  <si>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</si>
  <si>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</si>
  <si>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</si>
  <si>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</si>
  <si>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</si>
  <si>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</si>
  <si>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</si>
  <si>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</si>
  <si>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</si>
  <si>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</si>
  <si>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</si>
  <si>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</si>
  <si>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</si>
  <si>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</si>
  <si>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</si>
  <si>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</si>
  <si>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</si>
  <si>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</si>
  <si>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</si>
  <si>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</si>
  <si>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</si>
  <si>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</si>
  <si>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</si>
  <si>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</si>
  <si>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</si>
  <si>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</si>
  <si>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</si>
  <si>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</si>
  <si>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</si>
  <si>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</si>
  <si>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</si>
  <si>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</si>
  <si>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</si>
  <si>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</si>
  <si>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</si>
  <si>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</si>
  <si>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</si>
  <si>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</si>
  <si>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</si>
  <si>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</si>
  <si>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</si>
  <si>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</si>
  <si>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</si>
  <si>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</si>
  <si>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</si>
  <si>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</si>
  <si>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</si>
  <si>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</si>
  <si>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</si>
  <si>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</si>
  <si>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</si>
  <si>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</si>
  <si>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</si>
  <si>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</si>
  <si>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</si>
  <si>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</si>
  <si>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</si>
  <si>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</si>
  <si>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</si>
  <si>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</si>
  <si>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</si>
  <si>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</si>
  <si>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</si>
  <si>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</si>
  <si>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</si>
  <si>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</si>
  <si>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</si>
  <si>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</si>
  <si>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</si>
  <si>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</si>
  <si>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</si>
  <si>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</si>
  <si>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</si>
  <si>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</si>
  <si>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</si>
  <si>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</si>
  <si>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</si>
  <si>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</si>
  <si>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</si>
  <si>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</si>
  <si>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</si>
  <si>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</si>
  <si>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</si>
  <si>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</si>
  <si>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</si>
  <si>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</si>
  <si>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</si>
  <si>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</si>
  <si>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</si>
  <si>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</si>
  <si>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</si>
  <si>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</si>
  <si>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</si>
  <si>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</si>
  <si>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</si>
  <si>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</si>
  <si>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</si>
  <si>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</si>
  <si>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</si>
  <si>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</si>
  <si>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</si>
  <si>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</si>
  <si>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</si>
  <si>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</si>
  <si>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</si>
  <si>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</si>
  <si>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</si>
  <si>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</si>
  <si>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</si>
  <si>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</si>
  <si>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</si>
  <si>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</si>
  <si>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</si>
  <si>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</si>
  <si>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</si>
  <si>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</si>
  <si>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</si>
  <si>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</si>
  <si>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</si>
  <si>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</si>
  <si>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</si>
  <si>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</si>
  <si>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</si>
  <si>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</si>
  <si>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</si>
  <si>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</si>
  <si>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</si>
  <si>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</si>
  <si>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</si>
  <si>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</si>
  <si>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</si>
  <si>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</si>
  <si>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</si>
  <si>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</si>
  <si>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</si>
  <si>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</si>
  <si>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</si>
  <si>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</si>
  <si>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</si>
  <si>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</si>
  <si>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</si>
  <si>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</si>
  <si>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</si>
  <si>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</si>
  <si>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</si>
  <si>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</si>
  <si>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</si>
  <si>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</si>
  <si>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</si>
  <si>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</si>
  <si>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</si>
  <si>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</si>
  <si>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</si>
  <si>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</si>
  <si>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</si>
  <si>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</si>
  <si>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</si>
  <si>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</si>
  <si>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</si>
  <si>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</si>
  <si>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</si>
  <si>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</si>
  <si>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</si>
  <si>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</si>
  <si>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</si>
  <si>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</si>
  <si>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</si>
  <si>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</si>
  <si>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</si>
  <si>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</si>
  <si>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</si>
  <si>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</si>
  <si>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</si>
  <si>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</si>
  <si>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</si>
  <si>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</si>
  <si>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</si>
  <si>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</si>
  <si>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</si>
  <si>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</si>
  <si>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</si>
  <si>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</si>
  <si>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</si>
  <si>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</si>
  <si>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</si>
  <si>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</si>
  <si>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</si>
  <si>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</si>
  <si>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</si>
  <si>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</si>
  <si>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</si>
  <si>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</si>
  <si>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</si>
  <si>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</si>
  <si>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</si>
  <si>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</si>
  <si>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</si>
  <si>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</si>
  <si>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</si>
  <si>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</si>
  <si>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</si>
  <si>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</si>
  <si>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</si>
  <si>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</si>
  <si>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</si>
  <si>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</si>
  <si>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</si>
  <si>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</si>
  <si>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</si>
  <si>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</si>
  <si>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</si>
  <si>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</si>
  <si>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</si>
  <si>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</si>
  <si>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</si>
  <si>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</si>
  <si>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</si>
  <si>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</si>
  <si>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</si>
  <si>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</si>
  <si>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</si>
  <si>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</si>
  <si>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</si>
  <si>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</si>
  <si>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</si>
  <si>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</si>
  <si>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</si>
  <si>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</si>
  <si>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</si>
  <si>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</si>
  <si>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</si>
  <si>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</si>
  <si>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</si>
  <si>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</si>
  <si>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</si>
  <si>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</si>
  <si>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</si>
  <si>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</si>
  <si>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</si>
  <si>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</si>
  <si>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</si>
  <si>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</si>
  <si>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</si>
  <si>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</si>
  <si>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</si>
  <si>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</si>
  <si>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</si>
  <si>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</si>
  <si>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</si>
  <si>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</si>
  <si>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</si>
  <si>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</si>
  <si>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</si>
  <si>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</si>
  <si>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</si>
  <si>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</si>
  <si>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</si>
  <si>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</si>
  <si>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</si>
  <si>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</si>
  <si>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</si>
  <si>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</si>
  <si>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</si>
  <si>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</si>
  <si>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</si>
  <si>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</si>
  <si>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</si>
  <si>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</si>
  <si>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</si>
  <si>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</si>
  <si>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</si>
  <si>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</si>
  <si>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</si>
  <si>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</si>
  <si>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</si>
  <si>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</si>
  <si>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</si>
  <si>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</si>
  <si>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</si>
  <si>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</si>
  <si>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</si>
  <si>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</si>
  <si>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</si>
  <si>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</si>
  <si>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</si>
  <si>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</si>
  <si>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</si>
  <si>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</si>
  <si>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</si>
  <si>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</si>
  <si>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</si>
  <si>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</si>
  <si>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</si>
  <si>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</si>
  <si>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</si>
  <si>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</si>
  <si>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</si>
  <si>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</si>
  <si>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</si>
  <si>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</si>
  <si>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</si>
  <si>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</si>
  <si>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</si>
  <si>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</si>
  <si>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</si>
  <si>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</si>
  <si>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</si>
  <si>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</si>
  <si>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</si>
  <si>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</si>
  <si>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</si>
  <si>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</si>
  <si>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</si>
  <si>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</si>
  <si>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</si>
  <si>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</si>
  <si>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</si>
  <si>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</si>
  <si>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</si>
  <si>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</si>
  <si>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</si>
  <si>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</si>
  <si>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</si>
  <si>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</si>
  <si>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</si>
  <si>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</si>
  <si>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</si>
  <si>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</si>
  <si>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</si>
  <si>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</si>
  <si>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</si>
  <si>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</si>
  <si>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</si>
  <si>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</si>
  <si>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</si>
  <si>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</si>
  <si>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</si>
  <si>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</si>
  <si>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</si>
  <si>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</si>
  <si>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</si>
  <si>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</si>
  <si>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</si>
  <si>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</si>
  <si>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</si>
  <si>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</si>
  <si>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</si>
  <si>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</si>
  <si>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</si>
  <si>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</si>
  <si>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</si>
  <si>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</si>
  <si>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</si>
  <si>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</si>
  <si>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</si>
  <si>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</si>
  <si>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</si>
  <si>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</si>
  <si>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</si>
  <si>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</si>
  <si>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</si>
  <si>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</si>
  <si>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</si>
  <si>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</si>
  <si>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</si>
  <si>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</si>
  <si>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</si>
  <si>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</si>
  <si>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</si>
  <si>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</si>
  <si>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</si>
  <si>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</si>
  <si>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</si>
  <si>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</si>
  <si>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</si>
  <si>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</si>
  <si>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</si>
  <si>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</si>
  <si>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</si>
  <si>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</si>
  <si>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</si>
  <si>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</si>
  <si>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</si>
  <si>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</si>
  <si>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</si>
  <si>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</si>
  <si>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</si>
  <si>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</si>
  <si>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</si>
  <si>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99.99美禮包</t>
  </si>
  <si>
    <t>59.99美禮包</t>
  </si>
  <si>
    <t>49.99美禮包</t>
  </si>
  <si>
    <t>29.99美禮包</t>
  </si>
  <si>
    <t>24.99美禮包</t>
  </si>
  <si>
    <t>14.99美禮包</t>
  </si>
  <si>
    <t>9.99美禮包</t>
  </si>
  <si>
    <t>4.99美禮包</t>
  </si>
  <si>
    <t>石器時代：寵物世界</t>
    <phoneticPr fontId="2" type="noConversion"/>
  </si>
  <si>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</si>
  <si>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</si>
  <si>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</si>
  <si>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</si>
  <si>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</si>
  <si>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</si>
  <si>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</si>
  <si>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</si>
  <si>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</si>
  <si>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</si>
  <si>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</si>
  <si>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</si>
  <si>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</si>
  <si>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</si>
  <si>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</si>
  <si>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招募帖*10、古玉*300</t>
    <phoneticPr fontId="2" type="noConversion"/>
  </si>
  <si>
    <t>新手禮包</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</si>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</sst>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16" Type="http://schemas.openxmlformats.org/officeDocument/2006/relationships/hyperlink" Target="https://play.google.com/store/apps/details?id=com.netmarble.stonkey"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219" Type="http://schemas.openxmlformats.org/officeDocument/2006/relationships/printerSettings" Target="../printerSettings/printerSettings1.bin"/><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15" Type="http://schemas.openxmlformats.org/officeDocument/2006/relationships/hyperlink" Target="mailto:&#26368;&#26032;&#20729;&#26684;&#35531;&#27965;Line@"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E284" activePane="bottomRight" state="frozen"/>
      <selection pane="topRight" activeCell="B1" sqref="B1"/>
      <selection pane="bottomLeft" activeCell="A2" sqref="A2"/>
      <selection pane="bottomRight" activeCell="H287" sqref="H287"/>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5142</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3"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3"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3"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3"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3"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3"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3"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3"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3"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3"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3"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3"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3"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3"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3"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row>
    <row r="224" spans="1:33"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row>
    <row r="225" spans="1:33"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3"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row>
    <row r="227" spans="1:33"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row>
    <row r="228" spans="1:33"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row>
    <row r="229" spans="1:33"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5143</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row>
    <row r="230" spans="1:33" ht="22.5" customHeight="1" thickBot="1">
      <c r="A230" s="55" t="s">
        <v>5134</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5144</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row>
    <row r="231" spans="1:33" ht="22.5" customHeight="1" thickBot="1">
      <c r="A231" s="55" t="s">
        <v>5135</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5145</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row>
    <row r="232" spans="1:33"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5146</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row>
    <row r="233" spans="1:33"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5147</v>
      </c>
      <c r="J233" s="60" t="s">
        <v>4175</v>
      </c>
      <c r="K233" s="63">
        <v>171</v>
      </c>
    </row>
    <row r="234" spans="1:33"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row>
    <row r="235" spans="1:33"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row>
    <row r="236" spans="1:33"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row>
    <row r="237" spans="1:33"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row>
    <row r="238" spans="1:33"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row>
    <row r="239" spans="1:33"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row>
    <row r="240" spans="1:33"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row>
    <row r="241" spans="1:31"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5148</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row>
    <row r="242" spans="1:31"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5149</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row>
    <row r="243" spans="1:31"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5150</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row>
    <row r="244" spans="1:31" ht="22.5" customHeight="1" thickBot="1">
      <c r="A244" s="55" t="s">
        <v>5136</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5151</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row>
    <row r="245" spans="1:31" ht="22.5" customHeight="1" thickBot="1">
      <c r="A245" s="55" t="s">
        <v>5137</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row>
    <row r="246" spans="1:31"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5138</v>
      </c>
      <c r="K246" s="52">
        <v>1139</v>
      </c>
      <c r="L246" s="53" t="s">
        <v>4497</v>
      </c>
      <c r="M246" s="52">
        <v>225</v>
      </c>
      <c r="N246" s="53" t="s">
        <v>4498</v>
      </c>
      <c r="O246" s="52">
        <v>99</v>
      </c>
      <c r="P246" s="53" t="s">
        <v>4499</v>
      </c>
      <c r="Q246" s="52">
        <v>25</v>
      </c>
    </row>
    <row r="247" spans="1:31"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row>
    <row r="248" spans="1:31"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row>
    <row r="249" spans="1:31"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row>
    <row r="250" spans="1:31"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row>
    <row r="251" spans="1:31"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row>
    <row r="252" spans="1:31"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row>
    <row r="253" spans="1:31"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row>
    <row r="254" spans="1:31"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5139</v>
      </c>
      <c r="Q254" s="55">
        <v>194</v>
      </c>
      <c r="R254" s="53" t="s">
        <v>4657</v>
      </c>
      <c r="S254" s="55">
        <v>74</v>
      </c>
      <c r="T254" s="53" t="s">
        <v>4658</v>
      </c>
      <c r="U254" s="55">
        <v>17</v>
      </c>
      <c r="V254" s="53" t="s">
        <v>4659</v>
      </c>
      <c r="W254" s="55">
        <v>194</v>
      </c>
      <c r="X254" s="53" t="s">
        <v>4660</v>
      </c>
      <c r="Y254" s="55">
        <v>74</v>
      </c>
    </row>
    <row r="255" spans="1:31"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row>
    <row r="256" spans="1:31"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row>
    <row r="257" spans="1:33"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row>
    <row r="258" spans="1:33"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row>
    <row r="259" spans="1:33"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row>
    <row r="260" spans="1:33"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row>
    <row r="261" spans="1:33"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row>
    <row r="262" spans="1:33"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row>
    <row r="263" spans="1:33" ht="22.5" customHeight="1" thickBot="1">
      <c r="A263" s="67" t="s">
        <v>5140</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row>
    <row r="264" spans="1:33"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3"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5152</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row>
    <row r="266" spans="1:33"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row>
    <row r="267" spans="1:33"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row>
    <row r="268" spans="1:33" ht="22.5" customHeight="1" thickBot="1">
      <c r="A268" s="55" t="s">
        <v>4894</v>
      </c>
      <c r="C268" s="80" t="s">
        <v>4896</v>
      </c>
      <c r="D268" s="45" t="s">
        <v>4879</v>
      </c>
      <c r="E268" s="45" t="s">
        <v>4880</v>
      </c>
      <c r="F268" s="37" t="str">
        <f t="shared" ref="F268:F312"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row>
    <row r="269" spans="1:33"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row>
    <row r="270" spans="1:33"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row>
    <row r="271" spans="1:33"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row>
    <row r="272" spans="1:33"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row>
    <row r="273" spans="1:29"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row>
    <row r="274" spans="1:29"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row>
    <row r="275" spans="1:29"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row>
    <row r="276" spans="1:29"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53" t="s">
        <v>107</v>
      </c>
      <c r="K276" s="55">
        <v>124</v>
      </c>
      <c r="L276" s="53" t="s">
        <v>5108</v>
      </c>
      <c r="M276" s="55">
        <v>207</v>
      </c>
      <c r="N276" s="53" t="s">
        <v>5109</v>
      </c>
      <c r="O276" s="55">
        <v>475</v>
      </c>
      <c r="P276" s="53" t="s">
        <v>5110</v>
      </c>
      <c r="Q276" s="55">
        <v>475</v>
      </c>
      <c r="R276" s="53" t="s">
        <v>5111</v>
      </c>
      <c r="S276" s="55">
        <v>269</v>
      </c>
      <c r="T276" s="53" t="s">
        <v>5112</v>
      </c>
      <c r="U276" s="55">
        <v>388</v>
      </c>
    </row>
    <row r="277" spans="1:29"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1" t="s">
        <v>5008</v>
      </c>
      <c r="K277" s="59">
        <v>2655</v>
      </c>
      <c r="L277" s="1" t="s">
        <v>5009</v>
      </c>
      <c r="M277" s="59">
        <v>1389</v>
      </c>
      <c r="N277" s="1" t="s">
        <v>5172</v>
      </c>
      <c r="O277" s="59">
        <v>821</v>
      </c>
      <c r="P277" s="1" t="s">
        <v>5173</v>
      </c>
      <c r="Q277" s="59">
        <v>407</v>
      </c>
      <c r="R277" s="1" t="s">
        <v>5012</v>
      </c>
      <c r="S277" s="59">
        <v>147</v>
      </c>
      <c r="T277" s="1" t="s">
        <v>1377</v>
      </c>
      <c r="U277" s="59">
        <v>29</v>
      </c>
      <c r="V277" s="1" t="s">
        <v>5174</v>
      </c>
      <c r="W277" s="59">
        <v>147</v>
      </c>
      <c r="X277" s="53"/>
      <c r="Y277" s="55"/>
    </row>
    <row r="278" spans="1:29"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row>
    <row r="279" spans="1:29"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53" t="s">
        <v>5099</v>
      </c>
      <c r="K279" s="55">
        <v>2533</v>
      </c>
      <c r="L279" s="53" t="s">
        <v>5100</v>
      </c>
      <c r="M279" s="55">
        <v>1325</v>
      </c>
      <c r="N279" s="53" t="s">
        <v>5101</v>
      </c>
      <c r="O279" s="55">
        <v>783</v>
      </c>
      <c r="P279" s="53" t="s">
        <v>5102</v>
      </c>
      <c r="Q279" s="55">
        <v>388</v>
      </c>
      <c r="R279" s="53" t="s">
        <v>5103</v>
      </c>
      <c r="S279" s="55">
        <v>261</v>
      </c>
      <c r="T279" s="53" t="s">
        <v>5104</v>
      </c>
      <c r="U279" s="55">
        <v>141</v>
      </c>
      <c r="V279" s="53" t="s">
        <v>5105</v>
      </c>
      <c r="W279" s="55">
        <v>28</v>
      </c>
      <c r="X279" s="53" t="s">
        <v>5106</v>
      </c>
      <c r="Y279" s="55">
        <v>261</v>
      </c>
      <c r="Z279" s="53" t="s">
        <v>5107</v>
      </c>
      <c r="AA279" s="55">
        <v>141</v>
      </c>
    </row>
    <row r="280" spans="1:29" ht="22.5" customHeight="1" thickBot="1">
      <c r="A280" s="55" t="s">
        <v>5131</v>
      </c>
      <c r="C280" s="37" t="s">
        <v>5128</v>
      </c>
      <c r="D280" s="38" t="s">
        <v>5129</v>
      </c>
      <c r="E280" s="38" t="s">
        <v>5127</v>
      </c>
      <c r="F280" s="37" t="str">
        <f t="shared" si="12"/>
        <v>gift-codes.html?game=電馭跑酷</v>
      </c>
      <c r="G280" s="45" t="s">
        <v>5132</v>
      </c>
      <c r="H280" s="38" t="str">
        <f t="shared" si="11"/>
        <v>https://www.ssbuy.tw/detail_giftcode/dist/gamedetail/電馭跑酷.html</v>
      </c>
      <c r="I280" s="67" t="s">
        <v>5170</v>
      </c>
      <c r="J280" s="1" t="s">
        <v>5153</v>
      </c>
      <c r="K280" s="59">
        <v>2302</v>
      </c>
      <c r="L280" s="1" t="s">
        <v>5154</v>
      </c>
      <c r="M280" s="59">
        <v>1168</v>
      </c>
      <c r="N280" s="1" t="s">
        <v>5155</v>
      </c>
      <c r="O280" s="59">
        <v>467</v>
      </c>
      <c r="P280" s="1" t="s">
        <v>5156</v>
      </c>
      <c r="Q280" s="59">
        <v>248</v>
      </c>
      <c r="R280" s="1" t="s">
        <v>5157</v>
      </c>
      <c r="S280" s="59">
        <v>124</v>
      </c>
      <c r="T280" s="1" t="s">
        <v>5158</v>
      </c>
      <c r="U280" s="59">
        <v>51</v>
      </c>
      <c r="V280" s="1" t="s">
        <v>5159</v>
      </c>
      <c r="W280" s="59">
        <v>248</v>
      </c>
      <c r="X280" s="2" t="s">
        <v>5169</v>
      </c>
      <c r="Y280" s="38">
        <v>666</v>
      </c>
    </row>
    <row r="281" spans="1:29" ht="22.5" customHeight="1" thickBot="1">
      <c r="A281" s="55" t="s">
        <v>5141</v>
      </c>
      <c r="C281" s="37" t="s">
        <v>5130</v>
      </c>
      <c r="D281" s="38" t="s">
        <v>5126</v>
      </c>
      <c r="E281" s="38" t="s">
        <v>5125</v>
      </c>
      <c r="F281" s="37" t="str">
        <f t="shared" si="12"/>
        <v>gift-codes.html?game=火焰紋章Shadows</v>
      </c>
      <c r="G281" s="45" t="s">
        <v>5133</v>
      </c>
      <c r="H281" s="38" t="str">
        <f t="shared" si="11"/>
        <v>https://www.ssbuy.tw/detail_giftcode/dist/gamedetail/火焰紋章Shadows.html</v>
      </c>
      <c r="I281" s="67" t="s">
        <v>5171</v>
      </c>
      <c r="J281" s="1" t="s">
        <v>5160</v>
      </c>
      <c r="K281" s="59">
        <v>1549</v>
      </c>
      <c r="L281" s="1" t="s">
        <v>5161</v>
      </c>
      <c r="M281" s="59">
        <v>1030</v>
      </c>
      <c r="N281" s="1" t="s">
        <v>5162</v>
      </c>
      <c r="O281" s="59">
        <v>673</v>
      </c>
      <c r="P281" s="1" t="s">
        <v>5163</v>
      </c>
      <c r="Q281" s="59">
        <v>344</v>
      </c>
      <c r="R281" s="1" t="s">
        <v>5164</v>
      </c>
      <c r="S281" s="59">
        <v>157</v>
      </c>
      <c r="T281" s="1" t="s">
        <v>5165</v>
      </c>
      <c r="U281" s="59">
        <v>81</v>
      </c>
      <c r="V281" s="1" t="s">
        <v>5166</v>
      </c>
      <c r="W281" s="59">
        <v>17</v>
      </c>
      <c r="X281" s="1" t="s">
        <v>5167</v>
      </c>
      <c r="Y281" s="59">
        <v>244</v>
      </c>
      <c r="Z281" s="1" t="s">
        <v>5168</v>
      </c>
      <c r="AA281" s="59">
        <v>139</v>
      </c>
      <c r="AB281" s="2" t="s">
        <v>5169</v>
      </c>
      <c r="AC281" s="38">
        <v>666</v>
      </c>
    </row>
    <row r="282" spans="1:29" ht="22.5" customHeight="1" thickBot="1">
      <c r="A282" s="83" t="s">
        <v>5197</v>
      </c>
      <c r="C282" s="37" t="s">
        <v>5175</v>
      </c>
      <c r="D282" s="38" t="s">
        <v>5176</v>
      </c>
      <c r="E282" s="38" t="s">
        <v>5177</v>
      </c>
      <c r="F282" s="37" t="str">
        <f t="shared" si="12"/>
        <v>gift-codes.html?game=石器時代：寵物世界</v>
      </c>
      <c r="G282" s="2" t="s">
        <v>5200</v>
      </c>
      <c r="H282" s="38" t="str">
        <f t="shared" si="11"/>
        <v>https://www.ssbuy.tw/detail_giftcode/dist/gamedetail/石器時代：寵物世界.html</v>
      </c>
      <c r="I282" s="39" t="s">
        <v>5203</v>
      </c>
      <c r="J282" s="1" t="s">
        <v>4988</v>
      </c>
      <c r="K282" s="59">
        <v>2655</v>
      </c>
      <c r="L282" s="1" t="s">
        <v>1674</v>
      </c>
      <c r="M282" s="59">
        <v>2047</v>
      </c>
      <c r="N282" s="1" t="s">
        <v>5184</v>
      </c>
      <c r="O282" s="59">
        <v>1357</v>
      </c>
      <c r="P282" s="1" t="s">
        <v>5185</v>
      </c>
      <c r="Q282" s="59">
        <v>1085</v>
      </c>
      <c r="R282" s="1" t="s">
        <v>5186</v>
      </c>
      <c r="S282" s="59">
        <v>822</v>
      </c>
      <c r="T282" s="1" t="s">
        <v>5187</v>
      </c>
      <c r="U282" s="59">
        <v>680</v>
      </c>
      <c r="V282" s="1" t="s">
        <v>152</v>
      </c>
      <c r="W282" s="59">
        <v>572</v>
      </c>
      <c r="X282" s="1" t="s">
        <v>153</v>
      </c>
      <c r="Y282" s="59">
        <v>407</v>
      </c>
      <c r="Z282" s="1" t="s">
        <v>5188</v>
      </c>
      <c r="AA282" s="59">
        <v>357</v>
      </c>
      <c r="AB282" s="1" t="s">
        <v>1680</v>
      </c>
      <c r="AC282" s="59">
        <v>274</v>
      </c>
    </row>
    <row r="283" spans="1:29" ht="22.5" customHeight="1" thickBot="1">
      <c r="A283" s="83" t="s">
        <v>5198</v>
      </c>
      <c r="C283" s="37" t="s">
        <v>5178</v>
      </c>
      <c r="D283" s="38" t="s">
        <v>5179</v>
      </c>
      <c r="E283" s="38" t="s">
        <v>5180</v>
      </c>
      <c r="F283" s="37" t="str">
        <f t="shared" si="12"/>
        <v>gift-codes.html?game=蔚藍星球：國王很忙</v>
      </c>
      <c r="G283" s="2" t="s">
        <v>5201</v>
      </c>
      <c r="H283" s="38" t="str">
        <f t="shared" si="11"/>
        <v>https://www.ssbuy.tw/detail_giftcode/dist/gamedetail/蔚藍星球：國王很忙.html</v>
      </c>
      <c r="I283" s="39" t="s">
        <v>5204</v>
      </c>
      <c r="J283" s="1" t="s">
        <v>5189</v>
      </c>
      <c r="K283" s="59">
        <v>2655</v>
      </c>
      <c r="L283" s="1" t="s">
        <v>5190</v>
      </c>
      <c r="M283" s="59">
        <v>1644</v>
      </c>
      <c r="N283" s="1" t="s">
        <v>5191</v>
      </c>
      <c r="O283" s="59">
        <v>1389</v>
      </c>
      <c r="P283" s="1" t="s">
        <v>5192</v>
      </c>
      <c r="Q283" s="59">
        <v>821</v>
      </c>
      <c r="R283" s="1" t="s">
        <v>5193</v>
      </c>
      <c r="S283" s="59">
        <v>655</v>
      </c>
      <c r="T283" s="1" t="s">
        <v>5194</v>
      </c>
      <c r="U283" s="59">
        <v>407</v>
      </c>
      <c r="V283" s="1" t="s">
        <v>5195</v>
      </c>
      <c r="W283" s="59">
        <v>274</v>
      </c>
      <c r="X283" s="1" t="s">
        <v>5196</v>
      </c>
      <c r="Y283" s="59">
        <v>147</v>
      </c>
    </row>
    <row r="284" spans="1:29" ht="22.5" customHeight="1" thickBot="1">
      <c r="A284" s="83" t="s">
        <v>5199</v>
      </c>
      <c r="C284" s="37" t="s">
        <v>5181</v>
      </c>
      <c r="D284" s="38" t="s">
        <v>5182</v>
      </c>
      <c r="E284" s="38" t="s">
        <v>5183</v>
      </c>
      <c r="F284" s="37" t="str">
        <f t="shared" si="12"/>
        <v>gift-codes.html?game=胸懷三國：美人計</v>
      </c>
      <c r="G284" s="2" t="s">
        <v>5202</v>
      </c>
      <c r="H284" s="38" t="str">
        <f t="shared" ref="H284:H312" si="13">IF(A284="", "", "https://www.ssbuy.tw/game-detail.html?game="&amp;A284)</f>
        <v>https://www.ssbuy.tw/game-detail.html?game=胸懷三國：美人計</v>
      </c>
      <c r="I284" s="39" t="s">
        <v>5205</v>
      </c>
      <c r="J284" s="1" t="s">
        <v>4988</v>
      </c>
      <c r="K284" s="59">
        <v>2655</v>
      </c>
      <c r="L284" s="1" t="s">
        <v>1674</v>
      </c>
      <c r="M284" s="59">
        <v>2047</v>
      </c>
      <c r="N284" s="1" t="s">
        <v>5184</v>
      </c>
      <c r="O284" s="59">
        <v>1357</v>
      </c>
      <c r="P284" s="1" t="s">
        <v>5185</v>
      </c>
      <c r="Q284" s="59">
        <v>1085</v>
      </c>
      <c r="R284" s="1" t="s">
        <v>5186</v>
      </c>
      <c r="S284" s="59">
        <v>822</v>
      </c>
      <c r="T284" s="1" t="s">
        <v>5187</v>
      </c>
      <c r="U284" s="59">
        <v>680</v>
      </c>
      <c r="V284" s="1" t="s">
        <v>152</v>
      </c>
      <c r="W284" s="59">
        <v>572</v>
      </c>
      <c r="X284" s="1" t="s">
        <v>153</v>
      </c>
      <c r="Y284" s="59">
        <v>407</v>
      </c>
      <c r="Z284" s="1" t="s">
        <v>5188</v>
      </c>
      <c r="AA284" s="59">
        <v>357</v>
      </c>
      <c r="AB284" s="1" t="s">
        <v>1680</v>
      </c>
      <c r="AC284" s="59">
        <v>274</v>
      </c>
    </row>
    <row r="285" spans="1:29" ht="22.5" customHeight="1">
      <c r="F285" s="37" t="str">
        <f t="shared" si="12"/>
        <v/>
      </c>
      <c r="H285" s="38" t="str">
        <f t="shared" si="13"/>
        <v/>
      </c>
    </row>
    <row r="286" spans="1:29" ht="22.5" customHeight="1">
      <c r="F286" s="37" t="str">
        <f t="shared" si="12"/>
        <v/>
      </c>
      <c r="H286" s="38" t="str">
        <f t="shared" si="13"/>
        <v/>
      </c>
    </row>
    <row r="287" spans="1:29" ht="22.5" customHeight="1">
      <c r="F287" s="37" t="str">
        <f t="shared" si="12"/>
        <v/>
      </c>
      <c r="H287" s="38" t="str">
        <f t="shared" si="13"/>
        <v/>
      </c>
    </row>
    <row r="288" spans="1:29" ht="22.5" customHeight="1">
      <c r="F288" s="37" t="str">
        <f t="shared" si="12"/>
        <v/>
      </c>
      <c r="H288" s="38" t="str">
        <f t="shared" si="13"/>
        <v/>
      </c>
    </row>
    <row r="289" spans="6:8" ht="22.5" customHeight="1">
      <c r="F289" s="37" t="str">
        <f t="shared" si="12"/>
        <v/>
      </c>
      <c r="H289" s="38" t="str">
        <f t="shared" si="13"/>
        <v/>
      </c>
    </row>
    <row r="290" spans="6:8" ht="22.5" customHeight="1">
      <c r="F290" s="37" t="str">
        <f t="shared" si="12"/>
        <v/>
      </c>
      <c r="H290" s="38" t="str">
        <f t="shared" si="13"/>
        <v/>
      </c>
    </row>
    <row r="291" spans="6:8" ht="22.5" customHeight="1">
      <c r="F291" s="37" t="str">
        <f t="shared" si="12"/>
        <v/>
      </c>
      <c r="H291" s="38" t="str">
        <f t="shared" si="13"/>
        <v/>
      </c>
    </row>
    <row r="292" spans="6:8" ht="22.5" customHeight="1">
      <c r="F292" s="37" t="str">
        <f t="shared" si="12"/>
        <v/>
      </c>
      <c r="H292" s="38" t="str">
        <f t="shared" si="13"/>
        <v/>
      </c>
    </row>
    <row r="293" spans="6:8" ht="22.5" customHeight="1">
      <c r="F293" s="37" t="str">
        <f t="shared" si="12"/>
        <v/>
      </c>
      <c r="H293" s="38" t="str">
        <f t="shared" si="13"/>
        <v/>
      </c>
    </row>
    <row r="294" spans="6:8" ht="22.5" customHeight="1">
      <c r="F294" s="37" t="str">
        <f t="shared" si="12"/>
        <v/>
      </c>
      <c r="H294" s="38" t="str">
        <f t="shared" si="13"/>
        <v/>
      </c>
    </row>
    <row r="295" spans="6:8" ht="22.5" customHeight="1">
      <c r="F295" s="37" t="str">
        <f t="shared" si="12"/>
        <v/>
      </c>
      <c r="H295" s="38" t="str">
        <f t="shared" si="13"/>
        <v/>
      </c>
    </row>
    <row r="296" spans="6:8" ht="22.5" customHeight="1">
      <c r="F296" s="37" t="str">
        <f t="shared" si="12"/>
        <v/>
      </c>
      <c r="H296" s="38" t="str">
        <f t="shared" si="13"/>
        <v/>
      </c>
    </row>
    <row r="297" spans="6:8" ht="22.5" customHeight="1">
      <c r="F297" s="37" t="str">
        <f t="shared" si="12"/>
        <v/>
      </c>
      <c r="H297" s="38" t="str">
        <f t="shared" si="13"/>
        <v/>
      </c>
    </row>
    <row r="298" spans="6:8" ht="22.5" customHeight="1">
      <c r="F298" s="37" t="str">
        <f t="shared" si="12"/>
        <v/>
      </c>
      <c r="H298" s="38" t="str">
        <f t="shared" si="13"/>
        <v/>
      </c>
    </row>
    <row r="299" spans="6:8" ht="22.5" customHeight="1">
      <c r="F299" s="37" t="str">
        <f t="shared" si="12"/>
        <v/>
      </c>
      <c r="H299" s="38" t="str">
        <f t="shared" si="13"/>
        <v/>
      </c>
    </row>
    <row r="300" spans="6:8" ht="22.5" customHeight="1">
      <c r="F300" s="37" t="str">
        <f t="shared" si="12"/>
        <v/>
      </c>
      <c r="H300" s="38" t="str">
        <f t="shared" si="13"/>
        <v/>
      </c>
    </row>
    <row r="301" spans="6:8" ht="22.5" customHeight="1">
      <c r="F301" s="37" t="str">
        <f t="shared" si="12"/>
        <v/>
      </c>
      <c r="H301" s="38" t="str">
        <f t="shared" si="13"/>
        <v/>
      </c>
    </row>
    <row r="302" spans="6:8" ht="22.5" customHeight="1">
      <c r="F302" s="37" t="str">
        <f t="shared" si="12"/>
        <v/>
      </c>
      <c r="H302" s="38" t="str">
        <f t="shared" si="13"/>
        <v/>
      </c>
    </row>
    <row r="303" spans="6:8" ht="22.5" customHeight="1">
      <c r="F303" s="37" t="str">
        <f t="shared" si="12"/>
        <v/>
      </c>
      <c r="H303" s="38" t="str">
        <f t="shared" si="13"/>
        <v/>
      </c>
    </row>
    <row r="304" spans="6:8"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si="12"/>
        <v/>
      </c>
      <c r="H312" s="38" t="str">
        <f t="shared" si="13"/>
        <v/>
      </c>
    </row>
    <row r="313" spans="6:8" ht="22.5" customHeight="1">
      <c r="F313" s="37" t="str">
        <f t="shared" ref="F313:F376" si="14">IF(A313="", "", "gift-codes.html?game=" &amp; A313)</f>
        <v/>
      </c>
      <c r="H313" s="38" t="str">
        <f t="shared" ref="H313:H376" si="15">IF(A313="", "", "https://www.ssbuy.tw/game-detail.html?game="&amp;A313)</f>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si="14"/>
        <v/>
      </c>
      <c r="H376" s="38" t="str">
        <f t="shared" si="15"/>
        <v/>
      </c>
    </row>
    <row r="377" spans="6:8" ht="22.5" customHeight="1">
      <c r="F377" s="37" t="str">
        <f t="shared" ref="F377:F440" si="16">IF(A377="", "", "gift-codes.html?game=" &amp; A377)</f>
        <v/>
      </c>
      <c r="H377" s="38" t="str">
        <f t="shared" ref="H377:H440" si="17">IF(A377="", "", "https://www.ssbuy.tw/game-detail.html?game="&amp;A377)</f>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ht="22.5" customHeight="1">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si="16"/>
        <v/>
      </c>
      <c r="H440" s="38" t="str">
        <f t="shared" si="17"/>
        <v/>
      </c>
    </row>
    <row r="441" spans="6:8">
      <c r="F441" s="37" t="str">
        <f t="shared" ref="F441:F504" si="18">IF(A441="", "", "gift-codes.html?game=" &amp; A441)</f>
        <v/>
      </c>
      <c r="H441" s="38" t="str">
        <f t="shared" ref="H441:H504" si="19">IF(A441="", "", "https://www.ssbuy.tw/game-detail.html?game="&amp;A441)</f>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si="18"/>
        <v/>
      </c>
      <c r="H504" s="38" t="str">
        <f t="shared" si="19"/>
        <v/>
      </c>
    </row>
    <row r="505" spans="6:8">
      <c r="F505" s="37" t="str">
        <f t="shared" ref="F505:F568" si="20">IF(A505="", "", "gift-codes.html?game=" &amp; A505)</f>
        <v/>
      </c>
      <c r="H505" s="38" t="str">
        <f t="shared" ref="H505:H568" si="21">IF(A505="", "", "https://www.ssbuy.tw/game-detail.html?game="&amp;A505)</f>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 t="shared" si="20"/>
        <v/>
      </c>
      <c r="H568" s="38" t="str">
        <f t="shared" si="21"/>
        <v/>
      </c>
    </row>
    <row r="569" spans="6:8">
      <c r="F569" s="37" t="str">
        <f>IF(A569="", "", "gift-codes.html?game=" &amp; A569)</f>
        <v/>
      </c>
      <c r="H569" s="38" t="str">
        <f t="shared" ref="H569:H627" si="22">IF(A569="", "", "https://www.ssbuy.tw/game-detail.html?game="&amp;A569)</f>
        <v/>
      </c>
    </row>
    <row r="570" spans="6:8">
      <c r="F570" s="37" t="str">
        <f>IF(A570="", "", "gift-codes.html?game=" &amp; A570)</f>
        <v/>
      </c>
      <c r="H570" s="38" t="str">
        <f t="shared" si="22"/>
        <v/>
      </c>
    </row>
    <row r="571" spans="6:8">
      <c r="F571" s="37" t="str">
        <f>IF(A571="", "", "gift-codes.html?game=" &amp; A571)</f>
        <v/>
      </c>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row r="627" spans="8:8">
      <c r="H627"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s>
  <pageMargins left="0.7" right="0.7" top="0.75" bottom="0.75" header="0.3" footer="0.3"/>
  <pageSetup paperSize="9" orientation="portrait" r:id="rId2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R268" activePane="bottomRight" state="frozen"/>
      <selection pane="topRight" activeCell="B1" sqref="B1"/>
      <selection pane="bottomLeft" activeCell="A2" sqref="A2"/>
      <selection pane="bottomRight" activeCell="AD274" sqref="AD274"/>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2" si="12">IF(A269="","", "giftcodesbanner/" &amp; A269 &amp; "-禮包碼.jpg")</f>
        <v>giftcodesbanner/Awakenloop-禮包碼.jpg</v>
      </c>
      <c r="D269" s="10" t="str">
        <f t="shared" ref="D269:D312"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5210</v>
      </c>
      <c r="G269" s="10" t="s">
        <v>5211</v>
      </c>
      <c r="H269" s="10" t="s">
        <v>2625</v>
      </c>
      <c r="I269" s="10" t="s">
        <v>4360</v>
      </c>
      <c r="K269" s="14" t="s">
        <v>5206</v>
      </c>
      <c r="L269" s="10" t="s">
        <v>5209</v>
      </c>
      <c r="M269" s="15" t="s">
        <v>5207</v>
      </c>
      <c r="N269" s="10" t="s">
        <v>5208</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30">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5217</v>
      </c>
      <c r="X273" s="10" t="s">
        <v>5221</v>
      </c>
      <c r="Y273" s="15" t="s">
        <v>5218</v>
      </c>
      <c r="Z273" s="10" t="s">
        <v>5222</v>
      </c>
      <c r="AA273" s="15" t="s">
        <v>5219</v>
      </c>
      <c r="AB273" s="10" t="s">
        <v>5223</v>
      </c>
      <c r="AC273" s="15" t="s">
        <v>5220</v>
      </c>
      <c r="AD273" s="10" t="s">
        <v>5224</v>
      </c>
    </row>
    <row r="274" spans="1:30">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row>
    <row r="275" spans="1:30">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5113</v>
      </c>
      <c r="Q275" s="15" t="s">
        <v>5114</v>
      </c>
      <c r="S275" s="15" t="s">
        <v>5115</v>
      </c>
      <c r="U275" s="15" t="s">
        <v>2056</v>
      </c>
      <c r="W275" s="15" t="s">
        <v>4560</v>
      </c>
      <c r="Y275" s="15" t="s">
        <v>5116</v>
      </c>
    </row>
    <row r="276" spans="1:30">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5121</v>
      </c>
      <c r="G276" s="10" t="s">
        <v>5122</v>
      </c>
      <c r="H276" s="10" t="s">
        <v>5123</v>
      </c>
      <c r="I276" s="10" t="s">
        <v>5124</v>
      </c>
      <c r="K276" s="14" t="s">
        <v>5117</v>
      </c>
      <c r="L276" s="10" t="s">
        <v>5119</v>
      </c>
      <c r="M276" s="15" t="s">
        <v>5118</v>
      </c>
      <c r="N276" s="10" t="s">
        <v>5120</v>
      </c>
    </row>
    <row r="277" spans="1:30">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14" t="s">
        <v>4811</v>
      </c>
      <c r="L277" s="10" t="s">
        <v>4810</v>
      </c>
    </row>
    <row r="278" spans="1:30">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4811</v>
      </c>
      <c r="G278" s="10" t="s">
        <v>4810</v>
      </c>
      <c r="K278" s="14" t="s">
        <v>4811</v>
      </c>
      <c r="L278" s="10" t="s">
        <v>4810</v>
      </c>
    </row>
    <row r="279" spans="1:30">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4811</v>
      </c>
      <c r="G279" s="10" t="s">
        <v>4810</v>
      </c>
      <c r="K279" s="14" t="s">
        <v>4811</v>
      </c>
      <c r="L279" s="10" t="s">
        <v>4810</v>
      </c>
    </row>
    <row r="280" spans="1:30">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4811</v>
      </c>
      <c r="G280" s="10" t="s">
        <v>4810</v>
      </c>
      <c r="K280" s="14" t="s">
        <v>4811</v>
      </c>
      <c r="L280" s="10" t="s">
        <v>4810</v>
      </c>
    </row>
    <row r="281" spans="1:30">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4811</v>
      </c>
      <c r="G281" s="10" t="s">
        <v>4810</v>
      </c>
      <c r="K281" s="14" t="s">
        <v>4811</v>
      </c>
      <c r="L281" s="10" t="s">
        <v>4810</v>
      </c>
    </row>
    <row r="282" spans="1:30">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4809</v>
      </c>
      <c r="G282" s="10" t="s">
        <v>4809</v>
      </c>
      <c r="K282" s="14" t="s">
        <v>4809</v>
      </c>
      <c r="L282" s="10" t="s">
        <v>4809</v>
      </c>
    </row>
    <row r="283" spans="1:30">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4809</v>
      </c>
      <c r="G283" s="10" t="s">
        <v>4809</v>
      </c>
      <c r="K283" s="14" t="s">
        <v>4809</v>
      </c>
      <c r="L283" s="10" t="s">
        <v>4809</v>
      </c>
    </row>
    <row r="284" spans="1:30">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5212</v>
      </c>
      <c r="G284" s="10" t="s">
        <v>5215</v>
      </c>
      <c r="H284" s="10" t="s">
        <v>5216</v>
      </c>
      <c r="K284" s="14" t="s">
        <v>5214</v>
      </c>
      <c r="L284" s="10" t="s">
        <v>5213</v>
      </c>
    </row>
    <row r="285" spans="1:30">
      <c r="A285" s="10" t="str">
        <f>IF(games!A285="", "", games!A285)</f>
        <v/>
      </c>
      <c r="C285" s="10" t="str">
        <f t="shared" si="12"/>
        <v/>
      </c>
      <c r="D285" s="10" t="str">
        <f t="shared" si="13"/>
        <v/>
      </c>
      <c r="E285" s="11" t="str">
        <f>IF(games!I285&lt;&gt;"", games!I285, "")</f>
        <v/>
      </c>
    </row>
    <row r="286" spans="1:30">
      <c r="A286" s="10" t="str">
        <f>IF(games!A286="", "", games!A286)</f>
        <v/>
      </c>
      <c r="C286" s="10" t="str">
        <f t="shared" si="12"/>
        <v/>
      </c>
      <c r="D286" s="10" t="str">
        <f t="shared" si="13"/>
        <v/>
      </c>
      <c r="E286" s="11" t="str">
        <f>IF(games!I286&lt;&gt;"", games!I286, "")</f>
        <v/>
      </c>
    </row>
    <row r="287" spans="1:30">
      <c r="A287" s="10" t="str">
        <f>IF(games!A287="", "", games!A287)</f>
        <v/>
      </c>
      <c r="C287" s="10" t="str">
        <f t="shared" si="12"/>
        <v/>
      </c>
      <c r="D287" s="10" t="str">
        <f t="shared" si="13"/>
        <v/>
      </c>
      <c r="E287" s="11" t="str">
        <f>IF(games!I287&lt;&gt;"", games!I287, "")</f>
        <v/>
      </c>
    </row>
    <row r="288" spans="1:30">
      <c r="A288" s="10" t="str">
        <f>IF(games!A288="", "", games!A288)</f>
        <v/>
      </c>
      <c r="C288" s="10" t="str">
        <f t="shared" si="12"/>
        <v/>
      </c>
      <c r="D288" s="10" t="str">
        <f t="shared" si="13"/>
        <v/>
      </c>
      <c r="E288" s="11" t="str">
        <f>IF(games!I288&lt;&gt;"", games!I288, "")</f>
        <v/>
      </c>
    </row>
    <row r="289" spans="1:5">
      <c r="A289" s="10" t="str">
        <f>IF(games!A289="", "", games!A289)</f>
        <v/>
      </c>
      <c r="C289" s="10" t="str">
        <f t="shared" si="12"/>
        <v/>
      </c>
      <c r="D289" s="10" t="str">
        <f t="shared" si="13"/>
        <v/>
      </c>
      <c r="E289" s="11" t="str">
        <f>IF(games!I289&lt;&gt;"", games!I289, "")</f>
        <v/>
      </c>
    </row>
    <row r="290" spans="1:5">
      <c r="A290" s="10" t="str">
        <f>IF(games!A290="", "", games!A290)</f>
        <v/>
      </c>
      <c r="C290" s="10" t="str">
        <f t="shared" si="12"/>
        <v/>
      </c>
      <c r="D290" s="10" t="str">
        <f t="shared" si="13"/>
        <v/>
      </c>
      <c r="E290" s="11" t="str">
        <f>IF(games!I290&lt;&gt;"", games!I290, "")</f>
        <v/>
      </c>
    </row>
    <row r="291" spans="1:5">
      <c r="A291" s="10" t="str">
        <f>IF(games!A291="", "", games!A291)</f>
        <v/>
      </c>
      <c r="C291" s="10" t="str">
        <f t="shared" si="12"/>
        <v/>
      </c>
      <c r="D291" s="10" t="str">
        <f t="shared" si="13"/>
        <v/>
      </c>
      <c r="E291" s="11" t="str">
        <f>IF(games!I291&lt;&gt;"", games!I291, "")</f>
        <v/>
      </c>
    </row>
    <row r="292" spans="1:5">
      <c r="A292" s="10" t="str">
        <f>IF(games!A292="", "", games!A292)</f>
        <v/>
      </c>
      <c r="C292" s="10" t="str">
        <f t="shared" si="12"/>
        <v/>
      </c>
      <c r="D292" s="10" t="str">
        <f t="shared" si="13"/>
        <v/>
      </c>
      <c r="E292" s="11" t="str">
        <f>IF(games!I292&lt;&gt;"", games!I292, "")</f>
        <v/>
      </c>
    </row>
    <row r="293" spans="1:5">
      <c r="A293" s="10" t="str">
        <f>IF(games!A293="", "", games!A293)</f>
        <v/>
      </c>
      <c r="C293" s="10" t="str">
        <f t="shared" si="12"/>
        <v/>
      </c>
      <c r="D293" s="10" t="str">
        <f t="shared" si="13"/>
        <v/>
      </c>
      <c r="E293" s="11" t="str">
        <f>IF(games!I293&lt;&gt;"", games!I293, "")</f>
        <v/>
      </c>
    </row>
    <row r="294" spans="1:5">
      <c r="A294" s="10" t="str">
        <f>IF(games!A294="", "", games!A294)</f>
        <v/>
      </c>
      <c r="C294" s="10" t="str">
        <f t="shared" si="12"/>
        <v/>
      </c>
      <c r="D294" s="10" t="str">
        <f t="shared" si="13"/>
        <v/>
      </c>
      <c r="E294" s="11" t="str">
        <f>IF(games!I294&lt;&gt;"", games!I294, "")</f>
        <v/>
      </c>
    </row>
    <row r="295" spans="1:5">
      <c r="A295" s="10" t="str">
        <f>IF(games!A295="", "", games!A295)</f>
        <v/>
      </c>
      <c r="C295" s="10" t="str">
        <f t="shared" si="12"/>
        <v/>
      </c>
      <c r="D295" s="10" t="str">
        <f t="shared" si="13"/>
        <v/>
      </c>
      <c r="E295" s="11" t="str">
        <f>IF(games!I295&lt;&gt;"", games!I295, "")</f>
        <v/>
      </c>
    </row>
    <row r="296" spans="1:5">
      <c r="A296" s="10" t="str">
        <f>IF(games!A296="", "", games!A296)</f>
        <v/>
      </c>
      <c r="C296" s="10" t="str">
        <f t="shared" si="12"/>
        <v/>
      </c>
      <c r="D296" s="10" t="str">
        <f t="shared" si="13"/>
        <v/>
      </c>
      <c r="E296" s="11" t="str">
        <f>IF(games!I296&lt;&gt;"", games!I296, "")</f>
        <v/>
      </c>
    </row>
    <row r="297" spans="1:5">
      <c r="A297" s="10" t="str">
        <f>IF(games!A297="", "", games!A297)</f>
        <v/>
      </c>
      <c r="C297" s="10" t="str">
        <f t="shared" si="12"/>
        <v/>
      </c>
      <c r="D297" s="10" t="str">
        <f t="shared" si="13"/>
        <v/>
      </c>
      <c r="E297" s="11" t="str">
        <f>IF(games!I297&lt;&gt;"", games!I297, "")</f>
        <v/>
      </c>
    </row>
    <row r="298" spans="1:5">
      <c r="A298" s="10" t="str">
        <f>IF(games!A298="", "", games!A298)</f>
        <v/>
      </c>
      <c r="C298" s="10" t="str">
        <f t="shared" si="12"/>
        <v/>
      </c>
      <c r="D298" s="10" t="str">
        <f t="shared" si="13"/>
        <v/>
      </c>
      <c r="E298" s="11" t="str">
        <f>IF(games!I298&lt;&gt;"", games!I298, "")</f>
        <v/>
      </c>
    </row>
    <row r="299" spans="1:5">
      <c r="A299" s="10" t="str">
        <f>IF(games!A299="", "", games!A299)</f>
        <v/>
      </c>
      <c r="C299" s="10" t="str">
        <f t="shared" si="12"/>
        <v/>
      </c>
      <c r="D299" s="10" t="str">
        <f t="shared" si="13"/>
        <v/>
      </c>
      <c r="E299" s="11" t="str">
        <f>IF(games!I299&lt;&gt;"", games!I299, "")</f>
        <v/>
      </c>
    </row>
    <row r="300" spans="1:5">
      <c r="A300" s="10" t="str">
        <f>IF(games!A300="", "", games!A300)</f>
        <v/>
      </c>
      <c r="C300" s="10" t="str">
        <f t="shared" si="12"/>
        <v/>
      </c>
      <c r="D300" s="10" t="str">
        <f t="shared" si="13"/>
        <v/>
      </c>
      <c r="E300" s="11" t="str">
        <f>IF(games!I300&lt;&gt;"", games!I300, "")</f>
        <v/>
      </c>
    </row>
    <row r="301" spans="1:5">
      <c r="A301" s="10" t="str">
        <f>IF(games!A301="", "", games!A301)</f>
        <v/>
      </c>
      <c r="C301" s="10" t="str">
        <f t="shared" si="12"/>
        <v/>
      </c>
      <c r="D301" s="10" t="str">
        <f t="shared" si="13"/>
        <v/>
      </c>
      <c r="E301" s="11" t="str">
        <f>IF(games!I301&lt;&gt;"", games!I301, "")</f>
        <v/>
      </c>
    </row>
    <row r="302" spans="1:5">
      <c r="A302" s="10" t="str">
        <f>IF(games!A302="", "", games!A302)</f>
        <v/>
      </c>
      <c r="C302" s="10" t="str">
        <f t="shared" si="12"/>
        <v/>
      </c>
      <c r="D302" s="10" t="str">
        <f t="shared" si="13"/>
        <v/>
      </c>
      <c r="E302" s="11" t="str">
        <f>IF(games!I302&lt;&gt;"", games!I302, "")</f>
        <v/>
      </c>
    </row>
    <row r="303" spans="1:5">
      <c r="A303" s="10" t="str">
        <f>IF(games!A303="", "", games!A303)</f>
        <v/>
      </c>
      <c r="C303" s="10" t="str">
        <f t="shared" si="12"/>
        <v/>
      </c>
      <c r="D303" s="10" t="str">
        <f t="shared" si="13"/>
        <v/>
      </c>
      <c r="E303" s="11" t="str">
        <f>IF(games!I303&lt;&gt;"", games!I303, "")</f>
        <v/>
      </c>
    </row>
    <row r="304" spans="1:5">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si="12"/>
        <v/>
      </c>
      <c r="D312" s="10" t="str">
        <f t="shared" si="13"/>
        <v/>
      </c>
      <c r="E312" s="11" t="str">
        <f>IF(games!I312&lt;&gt;"", games!I312, "")</f>
        <v/>
      </c>
    </row>
    <row r="313" spans="3:5">
      <c r="C313" s="10" t="str">
        <f t="shared" ref="C313:C376" si="14">IF(A313="","", "giftcodesbanner/" &amp; A313 &amp; "-禮包碼.jpg")</f>
        <v/>
      </c>
      <c r="D313" s="10" t="str">
        <f t="shared" ref="D313:D376" si="15">IF(A313="","", "https://www.ssbuy.tw/gift-codes.html?game="&amp;A313)</f>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si="14"/>
        <v/>
      </c>
      <c r="D376" s="10" t="str">
        <f t="shared" si="15"/>
        <v/>
      </c>
      <c r="E376" s="11" t="str">
        <f>IF(games!I376&lt;&gt;"", games!I376, "")</f>
        <v/>
      </c>
    </row>
    <row r="377" spans="3:5">
      <c r="C377" s="10" t="str">
        <f t="shared" ref="C377:C435" si="16">IF(A377="","", "giftcodesbanner/" &amp; A377 &amp; "-禮包碼.jpg")</f>
        <v/>
      </c>
      <c r="D377" s="10" t="str">
        <f t="shared" ref="D377:D435" si="17">IF(A377="","", "https://www.ssbuy.tw/gift-codes.html?game="&amp;A377)</f>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c r="E399" s="11" t="str">
        <f>IF(games!I399&lt;&gt;"", games!I399, "")</f>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row r="435" spans="3:4">
      <c r="C435" s="10" t="str">
        <f t="shared" si="16"/>
        <v/>
      </c>
      <c r="D435"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2025-10-25T07:29:19Z</dcterms:modified>
</cp:coreProperties>
</file>