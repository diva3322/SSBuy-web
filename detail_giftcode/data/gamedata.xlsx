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250" i="3" l="1"/>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<sst xmlns="http://schemas.openxmlformats.org/spreadsheetml/2006/main" count="6904" uniqueCount="4685">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</sst>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45" Type="http://schemas.openxmlformats.org/officeDocument/2006/relationships/hyperlink" Target="https://dbg-squadra.bn-ent.net/tw" TargetMode="External"/><Relationship Id="rId161" Type="http://schemas.openxmlformats.org/officeDocument/2006/relationships/hyperlink" Target="https://play.google.com/store/apps/details?id=com.ylhd.hsjg&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51" Type="http://schemas.openxmlformats.org/officeDocument/2006/relationships/hyperlink" Target="https://play.google.com/store/apps/details?id=nice.ricochet&amp;hl=zh_TW" TargetMode="External"/><Relationship Id="rId156" Type="http://schemas.openxmlformats.org/officeDocument/2006/relationships/hyperlink" Target="https://www.facebook.com/magicvillage"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162" Type="http://schemas.openxmlformats.org/officeDocument/2006/relationships/hyperlink" Target="https://apps.apple.com/tw/app/aur-3-%E5%BD%B1%E6%9C%88%E5%B9%BB%E5%9F%9F/id6747416926?ppid=0bec509b-3803-468b-a350-cf23aa3d06e3"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printerSettings" Target="../printerSettings/printerSettings1.bin"/><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I222" activePane="bottomRight" state="frozen"/>
      <selection pane="topRight" activeCell="B1" sqref="B1"/>
      <selection pane="bottomLeft" activeCell="A2" sqref="A2"/>
      <selection pane="bottomRight" activeCell="W257" sqref="W257"/>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31"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31"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31"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31"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31"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31"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31"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31"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31"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31"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31"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31" ht="22.5" customHeight="1" thickBot="1">
      <c r="A253" s="71" t="s">
        <v>4641</v>
      </c>
      <c r="C253" s="5" t="s">
        <v>4645</v>
      </c>
      <c r="D253" s="4" t="s">
        <v>4645</v>
      </c>
      <c r="E253" s="4" t="s">
        <v>4644</v>
      </c>
      <c r="F253" s="41" t="str">
        <f t="shared" si="8"/>
        <v>https://www.ssbuy.tw/detail_giftcode/dist/giftcodes/奇蹟MU：騎士袋你飛.html</v>
      </c>
      <c r="G253" s="4" t="s">
        <v>4643</v>
      </c>
      <c r="H253" s="41" t="str">
        <f t="shared" si="9"/>
        <v>https://www.ssbuy.tw/detail_giftcode/dist/gamedetail/奇蹟MU：騎士袋你飛.html</v>
      </c>
      <c r="I253" s="42" t="s">
        <v>4669</v>
      </c>
      <c r="J253" s="1" t="s">
        <v>145</v>
      </c>
      <c r="K253" s="71">
        <v>1605</v>
      </c>
      <c r="L253" s="1" t="s">
        <v>146</v>
      </c>
      <c r="M253" s="71">
        <v>810</v>
      </c>
      <c r="N253" s="1" t="s">
        <v>147</v>
      </c>
      <c r="O253" s="71">
        <v>496</v>
      </c>
      <c r="P253" s="1" t="s">
        <v>4671</v>
      </c>
      <c r="Q253" s="71">
        <v>198</v>
      </c>
      <c r="R253" s="1" t="s">
        <v>149</v>
      </c>
      <c r="S253" s="71">
        <v>103</v>
      </c>
      <c r="T253" s="1" t="s">
        <v>3981</v>
      </c>
      <c r="U253" s="71">
        <v>21</v>
      </c>
      <c r="V253" s="1" t="s">
        <v>4672</v>
      </c>
      <c r="W253" s="71">
        <v>163</v>
      </c>
      <c r="X253" s="1" t="s">
        <v>4673</v>
      </c>
      <c r="Y253" s="71">
        <v>58</v>
      </c>
      <c r="Z253" s="1" t="s">
        <v>4674</v>
      </c>
      <c r="AA253" s="71">
        <v>58</v>
      </c>
      <c r="AB253" s="1" t="s">
        <v>4675</v>
      </c>
      <c r="AC253" s="71">
        <v>58</v>
      </c>
      <c r="AD253" s="1" t="s">
        <v>4676</v>
      </c>
      <c r="AE253" s="71">
        <v>107</v>
      </c>
    </row>
    <row r="254" spans="1:31" ht="22.5" customHeight="1" thickBot="1">
      <c r="A254" s="71" t="s">
        <v>4642</v>
      </c>
      <c r="C254" s="5" t="s">
        <v>4648</v>
      </c>
      <c r="D254" s="4" t="s">
        <v>4648</v>
      </c>
      <c r="E254" s="4" t="s">
        <v>4647</v>
      </c>
      <c r="F254" s="41" t="str">
        <f t="shared" si="6"/>
        <v>https://www.ssbuy.tw/detail_giftcode/dist/giftcodes/AUR3：影月幻域.html</v>
      </c>
      <c r="G254" s="4" t="s">
        <v>4646</v>
      </c>
      <c r="H254" s="41" t="str">
        <f t="shared" si="7"/>
        <v>https://www.ssbuy.tw/detail_giftcode/dist/gamedetail/AUR3：影月幻域.html</v>
      </c>
      <c r="I254" s="42" t="s">
        <v>4670</v>
      </c>
      <c r="J254" s="1" t="s">
        <v>4677</v>
      </c>
      <c r="K254" s="71">
        <v>1139</v>
      </c>
      <c r="L254" s="1" t="s">
        <v>4678</v>
      </c>
      <c r="M254" s="71">
        <v>612</v>
      </c>
      <c r="N254" s="1" t="s">
        <v>4679</v>
      </c>
      <c r="O254" s="71">
        <v>380</v>
      </c>
      <c r="P254" s="1" t="s">
        <v>4680</v>
      </c>
      <c r="Q254" s="71">
        <v>194</v>
      </c>
      <c r="R254" s="1" t="s">
        <v>4681</v>
      </c>
      <c r="S254" s="71">
        <v>74</v>
      </c>
      <c r="T254" s="1" t="s">
        <v>4682</v>
      </c>
      <c r="U254" s="71">
        <v>17</v>
      </c>
      <c r="V254" s="1" t="s">
        <v>4683</v>
      </c>
      <c r="W254" s="71">
        <v>194</v>
      </c>
      <c r="X254" s="1" t="s">
        <v>4684</v>
      </c>
      <c r="Y254" s="71">
        <v>74</v>
      </c>
    </row>
    <row r="255" spans="1:31" ht="22.5" customHeight="1">
      <c r="F255" s="41" t="str">
        <f t="shared" si="6"/>
        <v/>
      </c>
      <c r="H255" s="41" t="str">
        <f t="shared" si="7"/>
        <v/>
      </c>
    </row>
    <row r="256" spans="1:31" ht="22.5" customHeight="1">
      <c r="F256" s="41" t="str">
        <f t="shared" si="6"/>
        <v/>
      </c>
      <c r="H256" s="41" t="str">
        <f t="shared" si="7"/>
        <v/>
      </c>
    </row>
    <row r="257" spans="6:8" ht="22.5" customHeight="1">
      <c r="F257" s="41" t="str">
        <f t="shared" si="6"/>
        <v/>
      </c>
      <c r="H257" s="41" t="str">
        <f t="shared" si="7"/>
        <v/>
      </c>
    </row>
    <row r="258" spans="6:8" ht="22.5" customHeight="1">
      <c r="F258" s="41" t="str">
        <f t="shared" si="6"/>
        <v/>
      </c>
      <c r="H258" s="41" t="str">
        <f t="shared" si="7"/>
        <v/>
      </c>
    </row>
    <row r="259" spans="6:8" ht="22.5" customHeight="1">
      <c r="F259" s="41" t="str">
        <f t="shared" ref="F259:F269" si="10">IF(A259="","", "https://www.ssbuy.tw/detail_giftcode/dist/giftcodes/" &amp; IF(ISNUMBER(LEFT(A259,1)*1), "game-", "") &amp; A259 &amp; ".html")</f>
        <v/>
      </c>
      <c r="H259" s="41" t="str">
        <f t="shared" ref="H259:H287" si="11">IF(A259="","", "https://www.ssbuy.tw/detail_giftcode/dist/gamedetail/" &amp; IF(ISNUMBER(LEFT(A259,1)*1), "game-", "") &amp; A259 &amp; ".html")</f>
        <v/>
      </c>
    </row>
    <row r="260" spans="6:8" ht="22.5" customHeight="1">
      <c r="F260" s="41" t="str">
        <f t="shared" si="10"/>
        <v/>
      </c>
      <c r="H260" s="41" t="str">
        <f t="shared" si="11"/>
        <v/>
      </c>
    </row>
    <row r="261" spans="6:8" ht="22.5" customHeight="1">
      <c r="F261" s="41" t="str">
        <f t="shared" si="10"/>
        <v/>
      </c>
      <c r="H261" s="41" t="str">
        <f t="shared" si="11"/>
        <v/>
      </c>
    </row>
    <row r="262" spans="6:8" ht="22.5" customHeight="1">
      <c r="F262" s="41" t="str">
        <f t="shared" si="10"/>
        <v/>
      </c>
      <c r="H262" s="41" t="str">
        <f t="shared" si="11"/>
        <v/>
      </c>
    </row>
    <row r="263" spans="6:8" ht="22.5" customHeight="1">
      <c r="F263" s="41" t="str">
        <f t="shared" si="10"/>
        <v/>
      </c>
      <c r="H263" s="41" t="str">
        <f t="shared" si="11"/>
        <v/>
      </c>
    </row>
    <row r="264" spans="6:8" ht="22.5" customHeight="1">
      <c r="F264" s="41" t="str">
        <f t="shared" si="10"/>
        <v/>
      </c>
      <c r="H264" s="41" t="str">
        <f t="shared" si="11"/>
        <v/>
      </c>
    </row>
    <row r="265" spans="6:8" ht="22.5" customHeight="1">
      <c r="F265" s="41" t="str">
        <f t="shared" si="10"/>
        <v/>
      </c>
      <c r="H265" s="41" t="str">
        <f t="shared" si="11"/>
        <v/>
      </c>
    </row>
    <row r="266" spans="6:8" ht="22.5" customHeight="1">
      <c r="F266" s="41" t="str">
        <f t="shared" si="10"/>
        <v/>
      </c>
      <c r="H266" s="41" t="str">
        <f t="shared" si="11"/>
        <v/>
      </c>
    </row>
    <row r="267" spans="6:8" ht="22.5" customHeight="1">
      <c r="F267" s="41" t="str">
        <f t="shared" si="10"/>
        <v/>
      </c>
      <c r="H267" s="41" t="str">
        <f t="shared" si="11"/>
        <v/>
      </c>
    </row>
    <row r="268" spans="6:8" ht="22.5" customHeight="1">
      <c r="F268" s="41" t="str">
        <f t="shared" si="10"/>
        <v/>
      </c>
      <c r="H268" s="41" t="str">
        <f t="shared" si="11"/>
        <v/>
      </c>
    </row>
    <row r="269" spans="6:8" ht="22.5" customHeight="1">
      <c r="F269" s="41" t="str">
        <f t="shared" si="10"/>
        <v/>
      </c>
      <c r="H269" s="41" t="str">
        <f t="shared" si="11"/>
        <v/>
      </c>
    </row>
    <row r="270" spans="6:8" ht="22.5" customHeight="1">
      <c r="F270" s="40" t="str">
        <f t="shared" ref="F270:F316" si="12">IF(A270="", "", "gift-codes.html?game=" &amp; A270)</f>
        <v/>
      </c>
      <c r="H270" s="41" t="str">
        <f t="shared" si="11"/>
        <v/>
      </c>
    </row>
    <row r="271" spans="6:8" ht="22.5" customHeight="1">
      <c r="F271" s="40" t="str">
        <f t="shared" si="12"/>
        <v/>
      </c>
      <c r="H271" s="41" t="str">
        <f t="shared" si="11"/>
        <v/>
      </c>
    </row>
    <row r="272" spans="6:8"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s>
  <pageMargins left="0.7" right="0.7" top="0.75" bottom="0.75" header="0.3" footer="0.3"/>
  <pageSetup paperSize="9" orientation="portrait" r:id="rId16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E240" activePane="bottomRight" state="frozen"/>
      <selection pane="topRight" activeCell="B1" sqref="B1"/>
      <selection pane="bottomLeft" activeCell="A2" sqref="A2"/>
      <selection pane="bottomRight" activeCell="G249" sqref="G249"/>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6"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6"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7" t="s">
        <v>4539</v>
      </c>
      <c r="G250" s="13" t="s">
        <v>4529</v>
      </c>
      <c r="H250" s="13" t="s">
        <v>4634</v>
      </c>
      <c r="I250" s="13" t="s">
        <v>4635</v>
      </c>
      <c r="J250" s="13" t="s">
        <v>4636</v>
      </c>
      <c r="K250" s="17" t="s">
        <v>4539</v>
      </c>
      <c r="L250" s="13" t="s">
        <v>4529</v>
      </c>
    </row>
    <row r="251" spans="1:26"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6"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row>
    <row r="253" spans="1:26" ht="22.5" customHeight="1">
      <c r="A253" s="13" t="str">
        <f>IF(games!A253="", "", games!A253)</f>
        <v>奇蹟MU：騎士袋你飛</v>
      </c>
      <c r="C253" s="13" t="str">
        <f t="shared" ref="C253:C316"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4667</v>
      </c>
      <c r="G253" s="13" t="s">
        <v>4668</v>
      </c>
      <c r="H253" s="13" t="s">
        <v>2625</v>
      </c>
      <c r="I253" s="13" t="s">
        <v>4371</v>
      </c>
      <c r="K253" s="17" t="s">
        <v>4649</v>
      </c>
      <c r="L253" s="13" t="s">
        <v>4650</v>
      </c>
      <c r="M253" s="18" t="s">
        <v>4651</v>
      </c>
      <c r="N253" s="13" t="s">
        <v>4652</v>
      </c>
      <c r="O253" s="18" t="s">
        <v>4653</v>
      </c>
      <c r="P253" s="13" t="s">
        <v>4654</v>
      </c>
    </row>
    <row r="254" spans="1:26"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4665</v>
      </c>
      <c r="G254" s="13" t="s">
        <v>4666</v>
      </c>
      <c r="H254" s="13" t="s">
        <v>2625</v>
      </c>
      <c r="I254" s="13" t="s">
        <v>4371</v>
      </c>
      <c r="K254" s="17" t="s">
        <v>4655</v>
      </c>
      <c r="M254" s="18" t="s">
        <v>4656</v>
      </c>
      <c r="O254" s="18" t="s">
        <v>4657</v>
      </c>
      <c r="Q254" s="18" t="s">
        <v>4658</v>
      </c>
      <c r="S254" s="18" t="s">
        <v>4659</v>
      </c>
      <c r="T254" s="13" t="s">
        <v>4661</v>
      </c>
      <c r="U254" s="18" t="s">
        <v>4660</v>
      </c>
      <c r="V254" s="13" t="s">
        <v>4662</v>
      </c>
      <c r="W254" s="18" t="s">
        <v>4583</v>
      </c>
      <c r="X254" s="13" t="s">
        <v>4663</v>
      </c>
      <c r="Y254" s="18" t="s">
        <v>1933</v>
      </c>
      <c r="Z254" s="13" t="s">
        <v>4664</v>
      </c>
    </row>
    <row r="255" spans="1:26" ht="22.5" customHeight="1">
      <c r="A255" s="13" t="str">
        <f>IF(games!A255="", "", games!A255)</f>
        <v/>
      </c>
      <c r="C255" s="13" t="str">
        <f t="shared" si="9"/>
        <v/>
      </c>
      <c r="D255" s="13" t="str">
        <f t="shared" si="8"/>
        <v/>
      </c>
    </row>
    <row r="256" spans="1:26" ht="22.5" customHeight="1">
      <c r="A256" s="13" t="str">
        <f>IF(games!A256="", "", games!A256)</f>
        <v/>
      </c>
      <c r="C256" s="13" t="str">
        <f t="shared" si="9"/>
        <v/>
      </c>
      <c r="D256" s="13" t="str">
        <f t="shared" si="8"/>
        <v/>
      </c>
    </row>
    <row r="257" spans="1:4" ht="22.5" customHeight="1">
      <c r="A257" s="13" t="str">
        <f>IF(games!A257="", "", games!A257)</f>
        <v/>
      </c>
      <c r="C257" s="13" t="str">
        <f t="shared" si="9"/>
        <v/>
      </c>
      <c r="D257" s="13" t="str">
        <f t="shared" si="8"/>
        <v/>
      </c>
    </row>
    <row r="258" spans="1:4" ht="22.5" customHeight="1">
      <c r="A258" s="13" t="str">
        <f>IF(games!A258="", "", games!A258)</f>
        <v/>
      </c>
      <c r="C258" s="13" t="str">
        <f t="shared" si="9"/>
        <v/>
      </c>
      <c r="D258" s="13" t="str">
        <f t="shared" si="8"/>
        <v/>
      </c>
    </row>
    <row r="259" spans="1:4">
      <c r="A259" s="13" t="str">
        <f>IF(games!A259="", "", games!A259)</f>
        <v/>
      </c>
      <c r="C259" s="13" t="str">
        <f t="shared" si="9"/>
        <v/>
      </c>
      <c r="D259" s="13" t="str">
        <f t="shared" ref="D259:D269" si="10">IF(A259="","", "https://www.ssbuy.tw/detail_giftcode/dist/giftcodes/" &amp; IF(ISNUMBER(LEFT(A259,1)*1), "game-", "") &amp; A259 &amp; ".html")</f>
        <v/>
      </c>
    </row>
    <row r="260" spans="1:4">
      <c r="A260" s="13" t="str">
        <f>IF(games!A260="", "", games!A260)</f>
        <v/>
      </c>
      <c r="C260" s="13" t="str">
        <f t="shared" si="9"/>
        <v/>
      </c>
      <c r="D260" s="13" t="str">
        <f t="shared" si="10"/>
        <v/>
      </c>
    </row>
    <row r="261" spans="1:4">
      <c r="A261" s="13" t="str">
        <f>IF(games!A261="", "", games!A261)</f>
        <v/>
      </c>
      <c r="C261" s="13" t="str">
        <f t="shared" si="9"/>
        <v/>
      </c>
      <c r="D261" s="13" t="str">
        <f t="shared" si="10"/>
        <v/>
      </c>
    </row>
    <row r="262" spans="1:4">
      <c r="A262" s="13" t="str">
        <f>IF(games!A262="", "", games!A262)</f>
        <v/>
      </c>
      <c r="C262" s="13" t="str">
        <f t="shared" si="9"/>
        <v/>
      </c>
      <c r="D262" s="13" t="str">
        <f t="shared" si="10"/>
        <v/>
      </c>
    </row>
    <row r="263" spans="1:4">
      <c r="A263" s="13" t="str">
        <f>IF(games!A263="", "", games!A263)</f>
        <v/>
      </c>
      <c r="C263" s="13" t="str">
        <f t="shared" si="9"/>
        <v/>
      </c>
      <c r="D263" s="13" t="str">
        <f t="shared" si="10"/>
        <v/>
      </c>
    </row>
    <row r="264" spans="1:4">
      <c r="A264" s="13" t="str">
        <f>IF(games!A264="", "", games!A264)</f>
        <v/>
      </c>
      <c r="C264" s="13" t="str">
        <f t="shared" si="9"/>
        <v/>
      </c>
      <c r="D264" s="13" t="str">
        <f t="shared" si="10"/>
        <v/>
      </c>
    </row>
    <row r="265" spans="1:4">
      <c r="A265" s="13" t="str">
        <f>IF(games!A265="", "", games!A265)</f>
        <v/>
      </c>
      <c r="C265" s="13" t="str">
        <f t="shared" si="9"/>
        <v/>
      </c>
      <c r="D265" s="13" t="str">
        <f t="shared" si="10"/>
        <v/>
      </c>
    </row>
    <row r="266" spans="1:4">
      <c r="A266" s="13" t="str">
        <f>IF(games!A266="", "", games!A266)</f>
        <v/>
      </c>
      <c r="C266" s="13" t="str">
        <f t="shared" si="9"/>
        <v/>
      </c>
      <c r="D266" s="13" t="str">
        <f t="shared" si="10"/>
        <v/>
      </c>
    </row>
    <row r="267" spans="1:4">
      <c r="A267" s="13" t="str">
        <f>IF(games!A267="", "", games!A267)</f>
        <v/>
      </c>
      <c r="C267" s="13" t="str">
        <f t="shared" si="9"/>
        <v/>
      </c>
      <c r="D267" s="13" t="str">
        <f t="shared" si="10"/>
        <v/>
      </c>
    </row>
    <row r="268" spans="1:4">
      <c r="A268" s="13" t="str">
        <f>IF(games!A268="", "", games!A268)</f>
        <v/>
      </c>
      <c r="C268" s="13" t="str">
        <f t="shared" si="9"/>
        <v/>
      </c>
      <c r="D268" s="13" t="str">
        <f t="shared" si="10"/>
        <v/>
      </c>
    </row>
    <row r="269" spans="1:4">
      <c r="A269" s="13" t="str">
        <f>IF(games!A269="", "", games!A269)</f>
        <v/>
      </c>
      <c r="C269" s="13" t="str">
        <f t="shared" si="9"/>
        <v/>
      </c>
      <c r="D269" s="13" t="str">
        <f t="shared" si="10"/>
        <v/>
      </c>
    </row>
    <row r="270" spans="1:4">
      <c r="A270" s="13" t="str">
        <f>IF(games!A270="", "", games!A270)</f>
        <v/>
      </c>
      <c r="C270" s="13" t="str">
        <f t="shared" si="9"/>
        <v/>
      </c>
      <c r="D270" s="13" t="str">
        <f t="shared" ref="D270:D316" si="11">IF(A270="","", "https://www.ssbuy.tw/gift-codes.html?game="&amp;A270)</f>
        <v/>
      </c>
    </row>
    <row r="271" spans="1:4">
      <c r="A271" s="13" t="str">
        <f>IF(games!A271="", "", games!A271)</f>
        <v/>
      </c>
      <c r="C271" s="13" t="str">
        <f t="shared" si="9"/>
        <v/>
      </c>
      <c r="D271" s="13" t="str">
        <f t="shared" si="11"/>
        <v/>
      </c>
    </row>
    <row r="272" spans="1:4">
      <c r="A272" s="13" t="str">
        <f>IF(games!A272="", "", games!A272)</f>
        <v/>
      </c>
      <c r="C272" s="13" t="str">
        <f t="shared" si="9"/>
        <v/>
      </c>
      <c r="D272" s="13" t="str">
        <f t="shared" si="11"/>
        <v/>
      </c>
    </row>
    <row r="273" spans="1:4">
      <c r="A273" s="13" t="str">
        <f>IF(games!A273="", "", games!A273)</f>
        <v/>
      </c>
      <c r="C273" s="13" t="str">
        <f t="shared" si="9"/>
        <v/>
      </c>
      <c r="D273" s="13" t="str">
        <f t="shared" si="11"/>
        <v/>
      </c>
    </row>
    <row r="274" spans="1:4">
      <c r="A274" s="13" t="str">
        <f>IF(games!A274="", "", games!A274)</f>
        <v/>
      </c>
      <c r="C274" s="13" t="str">
        <f t="shared" si="9"/>
        <v/>
      </c>
      <c r="D274" s="13" t="str">
        <f t="shared" si="11"/>
        <v/>
      </c>
    </row>
    <row r="275" spans="1:4">
      <c r="A275" s="13" t="str">
        <f>IF(games!A275="", "", games!A275)</f>
        <v/>
      </c>
      <c r="C275" s="13" t="str">
        <f t="shared" si="9"/>
        <v/>
      </c>
      <c r="D275" s="13" t="str">
        <f t="shared" si="11"/>
        <v/>
      </c>
    </row>
    <row r="276" spans="1:4">
      <c r="A276" s="13" t="str">
        <f>IF(games!A276="", "", games!A276)</f>
        <v/>
      </c>
      <c r="C276" s="13" t="str">
        <f t="shared" si="9"/>
        <v/>
      </c>
      <c r="D276" s="13" t="str">
        <f t="shared" si="11"/>
        <v/>
      </c>
    </row>
    <row r="277" spans="1:4">
      <c r="A277" s="13" t="str">
        <f>IF(games!A277="", "", games!A277)</f>
        <v/>
      </c>
      <c r="C277" s="13" t="str">
        <f t="shared" si="9"/>
        <v/>
      </c>
      <c r="D277" s="13" t="str">
        <f t="shared" si="11"/>
        <v/>
      </c>
    </row>
    <row r="278" spans="1:4">
      <c r="A278" s="13" t="str">
        <f>IF(games!A278="", "", games!A278)</f>
        <v/>
      </c>
      <c r="C278" s="13" t="str">
        <f t="shared" si="9"/>
        <v/>
      </c>
      <c r="D278" s="13" t="str">
        <f t="shared" si="11"/>
        <v/>
      </c>
    </row>
    <row r="279" spans="1:4">
      <c r="A279" s="13" t="str">
        <f>IF(games!A279="", "", games!A279)</f>
        <v/>
      </c>
      <c r="C279" s="13" t="str">
        <f t="shared" si="9"/>
        <v/>
      </c>
      <c r="D279" s="13" t="str">
        <f t="shared" si="11"/>
        <v/>
      </c>
    </row>
    <row r="280" spans="1:4">
      <c r="A280" s="13" t="str">
        <f>IF(games!A280="", "", games!A280)</f>
        <v/>
      </c>
      <c r="C280" s="13" t="str">
        <f t="shared" si="9"/>
        <v/>
      </c>
      <c r="D280" s="13" t="str">
        <f t="shared" si="11"/>
        <v/>
      </c>
    </row>
    <row r="281" spans="1:4">
      <c r="A281" s="13" t="str">
        <f>IF(games!A281="", "", games!A281)</f>
        <v/>
      </c>
      <c r="C281" s="13" t="str">
        <f t="shared" si="9"/>
        <v/>
      </c>
      <c r="D281" s="13" t="str">
        <f t="shared" si="11"/>
        <v/>
      </c>
    </row>
    <row r="282" spans="1:4">
      <c r="A282" s="13" t="str">
        <f>IF(games!A282="", "", games!A282)</f>
        <v/>
      </c>
      <c r="C282" s="13" t="str">
        <f t="shared" si="9"/>
        <v/>
      </c>
      <c r="D282" s="13" t="str">
        <f t="shared" si="11"/>
        <v/>
      </c>
    </row>
    <row r="283" spans="1:4">
      <c r="A283" s="13" t="str">
        <f>IF(games!A283="", "", games!A283)</f>
        <v/>
      </c>
      <c r="C283" s="13" t="str">
        <f t="shared" si="9"/>
        <v/>
      </c>
      <c r="D283" s="13" t="str">
        <f t="shared" si="11"/>
        <v/>
      </c>
    </row>
    <row r="284" spans="1:4">
      <c r="A284" s="13" t="str">
        <f>IF(games!A284="", "", games!A284)</f>
        <v/>
      </c>
      <c r="C284" s="13" t="str">
        <f t="shared" si="9"/>
        <v/>
      </c>
      <c r="D284" s="13" t="str">
        <f t="shared" si="11"/>
        <v/>
      </c>
    </row>
    <row r="285" spans="1:4">
      <c r="A285" s="13" t="str">
        <f>IF(games!A285="", "", games!A285)</f>
        <v/>
      </c>
      <c r="C285" s="13" t="str">
        <f t="shared" si="9"/>
        <v/>
      </c>
      <c r="D285" s="13" t="str">
        <f t="shared" si="11"/>
        <v/>
      </c>
    </row>
    <row r="286" spans="1:4">
      <c r="A286" s="13" t="str">
        <f>IF(games!A286="", "", games!A286)</f>
        <v/>
      </c>
      <c r="C286" s="13" t="str">
        <f t="shared" si="9"/>
        <v/>
      </c>
      <c r="D286" s="13" t="str">
        <f t="shared" si="11"/>
        <v/>
      </c>
    </row>
    <row r="287" spans="1:4">
      <c r="A287" s="13" t="str">
        <f>IF(games!A287="", "", games!A287)</f>
        <v/>
      </c>
      <c r="C287" s="13" t="str">
        <f t="shared" si="9"/>
        <v/>
      </c>
      <c r="D287" s="13" t="str">
        <f t="shared" si="11"/>
        <v/>
      </c>
    </row>
    <row r="288" spans="1:4">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2025-09-26T10:49:06Z</dcterms:modified>
</cp:coreProperties>
</file>