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<sst xmlns="http://schemas.openxmlformats.org/spreadsheetml/2006/main" count="17256" uniqueCount="7725">
  <si>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</si>
  <si>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</si>
  <si>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</si>
  <si>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</si>
  <si>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</si>
  <si>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</si>
  <si>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</si>
  <si>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</si>
  <si>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</si>
  <si>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</si>
  <si>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</si>
  <si>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</si>
  <si>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</si>
  <si>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</si>
  <si>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</si>
  <si>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</si>
  <si>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</si>
  <si>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</si>
  <si>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</si>
  <si>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</si>
  <si>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</si>
  <si>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</si>
  <si>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</si>
  <si>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</si>
  <si>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</si>
  <si>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</si>
  <si>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</si>
  <si>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</si>
  <si>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</si>
  <si>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</si>
  <si>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</si>
  <si>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</si>
  <si>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</si>
  <si>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</si>
  <si>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</si>
  <si>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</si>
  <si>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</si>
  <si>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</si>
  <si>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</si>
  <si>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</si>
  <si>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</si>
  <si>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</si>
  <si>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</si>
  <si>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</si>
  <si>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</si>
  <si>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</si>
  <si>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</si>
  <si>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</si>
  <si>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</si>
  <si>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</si>
  <si>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</si>
  <si>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</si>
  <si>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</si>
  <si>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</si>
  <si>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</si>
  <si>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</si>
  <si>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</si>
  <si>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</si>
  <si>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</si>
  <si>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</si>
  <si>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</si>
  <si>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</si>
  <si>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</si>
  <si>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</si>
  <si>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</si>
  <si>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</si>
  <si>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</si>
  <si>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</si>
  <si>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</si>
  <si>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</si>
  <si>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</si>
  <si>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</si>
  <si>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</si>
  <si>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</si>
  <si>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</si>
  <si>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</si>
  <si>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</si>
  <si>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</si>
  <si>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</si>
  <si>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</si>
  <si>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</si>
  <si>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</si>
  <si>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</si>
  <si>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</si>
  <si>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</si>
  <si>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</si>
  <si>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</si>
  <si>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</si>
  <si>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</si>
  <si>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</si>
  <si>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</si>
  <si>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</si>
  <si>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</si>
  <si>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</si>
  <si>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</si>
  <si>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</si>
  <si>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</si>
  <si>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</si>
  <si>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</si>
  <si>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</si>
  <si>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</si>
  <si>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</si>
  <si>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</si>
  <si>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</si>
  <si>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</si>
  <si>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</si>
  <si>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</si>
  <si>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</si>
  <si>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</si>
  <si>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</si>
  <si>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</si>
  <si>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</si>
  <si>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</si>
  <si>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</si>
  <si>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</si>
  <si>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</si>
  <si>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</si>
  <si>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</si>
  <si>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</si>
  <si>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</si>
  <si>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</si>
  <si>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</si>
  <si>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</si>
  <si>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</si>
  <si>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</si>
  <si>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</si>
  <si>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</si>
  <si>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</si>
  <si>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</si>
  <si>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</si>
  <si>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</si>
  <si>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</si>
  <si>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</si>
  <si>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</si>
  <si>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</si>
  <si>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</si>
  <si>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</si>
  <si>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</si>
  <si>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</si>
  <si>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</si>
  <si>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</si>
  <si>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</si>
  <si>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</si>
  <si>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</si>
  <si>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</si>
  <si>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</si>
  <si>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</si>
  <si>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</si>
  <si>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</si>
  <si>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</si>
  <si>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</si>
  <si>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</si>
  <si>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</si>
  <si>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</si>
  <si>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</si>
  <si>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</si>
  <si>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</si>
  <si>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</si>
  <si>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</si>
  <si>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</si>
  <si>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</si>
  <si>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</si>
  <si>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</si>
  <si>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</si>
  <si>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</si>
  <si>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</si>
  <si>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</si>
  <si>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</si>
  <si>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</si>
  <si>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</si>
  <si>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</si>
  <si>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</si>
  <si>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</si>
  <si>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</si>
  <si>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</si>
  <si>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</si>
  <si>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</si>
  <si>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</si>
  <si>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</si>
  <si>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</si>
  <si>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</si>
  <si>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</si>
  <si>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</si>
  <si>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</si>
  <si>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</si>
  <si>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</si>
  <si>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</si>
  <si>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</si>
  <si>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</si>
  <si>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</si>
  <si>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</si>
  <si>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</si>
  <si>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</si>
  <si>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</si>
  <si>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</si>
  <si>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</si>
  <si>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</si>
  <si>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</si>
  <si>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</si>
  <si>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</si>
  <si>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</si>
  <si>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</si>
  <si>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</si>
  <si>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</si>
  <si>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</si>
  <si>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</si>
  <si>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</si>
  <si>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</si>
  <si>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</si>
  <si>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</si>
  <si>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</si>
  <si>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</si>
  <si>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</si>
  <si>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</si>
  <si>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</si>
  <si>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</si>
  <si>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</si>
  <si>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</si>
  <si>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</si>
  <si>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</si>
  <si>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</si>
  <si>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</si>
  <si>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</si>
  <si>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</si>
  <si>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</si>
  <si>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</si>
  <si>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</si>
  <si>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</si>
  <si>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</si>
  <si>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</si>
  <si>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</si>
  <si>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</si>
  <si>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</si>
  <si>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</si>
  <si>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</si>
  <si>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</si>
  <si>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</si>
  <si>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</si>
  <si>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</si>
  <si>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</si>
  <si>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</si>
  <si>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</si>
  <si>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</si>
  <si>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</si>
  <si>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</si>
  <si>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</si>
  <si>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</si>
  <si>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</si>
  <si>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</si>
  <si>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</si>
  <si>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</si>
  <si>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</si>
  <si>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</si>
  <si>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</si>
  <si>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</si>
  <si>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</si>
  <si>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</si>
  <si>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</si>
  <si>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</si>
  <si>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</si>
  <si>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</si>
  <si>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</si>
  <si>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</si>
  <si>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</si>
  <si>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</si>
  <si>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</si>
  <si>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</si>
  <si>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</si>
  <si>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</si>
  <si>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</si>
  <si>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</si>
  <si>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</si>
  <si>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</si>
  <si>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</si>
  <si>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</si>
  <si>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</si>
  <si>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</si>
  <si>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</si>
  <si>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</si>
  <si>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</si>
  <si>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</si>
  <si>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</si>
  <si>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</si>
  <si>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</si>
  <si>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</si>
  <si>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</si>
  <si>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</si>
  <si>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</si>
  <si>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</si>
  <si>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</si>
  <si>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</si>
  <si>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</si>
  <si>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</si>
  <si>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</si>
  <si>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</si>
  <si>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</si>
  <si>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</si>
  <si>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</si>
  <si>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</si>
  <si>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</si>
  <si>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</si>
  <si>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</si>
  <si>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</si>
  <si>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</si>
  <si>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</si>
  <si>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</si>
  <si>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</si>
  <si>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</si>
  <si>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</si>
  <si>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</si>
  <si>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</si>
  <si>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</si>
  <si>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</si>
  <si>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</si>
  <si>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</si>
  <si>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</si>
  <si>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</si>
  <si>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</si>
  <si>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</si>
  <si>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</si>
  <si>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</si>
  <si>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</si>
  <si>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</si>
  <si>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</si>
  <si>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</si>
  <si>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</si>
  <si>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</si>
  <si>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</si>
  <si>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</si>
  <si>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</si>
  <si>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</si>
  <si>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</si>
  <si>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</si>
  <si>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</si>
  <si>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</si>
  <si>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</si>
  <si>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</si>
  <si>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</si>
  <si>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</si>
  <si>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</si>
  <si>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</si>
  <si>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</si>
  <si>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</si>
  <si>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</si>
  <si>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</si>
  <si>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</si>
  <si>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</si>
  <si>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</si>
  <si>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</si>
  <si>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</si>
  <si>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</si>
  <si>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</si>
  <si>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</si>
  <si>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</si>
  <si>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</si>
  <si>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</si>
  <si>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</si>
  <si>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</si>
  <si>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</si>
  <si>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</si>
  <si>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</si>
  <si>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</si>
  <si>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</si>
  <si>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</si>
  <si>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</si>
  <si>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</si>
  <si>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</si>
  <si>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</si>
  <si>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</si>
  <si>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</si>
  <si>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</si>
  <si>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</si>
  <si>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</si>
  <si>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</si>
  <si>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</si>
  <si>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</si>
  <si>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</si>
  <si>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</si>
  <si>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</si>
  <si>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</si>
  <si>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</si>
  <si>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</si>
  <si>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</si>
  <si>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</si>
  <si>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</si>
  <si>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</si>
  <si>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</si>
  <si>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</si>
  <si>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</si>
  <si>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</si>
  <si>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</si>
  <si>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</si>
  <si>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</si>
  <si>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</si>
  <si>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</si>
  <si>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</si>
  <si>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</si>
  <si>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</si>
  <si>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</si>
  <si>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</si>
  <si>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</si>
  <si>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</si>
  <si>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</si>
  <si>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</si>
  <si>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</si>
  <si>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</si>
  <si>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</si>
  <si>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</si>
  <si>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</si>
  <si>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</si>
  <si>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</si>
  <si>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</si>
  <si>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</si>
  <si>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</si>
  <si>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</si>
  <si>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</si>
  <si>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</si>
  <si>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</si>
  <si>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</si>
  <si>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</si>
  <si>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</si>
  <si>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</si>
  <si>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</si>
  <si>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</si>
  <si>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</si>
  <si>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</si>
  <si>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</si>
  <si>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</si>
  <si>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</si>
  <si>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</si>
  <si>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</si>
  <si>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</si>
  <si>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</si>
  <si>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</si>
  <si>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</si>
  <si>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</si>
  <si>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</si>
  <si>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</si>
  <si>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</si>
  <si>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</si>
  <si>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</si>
  <si>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</si>
  <si>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</si>
  <si>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</si>
  <si>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</si>
  <si>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</si>
  <si>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</si>
  <si>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</si>
  <si>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</si>
  <si>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</si>
  <si>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</si>
  <si>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</si>
  <si>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</si>
  <si>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</si>
  <si>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</si>
  <si>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</si>
  <si>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</si>
  <si>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</si>
  <si>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</si>
  <si>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</si>
  <si>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</si>
  <si>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</si>
  <si>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</si>
  <si>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</si>
  <si>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</si>
  <si>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</si>
  <si>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</si>
  <si>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</si>
  <si>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</si>
  <si>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</si>
  <si>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</si>
  <si>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</si>
  <si>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</si>
  <si>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</si>
  <si>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</si>
  <si>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</si>
  <si>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</si>
  <si>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</si>
  <si>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</si>
  <si>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</si>
  <si>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</si>
  <si>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</si>
  <si>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</si>
  <si>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</si>
  <si>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</si>
  <si>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</si>
  <si>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</si>
  <si>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</si>
  <si>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</si>
  <si>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</si>
  <si>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</si>
  <si>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</si>
  <si>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</si>
  <si>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</si>
  <si>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</si>
  <si>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</si>
  <si>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</si>
  <si>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</si>
  <si>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</si>
  <si>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</si>
  <si>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</si>
  <si>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</si>
  <si>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</si>
  <si>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</si>
  <si>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</si>
  <si>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</si>
  <si>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</si>
  <si>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</si>
  <si>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</si>
  <si>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</si>
  <si>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</si>
  <si>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</si>
  <si>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</si>
  <si>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</si>
  <si>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</si>
  <si>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</si>
  <si>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</si>
  <si>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</si>
  <si>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</si>
  <si>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</si>
  <si>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</si>
  <si>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</si>
  <si>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</si>
  <si>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</si>
  <si>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</si>
  <si>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</si>
  <si>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</si>
  <si>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</si>
  <si>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</si>
  <si>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</si>
  <si>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</si>
  <si>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</si>
  <si>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</si>
  <si>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</si>
  <si>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</si>
  <si>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</si>
  <si>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</si>
  <si>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</si>
  <si>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</si>
  <si>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</si>
  <si>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</si>
  <si>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</si>
  <si>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</si>
  <si>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</si>
  <si>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</si>
  <si>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</si>
  <si>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</si>
  <si>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</si>
  <si>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</si>
  <si>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</si>
  <si>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</si>
  <si>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</si>
  <si>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</si>
  <si>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</si>
  <si>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</si>
  <si>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</si>
  <si>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</si>
  <si>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</si>
  <si>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</si>
  <si>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</si>
  <si>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</si>
  <si>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</si>
  <si>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</si>
  <si>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</si>
  <si>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</si>
  <si>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</si>
  <si>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</si>
  <si>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</si>
  <si>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</si>
  <si>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</si>
  <si>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</si>
  <si>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</si>
  <si>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</si>
  <si>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</si>
  <si>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</si>
  <si>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</si>
  <si>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</si>
  <si>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</si>
  <si>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</si>
  <si>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</si>
  <si>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</si>
  <si>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</si>
  <si>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</si>
  <si>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</si>
  <si>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</si>
  <si>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</si>
  <si>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</si>
  <si>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</si>
  <si>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</si>
  <si>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</si>
  <si>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</si>
  <si>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</si>
  <si>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</si>
  <si>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</si>
  <si>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</si>
  <si>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</si>
  <si>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</si>
  <si>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</si>
  <si>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</si>
  <si>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</si>
  <si>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</si>
  <si>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</si>
  <si>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</si>
  <si>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</si>
  <si>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</si>
  <si>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</si>
  <si>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</si>
  <si>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</si>
  <si>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</si>
  <si>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</si>
  <si>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</si>
  <si>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</si>
  <si>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</si>
  <si>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</si>
  <si>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</si>
  <si>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</si>
  <si>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</si>
  <si>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</si>
  <si>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</si>
  <si>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</si>
  <si>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</si>
  <si>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</si>
  <si>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</si>
  <si>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</si>
  <si>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</si>
  <si>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</si>
  <si>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</si>
  <si>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</si>
  <si>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</si>
  <si>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</si>
  <si>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</si>
  <si>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</si>
  <si>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</si>
  <si>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</si>
  <si>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</si>
  <si>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</si>
  <si>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</si>
  <si>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</si>
  <si>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</si>
  <si>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</si>
  <si>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</si>
  <si>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</si>
  <si>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</si>
  <si>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</si>
  <si>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</si>
  <si>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</si>
  <si>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</si>
  <si>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</si>
  <si>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</si>
  <si>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</si>
  <si>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</si>
  <si>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</si>
  <si>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</si>
  <si>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</si>
  <si>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</si>
  <si>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</si>
  <si>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</si>
  <si>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</si>
  <si>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</si>
  <si>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</si>
  <si>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</si>
  <si>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</si>
  <si>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</si>
  <si>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</si>
  <si>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</si>
  <si>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</si>
  <si>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</si>
  <si>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</si>
  <si>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</si>
  <si>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</si>
  <si>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</si>
  <si>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</si>
  <si>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</si>
  <si>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</si>
  <si>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</si>
  <si>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</si>
  <si>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</si>
  <si>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</si>
  <si>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</si>
  <si>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</si>
  <si>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</si>
  <si>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</si>
  <si>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</si>
  <si>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</si>
  <si>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</si>
  <si>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</si>
  <si>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</si>
  <si>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</si>
  <si>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</si>
  <si>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</si>
  <si>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</si>
  <si>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</si>
  <si>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</si>
  <si>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</si>
  <si>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</si>
  <si>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</si>
  <si>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</si>
  <si>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</si>
  <si>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</si>
  <si>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</si>
  <si>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</si>
  <si>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</si>
  <si>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</si>
  <si>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</si>
  <si>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</si>
  <si>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</si>
  <si>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</si>
  <si>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</si>
  <si>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</si>
  <si>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</si>
  <si>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</si>
  <si>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</si>
  <si>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</si>
  <si>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</si>
  <si>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</si>
  <si>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</si>
  <si>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</si>
  <si>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</si>
  <si>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</si>
  <si>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</si>
  <si>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</si>
  <si>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</si>
  <si>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</si>
  <si>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</si>
  <si>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</si>
  <si>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</si>
  <si>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</si>
  <si>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</si>
  <si>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</si>
  <si>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</si>
  <si>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</si>
  <si>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</si>
  <si>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</si>
  <si>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</si>
  <si>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</si>
  <si>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</si>
  <si>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</si>
  <si>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</si>
  <si>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</si>
  <si>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</si>
  <si>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</si>
  <si>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</si>
  <si>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</si>
  <si>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</si>
  <si>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</si>
  <si>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</si>
  <si>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</si>
  <si>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</si>
  <si>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</si>
  <si>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</si>
  <si>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</si>
  <si>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</si>
  <si>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</si>
  <si>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</si>
  <si>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</si>
  <si>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</si>
  <si>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</si>
  <si>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</si>
  <si>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</si>
  <si>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</si>
  <si>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</si>
  <si>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</si>
  <si>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</si>
  <si>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</si>
  <si>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</si>
  <si>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</si>
  <si>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</si>
  <si>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</si>
  <si>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</si>
  <si>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</si>
  <si>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</si>
  <si>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</si>
  <si>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</si>
  <si>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</si>
  <si>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</si>
  <si>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</si>
  <si>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</si>
  <si>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</si>
  <si>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</si>
  <si>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</si>
  <si>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</si>
  <si>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</si>
  <si>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</si>
  <si>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</si>
  <si>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</si>
  <si>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</si>
  <si>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</si>
  <si>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</si>
  <si>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</si>
  <si>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</si>
  <si>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</si>
  <si>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</si>
  <si>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</si>
  <si>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</si>
  <si>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</si>
  <si>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</si>
  <si>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</si>
  <si>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</si>
  <si>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</si>
  <si>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</si>
  <si>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</si>
  <si>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</si>
  <si>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</si>
  <si>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</si>
  <si>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</si>
  <si>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</si>
  <si>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</si>
  <si>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</si>
  <si>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</si>
  <si>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</si>
  <si>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</si>
  <si>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</si>
  <si>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</si>
  <si>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</si>
  <si>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</si>
  <si>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</si>
  <si>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</si>
  <si>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</si>
  <si>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</si>
  <si>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</si>
  <si>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</si>
  <si>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</si>
  <si>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</si>
  <si>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</si>
  <si>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</si>
  <si>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</si>
  <si>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</si>
  <si>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</si>
  <si>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</si>
  <si>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</si>
  <si>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</si>
  <si>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</si>
  <si>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</si>
  <si>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</si>
  <si>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</si>
  <si>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</si>
  <si>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</si>
  <si>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</si>
  <si>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</si>
  <si>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</si>
  <si>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</si>
  <si>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</si>
  <si>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</si>
  <si>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</si>
  <si>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</si>
  <si>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</si>
  <si>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</si>
  <si>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</si>
  <si>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</si>
  <si>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</si>
  <si>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</si>
  <si>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</si>
  <si>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</si>
  <si>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</si>
  <si>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</si>
  <si>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</si>
  <si>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</si>
  <si>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</si>
  <si>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</si>
  <si>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</si>
  <si>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</si>
  <si>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</si>
  <si>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</si>
  <si>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</si>
  <si>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</si>
  <si>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</si>
  <si>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</si>
  <si>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</si>
  <si>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</si>
  <si>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</si>
  <si>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</si>
  <si>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</si>
  <si>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</si>
  <si>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</si>
  <si>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</si>
  <si>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</si>
  <si>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</si>
  <si>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</si>
  <si>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</si>
  <si>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</si>
  <si>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</si>
  <si>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</si>
  <si>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</si>
  <si>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</si>
  <si>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</si>
  <si>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</si>
  <si>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</si>
  <si>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</si>
  <si>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</si>
  <si>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</si>
  <si>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</si>
  <si>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</si>
  <si>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</si>
  <si>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</si>
  <si>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</si>
  <si>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</si>
  <si>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</si>
  <si>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</si>
  <si>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</si>
  <si>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</si>
  <si>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</si>
  <si>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</si>
  <si>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</si>
  <si>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</si>
  <si>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</si>
  <si>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</si>
  <si>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</si>
  <si>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</si>
  <si>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</si>
  <si>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</si>
  <si>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</si>
  <si>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</si>
  <si>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</si>
  <si>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</si>
  <si>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</si>
  <si>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</si>
  <si>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</si>
  <si>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</si>
  <si>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</si>
  <si>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</si>
  <si>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</si>
  <si>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</si>
  <si>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</si>
  <si>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</si>
  <si>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</si>
  <si>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</si>
  <si>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</si>
  <si>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</si>
  <si>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</si>
  <si>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</si>
  <si>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</si>
  <si>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</si>
  <si>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</si>
  <si>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</si>
  <si>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</si>
  <si>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</si>
  <si>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</si>
  <si>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</si>
  <si>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</si>
  <si>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</si>
  <si>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</si>
  <si>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</si>
  <si>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</si>
  <si>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</si>
  <si>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</si>
  <si>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</si>
  <si>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</si>
  <si>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</si>
  <si>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</si>
  <si>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</si>
  <si>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</si>
  <si>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</si>
  <si>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</si>
  <si>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</si>
  <si>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</si>
  <si>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</si>
  <si>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</si>
  <si>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</si>
  <si>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</si>
  <si>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</si>
  <si>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</si>
  <si>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</si>
  <si>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</si>
  <si>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</si>
  <si>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</si>
  <si>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</si>
  <si>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</si>
  <si>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</si>
  <si>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</si>
  <si>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</si>
  <si>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</si>
  <si>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</si>
  <si>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</si>
  <si>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</si>
  <si>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</si>
  <si>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</si>
  <si>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</si>
  <si>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</si>
  <si>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</si>
  <si>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</si>
  <si>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</si>
  <si>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</si>
  <si>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</si>
  <si>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</si>
  <si>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</si>
  <si>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</si>
  <si>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</si>
  <si>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</si>
  <si>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</si>
  <si>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</si>
  <si>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</si>
  <si>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</si>
  <si>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</si>
  <si>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</si>
  <si>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</si>
  <si>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</si>
  <si>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</si>
  <si>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</si>
  <si>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</si>
  <si>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</si>
  <si>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</si>
  <si>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</si>
  <si>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</si>
  <si>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</si>
  <si>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</si>
  <si>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</si>
  <si>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</si>
  <si>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</si>
  <si>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</si>
  <si>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</si>
  <si>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</si>
  <si>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</si>
  <si>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</si>
  <si>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</si>
  <si>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</si>
  <si>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</si>
  <si>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</si>
  <si>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</si>
  <si>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</si>
  <si>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</si>
  <si>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</si>
  <si>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</si>
  <si>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</si>
  <si>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</si>
  <si>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</si>
  <si>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</si>
  <si>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</si>
  <si>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</si>
  <si>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</si>
  <si>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</si>
  <si>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</si>
  <si>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</si>
  <si>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</si>
  <si>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</si>
  <si>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</si>
  <si>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</si>
  <si>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</si>
  <si>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</si>
  <si>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</si>
  <si>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</si>
  <si>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</si>
  <si>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</si>
  <si>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</si>
  <si>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</si>
  <si>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</si>
  <si>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</si>
  <si>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</si>
  <si>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</si>
  <si>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</si>
  <si>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</si>
  <si>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</si>
  <si>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</si>
  <si>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</si>
  <si>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</si>
  <si>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</si>
  <si>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</si>
  <si>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</si>
  <si>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</si>
  <si>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</si>
  <si>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</si>
  <si>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</si>
  <si>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</si>
  <si>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</si>
  <si>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</si>
  <si>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</si>
  <si>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</si>
  <si>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</si>
  <si>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</si>
  <si>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</si>
  <si>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</si>
  <si>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</si>
  <si>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</si>
  <si>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</si>
  <si>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</si>
  <si>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</si>
  <si>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</si>
  <si>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</si>
  <si>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</si>
  <si>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</si>
  <si>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</si>
  <si>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</si>
  <si>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</si>
  <si>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</si>
  <si>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</si>
  <si>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</si>
  <si>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</si>
  <si>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</si>
  <si>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</si>
  <si>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</si>
  <si>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</si>
  <si>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</si>
  <si>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</si>
  <si>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</si>
  <si>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</si>
  <si>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</si>
  <si>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</si>
  <si>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</si>
  <si>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</si>
  <si>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</si>
  <si>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</si>
  <si>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</si>
  <si>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</si>
  <si>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</si>
  <si>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</si>
  <si>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</si>
  <si>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</si>
  <si>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</si>
  <si>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</si>
  <si>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</si>
  <si>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</si>
  <si>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</si>
  <si>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</si>
  <si>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</si>
  <si>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</si>
  <si>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</si>
  <si>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</si>
  <si>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</si>
  <si>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</si>
  <si>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</si>
  <si>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</si>
  <si>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</si>
  <si>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</si>
  <si>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</si>
  <si>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</si>
  <si>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</si>
  <si>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</si>
  <si>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</si>
  <si>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</si>
  <si>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</si>
  <si>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</si>
  <si>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</si>
  <si>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</si>
  <si>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</si>
  <si>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</si>
  <si>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</si>
  <si>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</si>
  <si>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</si>
  <si>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</si>
  <si>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</si>
  <si>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</si>
  <si>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</si>
  <si>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</si>
  <si>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</si>
  <si>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</si>
  <si>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</si>
  <si>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</si>
  <si>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</si>
  <si>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</si>
  <si>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</si>
  <si>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</si>
  <si>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</si>
  <si>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</si>
  <si>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</si>
  <si>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</si>
  <si>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</si>
  <si>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</si>
  <si>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</si>
  <si>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</si>
  <si>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</si>
  <si>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</si>
  <si>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</si>
  <si>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</si>
  <si>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</si>
  <si>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</si>
  <si>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</si>
  <si>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</si>
  <si>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</si>
  <si>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</si>
  <si>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</si>
  <si>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</si>
  <si>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</si>
  <si>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</si>
  <si>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</si>
  <si>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</si>
  <si>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</si>
  <si>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</si>
  <si>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</si>
  <si>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</si>
  <si>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</si>
  <si>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</si>
  <si>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</si>
  <si>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</si>
  <si>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</si>
  <si>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</si>
  <si>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</si>
  <si>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</si>
  <si>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</si>
  <si>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</si>
  <si>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</si>
  <si>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</si>
  <si>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</si>
  <si>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</si>
  <si>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</si>
  <si>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</si>
  <si>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</si>
  <si>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</si>
  <si>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</si>
  <si>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</si>
  <si>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</si>
  <si>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</si>
  <si>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</si>
  <si>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</si>
  <si>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</si>
  <si>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</si>
  <si>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</si>
  <si>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</si>
  <si>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</si>
  <si>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</si>
  <si>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</si>
  <si>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</si>
  <si>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</si>
  <si>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</si>
  <si>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</si>
  <si>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</si>
  <si>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</si>
  <si>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</si>
  <si>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</si>
  <si>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</si>
  <si>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</si>
  <si>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</si>
  <si>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</si>
  <si>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</si>
  <si>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</si>
  <si>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</si>
  <si>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</si>
  <si>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</si>
  <si>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</si>
  <si>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</si>
  <si>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</si>
  <si>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</si>
  <si>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</si>
  <si>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</si>
  <si>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</si>
  <si>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</si>
  <si>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</si>
  <si>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</si>
  <si>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</si>
  <si>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</si>
  <si>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</si>
  <si>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</si>
  <si>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</si>
  <si>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</si>
  <si>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</si>
  <si>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</si>
  <si>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</si>
  <si>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</si>
  <si>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</si>
  <si>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</si>
  <si>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</si>
  <si>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</si>
  <si>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</si>
  <si>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</si>
  <si>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</si>
  <si>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</si>
  <si>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</si>
  <si>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</si>
  <si>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</si>
  <si>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</si>
  <si>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</si>
  <si>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</si>
  <si>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</si>
  <si>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</si>
  <si>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</si>
  <si>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</si>
  <si>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</si>
  <si>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</si>
  <si>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</si>
  <si>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</si>
  <si>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</si>
  <si>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</si>
  <si>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</si>
  <si>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</si>
  <si>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</si>
  <si>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</si>
  <si>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</si>
  <si>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</si>
  <si>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</si>
  <si>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</si>
  <si>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</si>
  <si>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</si>
  <si>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</si>
  <si>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</si>
  <si>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</si>
  <si>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</si>
  <si>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</si>
  <si>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</si>
  <si>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</si>
  <si>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</si>
  <si>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</si>
  <si>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</si>
  <si>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</si>
  <si>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</si>
  <si>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</si>
  <si>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</si>
  <si>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</si>
  <si>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</si>
  <si>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</si>
  <si>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</si>
  <si>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</si>
  <si>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</si>
  <si>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</si>
  <si>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</si>
  <si>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</si>
  <si>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</si>
  <si>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</si>
  <si>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</si>
  <si>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</si>
  <si>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</si>
  <si>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</si>
  <si>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</si>
  <si>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</si>
  <si>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</si>
  <si>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</si>
  <si>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</si>
  <si>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</si>
  <si>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</si>
  <si>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</si>
  <si>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</si>
  <si>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</si>
  <si>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</si>
  <si>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</si>
  <si>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</si>
  <si>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</si>
  <si>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</si>
  <si>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</si>
  <si>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</si>
  <si>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</si>
  <si>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</si>
  <si>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</si>
  <si>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</si>
  <si>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</si>
  <si>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</si>
  <si>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</si>
  <si>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</si>
  <si>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</si>
  <si>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</si>
  <si>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</si>
  <si>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</si>
  <si>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</si>
  <si>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</si>
  <si>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</si>
  <si>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</si>
  <si>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</si>
  <si>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</si>
  <si>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</si>
  <si>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</si>
  <si>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</si>
  <si>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</si>
  <si>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</si>
  <si>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</si>
  <si>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</si>
  <si>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</si>
  <si>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</si>
  <si>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</si>
  <si>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</si>
  <si>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</si>
  <si>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</si>
  <si>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</si>
  <si>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</si>
  <si>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</si>
  <si>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</si>
  <si>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</si>
  <si>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</si>
  <si>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</si>
  <si>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</si>
  <si>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</si>
  <si>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</si>
  <si>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</si>
  <si>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</si>
  <si>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</si>
  <si>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</si>
  <si>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</si>
  <si>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</si>
  <si>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</si>
  <si>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</si>
  <si>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</si>
  <si>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</si>
  <si>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</si>
  <si>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</si>
  <si>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</si>
  <si>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</si>
  <si>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</si>
  <si>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</si>
  <si>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</si>
  <si>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</si>
  <si>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</si>
  <si>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</si>
  <si>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</si>
  <si>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</si>
  <si>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</si>
  <si>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</si>
  <si>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</si>
  <si>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</si>
  <si>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</si>
  <si>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</si>
  <si>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</si>
  <si>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</si>
  <si>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</si>
  <si>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</si>
  <si>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</si>
  <si>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</si>
  <si>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</si>
  <si>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</si>
  <si>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</si>
  <si>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</si>
  <si>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</si>
  <si>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</si>
  <si>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</si>
  <si>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</si>
  <si>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</si>
  <si>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</si>
  <si>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</si>
  <si>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</si>
  <si>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</si>
  <si>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</si>
  <si>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</si>
  <si>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</si>
  <si>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</si>
  <si>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</si>
  <si>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</si>
  <si>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</si>
  <si>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</si>
  <si>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</si>
  <si>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</si>
  <si>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</si>
  <si>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</si>
  <si>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</si>
  <si>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</si>
  <si>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</si>
  <si>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</si>
  <si>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</si>
  <si>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</si>
  <si>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</si>
  <si>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</si>
  <si>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</si>
  <si>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</si>
  <si>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</si>
  <si>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</si>
  <si>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</si>
  <si>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</si>
  <si>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</si>
  <si>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</si>
  <si>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</si>
  <si>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</si>
  <si>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</si>
  <si>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</si>
  <si>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</si>
  <si>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</si>
  <si>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</si>
  <si>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</si>
  <si>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</si>
  <si>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</si>
  <si>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</si>
  <si>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</si>
  <si>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</si>
  <si>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</si>
  <si>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</si>
  <si>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</si>
  <si>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</si>
  <si>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</si>
  <si>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</si>
  <si>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</si>
  <si>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</si>
  <si>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</si>
  <si>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</si>
  <si>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</si>
  <si>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</si>
  <si>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</si>
  <si>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</si>
  <si>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</si>
  <si>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</si>
  <si>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</si>
  <si>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</si>
  <si>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</si>
  <si>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</si>
  <si>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</si>
  <si>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</si>
  <si>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</si>
  <si>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</si>
  <si>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</si>
  <si>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</si>
  <si>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</si>
  <si>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</si>
  <si>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</si>
  <si>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</si>
  <si>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</si>
  <si>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</si>
  <si>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</si>
  <si>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</si>
  <si>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</si>
  <si>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</si>
  <si>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</si>
  <si>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</si>
  <si>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</si>
  <si>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</si>
  <si>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</si>
  <si>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</si>
  <si>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</si>
  <si>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</si>
  <si>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</si>
  <si>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</si>
  <si>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</si>
  <si>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</si>
  <si>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</si>
  <si>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</si>
  <si>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</si>
  <si>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</si>
  <si>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</si>
  <si>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</si>
  <si>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</si>
  <si>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</si>
  <si>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</si>
  <si>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</si>
  <si>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</si>
  <si>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</si>
  <si>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</si>
  <si>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</si>
  <si>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</si>
  <si>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</si>
  <si>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</si>
  <si>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</si>
  <si>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</si>
  <si>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</si>
  <si>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</si>
  <si>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</si>
  <si>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</si>
  <si>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</si>
  <si>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</si>
  <si>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</si>
  <si>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</si>
  <si>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</si>
  <si>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</si>
  <si>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</si>
  <si>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</si>
  <si>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</si>
  <si>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</si>
  <si>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</si>
  <si>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</si>
  <si>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</si>
  <si>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</si>
  <si>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</si>
  <si>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</si>
  <si>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</si>
  <si>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</si>
  <si>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</si>
  <si>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</si>
  <si>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</si>
  <si>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</si>
  <si>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</si>
  <si>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</si>
  <si>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</si>
  <si>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</si>
  <si>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</si>
  <si>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</si>
  <si>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</si>
  <si>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</si>
  <si>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</si>
  <si>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</si>
  <si>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</si>
  <si>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</si>
  <si>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</si>
  <si>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</si>
  <si>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</si>
  <si>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</si>
  <si>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</si>
  <si>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</si>
  <si>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</si>
  <si>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</si>
  <si>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</si>
  <si>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</si>
  <si>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</si>
  <si>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</si>
  <si>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</si>
  <si>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</si>
  <si>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</si>
  <si>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</si>
  <si>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</si>
  <si>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</si>
  <si>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</si>
  <si>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</si>
  <si>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</si>
  <si>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</si>
  <si>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</si>
  <si>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</si>
  <si>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</si>
  <si>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</si>
  <si>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</si>
  <si>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</si>
  <si>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</si>
  <si>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</si>
  <si>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</si>
  <si>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</si>
  <si>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</si>
  <si>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</si>
  <si>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</si>
  <si>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</si>
  <si>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</si>
  <si>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</si>
  <si>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</si>
  <si>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</si>
  <si>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</si>
  <si>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</si>
  <si>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</si>
  <si>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</si>
  <si>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</si>
  <si>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</si>
  <si>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</si>
  <si>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</si>
  <si>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</si>
  <si>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</si>
  <si>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</si>
  <si>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</si>
  <si>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</si>
  <si>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</si>
  <si>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</si>
  <si>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</si>
  <si>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</si>
  <si>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</si>
  <si>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</si>
  <si>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</si>
  <si>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</si>
  <si>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</si>
  <si>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</si>
  <si>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</si>
  <si>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</si>
  <si>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</si>
  <si>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</si>
  <si>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</si>
  <si>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</si>
  <si>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</si>
  <si>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</si>
  <si>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</si>
  <si>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</si>
  <si>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</si>
  <si>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</si>
  <si>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</si>
  <si>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</si>
  <si>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</si>
  <si>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</si>
  <si>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</si>
  <si>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</si>
  <si>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</si>
  <si>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</si>
  <si>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</si>
  <si>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</si>
  <si>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</si>
  <si>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</si>
  <si>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</si>
  <si>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</si>
  <si>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</si>
  <si>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</si>
  <si>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</si>
  <si>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</si>
  <si>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</si>
  <si>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</si>
  <si>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</si>
  <si>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</si>
  <si>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</si>
  <si>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</si>
  <si>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</si>
  <si>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</si>
  <si>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</si>
  <si>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</si>
  <si>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</si>
  <si>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</si>
  <si>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</si>
  <si>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</si>
  <si>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</si>
  <si>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</si>
  <si>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</si>
  <si>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</si>
  <si>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</si>
  <si>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</si>
  <si>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</si>
  <si>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</si>
  <si>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</si>
  <si>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</si>
  <si>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</si>
  <si>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</si>
  <si>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</si>
  <si>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</si>
  <si>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</si>
  <si>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</si>
  <si>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</si>
  <si>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</si>
  <si>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</si>
  <si>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</si>
  <si>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</si>
  <si>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</si>
  <si>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</si>
  <si>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</si>
  <si>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</si>
  <si>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</si>
  <si>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</si>
  <si>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</si>
  <si>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</si>
  <si>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</si>
  <si>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</si>
  <si>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</si>
  <si>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</si>
  <si>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</si>
  <si>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</si>
  <si>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</si>
  <si>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</si>
  <si>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</si>
  <si>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</si>
  <si>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</si>
  <si>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</si>
  <si>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</si>
  <si>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</si>
  <si>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</si>
  <si>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</si>
  <si>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</si>
  <si>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</si>
  <si>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</si>
  <si>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</si>
  <si>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</si>
  <si>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</si>
  <si>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</si>
  <si>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</si>
  <si>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</si>
  <si>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</si>
  <si>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</si>
  <si>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</si>
  <si>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</si>
  <si>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</si>
  <si>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</si>
  <si>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</si>
  <si>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</si>
  <si>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</si>
  <si>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</si>
  <si>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</si>
  <si>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</si>
  <si>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</si>
  <si>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</si>
  <si>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</si>
  <si>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</si>
  <si>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</si>
  <si>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</si>
  <si>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</si>
  <si>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</si>
  <si>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</si>
  <si>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</si>
  <si>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</si>
  <si>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</si>
  <si>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</si>
  <si>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</si>
  <si>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</si>
  <si>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</si>
  <si>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</si>
  <si>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</si>
  <si>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</si>
  <si>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</si>
  <si>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</si>
  <si>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</si>
  <si>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</si>
  <si>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</si>
  <si>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</si>
  <si>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</si>
  <si>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</si>
  <si>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</si>
  <si>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</si>
  <si>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</si>
  <si>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</si>
  <si>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</si>
  <si>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</si>
  <si>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</si>
  <si>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</si>
  <si>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</si>
  <si>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</si>
  <si>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</si>
  <si>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</si>
  <si>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</si>
  <si>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</si>
  <si>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</si>
  <si>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</si>
  <si>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</si>
  <si>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</si>
  <si>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</si>
  <si>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</si>
  <si>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</si>
  <si>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</si>
  <si>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</si>
  <si>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</si>
  <si>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</si>
  <si>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</si>
  <si>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</si>
  <si>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</si>
  <si>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</si>
  <si>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</si>
  <si>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</si>
  <si>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</si>
  <si>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</si>
  <si>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</si>
  <si>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</si>
  <si>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</si>
  <si>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</si>
  <si>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</si>
  <si>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</si>
  <si>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</si>
  <si>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</si>
  <si>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</si>
  <si>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</si>
  <si>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</si>
  <si>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</si>
  <si>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</si>
  <si>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</si>
  <si>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</si>
  <si>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</si>
  <si>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</si>
  <si>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</si>
  <si>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</si>
  <si>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</si>
  <si>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</si>
  <si>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</si>
  <si>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</si>
  <si>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</si>
  <si>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</si>
  <si>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</si>
  <si>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</si>
  <si>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</si>
  <si>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</si>
  <si>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</si>
  <si>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</si>
  <si>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</si>
  <si>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</si>
  <si>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</si>
  <si>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</si>
  <si>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</si>
  <si>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</si>
  <si>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</si>
  <si>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</si>
  <si>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</si>
  <si>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</si>
  <si>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</si>
  <si>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</si>
  <si>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</si>
  <si>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</si>
  <si>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</si>
  <si>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</si>
  <si>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</si>
  <si>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</si>
  <si>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</si>
  <si>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</si>
  <si>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</si>
  <si>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</si>
  <si>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</si>
  <si>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</si>
  <si>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</si>
  <si>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</si>
  <si>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</si>
  <si>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</si>
  <si>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</si>
  <si>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</si>
  <si>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</si>
  <si>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</si>
  <si>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</si>
  <si>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</si>
  <si>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</si>
  <si>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</si>
  <si>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</si>
  <si>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</si>
  <si>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</si>
  <si>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</si>
  <si>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</si>
  <si>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</si>
  <si>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</si>
  <si>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</si>
  <si>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</si>
  <si>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</si>
  <si>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</si>
  <si>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</si>
  <si>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</si>
  <si>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</si>
  <si>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</si>
  <si>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</si>
  <si>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</si>
  <si>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</si>
  <si>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</si>
  <si>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</si>
  <si>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</si>
  <si>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</si>
  <si>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</si>
  <si>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</si>
  <si>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</si>
  <si>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</si>
  <si>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</si>
  <si>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</si>
  <si>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</si>
  <si>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</si>
  <si>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</si>
  <si>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</si>
  <si>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</si>
  <si>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</si>
  <si>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</si>
  <si>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</si>
  <si>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</si>
  <si>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</si>
  <si>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</si>
  <si>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</si>
  <si>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</si>
  <si>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</si>
  <si>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</si>
  <si>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</si>
  <si>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</si>
  <si>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</si>
  <si>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</si>
  <si>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</si>
  <si>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</si>
  <si>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</si>
  <si>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</si>
  <si>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</si>
  <si>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</si>
  <si>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</si>
  <si>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</si>
  <si>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</si>
  <si>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</si>
  <si>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</si>
  <si>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</si>
  <si>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</si>
  <si>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</si>
  <si>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</si>
  <si>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</si>
  <si>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</si>
  <si>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</si>
  <si>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</si>
  <si>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</si>
  <si>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</si>
  <si>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</si>
  <si>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</si>
  <si>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</si>
  <si>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</si>
  <si>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</si>
  <si>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</si>
  <si>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</si>
  <si>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</si>
  <si>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</si>
  <si>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</si>
  <si>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</si>
  <si>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</si>
  <si>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</si>
  <si>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</si>
  <si>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</si>
  <si>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</si>
  <si>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</si>
  <si>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</si>
  <si>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</si>
  <si>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</si>
  <si>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</si>
  <si>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</si>
  <si>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</si>
  <si>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</si>
  <si>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</si>
  <si>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</si>
  <si>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</si>
  <si>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</si>
  <si>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</si>
  <si>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</si>
  <si>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</si>
  <si>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</si>
  <si>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</si>
  <si>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</si>
  <si>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</si>
  <si>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</si>
  <si>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</si>
  <si>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</si>
  <si>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</si>
  <si>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</si>
  <si>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</si>
  <si>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</si>
  <si>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</si>
  <si>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</si>
  <si>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</si>
  <si>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</si>
  <si>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</si>
  <si>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</si>
  <si>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</si>
  <si>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</si>
  <si>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</si>
  <si>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</si>
  <si>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</si>
  <si>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</si>
  <si>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</si>
  <si>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</si>
  <si>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</si>
  <si>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</si>
  <si>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</si>
  <si>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</si>
  <si>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</si>
  <si>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</si>
  <si>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</si>
  <si>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</si>
  <si>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</si>
  <si>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</si>
  <si>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</si>
  <si>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</si>
  <si>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</si>
  <si>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</si>
  <si>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</si>
  <si>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</si>
  <si>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</si>
  <si>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</si>
  <si>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</si>
  <si>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</si>
  <si>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</si>
  <si>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</si>
  <si>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</si>
  <si>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</si>
  <si>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</si>
  <si>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</si>
  <si>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</si>
  <si>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</si>
  <si>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</si>
  <si>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</si>
  <si>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</si>
  <si>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</si>
  <si>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</si>
  <si>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</si>
  <si>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</si>
  <si>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</si>
  <si>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</si>
  <si>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</si>
  <si>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</si>
  <si>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</si>
  <si>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</si>
  <si>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</si>
  <si>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</si>
  <si>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</si>
  <si>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</si>
  <si>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</si>
  <si>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</si>
  <si>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</si>
  <si>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</si>
  <si>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</si>
  <si>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</si>
  <si>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</si>
  <si>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</si>
  <si>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</si>
  <si>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</si>
  <si>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</si>
  <si>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</si>
  <si>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</si>
  <si>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</si>
  <si>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</si>
  <si>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</si>
  <si>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</si>
  <si>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</si>
  <si>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</si>
  <si>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</si>
  <si>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</si>
  <si>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</si>
  <si>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</si>
  <si>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</si>
  <si>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</si>
  <si>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</si>
  <si>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</si>
  <si>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</si>
  <si>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</si>
  <si>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</si>
  <si>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</si>
  <si>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</si>
  <si>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</si>
  <si>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</si>
  <si>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</si>
  <si>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</si>
  <si>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</si>
  <si>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</si>
  <si>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</si>
  <si>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</si>
  <si>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</si>
  <si>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</si>
  <si>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</si>
  <si>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</si>
  <si>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</si>
  <si>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</si>
  <si>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</si>
  <si>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</si>
  <si>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</si>
  <si>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</si>
  <si>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</si>
  <si>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</si>
  <si>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</si>
  <si>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</si>
  <si>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</si>
  <si>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</si>
  <si>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</si>
  <si>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</si>
  <si>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</si>
  <si>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</si>
  <si>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</si>
  <si>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</si>
  <si>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</si>
  <si>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</si>
  <si>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</si>
  <si>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</si>
  <si>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</si>
  <si>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</si>
  <si>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</si>
  <si>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</si>
  <si>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</si>
  <si>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</si>
  <si>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</si>
  <si>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</si>
  <si>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</si>
  <si>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</si>
  <si>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</si>
  <si>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</si>
  <si>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</si>
  <si>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</si>
  <si>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</si>
  <si>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</si>
  <si>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</si>
  <si>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</si>
  <si>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</si>
  <si>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</si>
  <si>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</si>
  <si>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</si>
  <si>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</si>
  <si>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</si>
  <si>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</si>
  <si>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</si>
  <si>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</si>
  <si>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</si>
  <si>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</si>
  <si>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</si>
  <si>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</si>
  <si>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</si>
  <si>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</si>
  <si>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</si>
  <si>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</si>
  <si>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</si>
  <si>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</si>
  <si>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</si>
  <si>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</si>
  <si>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</si>
  <si>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</si>
  <si>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</si>
  <si>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</si>
  <si>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</si>
  <si>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</si>
  <si>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</si>
  <si>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</si>
  <si>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</si>
  <si>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</si>
  <si>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</si>
  <si>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</si>
  <si>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</si>
  <si>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</si>
  <si>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</si>
  <si>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</si>
  <si>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</si>
  <si>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</si>
  <si>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</si>
  <si>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</si>
  <si>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</si>
  <si>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</si>
  <si>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</si>
  <si>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</si>
  <si>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</si>
  <si>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</si>
  <si>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</si>
  <si>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</si>
  <si>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</si>
  <si>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</si>
  <si>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</si>
  <si>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</si>
  <si>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</si>
  <si>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</si>
  <si>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</si>
  <si>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</si>
  <si>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</si>
  <si>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</si>
  <si>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</si>
  <si>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</si>
  <si>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</si>
  <si>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</si>
  <si>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</si>
  <si>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</si>
  <si>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</si>
  <si>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</si>
  <si>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</si>
  <si>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</si>
  <si>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</si>
  <si>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</si>
  <si>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</si>
  <si>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</si>
  <si>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</si>
  <si>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</si>
  <si>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</si>
  <si>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</si>
  <si>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</si>
  <si>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</si>
  <si>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</si>
  <si>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</si>
  <si>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</si>
  <si>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</si>
  <si>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</si>
  <si>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</si>
  <si>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</si>
  <si>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</si>
  <si>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</si>
  <si>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</si>
  <si>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</si>
  <si>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</si>
  <si>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</si>
  <si>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</si>
  <si>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</si>
  <si>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</si>
  <si>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</si>
  <si>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</si>
  <si>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</si>
  <si>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</si>
  <si>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</si>
  <si>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</si>
  <si>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</si>
  <si>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</si>
  <si>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</si>
  <si>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</si>
  <si>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</si>
  <si>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</si>
  <si>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</si>
  <si>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</si>
  <si>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</si>
  <si>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</si>
  <si>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</si>
  <si>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</si>
  <si>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</si>
  <si>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</si>
  <si>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</si>
  <si>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</si>
  <si>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</si>
  <si>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</si>
  <si>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</si>
  <si>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</si>
  <si>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</si>
  <si>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</si>
  <si>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</si>
  <si>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</si>
  <si>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</si>
  <si>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</si>
  <si>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</si>
  <si>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</si>
  <si>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</si>
  <si>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</si>
  <si>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</si>
  <si>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</si>
  <si>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</si>
  <si>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</si>
  <si>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</si>
  <si>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</si>
  <si>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</si>
  <si>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</si>
  <si>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</si>
  <si>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</si>
  <si>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</si>
  <si>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</si>
  <si>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</si>
  <si>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</si>
  <si>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</si>
  <si>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</si>
  <si>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</si>
  <si>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</si>
  <si>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</si>
  <si>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</si>
  <si>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</si>
  <si>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</si>
  <si>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</si>
  <si>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</si>
  <si>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</si>
  <si>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</si>
  <si>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</si>
  <si>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</si>
  <si>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</si>
  <si>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</si>
  <si>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</si>
  <si>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</si>
  <si>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</si>
  <si>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</si>
  <si>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</si>
  <si>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</si>
  <si>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</si>
  <si>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</si>
  <si>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</si>
  <si>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</si>
  <si>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</si>
  <si>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</si>
  <si>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</si>
  <si>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</si>
  <si>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</si>
  <si>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</si>
  <si>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</si>
  <si>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</si>
  <si>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</si>
  <si>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</si>
  <si>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</si>
  <si>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</si>
  <si>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</si>
  <si>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</si>
  <si>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</si>
  <si>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</si>
  <si>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</si>
  <si>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</si>
  <si>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</si>
  <si>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</si>
  <si>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</si>
  <si>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</si>
  <si>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</si>
  <si>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</si>
  <si>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</si>
  <si>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</si>
  <si>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</si>
  <si>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</si>
  <si>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</si>
  <si>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</si>
  <si>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</si>
  <si>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</si>
  <si>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</si>
  <si>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</si>
  <si>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</si>
  <si>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</si>
  <si>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</si>
  <si>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</si>
  <si>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</si>
  <si>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</si>
  <si>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</si>
  <si>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</si>
  <si>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</si>
  <si>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</si>
  <si>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</si>
  <si>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</si>
  <si>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</si>
  <si>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</si>
  <si>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</si>
  <si>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</si>
  <si>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</si>
  <si>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</si>
  <si>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</si>
  <si>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</si>
  <si>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</si>
  <si>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</si>
  <si>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</si>
  <si>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</si>
  <si>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</si>
  <si>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</si>
  <si>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</si>
  <si>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</si>
  <si>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</si>
  <si>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</si>
  <si>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</si>
  <si>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</si>
  <si>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</si>
  <si>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</si>
  <si>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</si>
  <si>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</si>
  <si>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</si>
  <si>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</si>
  <si>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</si>
  <si>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</si>
  <si>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</si>
  <si>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</si>
  <si>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</si>
  <si>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</si>
  <si>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</si>
  <si>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</si>
  <si>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</si>
  <si>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</si>
  <si>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</si>
  <si>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</si>
  <si>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</si>
  <si>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</si>
  <si>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</si>
  <si>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</si>
  <si>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</si>
  <si>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</si>
  <si>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</si>
  <si>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</si>
  <si>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</si>
  <si>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</si>
  <si>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</si>
  <si>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</si>
  <si>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</si>
  <si>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</si>
  <si>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</si>
  <si>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</si>
  <si>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</si>
  <si>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</si>
  <si>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</si>
  <si>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</si>
  <si>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</si>
  <si>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</si>
  <si>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</si>
  <si>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</si>
  <si>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</si>
  <si>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</si>
  <si>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</si>
  <si>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</si>
  <si>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</si>
  <si>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</si>
  <si>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</si>
  <si>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</si>
  <si>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</si>
  <si>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</si>
  <si>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</si>
  <si>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</si>
  <si>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</si>
  <si>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</si>
  <si>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</si>
  <si>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</si>
  <si>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</si>
  <si>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</si>
  <si>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</si>
  <si>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</si>
  <si>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</si>
  <si>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</si>
  <si>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</si>
  <si>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</si>
  <si>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</si>
  <si>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</si>
  <si>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</si>
  <si>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</si>
  <si>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</si>
  <si>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</si>
  <si>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</si>
  <si>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</si>
  <si>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</si>
  <si>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</si>
  <si>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</si>
  <si>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</si>
  <si>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</si>
  <si>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</si>
  <si>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</si>
  <si>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</si>
  <si>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</si>
  <si>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</si>
  <si>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</si>
  <si>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</si>
  <si>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</si>
  <si>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</si>
  <si>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</si>
  <si>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</si>
  <si>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</si>
  <si>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</si>
  <si>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</si>
  <si>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</si>
  <si>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</si>
  <si>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</si>
  <si>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</si>
  <si>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</si>
  <si>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</si>
  <si>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</si>
  <si>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</si>
  <si>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</si>
  <si>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</si>
  <si>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</si>
  <si>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</si>
  <si>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</si>
  <si>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</si>
  <si>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</si>
  <si>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</si>
  <si>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</si>
  <si>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</si>
  <si>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</si>
  <si>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</si>
  <si>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</si>
  <si>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</si>
  <si>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</si>
  <si>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</si>
  <si>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</si>
  <si>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</si>
  <si>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</si>
  <si>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</si>
  <si>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</si>
  <si>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</si>
  <si>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</si>
  <si>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</si>
  <si>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</si>
  <si>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</si>
  <si>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</si>
  <si>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</si>
  <si>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</si>
  <si>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</si>
  <si>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</si>
  <si>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</si>
  <si>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</si>
  <si>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</si>
  <si>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</si>
  <si>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</si>
  <si>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</si>
  <si>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</si>
  <si>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</si>
  <si>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</si>
  <si>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</si>
  <si>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</si>
  <si>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</si>
  <si>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</si>
  <si>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</si>
  <si>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</si>
  <si>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</si>
  <si>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</si>
  <si>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</si>
  <si>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</si>
  <si>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</si>
  <si>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</si>
  <si>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</si>
  <si>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</si>
  <si>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</si>
  <si>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</si>
  <si>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</si>
  <si>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</si>
  <si>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</si>
  <si>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</si>
  <si>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</si>
  <si>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</si>
  <si>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</si>
  <si>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</si>
  <si>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</si>
  <si>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</si>
  <si>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</si>
  <si>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</si>
  <si>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</si>
  <si>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</si>
  <si>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</si>
  <si>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</si>
  <si>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</si>
  <si>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</si>
  <si>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</si>
  <si>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</si>
  <si>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</si>
  <si>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</si>
  <si>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</si>
  <si>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</si>
  <si>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</si>
  <si>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</si>
  <si>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</si>
  <si>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</si>
  <si>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</si>
  <si>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</si>
  <si>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</si>
  <si>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</si>
  <si>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</si>
  <si>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</si>
  <si>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</si>
  <si>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</si>
  <si>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</si>
  <si>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</si>
  <si>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</si>
  <si>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</si>
  <si>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</si>
  <si>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</si>
  <si>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</si>
  <si>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</si>
  <si>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</si>
  <si>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</si>
  <si>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</si>
  <si>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</si>
  <si>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</si>
  <si>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</si>
  <si>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</si>
  <si>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</si>
  <si>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</si>
  <si>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</si>
  <si>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</si>
  <si>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</si>
  <si>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</si>
  <si>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</si>
  <si>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</si>
  <si>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</si>
  <si>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</si>
  <si>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</si>
  <si>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</si>
  <si>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</si>
  <si>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</si>
  <si>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</si>
  <si>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</si>
  <si>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</si>
  <si>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</si>
  <si>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</si>
  <si>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</si>
  <si>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</si>
  <si>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</si>
  <si>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</si>
  <si>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</si>
  <si>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</si>
  <si>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</si>
  <si>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</si>
  <si>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</si>
  <si>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</si>
  <si>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</si>
  <si>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</si>
  <si>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</si>
  <si>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</si>
  <si>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</si>
  <si>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</si>
  <si>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</si>
  <si>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</si>
  <si>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</si>
  <si>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</si>
  <si>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</si>
  <si>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</si>
  <si>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</si>
  <si>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</si>
  <si>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</si>
  <si>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</si>
  <si>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</si>
  <si>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</si>
  <si>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</si>
  <si>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</si>
  <si>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</si>
  <si>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</si>
  <si>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</si>
  <si>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</si>
  <si>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</si>
  <si>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</si>
  <si>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</si>
  <si>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</si>
  <si>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</si>
  <si>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</si>
  <si>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</si>
  <si>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</si>
  <si>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</si>
  <si>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</si>
  <si>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</si>
  <si>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</si>
  <si>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</si>
  <si>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</si>
  <si>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</si>
  <si>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</si>
  <si>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</si>
  <si>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</si>
  <si>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</si>
  <si>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</si>
  <si>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</si>
  <si>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</si>
  <si>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</si>
  <si>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</si>
  <si>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</si>
  <si>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</si>
  <si>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</si>
  <si>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</si>
  <si>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</si>
  <si>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</si>
  <si>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</si>
  <si>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</si>
  <si>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</si>
  <si>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</si>
  <si>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</si>
  <si>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</si>
  <si>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</si>
  <si>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</si>
  <si>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</si>
  <si>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</si>
  <si>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</si>
  <si>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</si>
  <si>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</si>
  <si>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</si>
  <si>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</si>
  <si>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</si>
  <si>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</si>
  <si>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</si>
  <si>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</si>
  <si>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</si>
  <si>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</si>
  <si>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</si>
  <si>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</si>
  <si>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</si>
  <si>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</si>
  <si>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</si>
  <si>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</si>
  <si>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</si>
  <si>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</si>
  <si>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</si>
  <si>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</si>
  <si>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</si>
  <si>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</si>
  <si>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</si>
  <si>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</si>
  <si>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</si>
  <si>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</si>
  <si>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</si>
  <si>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</si>
  <si>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</si>
  <si>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</si>
  <si>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</si>
  <si>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</si>
  <si>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</si>
  <si>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</si>
  <si>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</si>
  <si>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</si>
  <si>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</si>
  <si>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</si>
  <si>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</si>
  <si>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</si>
  <si>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</si>
  <si>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</si>
  <si>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</si>
  <si>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</si>
  <si>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</si>
  <si>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</si>
  <si>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</si>
  <si>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</si>
  <si>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</si>
  <si>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</si>
  <si>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</si>
  <si>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</si>
  <si>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</si>
  <si>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</si>
  <si>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</si>
  <si>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</si>
  <si>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</si>
  <si>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</si>
  <si>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</si>
  <si>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</si>
  <si>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</si>
  <si>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</si>
  <si>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</si>
  <si>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</si>
  <si>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</si>
  <si>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</si>
  <si>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</si>
  <si>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</si>
  <si>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</si>
  <si>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</si>
  <si>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</si>
  <si>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</si>
  <si>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</si>
  <si>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</si>
  <si>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</si>
  <si>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</si>
  <si>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</si>
  <si>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</si>
  <si>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</si>
  <si>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</si>
  <si>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</si>
  <si>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</si>
  <si>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</si>
  <si>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</si>
  <si>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</si>
  <si>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</si>
  <si>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</si>
  <si>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</si>
  <si>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</si>
  <si>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</si>
  <si>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</si>
  <si>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</si>
  <si>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</si>
  <si>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</si>
  <si>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</si>
  <si>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</si>
  <si>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</si>
  <si>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</si>
  <si>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</si>
  <si>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</si>
  <si>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</si>
  <si>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</si>
  <si>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</si>
  <si>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</si>
  <si>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</si>
  <si>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</si>
  <si>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</si>
  <si>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</si>
  <si>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</si>
  <si>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</si>
  <si>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</si>
  <si>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</si>
  <si>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</si>
  <si>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</si>
  <si>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</si>
  <si>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</si>
  <si>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</si>
  <si>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</si>
  <si>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</si>
  <si>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</si>
  <si>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</si>
  <si>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</si>
  <si>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</si>
  <si>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</si>
  <si>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</si>
  <si>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</si>
  <si>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</si>
  <si>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</si>
  <si>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</si>
  <si>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</si>
  <si>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</si>
  <si>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</si>
  <si>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</si>
  <si>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</si>
  <si>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</si>
  <si>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</si>
  <si>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</si>
  <si>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</si>
  <si>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</si>
  <si>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</si>
  <si>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</si>
  <si>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</si>
  <si>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</si>
  <si>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</si>
  <si>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</si>
  <si>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</si>
  <si>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</si>
  <si>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</si>
  <si>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</si>
  <si>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</si>
  <si>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</si>
  <si>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</si>
  <si>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</si>
  <si>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</si>
  <si>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</si>
  <si>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</si>
  <si>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</si>
  <si>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</si>
  <si>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</si>
  <si>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</si>
  <si>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</si>
  <si>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</si>
  <si>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</si>
  <si>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</si>
  <si>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</si>
  <si>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</si>
  <si>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</si>
  <si>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</si>
  <si>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</si>
  <si>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</si>
  <si>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</si>
  <si>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</si>
  <si>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</si>
  <si>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</si>
  <si>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</si>
  <si>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</si>
  <si>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</si>
  <si>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</si>
  <si>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</si>
  <si>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</si>
  <si>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</si>
  <si>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</si>
  <si>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</si>
  <si>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</si>
  <si>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</si>
  <si>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</si>
  <si>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</si>
  <si>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</si>
  <si>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</si>
  <si>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</si>
  <si>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</si>
  <si>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</si>
  <si>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</si>
  <si>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</si>
  <si>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</si>
  <si>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</si>
  <si>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</si>
  <si>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</si>
  <si>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</si>
  <si>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</si>
  <si>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</si>
  <si>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</si>
  <si>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</si>
  <si>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</si>
  <si>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</si>
  <si>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</si>
  <si>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</si>
  <si>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</si>
  <si>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</si>
  <si>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</si>
  <si>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</si>
  <si>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</si>
  <si>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</si>
  <si>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</si>
  <si>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</si>
  <si>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</si>
  <si>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</si>
  <si>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</si>
  <si>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</si>
  <si>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</si>
  <si>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</si>
  <si>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</si>
  <si>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</si>
  <si>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</si>
  <si>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</si>
  <si>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</si>
  <si>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</si>
  <si>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</si>
  <si>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</si>
  <si>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</si>
  <si>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</si>
  <si>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</si>
  <si>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</si>
  <si>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</si>
  <si>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</si>
  <si>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</si>
  <si>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</si>
  <si>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</si>
  <si>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</si>
  <si>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</si>
  <si>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</si>
  <si>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</si>
  <si>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</si>
  <si>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</si>
  <si>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</si>
  <si>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</si>
  <si>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</si>
  <si>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</si>
  <si>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</si>
  <si>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</si>
  <si>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</si>
  <si>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</si>
  <si>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</si>
  <si>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</si>
  <si>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</si>
  <si>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</si>
  <si>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</si>
  <si>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</si>
  <si>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</si>
  <si>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</si>
  <si>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</si>
  <si>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</si>
  <si>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</si>
  <si>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</si>
  <si>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</si>
  <si>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</si>
  <si>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</si>
  <si>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</si>
  <si>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</si>
  <si>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</si>
  <si>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</si>
  <si>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</si>
  <si>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</si>
  <si>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</si>
  <si>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</si>
  <si>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</si>
  <si>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</si>
  <si>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</si>
  <si>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</si>
  <si>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</si>
  <si>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</si>
  <si>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</si>
  <si>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</si>
  <si>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</si>
  <si>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</si>
  <si>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</si>
  <si>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</si>
  <si>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</si>
  <si>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</si>
  <si>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</si>
  <si>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</si>
  <si>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</si>
  <si>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</si>
  <si>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</si>
  <si>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</si>
  <si>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</si>
  <si>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</si>
  <si>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</si>
  <si>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</si>
  <si>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</si>
  <si>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</si>
  <si>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</si>
  <si>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</si>
  <si>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</si>
  <si>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</si>
  <si>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</si>
  <si>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</si>
  <si>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</si>
  <si>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</si>
  <si>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</si>
  <si>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</si>
  <si>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</si>
  <si>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</si>
  <si>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</si>
  <si>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</si>
  <si>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</si>
  <si>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</si>
  <si>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</si>
  <si>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</si>
  <si>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</si>
  <si>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</si>
  <si>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</si>
  <si>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</si>
  <si>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</si>
  <si>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</si>
  <si>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</si>
  <si>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</si>
  <si>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</si>
  <si>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</si>
  <si>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</si>
  <si>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</si>
  <si>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</si>
  <si>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</si>
  <si>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</si>
  <si>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</si>
  <si>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</si>
  <si>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</si>
  <si>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</si>
  <si>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</si>
  <si>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</si>
  <si>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</si>
  <si>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</si>
  <si>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</si>
  <si>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</si>
  <si>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</si>
  <si>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</si>
  <si>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</si>
  <si>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</si>
  <si>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</si>
  <si>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</si>
  <si>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</si>
  <si>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</si>
  <si>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</si>
  <si>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</si>
  <si>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</si>
  <si>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</si>
  <si>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</si>
  <si>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</si>
  <si>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</si>
  <si>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</si>
  <si>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</si>
  <si>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</si>
  <si>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</si>
  <si>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</si>
  <si>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</si>
  <si>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</si>
  <si>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</si>
  <si>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</si>
  <si>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</si>
  <si>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</si>
  <si>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</si>
  <si>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</si>
  <si>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</si>
  <si>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</si>
  <si>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</si>
  <si>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</si>
  <si>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</si>
  <si>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</si>
  <si>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</si>
  <si>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</si>
  <si>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</si>
  <si>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</si>
  <si>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</si>
  <si>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</si>
  <si>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</si>
  <si>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</si>
  <si>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</si>
  <si>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</si>
  <si>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</si>
  <si>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</si>
  <si>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</si>
  <si>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</si>
  <si>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</si>
  <si>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</si>
  <si>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</si>
  <si>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</si>
  <si>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</si>
  <si>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</si>
  <si>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</si>
  <si>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</si>
  <si>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</si>
  <si>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</si>
  <si>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</si>
  <si>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</si>
  <si>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</si>
  <si>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</si>
  <si>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</si>
  <si>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</si>
  <si>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</si>
  <si>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</si>
  <si>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</si>
  <si>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</si>
  <si>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</si>
  <si>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</si>
  <si>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</si>
  <si>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</si>
  <si>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</si>
  <si>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</si>
  <si>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</si>
  <si>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</si>
  <si>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</si>
  <si>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</si>
  <si>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</si>
  <si>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</si>
  <si>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</si>
  <si>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</si>
  <si>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</si>
  <si>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</si>
  <si>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</si>
  <si>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</si>
  <si>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</si>
  <si>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</si>
  <si>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</si>
  <si>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</si>
  <si>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</si>
  <si>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</si>
  <si>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</si>
  <si>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</si>
  <si>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</si>
  <si>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</si>
  <si>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</si>
  <si>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</si>
  <si>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</si>
  <si>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</si>
  <si>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</si>
  <si>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</si>
  <si>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</si>
  <si>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</si>
  <si>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</si>
  <si>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</si>
  <si>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</si>
  <si>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</si>
  <si>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</si>
  <si>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</si>
  <si>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</si>
  <si>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</si>
  <si>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</si>
  <si>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</si>
  <si>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</si>
  <si>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</si>
  <si>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</si>
  <si>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</si>
  <si>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</si>
  <si>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</si>
  <si>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</si>
  <si>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</si>
  <si>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</si>
  <si>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</si>
  <si>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</si>
  <si>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</si>
  <si>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</si>
  <si>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</si>
  <si>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</si>
  <si>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</si>
  <si>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</si>
  <si>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</si>
  <si>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</si>
  <si>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</si>
  <si>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</si>
  <si>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</si>
  <si>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</si>
  <si>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</si>
  <si>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</si>
  <si>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</si>
  <si>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</si>
  <si>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</si>
  <si>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</si>
  <si>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</si>
  <si>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</si>
  <si>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</si>
  <si>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</si>
  <si>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</si>
  <si>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</si>
  <si>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</si>
  <si>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</si>
  <si>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</si>
  <si>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</si>
  <si>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</si>
  <si>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</si>
  <si>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</si>
  <si>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</si>
  <si>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</si>
  <si>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</si>
  <si>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</si>
  <si>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</si>
  <si>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</si>
  <si>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</si>
  <si>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</si>
  <si>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</si>
  <si>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</si>
  <si>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</si>
  <si>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</si>
  <si>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</si>
  <si>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</si>
  <si>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</si>
  <si>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</si>
  <si>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</si>
  <si>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</si>
  <si>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</si>
  <si>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</si>
  <si>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</si>
  <si>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</si>
  <si>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</si>
  <si>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</si>
  <si>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</si>
  <si>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</si>
  <si>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</si>
  <si>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</si>
  <si>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</si>
  <si>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</si>
  <si>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</si>
  <si>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</si>
  <si>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</si>
  <si>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</si>
  <si>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</si>
  <si>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</si>
  <si>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</si>
  <si>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</si>
  <si>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</si>
  <si>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</si>
  <si>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</si>
  <si>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</si>
  <si>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</si>
  <si>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</si>
  <si>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</si>
  <si>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</si>
  <si>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</si>
  <si>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</si>
  <si>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</si>
  <si>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</si>
  <si>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</si>
  <si>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</si>
  <si>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</si>
  <si>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</si>
  <si>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</si>
  <si>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</si>
  <si>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</si>
  <si>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</si>
  <si>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</si>
  <si>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</si>
  <si>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</si>
  <si>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</si>
  <si>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</si>
  <si>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</si>
  <si>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</si>
  <si>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</si>
  <si>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</si>
  <si>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</si>
  <si>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</si>
  <si>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</si>
  <si>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</si>
  <si>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</si>
  <si>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</si>
  <si>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</si>
  <si>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</si>
  <si>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</si>
  <si>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</si>
  <si>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</si>
  <si>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</si>
  <si>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</si>
  <si>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</si>
  <si>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</si>
  <si>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</si>
  <si>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</si>
  <si>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</si>
  <si>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</si>
  <si>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</si>
  <si>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</si>
  <si>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</si>
  <si>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</si>
  <si>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</si>
  <si>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</si>
  <si>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</si>
  <si>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</si>
  <si>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</si>
  <si>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</si>
  <si>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</si>
  <si>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</si>
  <si>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</si>
  <si>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</si>
  <si>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</si>
  <si>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</si>
  <si>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</si>
  <si>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</si>
  <si>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</si>
  <si>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</si>
  <si>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</si>
  <si>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</si>
  <si>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</si>
  <si>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</si>
  <si>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</si>
  <si>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</si>
  <si>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</si>
  <si>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</si>
  <si>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</si>
  <si>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</si>
  <si>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</si>
  <si>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</si>
  <si>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</si>
  <si>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</si>
  <si>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</si>
  <si>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</si>
  <si>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</si>
  <si>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</si>
  <si>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</si>
  <si>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</si>
  <si>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</si>
  <si>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</si>
  <si>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</si>
  <si>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</si>
  <si>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</si>
  <si>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</si>
  <si>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</si>
  <si>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</si>
  <si>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</si>
  <si>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</si>
  <si>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</si>
  <si>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</si>
  <si>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</si>
  <si>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</si>
  <si>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</si>
  <si>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</si>
  <si>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</si>
  <si>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</si>
  <si>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</si>
  <si>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</si>
  <si>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</si>
  <si>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</si>
  <si>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</si>
  <si>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</si>
  <si>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</si>
  <si>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</si>
  <si>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</si>
  <si>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</si>
  <si>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</si>
  <si>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</si>
  <si>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</si>
  <si>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</si>
  <si>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</si>
  <si>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</si>
  <si>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</si>
  <si>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</si>
  <si>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</si>
  <si>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</si>
  <si>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</si>
  <si>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</si>
  <si>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</si>
  <si>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</si>
  <si>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</si>
  <si>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</si>
  <si>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</si>
  <si>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</si>
  <si>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</si>
  <si>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</si>
  <si>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</si>
  <si>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</si>
  <si>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</si>
  <si>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</si>
  <si>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</si>
  <si>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</si>
  <si>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</si>
  <si>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</si>
  <si>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</si>
  <si>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</si>
  <si>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</si>
  <si>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</si>
  <si>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</si>
  <si>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</si>
  <si>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</si>
  <si>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</si>
  <si>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</si>
  <si>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</si>
  <si>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</si>
  <si>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</si>
  <si>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</si>
  <si>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</si>
  <si>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</si>
  <si>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</si>
  <si>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</si>
  <si>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</si>
  <si>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</si>
  <si>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</si>
  <si>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</si>
  <si>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</si>
  <si>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</si>
  <si>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</si>
  <si>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</si>
  <si>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</si>
  <si>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</si>
  <si>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</si>
  <si>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</si>
  <si>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</si>
  <si>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</si>
  <si>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</si>
  <si>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</si>
  <si>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</si>
  <si>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</si>
  <si>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</si>
  <si>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</si>
  <si>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</si>
  <si>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</si>
  <si>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</si>
  <si>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</si>
  <si>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</si>
  <si>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</si>
  <si>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</si>
  <si>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</si>
  <si>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</si>
  <si>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</si>
  <si>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</si>
  <si>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</si>
  <si>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</si>
  <si>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</si>
  <si>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</si>
  <si>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</si>
  <si>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</si>
  <si>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</si>
  <si>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</si>
  <si>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</si>
  <si>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</si>
  <si>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</si>
  <si>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</si>
  <si>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</si>
  <si>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</si>
  <si>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</si>
  <si>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</si>
  <si>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</si>
  <si>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</si>
  <si>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</si>
  <si>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</si>
  <si>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</si>
  <si>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</si>
  <si>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</si>
  <si>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</si>
  <si>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</si>
  <si>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</si>
  <si>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</si>
  <si>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</si>
  <si>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</si>
  <si>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</si>
  <si>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</si>
  <si>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</si>
  <si>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</si>
  <si>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</si>
  <si>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</si>
  <si>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</si>
  <si>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</si>
  <si>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</si>
  <si>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</si>
  <si>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</si>
  <si>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</si>
  <si>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</si>
  <si>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</si>
  <si>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</si>
  <si>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</si>
  <si>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</si>
  <si>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</si>
  <si>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</si>
  <si>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</si>
  <si>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</si>
  <si>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</si>
  <si>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</si>
  <si>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</si>
  <si>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</si>
  <si>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</si>
  <si>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</si>
  <si>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</si>
  <si>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</si>
  <si>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</si>
  <si>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</si>
  <si>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</si>
  <si>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</si>
  <si>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</si>
  <si>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</si>
  <si>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</si>
  <si>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</si>
  <si>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</si>
  <si>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</si>
  <si>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</si>
  <si>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</si>
  <si>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</si>
  <si>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</si>
  <si>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</si>
  <si>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</si>
  <si>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</si>
  <si>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</si>
  <si>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</si>
  <si>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</si>
  <si>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</si>
  <si>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</si>
  <si>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</si>
  <si>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</si>
  <si>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</si>
  <si>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</si>
  <si>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</si>
  <si>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</si>
  <si>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</si>
  <si>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</si>
  <si>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</si>
  <si>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</si>
  <si>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</si>
  <si>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</si>
  <si>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</si>
  <si>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</si>
  <si>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</si>
  <si>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</si>
  <si>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</si>
  <si>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</si>
  <si>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</si>
  <si>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</si>
  <si>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</si>
  <si>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</si>
  <si>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</si>
  <si>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</si>
  <si>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</si>
  <si>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</si>
  <si>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</si>
  <si>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</si>
  <si>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</si>
  <si>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</si>
  <si>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</si>
  <si>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</si>
  <si>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</si>
  <si>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</si>
  <si>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</si>
  <si>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</si>
  <si>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</si>
  <si>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</si>
  <si>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</si>
  <si>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</si>
  <si>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</si>
  <si>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</si>
  <si>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</si>
  <si>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</si>
  <si>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</si>
  <si>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</si>
  <si>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</si>
  <si>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</si>
  <si>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</si>
  <si>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</si>
  <si>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</si>
  <si>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</si>
  <si>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</si>
  <si>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</si>
  <si>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</si>
  <si>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</si>
  <si>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</si>
  <si>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</si>
  <si>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</si>
  <si>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</si>
  <si>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</si>
  <si>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</si>
  <si>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</si>
  <si>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</si>
  <si>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</si>
  <si>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</si>
  <si>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</si>
  <si>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</si>
  <si>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</si>
  <si>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</si>
  <si>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</si>
  <si>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</si>
  <si>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</si>
  <si>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</si>
  <si>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</si>
  <si>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</si>
  <si>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</si>
  <si>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</si>
  <si>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</si>
  <si>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</si>
  <si>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</si>
  <si>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</si>
  <si>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</si>
  <si>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</si>
  <si>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</si>
  <si>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</si>
  <si>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</si>
  <si>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</si>
  <si>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</si>
  <si>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</si>
  <si>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</si>
  <si>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</si>
  <si>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</si>
  <si>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</si>
  <si>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</si>
  <si>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</si>
  <si>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</si>
  <si>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</si>
  <si>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</si>
  <si>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</si>
  <si>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</si>
  <si>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</si>
  <si>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</si>
  <si>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</si>
  <si>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</si>
  <si>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</si>
  <si>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</si>
  <si>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</si>
  <si>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</si>
  <si>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</si>
  <si>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</si>
  <si>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</si>
  <si>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</si>
  <si>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</si>
  <si>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</si>
  <si>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</si>
  <si>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</si>
  <si>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</si>
  <si>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</si>
  <si>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</si>
  <si>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</si>
  <si>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</si>
  <si>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</si>
  <si>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</si>
  <si>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</si>
  <si>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</si>
  <si>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</si>
  <si>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</si>
  <si>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</si>
  <si>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</si>
  <si>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</si>
  <si>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</si>
  <si>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</si>
  <si>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</si>
  <si>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</si>
  <si>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</si>
  <si>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</si>
  <si>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</si>
  <si>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</si>
  <si>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</si>
  <si>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</si>
  <si>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</si>
  <si>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</si>
  <si>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</si>
  <si>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</si>
  <si>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</si>
  <si>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</si>
  <si>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</si>
  <si>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</si>
  <si>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</si>
  <si>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</si>
  <si>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</si>
  <si>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</si>
  <si>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</si>
  <si>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</si>
  <si>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</si>
  <si>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</si>
  <si>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</si>
  <si>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</si>
  <si>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</si>
  <si>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</si>
  <si>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</si>
  <si>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</si>
  <si>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</si>
  <si>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</si>
  <si>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</si>
  <si>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</si>
  <si>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</si>
  <si>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</si>
  <si>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</si>
  <si>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</si>
  <si>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</si>
  <si>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</si>
  <si>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</si>
  <si>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</si>
  <si>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</si>
  <si>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</si>
  <si>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</si>
  <si>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</si>
  <si>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</si>
  <si>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</si>
  <si>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</si>
  <si>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</si>
  <si>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</si>
  <si>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</si>
  <si>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</si>
  <si>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</si>
  <si>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</si>
  <si>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</si>
  <si>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</si>
  <si>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</si>
  <si>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</si>
  <si>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</si>
  <si>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</si>
  <si>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</si>
  <si>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</si>
  <si>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</si>
  <si>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</si>
  <si>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</si>
  <si>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</si>
  <si>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</si>
  <si>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</si>
  <si>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</si>
  <si>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</si>
  <si>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</si>
  <si>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</si>
  <si>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</si>
  <si>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</si>
  <si>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</si>
  <si>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</si>
  <si>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</si>
  <si>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</si>
  <si>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</si>
  <si>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</si>
  <si>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</si>
  <si>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</si>
  <si>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</si>
  <si>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</si>
  <si>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</si>
  <si>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</si>
  <si>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</si>
  <si>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</si>
  <si>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</si>
  <si>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</si>
  <si>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</si>
  <si>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</si>
  <si>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</si>
  <si>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</si>
  <si>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</si>
  <si>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</si>
  <si>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</si>
  <si>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</si>
  <si>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</si>
  <si>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</si>
  <si>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</si>
  <si>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</si>
  <si>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</si>
  <si>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</si>
  <si>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</si>
  <si>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</si>
  <si>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</si>
  <si>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</si>
  <si>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</si>
  <si>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</si>
  <si>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</si>
  <si>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</si>
  <si>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</si>
  <si>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</si>
  <si>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</si>
  <si>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</si>
  <si>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</si>
  <si>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</si>
  <si>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</si>
  <si>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</si>
  <si>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</si>
  <si>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</si>
  <si>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</si>
  <si>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</si>
  <si>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</si>
  <si>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</si>
  <si>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</si>
  <si>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</si>
  <si>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</si>
  <si>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</si>
  <si>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</si>
  <si>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</si>
  <si>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</si>
  <si>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</si>
  <si>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</si>
  <si>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</si>
  <si>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</si>
  <si>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</si>
  <si>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</si>
  <si>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</si>
  <si>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</si>
  <si>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</si>
  <si>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</si>
  <si>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</si>
  <si>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</si>
  <si>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</si>
  <si>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</si>
  <si>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</si>
  <si>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</si>
  <si>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</si>
  <si>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</si>
  <si>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</si>
  <si>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</si>
  <si>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</si>
  <si>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</si>
  <si>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</si>
  <si>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</si>
  <si>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</si>
  <si>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</si>
  <si>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</si>
  <si>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</si>
  <si>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</si>
  <si>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</si>
  <si>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</si>
  <si>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</si>
  <si>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</si>
  <si>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</si>
  <si>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</si>
  <si>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</si>
  <si>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</si>
  <si>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</si>
  <si>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</si>
  <si>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</si>
  <si>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</si>
  <si>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</si>
  <si>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</si>
  <si>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</si>
  <si>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</si>
  <si>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</si>
  <si>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</si>
  <si>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</si>
  <si>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</si>
  <si>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</si>
  <si>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</si>
  <si>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</si>
  <si>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</si>
  <si>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</si>
  <si>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</si>
  <si>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</si>
  <si>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</si>
  <si>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</si>
  <si>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</si>
  <si>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</si>
  <si>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</si>
  <si>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</si>
  <si>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</si>
  <si>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</si>
  <si>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</si>
  <si>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</si>
  <si>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</si>
  <si>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</si>
  <si>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</si>
  <si>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</si>
  <si>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</si>
  <si>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</si>
  <si>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</si>
  <si>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</si>
  <si>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</si>
  <si>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</si>
  <si>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</si>
  <si>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</si>
  <si>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</si>
  <si>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</si>
  <si>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</si>
  <si>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</si>
  <si>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</si>
  <si>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</si>
  <si>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</si>
  <si>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</si>
  <si>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</si>
  <si>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</si>
  <si>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</si>
  <si>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</si>
  <si>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</si>
  <si>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</si>
  <si>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</si>
  <si>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</si>
  <si>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</si>
  <si>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</si>
  <si>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</si>
  <si>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</si>
  <si>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</si>
  <si>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</si>
  <si>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</si>
  <si>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</si>
  <si>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</si>
  <si>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</si>
  <si>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</si>
  <si>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</si>
  <si>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</si>
  <si>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</si>
  <si>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</si>
  <si>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</si>
  <si>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</si>
  <si>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</si>
  <si>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</si>
  <si>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</si>
  <si>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</si>
  <si>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</si>
  <si>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</si>
  <si>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</si>
  <si>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</si>
  <si>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</si>
  <si>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</si>
  <si>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</si>
  <si>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</si>
  <si>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</si>
  <si>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</si>
  <si>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</si>
  <si>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</si>
  <si>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</si>
  <si>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</si>
  <si>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</si>
  <si>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</si>
  <si>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</si>
  <si>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</si>
  <si>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</si>
  <si>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</si>
  <si>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</si>
  <si>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</si>
  <si>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</si>
  <si>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</si>
  <si>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</si>
  <si>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</si>
  <si>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</si>
  <si>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</si>
  <si>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</si>
  <si>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</si>
  <si>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</si>
  <si>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</si>
  <si>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</si>
  <si>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</si>
  <si>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</si>
  <si>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</si>
  <si>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</si>
  <si>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</si>
  <si>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</si>
  <si>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</si>
  <si>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</si>
  <si>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</si>
  <si>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</si>
  <si>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</si>
  <si>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</si>
  <si>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</si>
  <si>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</si>
  <si>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</si>
  <si>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</si>
  <si>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</si>
  <si>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</si>
  <si>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</si>
  <si>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</si>
  <si>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</si>
  <si>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</si>
  <si>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</si>
  <si>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</si>
  <si>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</si>
  <si>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</si>
  <si>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</si>
  <si>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</si>
  <si>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</si>
  <si>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</si>
  <si>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</si>
  <si>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</si>
  <si>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</si>
  <si>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</si>
  <si>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</si>
  <si>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</si>
  <si>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</si>
  <si>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</si>
  <si>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</si>
  <si>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</si>
  <si>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</si>
  <si>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</si>
  <si>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</si>
  <si>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</si>
  <si>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</si>
  <si>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</si>
  <si>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</si>
  <si>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</si>
  <si>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</si>
  <si>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</si>
  <si>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</si>
  <si>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</si>
  <si>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</si>
  <si>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</si>
  <si>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</si>
  <si>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</si>
  <si>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</si>
  <si>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</si>
  <si>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</si>
  <si>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</si>
  <si>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</si>
  <si>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</si>
  <si>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</si>
  <si>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</si>
  <si>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</si>
  <si>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</si>
  <si>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</si>
  <si>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</si>
  <si>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</si>
  <si>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</si>
  <si>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</si>
  <si>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</si>
  <si>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</si>
  <si>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</si>
  <si>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</si>
  <si>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</si>
  <si>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</si>
  <si>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</si>
  <si>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</si>
  <si>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</si>
  <si>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</si>
  <si>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</si>
  <si>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</si>
  <si>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</si>
  <si>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</si>
  <si>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</si>
  <si>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</si>
  <si>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</si>
  <si>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</si>
  <si>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</si>
  <si>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</si>
  <si>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</si>
  <si>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</si>
  <si>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</si>
  <si>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</si>
  <si>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</si>
  <si>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</si>
  <si>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</si>
  <si>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</si>
  <si>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</si>
  <si>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</si>
  <si>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</si>
  <si>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</si>
  <si>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</si>
  <si>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</si>
  <si>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</si>
  <si>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</si>
  <si>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</si>
  <si>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</si>
  <si>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</si>
  <si>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</si>
  <si>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</si>
  <si>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</si>
  <si>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</si>
  <si>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</si>
  <si>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</si>
  <si>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</si>
  <si>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</si>
  <si>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</si>
  <si>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</si>
  <si>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</si>
  <si>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</si>
  <si>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</si>
  <si>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</si>
  <si>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</si>
  <si>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</si>
  <si>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</si>
  <si>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</si>
  <si>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</si>
  <si>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</si>
  <si>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</si>
  <si>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</si>
  <si>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</si>
  <si>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</si>
  <si>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</si>
  <si>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</si>
  <si>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</si>
  <si>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</si>
  <si>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</si>
  <si>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</si>
  <si>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</si>
  <si>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</si>
  <si>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</si>
  <si>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</si>
  <si>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</si>
  <si>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</si>
  <si>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</si>
  <si>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</si>
  <si>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</si>
  <si>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</si>
  <si>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</si>
  <si>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</si>
  <si>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</si>
  <si>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</si>
  <si>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</si>
  <si>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</si>
  <si>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</si>
  <si>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</si>
  <si>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</si>
  <si>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</si>
  <si>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</si>
  <si>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</si>
  <si>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</si>
  <si>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</si>
  <si>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</si>
  <si>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</si>
  <si>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</si>
  <si>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</si>
  <si>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</si>
  <si>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</si>
  <si>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</si>
  <si>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</si>
  <si>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</si>
  <si>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</si>
  <si>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</si>
  <si>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</si>
  <si>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</si>
  <si>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</si>
  <si>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</si>
  <si>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</si>
  <si>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</si>
  <si>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</si>
  <si>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</si>
  <si>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</si>
  <si>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</si>
  <si>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</si>
  <si>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</si>
  <si>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</si>
  <si>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</si>
  <si>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</si>
  <si>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</si>
  <si>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</si>
  <si>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</si>
  <si>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</si>
  <si>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</si>
  <si>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</si>
  <si>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</si>
  <si>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</si>
  <si>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</si>
  <si>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</si>
  <si>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</si>
  <si>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</si>
  <si>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</si>
  <si>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</si>
  <si>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</si>
  <si>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</si>
  <si>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</si>
  <si>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</si>
  <si>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</si>
  <si>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</si>
  <si>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</si>
  <si>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</si>
  <si>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</si>
  <si>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</si>
  <si>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</si>
  <si>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</si>
  <si>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</si>
  <si>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</si>
  <si>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</si>
  <si>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</si>
  <si>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</si>
  <si>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</si>
  <si>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</si>
  <si>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</si>
  <si>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</si>
  <si>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</si>
  <si>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</si>
  <si>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</si>
  <si>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</si>
  <si>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</si>
  <si>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</si>
  <si>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</si>
  <si>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</si>
  <si>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</si>
  <si>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</si>
  <si>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</si>
  <si>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</si>
  <si>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</si>
  <si>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</si>
  <si>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</si>
  <si>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</si>
  <si>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</si>
  <si>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</si>
  <si>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</si>
  <si>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</si>
  <si>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</si>
  <si>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</si>
  <si>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</si>
  <si>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</si>
  <si>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</si>
  <si>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</si>
  <si>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</si>
  <si>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</si>
  <si>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</si>
  <si>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</si>
  <si>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</si>
  <si>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</si>
  <si>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</si>
  <si>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</si>
  <si>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</si>
  <si>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</si>
  <si>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</si>
  <si>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</si>
  <si>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</si>
  <si>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</si>
  <si>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</si>
  <si>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</si>
  <si>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</si>
  <si>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</si>
  <si>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</si>
  <si>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</si>
  <si>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</si>
  <si>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</si>
  <si>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</si>
  <si>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</si>
  <si>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</si>
  <si>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</si>
  <si>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</si>
  <si>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</si>
  <si>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</si>
  <si>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</si>
  <si>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</si>
  <si>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</si>
  <si>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</si>
  <si>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</si>
  <si>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</si>
  <si>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</si>
  <si>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</si>
  <si>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</si>
  <si>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</si>
  <si>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</si>
  <si>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</si>
  <si>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</si>
  <si>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</si>
  <si>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</si>
  <si>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</si>
  <si>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</si>
  <si>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</si>
  <si>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</si>
  <si>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</si>
  <si>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</si>
  <si>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</si>
  <si>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</si>
  <si>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</si>
  <si>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</si>
  <si>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</si>
  <si>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</si>
  <si>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</si>
  <si>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</si>
  <si>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</si>
  <si>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</si>
  <si>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</si>
  <si>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</si>
  <si>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</si>
  <si>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</si>
  <si>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</si>
  <si>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</si>
  <si>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</si>
  <si>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</si>
  <si>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</si>
  <si>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</si>
  <si>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</si>
  <si>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</si>
  <si>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</si>
  <si>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</si>
  <si>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</si>
  <si>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</si>
  <si>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</si>
  <si>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</si>
  <si>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</si>
  <si>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</si>
  <si>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</si>
  <si>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</si>
  <si>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</si>
  <si>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</si>
  <si>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</si>
  <si>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</si>
  <si>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</si>
  <si>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</si>
  <si>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</si>
  <si>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</si>
  <si>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</si>
  <si>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</si>
  <si>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</si>
  <si>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</si>
  <si>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</si>
  <si>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</si>
  <si>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</si>
  <si>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</si>
  <si>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</si>
  <si>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</si>
  <si>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</si>
  <si>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</si>
  <si>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</si>
  <si>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</si>
  <si>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</si>
  <si>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</si>
  <si>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</si>
  <si>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</si>
  <si>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</si>
  <si>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</si>
  <si>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</si>
  <si>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</si>
  <si>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</si>
  <si>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</si>
  <si>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</si>
  <si>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</si>
  <si>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</si>
  <si>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</si>
  <si>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</si>
  <si>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</si>
  <si>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</si>
  <si>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</si>
  <si>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</si>
  <si>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</si>
  <si>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</si>
  <si>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</si>
  <si>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</si>
  <si>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</si>
  <si>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</si>
  <si>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</si>
  <si>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</si>
  <si>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</si>
  <si>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</si>
  <si>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</si>
  <si>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</si>
  <si>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</si>
  <si>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</si>
  <si>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</si>
  <si>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</si>
  <si>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</si>
  <si>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</si>
  <si>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</si>
  <si>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</si>
  <si>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</si>
  <si>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</si>
  <si>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</si>
  <si>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</si>
  <si>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</si>
  <si>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</si>
  <si>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</si>
  <si>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</si>
  <si>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</si>
  <si>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</si>
  <si>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</si>
  <si>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</si>
  <si>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</si>
  <si>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</si>
  <si>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</si>
  <si>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</si>
  <si>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</si>
  <si>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</si>
  <si>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</si>
  <si>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</si>
  <si>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</si>
  <si>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</si>
  <si>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</si>
  <si>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</si>
  <si>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</si>
  <si>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</si>
  <si>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</si>
  <si>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</si>
  <si>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</si>
  <si>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</si>
  <si>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</si>
  <si>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</si>
  <si>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</si>
  <si>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</si>
  <si>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</si>
  <si>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</si>
  <si>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</si>
  <si>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</si>
  <si>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</si>
  <si>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</si>
  <si>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</si>
  <si>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</si>
  <si>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</si>
  <si>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</si>
  <si>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</si>
  <si>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</si>
  <si>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</si>
  <si>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</si>
  <si>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</si>
  <si>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</si>
  <si>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</si>
  <si>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</si>
  <si>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</si>
  <si>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</si>
  <si>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</si>
  <si>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</si>
  <si>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</si>
  <si>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</si>
  <si>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</si>
  <si>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</si>
  <si>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</si>
  <si>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</si>
  <si>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</si>
  <si>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</si>
  <si>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</si>
  <si>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</si>
  <si>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</si>
  <si>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</si>
  <si>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</si>
  <si>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</si>
  <si>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</si>
  <si>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</si>
  <si>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</si>
  <si>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</si>
  <si>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</si>
  <si>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</si>
  <si>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</si>
  <si>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</si>
  <si>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</si>
  <si>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</si>
  <si>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</si>
  <si>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</si>
  <si>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</si>
  <si>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</si>
  <si>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</si>
  <si>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</si>
  <si>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</si>
  <si>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</si>
  <si>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</si>
  <si>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</si>
  <si>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</si>
  <si>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</si>
  <si>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</si>
  <si>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</si>
  <si>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</si>
  <si>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</si>
  <si>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</si>
  <si>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</si>
  <si>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</si>
  <si>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</si>
  <si>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</si>
  <si>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</si>
  <si>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</si>
  <si>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</si>
  <si>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</si>
  <si>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</si>
  <si>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</si>
  <si>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</si>
  <si>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</si>
  <si>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</si>
  <si>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</si>
  <si>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</si>
  <si>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</si>
  <si>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</si>
  <si>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</si>
  <si>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</si>
  <si>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</si>
  <si>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</si>
  <si>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</si>
  <si>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</si>
  <si>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</si>
  <si>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</si>
  <si>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</si>
  <si>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</si>
  <si>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</si>
  <si>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</si>
  <si>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</si>
  <si>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</si>
  <si>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</si>
  <si>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</si>
  <si>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</si>
  <si>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</si>
  <si>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</si>
  <si>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</si>
  <si>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</si>
  <si>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</si>
  <si>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</si>
  <si>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</si>
  <si>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</si>
  <si>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</si>
  <si>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</si>
  <si>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</si>
  <si>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</si>
  <si>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</si>
  <si>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</si>
  <si>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</si>
  <si>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</si>
  <si>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</si>
  <si>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</si>
  <si>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</si>
  <si>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</si>
  <si>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</si>
  <si>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</si>
  <si>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</si>
  <si>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</si>
  <si>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</si>
  <si>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</si>
  <si>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</si>
  <si>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</si>
  <si>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</si>
  <si>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</si>
  <si>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</si>
  <si>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</si>
  <si>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</si>
  <si>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</si>
  <si>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</si>
  <si>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</si>
  <si>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</si>
  <si>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</si>
  <si>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</si>
  <si>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</si>
  <si>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</si>
  <si>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</si>
  <si>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</si>
  <si>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</si>
  <si>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</si>
  <si>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</si>
  <si>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</si>
  <si>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</si>
  <si>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</si>
  <si>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</si>
  <si>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</si>
  <si>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</si>
  <si>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</si>
  <si>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</si>
  <si>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</si>
  <si>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</si>
  <si>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</si>
  <si>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</si>
  <si>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</si>
  <si>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</si>
  <si>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</si>
  <si>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</si>
  <si>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</si>
  <si>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</si>
  <si>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</si>
  <si>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</si>
  <si>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</si>
  <si>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</si>
  <si>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</si>
  <si>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</si>
  <si>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</si>
  <si>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</si>
  <si>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</si>
  <si>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</si>
  <si>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</si>
  <si>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</si>
  <si>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</si>
  <si>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</si>
  <si>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</si>
  <si>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</si>
  <si>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</si>
  <si>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</si>
  <si>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</si>
  <si>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</si>
  <si>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</si>
  <si>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</si>
  <si>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</si>
  <si>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</si>
  <si>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</si>
  <si>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</si>
  <si>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</si>
  <si>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</si>
  <si>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</si>
  <si>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</si>
  <si>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</si>
  <si>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</si>
  <si>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</si>
  <si>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</si>
  <si>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</si>
  <si>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</si>
  <si>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</si>
  <si>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</si>
  <si>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</si>
  <si>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</si>
  <si>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</si>
  <si>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</si>
  <si>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</si>
  <si>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</si>
  <si>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</si>
  <si>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</si>
  <si>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</si>
  <si>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</si>
  <si>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</si>
  <si>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</si>
  <si>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</si>
  <si>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</si>
  <si>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</si>
  <si>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</si>
  <si>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</si>
  <si>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</si>
  <si>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</si>
  <si>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</si>
  <si>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</si>
  <si>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</si>
  <si>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</si>
  <si>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</si>
  <si>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</si>
  <si>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</si>
  <si>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</si>
  <si>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</si>
  <si>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</si>
  <si>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</si>
  <si>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</si>
  <si>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</si>
  <si>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</si>
  <si>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</si>
  <si>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</si>
  <si>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</si>
  <si>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</si>
  <si>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</si>
  <si>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</si>
  <si>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</si>
  <si>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</si>
  <si>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</si>
  <si>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</si>
  <si>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</si>
  <si>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</si>
  <si>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</si>
  <si>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</si>
  <si>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</si>
  <si>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</si>
  <si>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</si>
  <si>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</si>
  <si>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</si>
  <si>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</si>
  <si>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</si>
  <si>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</si>
  <si>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</si>
  <si>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</si>
  <si>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</si>
  <si>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</si>
  <si>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</si>
  <si>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</si>
  <si>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</si>
  <si>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</si>
  <si>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</si>
  <si>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</si>
  <si>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</si>
  <si>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</si>
  <si>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</si>
  <si>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</si>
  <si>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</si>
  <si>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</si>
  <si>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</si>
  <si>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</si>
  <si>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</si>
  <si>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</si>
  <si>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</si>
  <si>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</si>
  <si>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</si>
  <si>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</si>
  <si>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</si>
  <si>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</si>
  <si>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</si>
  <si>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</si>
  <si>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</si>
  <si>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</si>
  <si>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</si>
  <si>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</si>
  <si>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</si>
  <si>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</si>
  <si>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</si>
  <si>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</si>
  <si>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</si>
  <si>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</si>
  <si>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</si>
  <si>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</si>
  <si>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</si>
  <si>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</si>
  <si>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</si>
  <si>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</si>
  <si>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</si>
  <si>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</si>
  <si>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</si>
  <si>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</si>
  <si>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</si>
  <si>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</si>
  <si>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</si>
  <si>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</si>
  <si>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</si>
  <si>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</si>
  <si>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</si>
  <si>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</si>
  <si>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</si>
  <si>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</si>
  <si>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</si>
  <si>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</si>
  <si>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</si>
  <si>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</si>
  <si>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</si>
  <si>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</si>
  <si>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</si>
  <si>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</si>
  <si>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</si>
  <si>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</si>
  <si>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</si>
  <si>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</si>
  <si>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</si>
  <si>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</si>
  <si>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</si>
  <si>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</si>
  <si>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</si>
  <si>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</si>
  <si>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</si>
  <si>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</si>
  <si>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</si>
  <si>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</si>
  <si>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</si>
  <si>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</si>
  <si>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</si>
  <si>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</si>
  <si>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</si>
  <si>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</si>
  <si>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</si>
  <si>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</si>
  <si>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</si>
  <si>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</si>
  <si>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</si>
  <si>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</si>
  <si>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</si>
  <si>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</si>
  <si>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</si>
  <si>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</si>
  <si>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</si>
  <si>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</si>
  <si>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</si>
  <si>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</si>
  <si>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</si>
  <si>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</si>
  <si>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</si>
  <si>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</si>
  <si>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</si>
  <si>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</si>
  <si>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</si>
  <si>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</si>
  <si>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</si>
  <si>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</si>
  <si>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</si>
  <si>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</si>
  <si>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</si>
  <si>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</si>
  <si>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</si>
  <si>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</si>
  <si>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</si>
  <si>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</si>
  <si>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</si>
  <si>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</si>
  <si>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</si>
  <si>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</si>
  <si>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</si>
  <si>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</si>
  <si>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</si>
  <si>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</si>
  <si>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</si>
  <si>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</si>
  <si>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</si>
  <si>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</si>
  <si>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</si>
  <si>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</si>
  <si>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</si>
  <si>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</si>
  <si>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</si>
  <si>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</si>
  <si>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</si>
  <si>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</si>
  <si>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</si>
  <si>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</si>
  <si>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</si>
  <si>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</si>
  <si>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</si>
  <si>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</si>
  <si>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</si>
  <si>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</si>
  <si>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</si>
  <si>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</si>
  <si>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</si>
  <si>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</si>
  <si>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</si>
  <si>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</si>
  <si>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</si>
  <si>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</si>
  <si>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</si>
  <si>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</si>
  <si>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</si>
  <si>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</si>
  <si>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</si>
  <si>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</si>
  <si>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</si>
  <si>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</si>
  <si>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</si>
  <si>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</si>
  <si>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</si>
  <si>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</si>
  <si>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</si>
  <si>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</si>
  <si>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</si>
  <si>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</si>
  <si>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</si>
  <si>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</si>
  <si>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</si>
  <si>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</si>
  <si>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</si>
  <si>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</si>
  <si>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</si>
  <si>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</si>
  <si>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</si>
  <si>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</si>
  <si>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</si>
  <si>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</si>
  <si>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</si>
  <si>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</si>
  <si>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</si>
  <si>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</si>
  <si>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</si>
  <si>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</si>
  <si>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</si>
  <si>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</si>
  <si>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</si>
  <si>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</si>
  <si>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</si>
  <si>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</si>
  <si>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</si>
  <si>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</si>
  <si>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</si>
  <si>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</si>
  <si>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</si>
  <si>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</si>
  <si>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</si>
  <si>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</si>
  <si>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</si>
  <si>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</si>
  <si>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</si>
  <si>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</si>
  <si>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</si>
  <si>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</si>
  <si>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</si>
  <si>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</si>
  <si>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</si>
  <si>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</si>
  <si>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</si>
  <si>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</si>
  <si>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</si>
  <si>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</si>
  <si>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</si>
  <si>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</si>
  <si>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</si>
  <si>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</si>
  <si>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</si>
  <si>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</si>
  <si>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</si>
  <si>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</si>
  <si>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</si>
  <si>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</si>
  <si>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</si>
  <si>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</si>
  <si>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</si>
  <si>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</si>
  <si>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</si>
  <si>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</si>
  <si>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</si>
  <si>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</si>
  <si>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</si>
  <si>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</si>
  <si>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</si>
  <si>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</si>
  <si>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</si>
  <si>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</si>
  <si>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</si>
  <si>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</si>
  <si>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</si>
  <si>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</si>
  <si>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</si>
  <si>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</si>
  <si>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</si>
  <si>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</si>
  <si>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</si>
  <si>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</si>
  <si>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</si>
  <si>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</si>
  <si>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</si>
  <si>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</si>
  <si>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</si>
  <si>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</si>
  <si>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</si>
  <si>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</si>
  <si>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</si>
  <si>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</si>
  <si>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</si>
  <si>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</si>
  <si>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</si>
  <si>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</si>
  <si>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</si>
  <si>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</si>
  <si>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</si>
  <si>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</si>
  <si>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</si>
  <si>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</si>
  <si>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</si>
  <si>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</si>
  <si>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</si>
  <si>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</si>
  <si>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</si>
  <si>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</si>
  <si>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</si>
  <si>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</si>
  <si>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</si>
  <si>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</si>
  <si>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</si>
  <si>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</si>
  <si>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</si>
  <si>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</si>
  <si>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</si>
  <si>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</si>
  <si>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</si>
  <si>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</si>
  <si>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</si>
  <si>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</si>
  <si>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</si>
  <si>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</si>
  <si>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</si>
  <si>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</si>
  <si>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</si>
  <si>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</si>
  <si>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</si>
  <si>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</si>
  <si>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</si>
  <si>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</si>
  <si>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</si>
  <si>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</si>
  <si>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</si>
  <si>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</si>
  <si>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</si>
  <si>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</si>
  <si>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</si>
  <si>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</si>
  <si>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</si>
  <si>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</si>
  <si>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</si>
  <si>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</si>
  <si>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</si>
  <si>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</si>
  <si>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</si>
  <si>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</si>
  <si>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</si>
  <si>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</si>
  <si>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</si>
  <si>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</si>
  <si>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</si>
  <si>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</si>
  <si>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</si>
  <si>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</si>
  <si>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</si>
  <si>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</si>
  <si>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</si>
  <si>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</si>
  <si>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</si>
  <si>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</si>
  <si>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</si>
  <si>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</si>
  <si>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</si>
  <si>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</si>
  <si>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</si>
  <si>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</si>
  <si>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</si>
  <si>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</si>
  <si>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</si>
  <si>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</si>
  <si>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</si>
  <si>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</si>
  <si>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</si>
  <si>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</si>
  <si>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</si>
  <si>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</si>
  <si>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</si>
  <si>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</si>
  <si>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</si>
  <si>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</si>
  <si>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</si>
  <si>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</si>
  <si>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</si>
  <si>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</si>
  <si>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</si>
  <si>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</si>
  <si>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</si>
  <si>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</si>
  <si>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</si>
  <si>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</si>
  <si>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</si>
  <si>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</si>
  <si>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</si>
  <si>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</si>
  <si>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</si>
  <si>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</si>
  <si>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</si>
  <si>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</si>
  <si>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</si>
  <si>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</si>
  <si>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</si>
  <si>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</si>
  <si>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</si>
  <si>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</si>
  <si>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</si>
  <si>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</si>
  <si>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</si>
  <si>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</si>
  <si>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</si>
  <si>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</si>
  <si>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</si>
  <si>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</si>
  <si>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</si>
  <si>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</si>
  <si>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</si>
  <si>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</si>
  <si>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</si>
  <si>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</si>
  <si>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</si>
  <si>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</si>
  <si>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</si>
  <si>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</si>
  <si>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</si>
  <si>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</si>
  <si>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</si>
  <si>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</si>
  <si>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</si>
  <si>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</si>
  <si>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</si>
  <si>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</si>
  <si>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</si>
  <si>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</si>
  <si>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</si>
  <si>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</si>
  <si>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</si>
  <si>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</si>
  <si>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</si>
  <si>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</si>
  <si>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</si>
  <si>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</si>
  <si>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</si>
  <si>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</si>
  <si>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</si>
  <si>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</si>
  <si>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</si>
  <si>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</si>
  <si>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</si>
  <si>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</si>
  <si>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</si>
  <si>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</si>
  <si>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</si>
  <si>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</si>
  <si>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</si>
  <si>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</si>
  <si>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</si>
  <si>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</si>
  <si>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</si>
  <si>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</si>
  <si>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</si>
  <si>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</si>
  <si>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</si>
  <si>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</si>
  <si>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</si>
  <si>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</si>
  <si>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</si>
  <si>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</si>
  <si>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</si>
  <si>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</si>
  <si>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</si>
  <si>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</si>
  <si>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</si>
  <si>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</si>
  <si>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</si>
  <si>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</si>
  <si>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</si>
  <si>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</si>
  <si>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</si>
  <si>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</si>
  <si>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</si>
  <si>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</si>
  <si>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</si>
  <si>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</si>
  <si>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</si>
  <si>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</si>
  <si>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</si>
  <si>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</si>
  <si>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</si>
  <si>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</si>
  <si>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</si>
  <si>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</si>
  <si>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</si>
  <si>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</si>
  <si>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</si>
  <si>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</si>
  <si>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</si>
  <si>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</si>
  <si>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</si>
  <si>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</si>
  <si>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</si>
  <si>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</si>
  <si>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</si>
  <si>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</si>
  <si>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</si>
  <si>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</si>
  <si>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</si>
  <si>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</si>
  <si>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</si>
  <si>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</si>
  <si>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</si>
  <si>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</si>
  <si>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</si>
  <si>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</si>
  <si>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</si>
  <si>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</si>
  <si>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</si>
  <si>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</si>
  <si>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</si>
  <si>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</si>
  <si>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</si>
  <si>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</si>
  <si>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</si>
  <si>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</si>
  <si>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</si>
  <si>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</si>
  <si>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</si>
  <si>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</si>
  <si>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</si>
  <si>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</si>
  <si>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</si>
  <si>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</si>
  <si>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</si>
  <si>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</si>
  <si>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</si>
  <si>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</si>
  <si>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</si>
  <si>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</si>
  <si>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</si>
  <si>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</si>
  <si>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</si>
  <si>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</si>
  <si>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</si>
  <si>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</si>
  <si>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</si>
  <si>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</si>
  <si>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</si>
  <si>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</si>
  <si>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</si>
  <si>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</si>
  <si>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</si>
  <si>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</si>
  <si>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</si>
  <si>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</si>
  <si>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</si>
  <si>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</si>
  <si>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</si>
  <si>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</si>
  <si>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</si>
  <si>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</si>
  <si>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</si>
  <si>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</si>
  <si>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</si>
  <si>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</si>
  <si>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</si>
  <si>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</si>
  <si>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</si>
  <si>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</si>
  <si>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</si>
  <si>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</si>
  <si>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</si>
  <si>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</si>
  <si>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</si>
  <si>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</si>
  <si>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</si>
  <si>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</si>
  <si>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</si>
  <si>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</si>
  <si>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</si>
  <si>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</si>
  <si>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</si>
  <si>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</si>
  <si>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</si>
  <si>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</si>
  <si>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</si>
  <si>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</si>
  <si>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</si>
  <si>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</si>
  <si>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</si>
  <si>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</si>
  <si>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</si>
  <si>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</si>
  <si>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</si>
  <si>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</si>
  <si>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</si>
  <si>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</si>
  <si>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</si>
  <si>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</si>
  <si>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</si>
  <si>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</si>
  <si>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</si>
  <si>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</si>
  <si>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</si>
  <si>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</si>
  <si>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</si>
  <si>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</si>
  <si>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</si>
  <si>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</si>
  <si>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</si>
  <si>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</si>
  <si>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</si>
  <si>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</si>
  <si>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</si>
  <si>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</si>
  <si>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</si>
  <si>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</si>
  <si>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</si>
  <si>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</si>
  <si>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</si>
  <si>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</si>
  <si>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</si>
  <si>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</si>
  <si>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</si>
  <si>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</si>
  <si>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</si>
  <si>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</si>
  <si>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</si>
  <si>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</si>
  <si>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</si>
  <si>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</si>
  <si>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</si>
  <si>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</si>
  <si>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</si>
  <si>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</si>
  <si>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</si>
  <si>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</si>
  <si>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</si>
  <si>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</si>
  <si>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</si>
  <si>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</si>
  <si>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</si>
  <si>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</si>
  <si>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</si>
  <si>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</si>
  <si>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</si>
  <si>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</si>
  <si>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</si>
  <si>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</si>
  <si>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</si>
  <si>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</si>
  <si>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</si>
  <si>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</si>
  <si>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</si>
  <si>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</si>
  <si>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</si>
  <si>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</si>
  <si>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</si>
  <si>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</si>
  <si>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</si>
  <si>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</si>
  <si>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</si>
  <si>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</si>
  <si>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</si>
  <si>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</si>
  <si>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</si>
  <si>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</si>
  <si>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</si>
  <si>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</si>
  <si>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</si>
  <si>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</si>
  <si>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</si>
  <si>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</si>
  <si>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</si>
  <si>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</si>
  <si>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</si>
  <si>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</si>
  <si>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</si>
  <si>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</si>
  <si>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</si>
  <si>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</si>
  <si>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</si>
  <si>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</si>
  <si>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</si>
  <si>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</si>
  <si>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</si>
  <si>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</si>
  <si>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</si>
  <si>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</si>
  <si>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</si>
  <si>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</si>
  <si>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</si>
  <si>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</si>
  <si>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</si>
  <si>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</si>
  <si>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</si>
  <si>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</si>
  <si>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</si>
  <si>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</si>
  <si>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</si>
  <si>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</si>
  <si>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</si>
  <si>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</si>
  <si>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</si>
  <si>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</si>
  <si>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</si>
  <si>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</si>
  <si>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</si>
  <si>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</si>
  <si>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</si>
  <si>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</si>
  <si>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</si>
  <si>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</si>
  <si>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</si>
  <si>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</si>
  <si>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</si>
  <si>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</si>
  <si>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</si>
  <si>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</si>
  <si>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</si>
  <si>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</si>
  <si>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</si>
  <si>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</si>
  <si>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</si>
  <si>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</si>
  <si>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</si>
  <si>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</si>
  <si>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</si>
  <si>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</si>
  <si>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</si>
  <si>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</si>
  <si>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</si>
  <si>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</si>
  <si>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</si>
  <si>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</si>
  <si>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</si>
  <si>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</si>
  <si>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</si>
  <si>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</si>
  <si>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</si>
  <si>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</si>
  <si>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</si>
  <si>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</si>
  <si>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</si>
  <si>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</si>
  <si>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</si>
  <si>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</si>
  <si>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</si>
  <si>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</si>
  <si>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</si>
  <si>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</si>
  <si>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</si>
  <si>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</si>
  <si>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</si>
  <si>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</si>
  <si>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</si>
  <si>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</si>
  <si>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</si>
  <si>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</si>
  <si>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</si>
  <si>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</si>
  <si>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</si>
  <si>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</si>
  <si>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</si>
  <si>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</si>
  <si>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</si>
  <si>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</si>
  <si>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</si>
  <si>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</si>
  <si>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</si>
  <si>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</si>
  <si>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</si>
  <si>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</si>
  <si>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</si>
  <si>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</si>
  <si>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</si>
  <si>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</si>
  <si>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</si>
  <si>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</si>
  <si>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</si>
  <si>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</si>
  <si>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</si>
  <si>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</si>
  <si>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</si>
  <si>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</si>
  <si>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</si>
  <si>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</si>
  <si>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</si>
  <si>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</si>
  <si>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</si>
  <si>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</si>
  <si>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</si>
  <si>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</si>
  <si>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</si>
  <si>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</si>
  <si>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</si>
  <si>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</si>
  <si>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</si>
  <si>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</si>
  <si>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</si>
  <si>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</si>
  <si>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</si>
  <si>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</si>
  <si>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</si>
  <si>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</si>
  <si>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</si>
  <si>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</si>
  <si>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</si>
  <si>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</si>
  <si>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</si>
  <si>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</si>
  <si>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</si>
  <si>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</si>
  <si>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</si>
  <si>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</si>
  <si>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</si>
  <si>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</si>
  <si>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</si>
  <si>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</si>
  <si>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</si>
  <si>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</si>
  <si>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</si>
  <si>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</si>
  <si>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</si>
  <si>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</si>
  <si>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</si>
  <si>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</si>
  <si>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</si>
  <si>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</si>
  <si>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</si>
  <si>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</si>
  <si>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</si>
  <si>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</si>
  <si>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</si>
  <si>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</si>
  <si>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</si>
  <si>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</si>
  <si>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</si>
  <si>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</si>
  <si>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</si>
  <si>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</si>
  <si>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</si>
  <si>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</si>
  <si>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</si>
  <si>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</si>
  <si>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</si>
  <si>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</si>
  <si>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</si>
  <si>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</si>
  <si>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</si>
  <si>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</si>
  <si>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</si>
  <si>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</si>
  <si>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</si>
  <si>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</si>
  <si>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</si>
  <si>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</si>
  <si>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</si>
  <si>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</si>
  <si>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</si>
  <si>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</si>
  <si>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</si>
  <si>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</si>
  <si>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</si>
  <si>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</si>
  <si>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</si>
  <si>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</si>
  <si>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</si>
  <si>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</si>
  <si>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</si>
  <si>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</si>
  <si>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</si>
  <si>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</si>
  <si>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</si>
  <si>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</si>
  <si>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</si>
  <si>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</si>
  <si>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</si>
  <si>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</si>
  <si>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</si>
  <si>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</si>
  <si>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</si>
  <si>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</si>
  <si>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</si>
  <si>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</si>
  <si>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</si>
  <si>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</si>
  <si>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</si>
  <si>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</si>
  <si>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</si>
  <si>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</si>
  <si>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</si>
  <si>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</si>
  <si>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</si>
  <si>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</si>
  <si>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</si>
  <si>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</si>
  <si>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</si>
  <si>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</si>
  <si>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</si>
  <si>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</si>
  <si>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</si>
  <si>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</si>
  <si>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</si>
  <si>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</si>
  <si>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</si>
  <si>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</si>
  <si>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</si>
  <si>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</si>
  <si>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</si>
  <si>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</si>
  <si>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</si>
  <si>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</si>
  <si>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</si>
  <si>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</si>
  <si>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</si>
  <si>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</si>
  <si>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</si>
  <si>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</si>
  <si>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</si>
  <si>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</si>
  <si>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</si>
  <si>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</si>
  <si>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</si>
  <si>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</si>
  <si>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</si>
  <si>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</si>
  <si>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</si>
  <si>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</si>
  <si>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</si>
  <si>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</si>
  <si>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</si>
  <si>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</si>
  <si>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</si>
  <si>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</si>
  <si>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</si>
  <si>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</si>
  <si>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</si>
  <si>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</si>
  <si>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</si>
  <si>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</si>
  <si>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</si>
  <si>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</si>
  <si>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</si>
  <si>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</si>
  <si>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</si>
  <si>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</si>
  <si>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</si>
  <si>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</si>
  <si>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</si>
  <si>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</si>
  <si>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</si>
  <si>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</si>
  <si>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</si>
  <si>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</si>
  <si>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</si>
  <si>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</si>
  <si>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</si>
  <si>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</si>
  <si>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</si>
  <si>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</si>
  <si>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</si>
  <si>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</si>
  <si>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</si>
  <si>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</si>
  <si>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</si>
  <si>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</si>
  <si>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</si>
  <si>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</si>
  <si>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</si>
  <si>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</si>
  <si>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</si>
  <si>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</si>
  <si>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</si>
  <si>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</si>
  <si>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</si>
  <si>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</si>
  <si>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</si>
  <si>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</si>
  <si>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</si>
  <si>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</si>
  <si>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</si>
  <si>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</si>
  <si>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</si>
  <si>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</si>
  <si>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</si>
  <si>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</si>
  <si>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</si>
  <si>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</si>
  <si>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</si>
  <si>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</si>
  <si>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</si>
  <si>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</si>
  <si>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</si>
  <si>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</si>
  <si>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</si>
  <si>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</si>
  <si>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</si>
  <si>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</si>
  <si>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</si>
  <si>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</si>
  <si>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</si>
  <si>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</si>
  <si>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</si>
  <si>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</si>
  <si>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</si>
  <si>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</si>
  <si>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</si>
  <si>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</si>
  <si>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</si>
  <si>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</si>
  <si>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</si>
  <si>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</si>
  <si>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</si>
  <si>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</si>
  <si>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</si>
  <si>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</si>
  <si>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</si>
  <si>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</si>
  <si>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</si>
  <si>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</si>
  <si>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</si>
  <si>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</si>
  <si>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</si>
  <si>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</si>
  <si>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</si>
  <si>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</si>
  <si>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</si>
  <si>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</si>
  <si>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</si>
  <si>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</si>
  <si>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</si>
  <si>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</si>
  <si>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</si>
  <si>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</si>
  <si>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</si>
  <si>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</si>
  <si>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</si>
  <si>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</si>
  <si>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</si>
  <si>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</si>
  <si>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</si>
  <si>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</si>
  <si>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</si>
  <si>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</si>
  <si>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</si>
  <si>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</si>
  <si>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</si>
  <si>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</si>
  <si>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</si>
  <si>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</si>
  <si>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</si>
  <si>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</si>
  <si>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</si>
  <si>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</si>
  <si>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</si>
  <si>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</si>
  <si>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</si>
  <si>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</si>
  <si>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</si>
  <si>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</si>
  <si>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</si>
  <si>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</si>
  <si>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</si>
  <si>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</si>
  <si>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</si>
  <si>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</si>
  <si>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</si>
  <si>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</si>
  <si>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</si>
  <si>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</si>
  <si>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</si>
  <si>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</si>
  <si>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</si>
  <si>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</si>
  <si>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</si>
  <si>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</si>
  <si>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</si>
  <si>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</si>
  <si>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</si>
  <si>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</si>
  <si>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</si>
  <si>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</si>
  <si>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</si>
  <si>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</si>
  <si>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</si>
  <si>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</si>
  <si>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</si>
  <si>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</si>
  <si>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</si>
  <si>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</si>
  <si>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</si>
  <si>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</si>
  <si>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</si>
  <si>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</si>
  <si>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</si>
  <si>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</si>
  <si>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</si>
  <si>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</si>
  <si>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</si>
  <si>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</si>
  <si>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</si>
  <si>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</si>
  <si>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</si>
  <si>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</si>
  <si>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</si>
  <si>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</si>
  <si>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</si>
  <si>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</si>
  <si>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</si>
  <si>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</si>
  <si>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</si>
  <si>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</si>
  <si>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</si>
  <si>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</si>
  <si>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</si>
  <si>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</si>
  <si>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</si>
  <si>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</si>
  <si>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</si>
  <si>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</si>
  <si>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</si>
  <si>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</si>
  <si>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</si>
  <si>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</si>
  <si>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</si>
  <si>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</si>
  <si>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</si>
  <si>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</si>
  <si>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</si>
  <si>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</si>
  <si>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</si>
  <si>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</si>
  <si>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</si>
  <si>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</si>
  <si>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</si>
  <si>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</si>
  <si>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</si>
  <si>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</si>
  <si>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</si>
  <si>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</si>
  <si>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</si>
  <si>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</si>
  <si>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</si>
  <si>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</si>
  <si>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</si>
  <si>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</si>
  <si>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</si>
  <si>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</si>
  <si>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</si>
  <si>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</si>
  <si>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</si>
  <si>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</si>
  <si>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</si>
  <si>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</si>
  <si>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</si>
  <si>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</si>
  <si>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</si>
  <si>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</si>
  <si>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</si>
  <si>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</si>
  <si>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</si>
  <si>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</si>
  <si>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</si>
  <si>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</si>
  <si>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</si>
  <si>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</si>
  <si>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</si>
  <si>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</si>
  <si>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</si>
  <si>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</si>
  <si>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</si>
  <si>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</si>
  <si>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</si>
  <si>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</si>
  <si>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</si>
  <si>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</si>
  <si>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</si>
  <si>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</si>
  <si>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</si>
  <si>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</si>
  <si>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</si>
  <si>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</si>
  <si>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</si>
  <si>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</si>
  <si>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</si>
  <si>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</si>
  <si>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</si>
  <si>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</si>
  <si>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</si>
  <si>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</si>
  <si>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</si>
  <si>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</si>
  <si>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</si>
  <si>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</si>
  <si>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</si>
  <si>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</si>
  <si>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</si>
  <si>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</si>
  <si>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</si>
  <si>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</si>
  <si>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</si>
  <si>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</si>
  <si>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</si>
  <si>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</si>
  <si>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</si>
  <si>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</si>
  <si>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</si>
  <si>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</si>
  <si>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</si>
  <si>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</si>
  <si>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</si>
  <si>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</si>
  <si>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</si>
  <si>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</si>
  <si>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</si>
  <si>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</si>
  <si>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</si>
  <si>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</si>
  <si>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</si>
  <si>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</si>
  <si>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</si>
  <si>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</si>
  <si>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</si>
  <si>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</si>
  <si>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</si>
  <si>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</si>
  <si>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</si>
  <si>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</si>
  <si>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</si>
  <si>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</si>
  <si>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</si>
  <si>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</si>
  <si>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</si>
  <si>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</si>
  <si>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</si>
  <si>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</si>
  <si>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</si>
  <si>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</si>
  <si>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</si>
  <si>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</si>
  <si>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</si>
  <si>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</si>
  <si>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</si>
  <si>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</si>
  <si>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</si>
  <si>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</si>
  <si>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</si>
  <si>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</si>
  <si>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</si>
  <si>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</si>
  <si>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</si>
  <si>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</si>
  <si>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</si>
  <si>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</si>
  <si>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</si>
  <si>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</si>
  <si>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</si>
  <si>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</si>
  <si>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</si>
  <si>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</si>
  <si>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</si>
  <si>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</si>
  <si>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</si>
  <si>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</si>
  <si>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</si>
  <si>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</si>
  <si>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</si>
  <si>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</si>
  <si>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</si>
  <si>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</si>
  <si>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</si>
  <si>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</si>
  <si>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</si>
  <si>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</si>
  <si>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</si>
  <si>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</si>
  <si>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</si>
  <si>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</si>
  <si>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</si>
  <si>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</si>
  <si>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</si>
  <si>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</si>
  <si>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</si>
  <si>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</si>
  <si>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</si>
  <si>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</si>
  <si>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</si>
  <si>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</si>
  <si>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</si>
  <si>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</si>
  <si>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</si>
  <si>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</si>
  <si>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</si>
  <si>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</si>
  <si>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</si>
  <si>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</si>
  <si>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</si>
  <si>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</si>
  <si>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</si>
  <si>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</si>
  <si>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</si>
  <si>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</si>
  <si>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</si>
  <si>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</si>
  <si>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</si>
  <si>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</si>
  <si>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</si>
  <si>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</si>
  <si>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</si>
  <si>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</si>
  <si>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</si>
  <si>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</si>
  <si>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</si>
  <si>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</si>
  <si>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</si>
  <si>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</si>
  <si>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</si>
  <si>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</si>
  <si>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</si>
  <si>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</si>
  <si>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</si>
  <si>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</si>
  <si>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</si>
  <si>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</si>
  <si>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</si>
  <si>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</si>
  <si>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</si>
  <si>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</si>
  <si>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</si>
  <si>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</si>
  <si>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</si>
  <si>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</si>
  <si>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</si>
  <si>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</si>
  <si>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</si>
  <si>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</si>
  <si>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</si>
  <si>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</si>
  <si>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</si>
  <si>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</si>
  <si>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</si>
  <si>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</si>
  <si>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</si>
  <si>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</si>
  <si>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</si>
  <si>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</si>
  <si>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</si>
  <si>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</si>
  <si>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</si>
  <si>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</si>
  <si>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</si>
  <si>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</si>
  <si>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</si>
  <si>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</si>
  <si>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</si>
  <si>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</si>
  <si>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</si>
  <si>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</si>
  <si>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</si>
  <si>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</si>
  <si>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</si>
  <si>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</si>
  <si>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</si>
  <si>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</si>
  <si>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</si>
  <si>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</si>
  <si>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</si>
  <si>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</si>
  <si>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</si>
  <si>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</si>
  <si>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</si>
  <si>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</si>
  <si>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</si>
  <si>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</si>
  <si>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</si>
  <si>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</si>
  <si>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</si>
  <si>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</si>
  <si>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</si>
  <si>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</si>
  <si>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</si>
  <si>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</si>
  <si>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</si>
  <si>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</si>
  <si>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</si>
  <si>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</si>
  <si>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</si>
  <si>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</si>
  <si>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</si>
  <si>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</si>
  <si>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</si>
  <si>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</si>
  <si>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</si>
  <si>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</si>
  <si>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</si>
  <si>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</si>
  <si>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</si>
  <si>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</si>
  <si>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</si>
  <si>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</si>
  <si>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</si>
  <si>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</si>
  <si>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</si>
  <si>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</si>
  <si>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</si>
  <si>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</si>
  <si>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</si>
  <si>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</si>
  <si>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</si>
  <si>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</si>
  <si>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</si>
  <si>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</si>
  <si>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</si>
  <si>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</si>
  <si>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</si>
  <si>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</si>
  <si>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</si>
  <si>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</si>
  <si>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</si>
  <si>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</si>
  <si>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</si>
  <si>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</si>
  <si>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</si>
  <si>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</si>
  <si>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</si>
  <si>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</si>
  <si>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</si>
  <si>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</si>
  <si>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</si>
  <si>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</si>
  <si>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</si>
  <si>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</si>
  <si>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</si>
  <si>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</si>
  <si>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</si>
  <si>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</si>
  <si>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</si>
  <si>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</si>
  <si>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</si>
  <si>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</si>
  <si>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</si>
  <si>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</si>
  <si>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</si>
  <si>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</si>
  <si>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</si>
  <si>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</si>
  <si>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</si>
  <si>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</si>
  <si>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</si>
  <si>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</si>
  <si>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</si>
  <si>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</si>
  <si>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</si>
  <si>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</si>
  <si>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</si>
  <si>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</si>
  <si>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</si>
  <si>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</si>
  <si>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</si>
  <si>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</si>
  <si>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</si>
  <si>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</si>
  <si>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</si>
  <si>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</si>
  <si>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</si>
  <si>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</si>
  <si>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</si>
  <si>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</si>
  <si>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</si>
  <si>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</si>
  <si>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</si>
  <si>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</si>
  <si>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</si>
  <si>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</si>
  <si>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</si>
  <si>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</si>
  <si>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</si>
  <si>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</si>
  <si>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</si>
  <si>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</si>
  <si>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</si>
  <si>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</si>
  <si>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</si>
  <si>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</si>
  <si>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</si>
  <si>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</si>
  <si>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</si>
  <si>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</si>
  <si>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</si>
  <si>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</si>
  <si>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</si>
  <si>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</si>
  <si>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</si>
  <si>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</si>
  <si>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</si>
  <si>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</si>
  <si>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</si>
  <si>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</si>
  <si>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</si>
  <si>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</si>
  <si>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</si>
  <si>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</si>
  <si>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</si>
  <si>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</si>
  <si>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</si>
  <si>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</si>
  <si>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</si>
  <si>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</si>
  <si>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</si>
  <si>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</si>
  <si>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</si>
  <si>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</si>
  <si>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</si>
  <si>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</si>
  <si>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</si>
  <si>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</si>
  <si>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</si>
  <si>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</si>
  <si>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</si>
  <si>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</si>
  <si>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</si>
  <si>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</si>
  <si>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</si>
  <si>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</si>
  <si>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</si>
  <si>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</si>
  <si>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</si>
  <si>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</si>
  <si>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</si>
  <si>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</si>
  <si>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</si>
  <si>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</si>
  <si>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</si>
  <si>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</si>
  <si>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</si>
  <si>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</si>
  <si>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</si>
  <si>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</si>
  <si>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</si>
  <si>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</si>
  <si>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</si>
  <si>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</si>
  <si>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</si>
  <si>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</si>
  <si>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</si>
  <si>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</si>
  <si>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</si>
  <si>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</si>
  <si>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</si>
  <si>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</si>
  <si>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</si>
  <si>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</si>
  <si>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</si>
  <si>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</si>
  <si>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</si>
  <si>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</si>
  <si>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</si>
  <si>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</si>
  <si>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</si>
  <si>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</si>
  <si>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</si>
  <si>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</si>
  <si>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</si>
  <si>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</si>
  <si>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</si>
  <si>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</si>
  <si>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</si>
  <si>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</si>
  <si>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</si>
  <si>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</si>
  <si>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</si>
  <si>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</si>
  <si>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</si>
  <si>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</si>
  <si>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</si>
  <si>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</si>
  <si>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</si>
  <si>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</si>
  <si>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</si>
  <si>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</si>
  <si>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</si>
  <si>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</si>
  <si>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</si>
  <si>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</si>
  <si>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</si>
  <si>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</si>
  <si>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</si>
  <si>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</si>
  <si>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</si>
  <si>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</si>
  <si>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</si>
  <si>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</si>
  <si>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</si>
  <si>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</si>
  <si>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</si>
  <si>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</si>
  <si>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</si>
  <si>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</si>
  <si>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</si>
  <si>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</si>
  <si>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</si>
  <si>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</si>
  <si>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</si>
  <si>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</si>
  <si>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</si>
  <si>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</si>
  <si>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</si>
  <si>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</si>
  <si>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</si>
  <si>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</si>
  <si>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</si>
  <si>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</si>
  <si>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</si>
  <si>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</si>
  <si>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</si>
  <si>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</si>
  <si>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</si>
  <si>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</si>
  <si>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</si>
  <si>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</si>
  <si>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</si>
  <si>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</si>
  <si>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</si>
  <si>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</si>
  <si>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</si>
  <si>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</si>
  <si>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</si>
  <si>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</si>
  <si>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</si>
  <si>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</si>
  <si>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</si>
  <si>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</si>
  <si>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</si>
  <si>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</si>
  <si>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</si>
  <si>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</si>
  <si>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</si>
  <si>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</si>
  <si>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</si>
  <si>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</si>
  <si>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</si>
  <si>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</si>
  <si>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</si>
  <si>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</si>
  <si>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</si>
  <si>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</si>
  <si>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</si>
  <si>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</si>
  <si>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</si>
  <si>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</si>
  <si>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</si>
  <si>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</si>
  <si>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</si>
  <si>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</si>
  <si>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</si>
  <si>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</si>
  <si>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</si>
  <si>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</si>
  <si>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</si>
  <si>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</si>
  <si>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</si>
  <si>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</si>
  <si>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</si>
  <si>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</si>
  <si>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</si>
  <si>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</si>
  <si>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</si>
  <si>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</si>
  <si>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</si>
  <si>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</si>
  <si>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</si>
  <si>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</si>
  <si>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</si>
  <si>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</si>
  <si>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</si>
  <si>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</si>
  <si>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</si>
  <si>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</si>
  <si>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</si>
  <si>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</si>
  <si>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</si>
  <si>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</si>
  <si>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</si>
  <si>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</si>
  <si>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</si>
  <si>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</si>
  <si>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</si>
  <si>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</si>
  <si>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</si>
  <si>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</si>
  <si>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</si>
  <si>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</si>
  <si>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</si>
  <si>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</si>
  <si>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</si>
  <si>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</si>
  <si>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</si>
  <si>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</si>
  <si>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</si>
  <si>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</si>
  <si>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</si>
  <si>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</si>
  <si>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</si>
  <si>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</si>
  <si>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</si>
  <si>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</si>
  <si>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</si>
  <si>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</si>
  <si>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</si>
  <si>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</si>
  <si>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</si>
  <si>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</si>
  <si>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</si>
  <si>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</si>
  <si>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</si>
  <si>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</si>
  <si>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</si>
  <si>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</si>
  <si>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</si>
  <si>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</si>
  <si>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</si>
  <si>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</si>
  <si>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</si>
  <si>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</si>
  <si>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</si>
  <si>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</si>
  <si>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</si>
  <si>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</si>
  <si>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</si>
  <si>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</si>
  <si>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</si>
  <si>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</si>
  <si>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</si>
  <si>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</si>
  <si>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</si>
  <si>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</si>
  <si>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</si>
  <si>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</si>
  <si>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</si>
  <si>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</si>
  <si>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</si>
  <si>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</si>
  <si>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</si>
  <si>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</si>
  <si>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</si>
  <si>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</si>
  <si>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</si>
  <si>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</si>
  <si>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</si>
  <si>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</si>
  <si>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</si>
  <si>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</si>
  <si>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</si>
  <si>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</si>
  <si>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</si>
  <si>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</si>
  <si>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</si>
  <si>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</si>
  <si>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</si>
  <si>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</si>
  <si>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</si>
  <si>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</si>
  <si>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</si>
  <si>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</si>
  <si>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</si>
  <si>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</si>
  <si>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</si>
  <si>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</si>
  <si>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</si>
  <si>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</si>
  <si>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</si>
  <si>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</si>
  <si>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</si>
  <si>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</si>
  <si>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</si>
  <si>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</si>
  <si>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</si>
  <si>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</si>
  <si>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</si>
  <si>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</si>
  <si>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</si>
  <si>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</si>
  <si>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</si>
  <si>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</si>
  <si>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</si>
  <si>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</si>
  <si>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</si>
  <si>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</si>
  <si>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</si>
  <si>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</si>
  <si>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</si>
  <si>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</si>
  <si>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</si>
  <si>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</si>
  <si>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</si>
  <si>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</si>
  <si>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</si>
  <si>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</si>
  <si>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</si>
  <si>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</si>
  <si>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</si>
  <si>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</si>
  <si>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</si>
  <si>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</si>
  <si>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</si>
  <si>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</si>
  <si>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</si>
  <si>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</si>
  <si>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</si>
  <si>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</si>
  <si>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</si>
  <si>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</si>
  <si>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</si>
  <si>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</si>
  <si>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</si>
  <si>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</si>
  <si>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</si>
  <si>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</si>
  <si>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</si>
  <si>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</si>
  <si>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</si>
  <si>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</si>
  <si>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</si>
  <si>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</si>
  <si>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</si>
  <si>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</si>
  <si>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</si>
  <si>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</si>
  <si>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</si>
  <si>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</si>
  <si>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</si>
  <si>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</si>
  <si>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</si>
  <si>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</si>
  <si>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</si>
  <si>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</si>
  <si>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</si>
  <si>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</si>
  <si>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</si>
  <si>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</si>
  <si>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</si>
  <si>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</si>
  <si>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</si>
  <si>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</si>
  <si>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</si>
  <si>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</si>
  <si>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</si>
  <si>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</si>
  <si>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</si>
  <si>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</si>
  <si>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</si>
  <si>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</si>
  <si>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</si>
  <si>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</si>
  <si>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</si>
  <si>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</si>
  <si>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</si>
  <si>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</si>
  <si>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</si>
  <si>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</si>
  <si>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</si>
  <si>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</si>
  <si>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</si>
  <si>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</si>
  <si>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</si>
  <si>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</si>
  <si>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</si>
  <si>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</si>
  <si>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</si>
  <si>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</si>
  <si>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</si>
  <si>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</si>
  <si>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</si>
  <si>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</si>
  <si>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</si>
  <si>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</si>
  <si>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</si>
  <si>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</si>
  <si>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</si>
  <si>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</si>
  <si>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</si>
  <si>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</si>
  <si>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</si>
  <si>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</si>
  <si>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</si>
  <si>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</si>
  <si>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</si>
  <si>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</si>
  <si>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</si>
  <si>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</si>
  <si>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</si>
  <si>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</si>
  <si>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</si>
  <si>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</si>
  <si>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</si>
  <si>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</si>
  <si>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</si>
  <si>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</si>
  <si>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</si>
  <si>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</si>
  <si>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</si>
  <si>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</si>
  <si>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</si>
  <si>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</si>
  <si>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</si>
  <si>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</si>
  <si>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</si>
  <si>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</si>
  <si>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</si>
  <si>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</si>
  <si>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</si>
  <si>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</si>
  <si>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</si>
  <si>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</si>
  <si>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</si>
  <si>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</si>
  <si>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</si>
  <si>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</si>
  <si>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</si>
  <si>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</si>
  <si>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</si>
  <si>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</si>
  <si>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</si>
  <si>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</si>
  <si>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</si>
  <si>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</si>
  <si>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</si>
  <si>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</si>
  <si>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</si>
  <si>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</si>
  <si>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</si>
  <si>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</si>
  <si>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</si>
  <si>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</si>
  <si>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</si>
  <si>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</si>
  <si>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</si>
  <si>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</si>
  <si>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</si>
  <si>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</si>
  <si>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</si>
  <si>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</si>
  <si>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</si>
  <si>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</si>
  <si>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</si>
  <si>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</si>
  <si>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</si>
  <si>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</si>
  <si>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</si>
  <si>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</si>
  <si>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</si>
  <si>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</si>
  <si>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</si>
  <si>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</si>
  <si>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</si>
  <si>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</si>
  <si>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</si>
  <si>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</si>
  <si>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</si>
  <si>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</si>
  <si>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</si>
  <si>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</si>
  <si>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</si>
  <si>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</si>
  <si>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</si>
  <si>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</si>
  <si>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</si>
  <si>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</si>
  <si>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</si>
  <si>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</si>
  <si>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</si>
  <si>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</si>
  <si>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</si>
  <si>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</si>
  <si>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</si>
  <si>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</si>
  <si>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</si>
  <si>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</si>
  <si>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</si>
  <si>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</si>
  <si>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</si>
  <si>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</si>
  <si>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</si>
  <si>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</si>
  <si>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</si>
  <si>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</si>
  <si>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</si>
  <si>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</si>
  <si>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</si>
  <si>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</si>
  <si>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</si>
  <si>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</si>
  <si>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</si>
  <si>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</si>
  <si>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</si>
  <si>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</si>
  <si>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</si>
  <si>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</si>
  <si>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</si>
  <si>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</si>
  <si>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</si>
  <si>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</si>
  <si>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</si>
  <si>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</si>
  <si>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</si>
  <si>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</si>
  <si>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</si>
  <si>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</si>
  <si>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</si>
  <si>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</si>
  <si>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</si>
  <si>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</si>
  <si>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</si>
  <si>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</si>
  <si>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</si>
  <si>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</si>
  <si>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</si>
  <si>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</si>
  <si>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</si>
  <si>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</si>
  <si>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</si>
  <si>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</si>
  <si>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</si>
  <si>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</si>
  <si>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</si>
  <si>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</si>
  <si>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</si>
  <si>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</si>
  <si>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</si>
  <si>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</si>
  <si>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</si>
  <si>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</si>
  <si>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</si>
  <si>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</si>
  <si>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</si>
  <si>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</si>
  <si>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</si>
  <si>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</si>
  <si>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</si>
  <si>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</si>
  <si>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</si>
  <si>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</si>
  <si>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</si>
  <si>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</si>
  <si>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</si>
  <si>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</si>
  <si>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</si>
  <si>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</si>
  <si>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</si>
  <si>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</si>
  <si>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</si>
  <si>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</si>
  <si>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</si>
  <si>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</si>
  <si>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</si>
  <si>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</si>
  <si>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</si>
  <si>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</si>
  <si>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</si>
  <si>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</si>
  <si>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</si>
  <si>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</si>
  <si>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</si>
  <si>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</si>
  <si>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</si>
  <si>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</si>
  <si>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</si>
  <si>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</si>
  <si>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</si>
  <si>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</si>
  <si>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</si>
  <si>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</si>
  <si>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</si>
  <si>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</si>
  <si>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</si>
  <si>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</si>
  <si>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</si>
  <si>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</si>
  <si>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</si>
  <si>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</si>
  <si>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</si>
  <si>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</si>
  <si>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</si>
  <si>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</si>
  <si>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</si>
  <si>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</si>
  <si>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</si>
  <si>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</si>
  <si>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</si>
  <si>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</si>
  <si>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</si>
  <si>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</si>
  <si>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</si>
  <si>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</si>
  <si>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</si>
  <si>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</si>
  <si>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</si>
  <si>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</si>
  <si>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</si>
  <si>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</si>
  <si>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</si>
  <si>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</si>
  <si>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</si>
  <si>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</si>
  <si>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</si>
  <si>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</si>
  <si>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</si>
  <si>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</si>
  <si>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</si>
  <si>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</si>
  <si>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</si>
  <si>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</si>
  <si>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</si>
  <si>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</si>
  <si>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</si>
  <si>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</si>
  <si>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</si>
  <si>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</si>
  <si>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</si>
  <si>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</si>
  <si>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</si>
  <si>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</si>
  <si>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</si>
  <si>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</si>
  <si>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</si>
  <si>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</si>
  <si>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</si>
  <si>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</si>
  <si>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</si>
  <si>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</si>
  <si>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</si>
  <si>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</si>
  <si>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</si>
  <si>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</si>
  <si>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</si>
  <si>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</si>
  <si>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</si>
  <si>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</si>
  <si>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</si>
  <si>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</si>
  <si>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</si>
  <si>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</si>
  <si>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</si>
  <si>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</si>
  <si>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</si>
  <si>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</si>
  <si>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</si>
  <si>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</si>
  <si>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</si>
  <si>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</si>
  <si>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</si>
  <si>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</si>
  <si>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</si>
  <si>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</si>
  <si>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</si>
  <si>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</si>
  <si>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</si>
  <si>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</si>
  <si>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</si>
  <si>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</si>
  <si>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</si>
  <si>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</si>
  <si>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</si>
  <si>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</si>
  <si>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</si>
  <si>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</si>
  <si>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</si>
  <si>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</si>
  <si>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</si>
  <si>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</si>
  <si>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</si>
  <si>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</si>
  <si>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</si>
  <si>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</si>
  <si>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</si>
  <si>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</si>
  <si>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</si>
  <si>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</si>
  <si>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</si>
  <si>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</si>
  <si>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</si>
  <si>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</si>
  <si>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</si>
  <si>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</si>
  <si>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</si>
  <si>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</si>
  <si>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</si>
  <si>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</si>
  <si>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</si>
  <si>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</si>
  <si>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</si>
  <si>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</si>
  <si>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</si>
  <si>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</si>
  <si>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</si>
  <si>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</si>
  <si>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</si>
  <si>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</si>
  <si>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</si>
  <si>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</si>
  <si>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</si>
  <si>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</si>
  <si>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</si>
  <si>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</si>
  <si>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</si>
  <si>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</si>
  <si>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</si>
  <si>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</si>
  <si>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</si>
  <si>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</si>
  <si>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</si>
  <si>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</si>
  <si>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</si>
  <si>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</si>
  <si>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</si>
  <si>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</si>
  <si>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</si>
  <si>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</si>
  <si>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</si>
  <si>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</si>
  <si>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</si>
  <si>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</si>
  <si>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</si>
  <si>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</si>
  <si>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</si>
  <si>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</si>
  <si>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</si>
  <si>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</si>
  <si>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</si>
  <si>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</si>
  <si>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</si>
  <si>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</si>
  <si>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</si>
  <si>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</si>
  <si>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</si>
  <si>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</si>
  <si>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</si>
  <si>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</si>
  <si>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</si>
  <si>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</si>
  <si>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</si>
  <si>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</si>
  <si>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</si>
  <si>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</si>
  <si>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</si>
  <si>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</si>
  <si>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</si>
  <si>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</si>
  <si>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</si>
  <si>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</si>
  <si>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</si>
  <si>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</si>
  <si>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</si>
  <si>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</si>
  <si>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</si>
  <si>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</si>
  <si>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</si>
  <si>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</si>
  <si>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</si>
  <si>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</si>
  <si>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</si>
  <si>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</si>
  <si>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</si>
  <si>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</si>
  <si>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</si>
  <si>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</si>
  <si>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</si>
  <si>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</si>
  <si>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</si>
  <si>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</si>
  <si>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</si>
  <si>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</si>
  <si>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</si>
  <si>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</si>
  <si>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</si>
  <si>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</si>
  <si>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</si>
  <si>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</si>
  <si>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</si>
  <si>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</si>
  <si>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</si>
  <si>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</si>
  <si>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</si>
  <si>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</si>
  <si>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</si>
  <si>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</si>
  <si>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</si>
  <si>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</si>
  <si>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</si>
  <si>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</si>
  <si>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</si>
  <si>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</si>
  <si>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</si>
  <si>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</si>
  <si>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</si>
  <si>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</si>
  <si>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</si>
  <si>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</si>
  <si>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</si>
  <si>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</si>
  <si>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</si>
  <si>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</si>
  <si>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</si>
  <si>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</si>
  <si>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</si>
  <si>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</si>
  <si>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</si>
  <si>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</si>
  <si>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</si>
  <si>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</si>
  <si>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</si>
  <si>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</si>
  <si>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</si>
  <si>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</si>
  <si>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</si>
  <si>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</si>
  <si>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</si>
  <si>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</si>
  <si>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</si>
  <si>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</si>
  <si>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</si>
  <si>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</si>
  <si>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</si>
  <si>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</si>
  <si>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</si>
  <si>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</si>
  <si>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</si>
  <si>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</si>
  <si>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</si>
  <si>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</si>
  <si>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</si>
  <si>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</si>
  <si>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</si>
  <si>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</si>
  <si>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</si>
  <si>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</si>
  <si>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</si>
  <si>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</si>
  <si>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</si>
  <si>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</si>
  <si>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</si>
  <si>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</si>
  <si>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</si>
  <si>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</si>
  <si>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</si>
  <si>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</si>
  <si>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</si>
  <si>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</si>
  <si>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</si>
  <si>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</si>
  <si>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</si>
  <si>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</si>
  <si>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</si>
  <si>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</si>
  <si>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</si>
  <si>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</si>
  <si>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</si>
  <si>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</si>
  <si>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</si>
  <si>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</si>
  <si>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</si>
  <si>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</si>
  <si>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</si>
  <si>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</si>
  <si>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</si>
  <si>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</si>
  <si>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</si>
  <si>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</si>
  <si>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</si>
  <si>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</si>
  <si>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</si>
  <si>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</si>
  <si>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</si>
  <si>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</si>
  <si>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</si>
  <si>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</si>
  <si>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</si>
  <si>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</si>
  <si>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</si>
  <si>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</si>
  <si>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</si>
  <si>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</si>
  <si>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</si>
  <si>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</si>
  <si>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</si>
  <si>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</si>
  <si>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</si>
  <si>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</si>
  <si>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</si>
  <si>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</si>
  <si>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</si>
  <si>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</si>
  <si>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</si>
  <si>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</si>
  <si>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</si>
  <si>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</si>
  <si>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</si>
  <si>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</si>
  <si>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</si>
  <si>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</si>
  <si>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</si>
  <si>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</si>
  <si>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</si>
  <si>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</si>
  <si>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</si>
  <si>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</si>
  <si>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</si>
  <si>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</si>
  <si>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</si>
  <si>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</si>
  <si>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</si>
  <si>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</si>
  <si>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</si>
  <si>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</si>
  <si>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</si>
  <si>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</si>
  <si>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</si>
  <si>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</si>
  <si>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</si>
  <si>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</si>
  <si>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</si>
  <si>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</si>
  <si>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</si>
  <si>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</si>
  <si>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</si>
  <si>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</si>
  <si>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</si>
  <si>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</si>
  <si>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</si>
  <si>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</si>
  <si>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</si>
  <si>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</si>
  <si>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</si>
  <si>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</si>
  <si>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</si>
  <si>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</si>
  <si>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</si>
  <si>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</si>
  <si>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</si>
  <si>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</si>
  <si>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</si>
  <si>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</si>
  <si>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</si>
  <si>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</si>
  <si>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</si>
  <si>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</si>
  <si>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</si>
  <si>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</si>
  <si>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</si>
  <si>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</si>
  <si>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</si>
  <si>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</si>
  <si>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</si>
  <si>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</si>
  <si>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</si>
  <si>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</si>
  <si>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</si>
  <si>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</si>
  <si>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</si>
  <si>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</si>
  <si>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</si>
  <si>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</si>
  <si>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</si>
  <si>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</si>
  <si>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</si>
  <si>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</si>
  <si>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</si>
  <si>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</si>
  <si>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</si>
  <si>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</si>
  <si>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</si>
  <si>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</si>
  <si>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</si>
  <si>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</si>
  <si>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</si>
  <si>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</si>
  <si>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</si>
  <si>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</si>
  <si>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</si>
  <si>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</si>
  <si>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</si>
  <si>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</si>
  <si>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</si>
  <si>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</si>
  <si>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</si>
  <si>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</si>
  <si>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</si>
  <si>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</si>
  <si>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</si>
  <si>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</si>
  <si>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</si>
  <si>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</si>
  <si>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</si>
  <si>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</si>
  <si>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</si>
  <si>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</si>
  <si>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</si>
  <si>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</si>
  <si>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</si>
  <si>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</si>
  <si>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</si>
  <si>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</si>
  <si>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</si>
  <si>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</si>
  <si>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</si>
  <si>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</si>
  <si>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</si>
  <si>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</si>
  <si>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</si>
  <si>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</si>
  <si>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</si>
  <si>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</si>
  <si>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</si>
  <si>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</si>
  <si>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</si>
  <si>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</si>
  <si>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</si>
  <si>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</si>
  <si>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</si>
  <si>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</si>
  <si>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</si>
  <si>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</si>
  <si>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</si>
  <si>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</si>
  <si>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</si>
  <si>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</si>
  <si>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</si>
  <si>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</si>
  <si>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</si>
  <si>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</si>
  <si>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</si>
  <si>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</si>
  <si>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</si>
  <si>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</si>
  <si>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</si>
  <si>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</si>
  <si>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</si>
  <si>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</si>
  <si>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</si>
  <si>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</si>
  <si>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</si>
  <si>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</si>
  <si>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</si>
  <si>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</si>
  <si>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</si>
  <si>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</si>
  <si>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</si>
  <si>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</si>
  <si>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</si>
  <si>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</si>
  <si>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</si>
  <si>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</si>
  <si>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</si>
  <si>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</si>
  <si>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</si>
  <si>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</si>
  <si>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</si>
  <si>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</si>
  <si>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</si>
  <si>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</si>
  <si>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</si>
  <si>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</si>
  <si>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</si>
  <si>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</si>
  <si>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</si>
  <si>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</si>
  <si>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</si>
  <si>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</si>
  <si>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</si>
  <si>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</si>
  <si>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</si>
  <si>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</si>
  <si>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</si>
  <si>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</si>
  <si>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</si>
  <si>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</si>
  <si>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</si>
  <si>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</si>
  <si>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</si>
  <si>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</si>
  <si>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</si>
  <si>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</si>
  <si>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</si>
  <si>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</si>
  <si>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</si>
  <si>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</si>
  <si>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</si>
  <si>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</si>
  <si>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</si>
  <si>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</si>
  <si>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</si>
  <si>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</si>
  <si>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</si>
  <si>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</si>
  <si>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</si>
  <si>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</si>
  <si>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</si>
  <si>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</si>
  <si>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</si>
  <si>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</si>
  <si>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</si>
  <si>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</si>
  <si>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</si>
  <si>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</si>
  <si>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</si>
  <si>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</si>
  <si>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</si>
  <si>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</si>
  <si>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</si>
  <si>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</si>
  <si>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</si>
  <si>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</si>
  <si>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</si>
  <si>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</si>
  <si>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</si>
  <si>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</si>
  <si>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</si>
  <si>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</si>
  <si>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</si>
  <si>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</si>
  <si>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</si>
  <si>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</si>
  <si>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</si>
  <si>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</si>
  <si>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</si>
  <si>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</si>
  <si>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</si>
  <si>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</si>
  <si>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</si>
  <si>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</si>
  <si>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</si>
  <si>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</si>
  <si>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</si>
  <si>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</si>
  <si>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</si>
  <si>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</si>
  <si>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</si>
  <si>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</si>
  <si>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</si>
  <si>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</si>
  <si>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</si>
  <si>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</si>
  <si>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</si>
  <si>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</si>
  <si>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</si>
  <si>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</si>
  <si>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</si>
  <si>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</si>
  <si>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</si>
  <si>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</si>
  <si>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</si>
  <si>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</si>
  <si>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</si>
  <si>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</si>
  <si>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</si>
  <si>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</si>
  <si>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</si>
  <si>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</si>
  <si>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</si>
  <si>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</si>
  <si>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</si>
  <si>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</si>
  <si>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</si>
  <si>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</si>
  <si>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</si>
  <si>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</si>
  <si>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</si>
  <si>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</si>
  <si>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</si>
  <si>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</si>
  <si>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</si>
  <si>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</si>
  <si>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</si>
  <si>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</si>
  <si>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</si>
  <si>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</si>
  <si>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</si>
  <si>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</si>
  <si>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</si>
  <si>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</si>
  <si>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</si>
  <si>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</si>
  <si>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</si>
  <si>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</si>
  <si>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</si>
  <si>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</si>
  <si>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</si>
  <si>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</si>
  <si>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</si>
  <si>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</si>
  <si>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</si>
  <si>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</si>
  <si>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</si>
  <si>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</si>
  <si>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</si>
  <si>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</si>
  <si>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</si>
  <si>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</si>
  <si>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</si>
  <si>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</si>
  <si>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</si>
  <si>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</si>
  <si>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</si>
  <si>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</si>
  <si>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</si>
  <si>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</si>
  <si>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</si>
  <si>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</si>
  <si>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</si>
  <si>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</si>
  <si>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</si>
  <si>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</si>
  <si>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</si>
  <si>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</si>
  <si>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</si>
  <si>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</si>
  <si>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</si>
  <si>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</si>
  <si>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</si>
  <si>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</si>
  <si>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</si>
  <si>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</si>
  <si>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</si>
  <si>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</si>
  <si>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</si>
  <si>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</si>
  <si>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</si>
  <si>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</si>
  <si>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</si>
  <si>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</si>
  <si>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</si>
  <si>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</si>
  <si>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</si>
  <si>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</si>
  <si>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</si>
  <si>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</si>
  <si>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</si>
  <si>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</si>
  <si>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</si>
  <si>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</si>
  <si>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</si>
  <si>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</si>
  <si>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</si>
  <si>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</si>
  <si>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</si>
  <si>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</si>
  <si>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</si>
  <si>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</si>
  <si>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</si>
  <si>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</si>
  <si>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</si>
  <si>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</si>
  <si>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</si>
  <si>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</si>
  <si>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</si>
  <si>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</si>
  <si>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</si>
  <si>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</si>
  <si>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</si>
  <si>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</si>
  <si>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</si>
  <si>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</si>
  <si>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</si>
  <si>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</si>
  <si>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</si>
  <si>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</si>
  <si>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</si>
  <si>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</si>
  <si>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</si>
  <si>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</si>
  <si>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</si>
  <si>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</si>
  <si>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</si>
  <si>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</si>
  <si>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</si>
  <si>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</si>
  <si>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</si>
  <si>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</si>
  <si>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</si>
  <si>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</si>
  <si>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</si>
  <si>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</si>
  <si>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</si>
  <si>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</si>
  <si>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</si>
  <si>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</si>
  <si>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</si>
  <si>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</si>
  <si>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</si>
  <si>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</si>
  <si>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</si>
  <si>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</si>
  <si>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</si>
  <si>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</si>
  <si>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</si>
  <si>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</si>
  <si>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</si>
  <si>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</si>
  <si>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</si>
  <si>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</si>
  <si>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</si>
  <si>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</si>
  <si>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</si>
  <si>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</si>
  <si>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</si>
  <si>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</si>
  <si>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</si>
  <si>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</si>
  <si>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</si>
  <si>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</si>
  <si>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</si>
  <si>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</si>
  <si>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</si>
  <si>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</si>
  <si>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</si>
  <si>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</si>
  <si>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</si>
  <si>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</si>
  <si>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</si>
  <si>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</si>
  <si>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</si>
  <si>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</si>
  <si>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</si>
  <si>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</si>
  <si>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</si>
  <si>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</si>
  <si>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</si>
  <si>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</si>
  <si>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</si>
  <si>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</si>
  <si>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</si>
  <si>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</si>
  <si>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</si>
  <si>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</si>
  <si>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</si>
  <si>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</si>
  <si>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</si>
  <si>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</si>
  <si>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</si>
  <si>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</si>
  <si>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</si>
  <si>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</si>
  <si>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</si>
  <si>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</si>
  <si>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</si>
  <si>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</si>
  <si>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</si>
  <si>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</si>
  <si>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</si>
  <si>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</si>
  <si>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</si>
  <si>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</si>
  <si>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</si>
  <si>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</si>
  <si>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</si>
  <si>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</si>
  <si>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</si>
  <si>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</si>
  <si>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</si>
  <si>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</si>
  <si>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</si>
  <si>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</si>
  <si>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</si>
  <si>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</si>
  <si>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</si>
  <si>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</si>
  <si>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</si>
  <si>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</si>
  <si>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</si>
  <si>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</si>
  <si>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</si>
  <si>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</si>
  <si>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</si>
  <si>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</si>
  <si>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</si>
  <si>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</si>
  <si>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</si>
  <si>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</si>
  <si>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</si>
  <si>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</si>
  <si>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</si>
  <si>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</si>
  <si>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</si>
  <si>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</si>
  <si>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</si>
  <si>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</si>
  <si>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</si>
  <si>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</si>
  <si>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</si>
  <si>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</si>
  <si>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</si>
  <si>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</si>
  <si>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</si>
  <si>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</si>
  <si>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</si>
  <si>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</si>
  <si>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</si>
  <si>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</si>
  <si>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</si>
  <si>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</si>
  <si>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</si>
  <si>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</si>
  <si>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</si>
  <si>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</si>
  <si>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</si>
  <si>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</si>
  <si>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</si>
  <si>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</si>
  <si>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</si>
  <si>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</si>
  <si>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</si>
  <si>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</si>
  <si>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</si>
  <si>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</si>
  <si>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</si>
  <si>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</si>
  <si>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</si>
  <si>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</si>
  <si>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</si>
  <si>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</si>
  <si>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</si>
  <si>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</si>
  <si>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</si>
  <si>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</si>
  <si>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</si>
  <si>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</si>
  <si>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</si>
  <si>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</si>
  <si>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</si>
  <si>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</si>
  <si>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</si>
  <si>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</si>
  <si>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</si>
  <si>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</si>
  <si>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</si>
  <si>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</si>
  <si>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</si>
  <si>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</si>
  <si>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</si>
  <si>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</si>
  <si>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</si>
  <si>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</si>
  <si>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</si>
  <si>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</si>
  <si>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</si>
  <si>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</si>
  <si>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</si>
  <si>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</si>
  <si>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</si>
  <si>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</si>
  <si>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</si>
  <si>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</si>
  <si>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</si>
  <si>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</si>
  <si>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</si>
  <si>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</si>
  <si>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</si>
  <si>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</si>
  <si>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</si>
  <si>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</si>
  <si>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</si>
  <si>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</si>
  <si>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</si>
  <si>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</si>
  <si>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</si>
  <si>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</si>
  <si>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</si>
  <si>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</si>
  <si>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</si>
  <si>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</si>
  <si>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</si>
  <si>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</si>
  <si>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</si>
  <si>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</si>
  <si>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</si>
  <si>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</si>
  <si>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</si>
  <si>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</si>
  <si>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</si>
  <si>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</si>
  <si>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</si>
  <si>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</si>
  <si>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</si>
  <si>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</si>
  <si>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</si>
  <si>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</si>
  <si>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</si>
  <si>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</si>
  <si>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</si>
  <si>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</si>
  <si>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</si>
  <si>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</si>
  <si>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</si>
  <si>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</si>
  <si>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</si>
  <si>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</si>
  <si>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</si>
  <si>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</si>
  <si>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</si>
  <si>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</si>
  <si>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</si>
  <si>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</si>
  <si>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</si>
  <si>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</si>
  <si>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</si>
  <si>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</si>
  <si>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</si>
  <si>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</si>
  <si>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</si>
  <si>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</si>
  <si>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</si>
  <si>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</si>
  <si>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</si>
  <si>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</si>
  <si>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</si>
  <si>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</si>
  <si>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</si>
  <si>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</si>
  <si>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</si>
  <si>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</si>
  <si>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</si>
  <si>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</si>
  <si>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</si>
  <si>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</si>
  <si>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</si>
  <si>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</si>
  <si>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</si>
  <si>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</si>
  <si>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</si>
  <si>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</si>
  <si>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</si>
  <si>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</si>
  <si>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</si>
  <si>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</si>
  <si>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</si>
  <si>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</si>
  <si>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</si>
  <si>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</si>
  <si>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</si>
  <si>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</si>
  <si>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</si>
  <si>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</si>
  <si>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</si>
  <si>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</si>
  <si>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</si>
  <si>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</si>
  <si>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</si>
  <si>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</si>
  <si>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</si>
  <si>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</si>
  <si>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</si>
  <si>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</si>
  <si>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</si>
  <si>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</si>
  <si>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</si>
  <si>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</si>
  <si>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</si>
  <si>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</si>
  <si>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</si>
  <si>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</si>
  <si>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</si>
  <si>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</si>
  <si>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</si>
  <si>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</si>
  <si>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</si>
  <si>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</si>
  <si>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</si>
  <si>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</si>
  <si>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</si>
  <si>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</si>
  <si>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</si>
  <si>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</si>
  <si>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</si>
  <si>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</si>
  <si>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</si>
  <si>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</si>
  <si>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</si>
  <si>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</si>
  <si>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</si>
  <si>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</si>
  <si>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</si>
  <si>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</si>
  <si>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</si>
  <si>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</si>
  <si>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</si>
  <si>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</si>
  <si>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</si>
  <si>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</si>
  <si>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</si>
  <si>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</si>
  <si>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</si>
  <si>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</si>
  <si>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</si>
  <si>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</si>
  <si>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</si>
  <si>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</si>
  <si>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</si>
  <si>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</si>
  <si>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</si>
  <si>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</si>
  <si>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</si>
  <si>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</si>
  <si>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</si>
  <si>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</si>
  <si>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</si>
  <si>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</si>
  <si>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</si>
  <si>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</si>
  <si>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</si>
  <si>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</si>
  <si>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</si>
  <si>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</si>
  <si>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</si>
  <si>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</si>
  <si>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</si>
  <si>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</si>
  <si>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</si>
  <si>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</si>
  <si>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</si>
  <si>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</si>
  <si>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</si>
  <si>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</si>
  <si>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</si>
  <si>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</si>
  <si>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</si>
  <si>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</si>
  <si>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</si>
  <si>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</si>
  <si>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</si>
  <si>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</si>
  <si>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</si>
  <si>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</si>
  <si>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</si>
  <si>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</si>
  <si>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</si>
  <si>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</si>
  <si>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</si>
  <si>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</si>
  <si>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</si>
  <si>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</si>
  <si>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</si>
  <si>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</si>
  <si>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</si>
  <si>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</si>
  <si>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</si>
  <si>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</si>
  <si>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</si>
  <si>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</si>
  <si>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</si>
  <si>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</si>
  <si>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</si>
  <si>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</si>
  <si>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</si>
  <si>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</si>
  <si>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</si>
  <si>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</si>
  <si>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</si>
  <si>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</si>
  <si>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</si>
  <si>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</si>
  <si>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</si>
  <si>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</si>
  <si>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</si>
  <si>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</si>
  <si>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</si>
  <si>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</si>
  <si>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</si>
  <si>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</si>
  <si>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</si>
  <si>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</si>
  <si>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</si>
  <si>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</si>
  <si>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</si>
  <si>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</si>
  <si>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</si>
  <si>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</si>
  <si>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</si>
  <si>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</si>
  <si>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</si>
  <si>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</si>
  <si>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星之救援者</t>
    <phoneticPr fontId="2" type="noConversion"/>
  </si>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</sst>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printerSettings" Target="../printerSettings/printerSettings2.bin"/><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B422" activePane="bottomRight" state="frozen"/>
      <selection pane="topRight" activeCell="B1" sqref="B1"/>
      <selection pane="bottomLeft" activeCell="A2" sqref="A2"/>
      <selection pane="bottomRight" activeCell="H430" sqref="H430"/>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7545</v>
      </c>
      <c r="M326" s="120">
        <v>2799</v>
      </c>
      <c r="N326" s="119" t="s">
        <v>7546</v>
      </c>
      <c r="O326" s="120">
        <v>1451</v>
      </c>
      <c r="P326" s="119" t="s">
        <v>7547</v>
      </c>
      <c r="Q326" s="120">
        <v>593</v>
      </c>
      <c r="R326" s="119" t="s">
        <v>7548</v>
      </c>
      <c r="S326" s="120">
        <v>283</v>
      </c>
      <c r="T326" s="119" t="s">
        <v>7549</v>
      </c>
      <c r="U326" s="120">
        <v>149</v>
      </c>
      <c r="V326" s="119" t="s">
        <v>7550</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3"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3"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7468</v>
      </c>
      <c r="M408" s="120">
        <v>9792</v>
      </c>
      <c r="N408" s="119" t="s">
        <v>7469</v>
      </c>
      <c r="O408" s="120">
        <v>6365</v>
      </c>
      <c r="P408" s="119" t="s">
        <v>7470</v>
      </c>
      <c r="Q408" s="120">
        <v>4896</v>
      </c>
      <c r="R408" s="119" t="s">
        <v>5497</v>
      </c>
      <c r="S408" s="120">
        <v>2868</v>
      </c>
      <c r="T408" s="119" t="s">
        <v>7471</v>
      </c>
      <c r="U408" s="120">
        <v>2207</v>
      </c>
      <c r="V408" s="119" t="s">
        <v>5498</v>
      </c>
      <c r="W408" s="120">
        <v>1492</v>
      </c>
      <c r="X408" s="119" t="s">
        <v>7472</v>
      </c>
      <c r="Y408" s="120">
        <v>1130</v>
      </c>
      <c r="Z408" s="119" t="s">
        <v>5499</v>
      </c>
      <c r="AA408" s="120">
        <v>874</v>
      </c>
      <c r="AB408" s="119" t="s">
        <v>7473</v>
      </c>
      <c r="AC408" s="120">
        <v>830</v>
      </c>
      <c r="AD408" s="119" t="s">
        <v>7474</v>
      </c>
      <c r="AE408" s="120">
        <v>538</v>
      </c>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7553</v>
      </c>
      <c r="M409" s="120">
        <v>2799</v>
      </c>
      <c r="N409" s="119" t="s">
        <v>7554</v>
      </c>
      <c r="O409" s="120">
        <v>1709</v>
      </c>
      <c r="P409" s="119" t="s">
        <v>7555</v>
      </c>
      <c r="Q409" s="120">
        <v>936</v>
      </c>
      <c r="R409" s="119" t="s">
        <v>7556</v>
      </c>
      <c r="S409" s="120">
        <v>593</v>
      </c>
      <c r="T409" s="119" t="s">
        <v>7557</v>
      </c>
      <c r="U409" s="120">
        <v>283</v>
      </c>
      <c r="V409" s="119" t="s">
        <v>7558</v>
      </c>
      <c r="W409" s="120">
        <v>131</v>
      </c>
      <c r="X409" s="119" t="s">
        <v>7559</v>
      </c>
      <c r="Y409" s="120">
        <v>131</v>
      </c>
      <c r="Z409" s="119" t="s">
        <v>7560</v>
      </c>
      <c r="AA409" s="120">
        <v>263</v>
      </c>
      <c r="AB409" s="119" t="s">
        <v>7561</v>
      </c>
      <c r="AC409" s="120">
        <v>283</v>
      </c>
      <c r="AD409" s="119" t="s">
        <v>7562</v>
      </c>
      <c r="AE409" s="120">
        <v>593</v>
      </c>
    </row>
    <row r="410" spans="1:31" ht="28.5" customHeight="1" thickBot="1">
      <c r="A410" s="120"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19" t="s">
        <v>7572</v>
      </c>
      <c r="M410" s="120">
        <v>2310</v>
      </c>
      <c r="N410" s="119" t="s">
        <v>7573</v>
      </c>
      <c r="O410" s="120">
        <v>1632</v>
      </c>
      <c r="P410" s="119" t="s">
        <v>7574</v>
      </c>
      <c r="Q410" s="120">
        <v>1117</v>
      </c>
      <c r="R410" s="119" t="s">
        <v>111</v>
      </c>
      <c r="S410" s="120">
        <v>601</v>
      </c>
      <c r="T410" s="119" t="s">
        <v>6510</v>
      </c>
      <c r="U410" s="120">
        <v>263</v>
      </c>
      <c r="V410" s="119" t="s">
        <v>31</v>
      </c>
      <c r="W410" s="120">
        <v>114</v>
      </c>
      <c r="X410" s="119" t="s">
        <v>7575</v>
      </c>
      <c r="Y410" s="120">
        <v>575</v>
      </c>
      <c r="Z410" s="119" t="s">
        <v>7576</v>
      </c>
      <c r="AA410" s="120">
        <v>236</v>
      </c>
      <c r="AB410" s="119" t="s">
        <v>7577</v>
      </c>
      <c r="AC410" s="120">
        <v>283</v>
      </c>
    </row>
    <row r="411" spans="1:31" ht="28.5" customHeight="1" thickBot="1">
      <c r="A411" s="120"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19" t="s">
        <v>179</v>
      </c>
      <c r="M411" s="120">
        <v>2799</v>
      </c>
      <c r="N411" s="119" t="s">
        <v>180</v>
      </c>
      <c r="O411" s="120">
        <v>1451</v>
      </c>
      <c r="P411" s="119" t="s">
        <v>181</v>
      </c>
      <c r="Q411" s="120">
        <v>850</v>
      </c>
      <c r="R411" s="119" t="s">
        <v>7551</v>
      </c>
      <c r="S411" s="120">
        <v>369</v>
      </c>
      <c r="T411" s="119" t="s">
        <v>65</v>
      </c>
      <c r="U411" s="120">
        <v>149</v>
      </c>
      <c r="V411" s="119" t="s">
        <v>194</v>
      </c>
      <c r="W411" s="120">
        <v>60</v>
      </c>
      <c r="X411" s="119" t="s">
        <v>7552</v>
      </c>
      <c r="Y411" s="120">
        <v>114</v>
      </c>
      <c r="Z411" s="119" t="s">
        <v>1295</v>
      </c>
      <c r="AA411" s="120">
        <v>149</v>
      </c>
      <c r="AB411" s="119" t="s">
        <v>1519</v>
      </c>
      <c r="AC411" s="120">
        <v>850</v>
      </c>
    </row>
    <row r="412" spans="1:31" ht="28.5" customHeight="1" thickBot="1">
      <c r="A412" s="122"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19" t="s">
        <v>7563</v>
      </c>
      <c r="M412" s="120">
        <v>1881</v>
      </c>
      <c r="N412" s="119" t="s">
        <v>7564</v>
      </c>
      <c r="O412" s="120">
        <v>902</v>
      </c>
      <c r="P412" s="119" t="s">
        <v>7565</v>
      </c>
      <c r="Q412" s="120">
        <v>455</v>
      </c>
      <c r="R412" s="119" t="s">
        <v>7566</v>
      </c>
      <c r="S412" s="120">
        <v>201</v>
      </c>
      <c r="T412" s="119" t="s">
        <v>7567</v>
      </c>
      <c r="U412" s="120">
        <v>88</v>
      </c>
      <c r="V412" s="119" t="s">
        <v>7568</v>
      </c>
      <c r="W412" s="120">
        <v>29</v>
      </c>
      <c r="X412" s="119" t="s">
        <v>7569</v>
      </c>
      <c r="Y412" s="120">
        <v>575</v>
      </c>
      <c r="Z412" s="119" t="s">
        <v>7570</v>
      </c>
      <c r="AA412" s="120">
        <v>149</v>
      </c>
      <c r="AB412" s="119" t="s">
        <v>7571</v>
      </c>
      <c r="AC412" s="120">
        <v>201</v>
      </c>
    </row>
    <row r="413" spans="1:31" ht="28.5" customHeight="1" thickBot="1">
      <c r="A413" s="120"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19" t="s">
        <v>7578</v>
      </c>
      <c r="M413" s="120">
        <v>2544</v>
      </c>
      <c r="N413" s="119" t="s">
        <v>1321</v>
      </c>
      <c r="O413" s="120">
        <v>1280</v>
      </c>
      <c r="P413" s="119" t="s">
        <v>3627</v>
      </c>
      <c r="Q413" s="120">
        <v>679</v>
      </c>
      <c r="R413" s="119" t="s">
        <v>3517</v>
      </c>
      <c r="S413" s="120">
        <v>275</v>
      </c>
      <c r="T413" s="119" t="s">
        <v>7579</v>
      </c>
      <c r="U413" s="120">
        <v>131</v>
      </c>
      <c r="V413" s="119" t="s">
        <v>31</v>
      </c>
      <c r="W413" s="120">
        <v>53</v>
      </c>
      <c r="X413" s="119" t="s">
        <v>7580</v>
      </c>
      <c r="Y413" s="120">
        <v>275</v>
      </c>
      <c r="Z413" s="119" t="s">
        <v>7581</v>
      </c>
      <c r="AA413" s="120">
        <v>131</v>
      </c>
      <c r="AB413" s="1"/>
      <c r="AC413" s="27"/>
    </row>
    <row r="414" spans="1:31" ht="28.5" customHeight="1" thickBot="1">
      <c r="A414" s="132"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19" t="s">
        <v>7611</v>
      </c>
      <c r="M414" s="120">
        <v>2544</v>
      </c>
      <c r="N414" s="119" t="s">
        <v>7606</v>
      </c>
      <c r="O414" s="120">
        <v>1280</v>
      </c>
      <c r="P414" s="119" t="s">
        <v>7607</v>
      </c>
      <c r="Q414" s="120">
        <v>679</v>
      </c>
      <c r="R414" s="119" t="s">
        <v>7608</v>
      </c>
      <c r="S414" s="120">
        <v>275</v>
      </c>
      <c r="T414" s="119" t="s">
        <v>7609</v>
      </c>
      <c r="U414" s="120">
        <v>166</v>
      </c>
      <c r="V414" s="119" t="s">
        <v>7610</v>
      </c>
      <c r="W414" s="120">
        <v>26</v>
      </c>
      <c r="X414" s="1"/>
      <c r="Y414" s="27"/>
      <c r="Z414" s="1"/>
      <c r="AA414" s="27"/>
      <c r="AB414" s="1"/>
      <c r="AC414" s="27"/>
    </row>
    <row r="415" spans="1:31" ht="28.5" customHeight="1" thickBot="1">
      <c r="A415" s="132"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0"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7612</v>
      </c>
      <c r="C418" s="9" t="s">
        <v>7664</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0"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19" t="s">
        <v>46</v>
      </c>
      <c r="M419" s="120">
        <v>2544</v>
      </c>
      <c r="N419" s="119" t="s">
        <v>1677</v>
      </c>
      <c r="O419" s="120">
        <v>1280</v>
      </c>
      <c r="P419" s="119" t="s">
        <v>151</v>
      </c>
      <c r="Q419" s="120">
        <v>850</v>
      </c>
      <c r="R419" s="119" t="s">
        <v>1679</v>
      </c>
      <c r="S419" s="120">
        <v>575</v>
      </c>
      <c r="T419" s="119" t="s">
        <v>153</v>
      </c>
      <c r="U419" s="120">
        <v>421</v>
      </c>
      <c r="V419" s="119" t="s">
        <v>1680</v>
      </c>
      <c r="W419" s="120">
        <v>283</v>
      </c>
      <c r="X419" s="119" t="s">
        <v>1682</v>
      </c>
      <c r="Y419" s="120">
        <v>149</v>
      </c>
      <c r="Z419" s="119" t="s">
        <v>1683</v>
      </c>
      <c r="AA419" s="120">
        <v>28</v>
      </c>
    </row>
    <row r="420" spans="1:29" ht="28.5" customHeight="1" thickBot="1">
      <c r="A420" s="122"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19" t="s">
        <v>7646</v>
      </c>
      <c r="M420" s="120">
        <v>2500</v>
      </c>
      <c r="N420" s="119" t="s">
        <v>7647</v>
      </c>
      <c r="O420" s="120">
        <v>1680</v>
      </c>
      <c r="P420" s="119" t="s">
        <v>7648</v>
      </c>
      <c r="Q420" s="120">
        <v>1005</v>
      </c>
      <c r="R420" s="119" t="s">
        <v>7649</v>
      </c>
      <c r="S420" s="120">
        <v>414</v>
      </c>
      <c r="T420" s="119" t="s">
        <v>7650</v>
      </c>
      <c r="U420" s="120">
        <v>249</v>
      </c>
      <c r="V420" s="119" t="s">
        <v>7651</v>
      </c>
      <c r="W420" s="120">
        <v>189</v>
      </c>
      <c r="X420" s="119" t="s">
        <v>7652</v>
      </c>
      <c r="Y420" s="120">
        <v>103</v>
      </c>
      <c r="Z420" s="119" t="s">
        <v>7653</v>
      </c>
      <c r="AA420" s="120">
        <v>498</v>
      </c>
    </row>
    <row r="421" spans="1:29" ht="28.5" customHeight="1" thickBot="1">
      <c r="A421" s="122"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thickBot="1">
      <c r="A422" s="122" t="s">
        <v>7667</v>
      </c>
      <c r="C422" s="9" t="s">
        <v>7668</v>
      </c>
      <c r="E422" s="10" t="s">
        <v>7671</v>
      </c>
      <c r="F422" s="9" t="str">
        <f t="shared" si="16"/>
        <v>gift-codes.html?game=不正經魔王軍</v>
      </c>
      <c r="G422" s="10" t="s">
        <v>7672</v>
      </c>
      <c r="H422" s="10" t="str">
        <f t="shared" si="17"/>
        <v>https://www.ssbuy.tw/game-detail.html?game=不正經魔王軍</v>
      </c>
      <c r="I422" s="11" t="s">
        <v>7673</v>
      </c>
      <c r="J422" s="40" t="s">
        <v>5422</v>
      </c>
      <c r="K422" s="43" t="s">
        <v>5450</v>
      </c>
      <c r="L422" s="1" t="s">
        <v>5950</v>
      </c>
      <c r="M422" s="27">
        <v>2751</v>
      </c>
      <c r="N422" s="1" t="s">
        <v>5951</v>
      </c>
      <c r="O422" s="27">
        <v>1427</v>
      </c>
      <c r="P422" s="1" t="s">
        <v>5952</v>
      </c>
      <c r="Q422" s="27">
        <v>836</v>
      </c>
      <c r="R422" s="1" t="s">
        <v>5953</v>
      </c>
      <c r="S422" s="27">
        <v>734</v>
      </c>
      <c r="T422" s="1" t="s">
        <v>5954</v>
      </c>
      <c r="U422" s="27">
        <v>566</v>
      </c>
      <c r="V422" s="1" t="s">
        <v>5955</v>
      </c>
      <c r="W422" s="27">
        <v>414</v>
      </c>
      <c r="X422" s="1" t="s">
        <v>5956</v>
      </c>
      <c r="Y422" s="27">
        <v>279</v>
      </c>
      <c r="Z422" s="1" t="s">
        <v>5957</v>
      </c>
      <c r="AA422" s="27">
        <v>146</v>
      </c>
      <c r="AB422" s="1" t="s">
        <v>5958</v>
      </c>
      <c r="AC422" s="27">
        <v>28</v>
      </c>
    </row>
    <row r="423" spans="1:29" ht="28.5" customHeight="1" thickBot="1">
      <c r="A423" s="132" t="s">
        <v>7707</v>
      </c>
      <c r="C423" s="9" t="s">
        <v>7706</v>
      </c>
      <c r="D423" s="10" t="s">
        <v>7703</v>
      </c>
      <c r="E423" s="10" t="s">
        <v>7705</v>
      </c>
      <c r="F423" s="9" t="str">
        <f t="shared" si="16"/>
        <v>gift-codes.html?game=星之救援者</v>
      </c>
      <c r="G423" s="10" t="s">
        <v>7704</v>
      </c>
      <c r="H423" s="10" t="str">
        <f t="shared" si="17"/>
        <v>https://www.ssbuy.tw/game-detail.html?game=星之救援者</v>
      </c>
      <c r="I423" s="11" t="s">
        <v>7709</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7708</v>
      </c>
      <c r="C424" s="44" t="s">
        <v>7691</v>
      </c>
      <c r="D424" s="10" t="s">
        <v>7692</v>
      </c>
      <c r="E424" s="10" t="s">
        <v>7694</v>
      </c>
      <c r="F424" s="9" t="str">
        <f t="shared" si="16"/>
        <v>gift-codes.html?game=希望M ON CROSS</v>
      </c>
      <c r="G424" s="10" t="s">
        <v>7693</v>
      </c>
      <c r="H424" s="10" t="str">
        <f t="shared" si="17"/>
        <v>https://www.ssbuy.tw/game-detail.html?game=希望M ON CROSS</v>
      </c>
      <c r="I424" s="11" t="s">
        <v>7710</v>
      </c>
      <c r="J424" s="40" t="s">
        <v>5422</v>
      </c>
      <c r="K424" s="43" t="s">
        <v>5450</v>
      </c>
      <c r="L424" s="1" t="s">
        <v>5950</v>
      </c>
      <c r="M424" s="27">
        <v>2751</v>
      </c>
      <c r="N424" s="1" t="s">
        <v>5951</v>
      </c>
      <c r="O424" s="27">
        <v>1427</v>
      </c>
      <c r="P424" s="1" t="s">
        <v>5952</v>
      </c>
      <c r="Q424" s="27">
        <v>836</v>
      </c>
      <c r="R424" s="1" t="s">
        <v>5953</v>
      </c>
      <c r="S424" s="27">
        <v>734</v>
      </c>
      <c r="T424" s="1" t="s">
        <v>5954</v>
      </c>
      <c r="U424" s="27">
        <v>566</v>
      </c>
      <c r="V424" s="1" t="s">
        <v>5955</v>
      </c>
      <c r="W424" s="27">
        <v>414</v>
      </c>
      <c r="X424" s="1" t="s">
        <v>5956</v>
      </c>
      <c r="Y424" s="27">
        <v>279</v>
      </c>
      <c r="Z424" s="1" t="s">
        <v>5957</v>
      </c>
      <c r="AA424" s="27">
        <v>146</v>
      </c>
      <c r="AB424" s="1" t="s">
        <v>5958</v>
      </c>
      <c r="AC424" s="27">
        <v>28</v>
      </c>
    </row>
    <row r="425" spans="1:29" ht="28.5" customHeight="1" thickBot="1">
      <c r="A425" s="122" t="s">
        <v>7689</v>
      </c>
      <c r="C425" s="9" t="s">
        <v>7699</v>
      </c>
      <c r="D425" s="10" t="s">
        <v>7700</v>
      </c>
      <c r="E425" s="10" t="s">
        <v>7701</v>
      </c>
      <c r="F425" s="9" t="str">
        <f t="shared" si="16"/>
        <v>gift-codes.html?game=RO仙境傳說：愛如初見Classic</v>
      </c>
      <c r="G425" s="10" t="s">
        <v>7702</v>
      </c>
      <c r="H425" s="10" t="str">
        <f t="shared" si="17"/>
        <v>https://www.ssbuy.tw/game-detail.html?game=RO仙境傳說：愛如初見Classic</v>
      </c>
      <c r="I425" s="11" t="s">
        <v>7711</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7690</v>
      </c>
      <c r="C426" s="9" t="s">
        <v>7698</v>
      </c>
      <c r="D426" s="10" t="s">
        <v>7697</v>
      </c>
      <c r="E426" s="10" t="s">
        <v>7695</v>
      </c>
      <c r="F426" s="9" t="str">
        <f t="shared" si="16"/>
        <v>gift-codes.html?game=鐳明閃擊</v>
      </c>
      <c r="G426" s="10" t="s">
        <v>7696</v>
      </c>
      <c r="H426" s="10" t="str">
        <f t="shared" si="17"/>
        <v>https://www.ssbuy.tw/game-detail.html?game=鐳明閃擊</v>
      </c>
      <c r="I426" s="11" t="s">
        <v>7712</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7720</v>
      </c>
      <c r="C427" s="9" t="s">
        <v>7715</v>
      </c>
      <c r="E427" s="10" t="s">
        <v>7716</v>
      </c>
      <c r="F427" s="9" t="str">
        <f t="shared" si="16"/>
        <v>gift-codes.html?game=最後的迴響</v>
      </c>
      <c r="G427" s="2" t="s">
        <v>7722</v>
      </c>
      <c r="H427" s="10" t="str">
        <f t="shared" si="17"/>
        <v>https://www.ssbuy.tw/game-detail.html?game=最後的迴響</v>
      </c>
      <c r="I427" s="11" t="s">
        <v>7723</v>
      </c>
      <c r="J427" s="40" t="s">
        <v>5422</v>
      </c>
      <c r="K427" s="43" t="s">
        <v>5450</v>
      </c>
      <c r="L427" s="1" t="s">
        <v>5950</v>
      </c>
      <c r="M427" s="27">
        <v>2751</v>
      </c>
      <c r="N427" s="1" t="s">
        <v>5951</v>
      </c>
      <c r="O427" s="27">
        <v>1427</v>
      </c>
      <c r="P427" s="1" t="s">
        <v>5952</v>
      </c>
      <c r="Q427" s="27">
        <v>836</v>
      </c>
      <c r="R427" s="1" t="s">
        <v>5953</v>
      </c>
      <c r="S427" s="27">
        <v>734</v>
      </c>
      <c r="T427" s="1" t="s">
        <v>5954</v>
      </c>
      <c r="U427" s="27">
        <v>566</v>
      </c>
      <c r="V427" s="1" t="s">
        <v>5955</v>
      </c>
      <c r="W427" s="27">
        <v>414</v>
      </c>
      <c r="X427" s="1" t="s">
        <v>5956</v>
      </c>
      <c r="Y427" s="27">
        <v>279</v>
      </c>
      <c r="Z427" s="1" t="s">
        <v>5957</v>
      </c>
      <c r="AA427" s="27">
        <v>146</v>
      </c>
      <c r="AB427" s="1" t="s">
        <v>5958</v>
      </c>
      <c r="AC427" s="27">
        <v>28</v>
      </c>
    </row>
    <row r="428" spans="1:29" ht="28.5" customHeight="1" thickBot="1">
      <c r="A428" s="122" t="s">
        <v>7721</v>
      </c>
      <c r="C428" s="9" t="s">
        <v>7713</v>
      </c>
      <c r="D428" s="10" t="s">
        <v>7717</v>
      </c>
      <c r="E428" s="10" t="s">
        <v>7718</v>
      </c>
      <c r="F428" s="9" t="str">
        <f t="shared" ref="F428:F491" si="18">IF(A428="", "", "gift-codes.html?game=" &amp; A428)</f>
        <v>gift-codes.html?game=極樂仙途</v>
      </c>
      <c r="G428" s="10" t="s">
        <v>7714</v>
      </c>
      <c r="H428" s="10" t="str">
        <f t="shared" ref="H428:H491" si="19">IF(A428="", "", "https://www.ssbuy.tw/game-detail.html?game="&amp;A428)</f>
        <v>https://www.ssbuy.tw/game-detail.html?game=極樂仙途</v>
      </c>
      <c r="I428" s="11" t="s">
        <v>7724</v>
      </c>
      <c r="J428" s="40" t="s">
        <v>5422</v>
      </c>
      <c r="K428" s="43" t="s">
        <v>5450</v>
      </c>
      <c r="L428" s="1" t="s">
        <v>5950</v>
      </c>
      <c r="M428" s="27">
        <v>2751</v>
      </c>
      <c r="N428" s="1" t="s">
        <v>5951</v>
      </c>
      <c r="O428" s="27">
        <v>1427</v>
      </c>
      <c r="P428" s="1" t="s">
        <v>5952</v>
      </c>
      <c r="Q428" s="27">
        <v>836</v>
      </c>
      <c r="R428" s="1" t="s">
        <v>5953</v>
      </c>
      <c r="S428" s="27">
        <v>734</v>
      </c>
      <c r="T428" s="1" t="s">
        <v>5954</v>
      </c>
      <c r="U428" s="27">
        <v>566</v>
      </c>
      <c r="V428" s="1" t="s">
        <v>5955</v>
      </c>
      <c r="W428" s="27">
        <v>414</v>
      </c>
      <c r="X428" s="1" t="s">
        <v>5956</v>
      </c>
      <c r="Y428" s="27">
        <v>279</v>
      </c>
      <c r="Z428" s="1" t="s">
        <v>5957</v>
      </c>
      <c r="AA428" s="27">
        <v>146</v>
      </c>
      <c r="AB428" s="1" t="s">
        <v>5958</v>
      </c>
      <c r="AC428" s="27">
        <v>28</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12" activePane="bottomRight" state="frozen"/>
      <selection pane="topRight" activeCell="B1" sqref="B1"/>
      <selection pane="bottomLeft" activeCell="A2" sqref="A2"/>
      <selection pane="bottomRight" activeCell="A426" sqref="A426"/>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7527</v>
      </c>
      <c r="H326" s="57" t="s">
        <v>7528</v>
      </c>
      <c r="I326" s="57" t="s">
        <v>6999</v>
      </c>
      <c r="J326" s="97"/>
      <c r="K326" s="106" t="s">
        <v>5506</v>
      </c>
      <c r="L326" s="57" t="s">
        <v>5507</v>
      </c>
      <c r="M326" s="59" t="s">
        <v>7521</v>
      </c>
      <c r="N326" s="60" t="s">
        <v>7524</v>
      </c>
      <c r="O326" s="59" t="s">
        <v>7522</v>
      </c>
      <c r="P326" s="60" t="s">
        <v>7525</v>
      </c>
      <c r="Q326" s="59" t="s">
        <v>7523</v>
      </c>
      <c r="R326" s="60" t="s">
        <v>7526</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7604</v>
      </c>
      <c r="G404" s="57" t="s">
        <v>7605</v>
      </c>
      <c r="H404" s="57" t="s">
        <v>6999</v>
      </c>
      <c r="I404" s="57"/>
      <c r="J404" s="97"/>
      <c r="K404" s="106" t="s">
        <v>6354</v>
      </c>
      <c r="L404" s="57" t="s">
        <v>5507</v>
      </c>
      <c r="M404" s="59" t="s">
        <v>7595</v>
      </c>
      <c r="N404" s="60"/>
      <c r="O404" s="59" t="s">
        <v>7596</v>
      </c>
      <c r="P404" s="60"/>
      <c r="Q404" s="59" t="s">
        <v>7597</v>
      </c>
      <c r="R404" s="60"/>
      <c r="S404" s="59" t="s">
        <v>7598</v>
      </c>
      <c r="T404" s="60"/>
      <c r="U404" s="59" t="s">
        <v>7599</v>
      </c>
      <c r="V404" s="60"/>
      <c r="W404" s="59" t="s">
        <v>7600</v>
      </c>
      <c r="X404" s="60"/>
      <c r="Y404" s="59" t="s">
        <v>7601</v>
      </c>
      <c r="Z404" s="60"/>
      <c r="AA404" s="74" t="s">
        <v>7602</v>
      </c>
      <c r="AB404" s="60"/>
      <c r="AC404" s="59" t="s">
        <v>7603</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7509</v>
      </c>
      <c r="T406" s="60"/>
      <c r="U406" s="59" t="s">
        <v>7510</v>
      </c>
      <c r="V406" s="60"/>
      <c r="W406" s="59" t="s">
        <v>7511</v>
      </c>
      <c r="X406" s="60"/>
      <c r="Y406" s="59" t="s">
        <v>7512</v>
      </c>
      <c r="Z406" s="60"/>
      <c r="AA406" s="59" t="s">
        <v>7513</v>
      </c>
      <c r="AB406" s="60"/>
      <c r="AC406" s="59" t="s">
        <v>7514</v>
      </c>
      <c r="AD406" s="60"/>
      <c r="AE406" s="59" t="s">
        <v>7515</v>
      </c>
      <c r="AF406" s="60"/>
      <c r="AG406" s="59" t="s">
        <v>7516</v>
      </c>
      <c r="AH406" s="60"/>
      <c r="AI406" s="59" t="s">
        <v>7517</v>
      </c>
      <c r="AJ406" s="60"/>
      <c r="AK406" s="59" t="s">
        <v>7518</v>
      </c>
      <c r="AL406" s="60"/>
      <c r="AM406" s="59" t="s">
        <v>7519</v>
      </c>
      <c r="AN406" s="60"/>
      <c r="AO406" s="59" t="s">
        <v>7520</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7475</v>
      </c>
      <c r="H409" s="57" t="s">
        <v>6999</v>
      </c>
      <c r="I409" s="57"/>
      <c r="J409" s="97"/>
      <c r="K409" s="106" t="s">
        <v>6354</v>
      </c>
      <c r="L409" s="57" t="s">
        <v>5507</v>
      </c>
      <c r="M409" s="59" t="s">
        <v>7594</v>
      </c>
      <c r="N409" s="60" t="s">
        <v>7686</v>
      </c>
      <c r="O409" s="59" t="s">
        <v>7682</v>
      </c>
      <c r="P409" s="60" t="s">
        <v>7685</v>
      </c>
      <c r="Q409" s="59" t="s">
        <v>7683</v>
      </c>
      <c r="R409" s="60" t="s">
        <v>7687</v>
      </c>
      <c r="S409" s="59" t="s">
        <v>7684</v>
      </c>
      <c r="T409" s="60" t="s">
        <v>7688</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7486</v>
      </c>
      <c r="G411" s="57" t="s">
        <v>7492</v>
      </c>
      <c r="H411" s="4" t="s">
        <v>7493</v>
      </c>
      <c r="I411" s="57" t="s">
        <v>6999</v>
      </c>
      <c r="J411" s="97"/>
      <c r="K411" s="106" t="s">
        <v>6354</v>
      </c>
      <c r="L411" s="57" t="s">
        <v>5507</v>
      </c>
      <c r="M411" s="59" t="s">
        <v>7485</v>
      </c>
      <c r="N411" s="60"/>
      <c r="O411" s="59" t="s">
        <v>7487</v>
      </c>
      <c r="P411" s="60"/>
      <c r="Q411" s="59" t="s">
        <v>7488</v>
      </c>
      <c r="R411" s="60"/>
      <c r="S411" s="59" t="s">
        <v>7489</v>
      </c>
      <c r="T411" s="60"/>
      <c r="U411" s="59" t="s">
        <v>7490</v>
      </c>
      <c r="V411" s="60"/>
      <c r="W411" s="59" t="s">
        <v>7491</v>
      </c>
      <c r="X411" s="60"/>
      <c r="Y411" s="59" t="s">
        <v>7494</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7503</v>
      </c>
      <c r="G412" s="57" t="s">
        <v>7504</v>
      </c>
      <c r="H412" s="57" t="s">
        <v>7505</v>
      </c>
      <c r="I412" s="57" t="s">
        <v>7506</v>
      </c>
      <c r="J412" s="57" t="s">
        <v>6999</v>
      </c>
      <c r="K412" s="106" t="s">
        <v>6354</v>
      </c>
      <c r="L412" s="57" t="s">
        <v>5507</v>
      </c>
      <c r="M412" s="59" t="s">
        <v>7501</v>
      </c>
      <c r="N412" s="60" t="s">
        <v>7502</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7623</v>
      </c>
      <c r="H416" s="57" t="s">
        <v>6999</v>
      </c>
      <c r="I416" s="57"/>
      <c r="J416" s="97"/>
      <c r="K416" s="106" t="s">
        <v>6354</v>
      </c>
      <c r="L416" s="57" t="s">
        <v>5507</v>
      </c>
      <c r="M416" s="59" t="s">
        <v>7661</v>
      </c>
      <c r="N416" s="60"/>
      <c r="O416" s="59" t="s">
        <v>7662</v>
      </c>
      <c r="P416" s="60"/>
      <c r="Q416" s="59" t="s">
        <v>7665</v>
      </c>
      <c r="R416" s="60"/>
      <c r="S416" s="59" t="s">
        <v>7666</v>
      </c>
      <c r="T416" s="60"/>
      <c r="U416" s="59" t="s">
        <v>7676</v>
      </c>
      <c r="V416" s="60"/>
      <c r="W416" s="59" t="s">
        <v>7677</v>
      </c>
      <c r="X416" s="60"/>
      <c r="Y416" s="59" t="s">
        <v>7678</v>
      </c>
      <c r="Z416" s="60"/>
      <c r="AA416" s="59" t="s">
        <v>7679</v>
      </c>
      <c r="AB416" s="60"/>
      <c r="AC416" s="59" t="s">
        <v>7680</v>
      </c>
      <c r="AD416" s="60"/>
      <c r="AE416" s="59" t="s">
        <v>7681</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7623</v>
      </c>
      <c r="H417" s="57" t="s">
        <v>6999</v>
      </c>
      <c r="I417" s="57"/>
      <c r="J417" s="97"/>
      <c r="K417" s="106" t="s">
        <v>6354</v>
      </c>
      <c r="L417" s="57" t="s">
        <v>5507</v>
      </c>
      <c r="M417" s="59" t="s">
        <v>7622</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5236</v>
      </c>
      <c r="G418" s="57"/>
      <c r="H418" s="57"/>
      <c r="I418" s="57"/>
      <c r="J418" s="97"/>
      <c r="K418" s="106" t="s">
        <v>6354</v>
      </c>
      <c r="L418" s="57" t="s">
        <v>5507</v>
      </c>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5236</v>
      </c>
      <c r="G419" s="57"/>
      <c r="H419" s="57"/>
      <c r="I419" s="57"/>
      <c r="J419" s="97"/>
      <c r="K419" s="106" t="s">
        <v>6354</v>
      </c>
      <c r="L419" s="57" t="s">
        <v>5507</v>
      </c>
      <c r="M419" s="59" t="s">
        <v>7654</v>
      </c>
      <c r="N419" s="60"/>
      <c r="O419" s="59" t="s">
        <v>7655</v>
      </c>
      <c r="P419" s="60"/>
      <c r="Q419" s="59" t="s">
        <v>7656</v>
      </c>
      <c r="R419" s="60"/>
      <c r="S419" s="59" t="s">
        <v>7657</v>
      </c>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7658</v>
      </c>
      <c r="G420" s="57" t="s">
        <v>7659</v>
      </c>
      <c r="H420" s="4" t="s">
        <v>7660</v>
      </c>
      <c r="I420" s="57" t="s">
        <v>6999</v>
      </c>
      <c r="J420" s="97"/>
      <c r="K420" s="106" t="s">
        <v>6354</v>
      </c>
      <c r="L420" s="57" t="s">
        <v>5507</v>
      </c>
      <c r="M420" s="59" t="s">
        <v>7624</v>
      </c>
      <c r="N420" s="60"/>
      <c r="O420" s="59" t="s">
        <v>7625</v>
      </c>
      <c r="P420" s="60"/>
      <c r="Q420" s="59" t="s">
        <v>7626</v>
      </c>
      <c r="R420" s="60"/>
      <c r="S420" s="59" t="s">
        <v>1932</v>
      </c>
      <c r="T420" s="60"/>
      <c r="U420" s="59" t="s">
        <v>2056</v>
      </c>
      <c r="V420" s="60"/>
      <c r="W420" s="59" t="s">
        <v>7008</v>
      </c>
      <c r="X420" s="60"/>
      <c r="Y420" s="59" t="s">
        <v>6619</v>
      </c>
      <c r="Z420" s="60"/>
      <c r="AA420" s="59" t="s">
        <v>7663</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7642</v>
      </c>
      <c r="G421" s="57" t="s">
        <v>7636</v>
      </c>
      <c r="H421" s="57" t="s">
        <v>6999</v>
      </c>
      <c r="I421" s="57"/>
      <c r="J421" s="97"/>
      <c r="K421" s="106" t="s">
        <v>6354</v>
      </c>
      <c r="L421" s="57" t="s">
        <v>5507</v>
      </c>
      <c r="M421" s="59" t="s">
        <v>7634</v>
      </c>
      <c r="N421" s="60" t="s">
        <v>7645</v>
      </c>
      <c r="O421" s="59" t="s">
        <v>7635</v>
      </c>
      <c r="P421" s="60" t="s">
        <v>7644</v>
      </c>
      <c r="Q421" s="59" t="s">
        <v>7641</v>
      </c>
      <c r="R421" s="60" t="s">
        <v>7643</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7623</v>
      </c>
      <c r="H422" s="57" t="s">
        <v>6999</v>
      </c>
      <c r="I422" s="57"/>
      <c r="J422" s="108"/>
      <c r="K422" s="106" t="s">
        <v>6354</v>
      </c>
      <c r="L422" s="57" t="s">
        <v>5507</v>
      </c>
      <c r="M422" s="92" t="s">
        <v>7115</v>
      </c>
      <c r="N422" s="93"/>
      <c r="O422" s="92" t="s">
        <v>7669</v>
      </c>
      <c r="P422" s="93"/>
      <c r="Q422" s="92" t="s">
        <v>7670</v>
      </c>
      <c r="R422" s="93"/>
      <c r="S422" s="92" t="s">
        <v>7674</v>
      </c>
      <c r="T422" s="93"/>
      <c r="U422" s="92" t="s">
        <v>7675</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5236</v>
      </c>
      <c r="G423" s="3"/>
      <c r="H423" s="3"/>
      <c r="I423" s="3"/>
      <c r="J423" s="47"/>
      <c r="K423" s="106" t="s">
        <v>6354</v>
      </c>
      <c r="L423" s="57" t="s">
        <v>5507</v>
      </c>
      <c r="M423" s="48"/>
      <c r="N423" s="49"/>
      <c r="O423" s="48"/>
      <c r="P423" s="49"/>
      <c r="Q423" s="48"/>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5236</v>
      </c>
      <c r="K424" s="106" t="s">
        <v>6354</v>
      </c>
      <c r="L424" s="57" t="s">
        <v>5507</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5236</v>
      </c>
      <c r="K428" s="106" t="s">
        <v>6354</v>
      </c>
      <c r="L428" s="57" t="s">
        <v>5507</v>
      </c>
      <c r="M428" s="7" t="s">
        <v>7719</v>
      </c>
    </row>
    <row r="429" spans="1:70" ht="28.5" customHeight="1">
      <c r="A429" s="73" t="str">
        <f>IF(games!A429="", "", games!A429)</f>
        <v/>
      </c>
      <c r="C429" s="57" t="str">
        <f t="shared" si="18"/>
        <v/>
      </c>
      <c r="D429" s="57" t="str">
        <f t="shared" si="19"/>
        <v/>
      </c>
      <c r="E429" s="97" t="str">
        <f>IF(games!I429&lt;&gt;"", games!I429, "")</f>
        <v/>
      </c>
    </row>
    <row r="430" spans="1:70" ht="28.5" customHeight="1">
      <c r="A430" s="73" t="str">
        <f>IF(games!A430="", "", games!A430)</f>
        <v/>
      </c>
      <c r="C430" s="57" t="str">
        <f t="shared" si="18"/>
        <v/>
      </c>
      <c r="D430" s="57" t="str">
        <f t="shared" si="19"/>
        <v/>
      </c>
      <c r="E430" s="97" t="str">
        <f>IF(games!I430&lt;&gt;"", games!I430, "")</f>
        <v/>
      </c>
    </row>
    <row r="431" spans="1:70" ht="28.5" customHeight="1">
      <c r="A431" s="73" t="str">
        <f>IF(games!A431="", "", games!A431)</f>
        <v/>
      </c>
      <c r="C431" s="57" t="str">
        <f t="shared" si="18"/>
        <v/>
      </c>
      <c r="D431" s="57" t="str">
        <f t="shared" si="19"/>
        <v/>
      </c>
      <c r="E431" s="97" t="str">
        <f>IF(games!I431&lt;&gt;"", games!I431, "")</f>
        <v/>
      </c>
    </row>
    <row r="432" spans="1:70" ht="28.5" customHeight="1">
      <c r="A432" s="73" t="str">
        <f>IF(games!A432="", "", games!A432)</f>
        <v/>
      </c>
      <c r="C432" s="57" t="str">
        <f t="shared" si="18"/>
        <v/>
      </c>
      <c r="D432" s="57" t="str">
        <f t="shared" si="19"/>
        <v/>
      </c>
      <c r="E432" s="97" t="str">
        <f>IF(games!I432&lt;&gt;"", games!I432, "")</f>
        <v/>
      </c>
    </row>
    <row r="433" spans="1:5" ht="28.5" customHeight="1">
      <c r="A433" s="73" t="str">
        <f>IF(games!A433="", "", games!A433)</f>
        <v/>
      </c>
      <c r="C433" s="57" t="str">
        <f t="shared" si="18"/>
        <v/>
      </c>
      <c r="D433" s="57" t="str">
        <f t="shared" si="19"/>
        <v/>
      </c>
      <c r="E433" s="97" t="str">
        <f>IF(games!I433&lt;&gt;"", games!I433, "")</f>
        <v/>
      </c>
    </row>
    <row r="434" spans="1:5" ht="28.5" customHeight="1">
      <c r="A434" s="73" t="str">
        <f>IF(games!A434="", "", games!A434)</f>
        <v/>
      </c>
      <c r="C434" s="57" t="str">
        <f t="shared" si="18"/>
        <v/>
      </c>
      <c r="D434" s="57" t="str">
        <f t="shared" si="19"/>
        <v/>
      </c>
      <c r="E434" s="97" t="str">
        <f>IF(games!I434&lt;&gt;"", games!I434, "")</f>
        <v/>
      </c>
    </row>
    <row r="435" spans="1:5" ht="28.5" customHeight="1">
      <c r="A435" s="73" t="str">
        <f>IF(games!A435="", "", games!A435)</f>
        <v/>
      </c>
      <c r="C435" s="57" t="str">
        <f t="shared" si="18"/>
        <v/>
      </c>
      <c r="D435" s="57" t="str">
        <f t="shared" si="19"/>
        <v/>
      </c>
      <c r="E435" s="97" t="str">
        <f>IF(games!I435&lt;&gt;"", games!I435, "")</f>
        <v/>
      </c>
    </row>
    <row r="436" spans="1:5" ht="28.5" customHeight="1">
      <c r="A436" s="73" t="str">
        <f>IF(games!A436="", "", games!A436)</f>
        <v/>
      </c>
      <c r="C436" s="57" t="str">
        <f t="shared" si="18"/>
        <v/>
      </c>
      <c r="D436" s="57" t="str">
        <f t="shared" si="19"/>
        <v/>
      </c>
      <c r="E436" s="97" t="str">
        <f>IF(games!I436&lt;&gt;"", games!I436, "")</f>
        <v/>
      </c>
    </row>
    <row r="437" spans="1:5" ht="28.5" customHeight="1">
      <c r="A437" s="73" t="str">
        <f>IF(games!A437="", "", games!A437)</f>
        <v/>
      </c>
      <c r="C437" s="57" t="str">
        <f t="shared" si="18"/>
        <v/>
      </c>
      <c r="D437" s="57" t="str">
        <f t="shared" si="19"/>
        <v/>
      </c>
      <c r="E437" s="97" t="str">
        <f>IF(games!I437&lt;&gt;"", games!I437, "")</f>
        <v/>
      </c>
    </row>
    <row r="438" spans="1:5" ht="28.5" customHeight="1">
      <c r="A438" s="73" t="str">
        <f>IF(games!A438="", "", games!A438)</f>
        <v/>
      </c>
      <c r="C438" s="57" t="str">
        <f t="shared" si="18"/>
        <v/>
      </c>
      <c r="D438" s="57" t="str">
        <f t="shared" si="19"/>
        <v/>
      </c>
      <c r="E438" s="97" t="str">
        <f>IF(games!I438&lt;&gt;"", games!I438, "")</f>
        <v/>
      </c>
    </row>
    <row r="439" spans="1:5" ht="28.5" customHeight="1">
      <c r="A439" s="73" t="str">
        <f>IF(games!A439="", "", games!A439)</f>
        <v/>
      </c>
      <c r="C439" s="57" t="str">
        <f t="shared" si="18"/>
        <v/>
      </c>
      <c r="D439" s="57" t="str">
        <f t="shared" si="19"/>
        <v/>
      </c>
      <c r="E439" s="97" t="str">
        <f>IF(games!I439&lt;&gt;"", games!I439, "")</f>
        <v/>
      </c>
    </row>
    <row r="440" spans="1:5" ht="28.5" customHeight="1">
      <c r="A440" s="73" t="str">
        <f>IF(games!A440="", "", games!A440)</f>
        <v/>
      </c>
      <c r="C440" s="57" t="str">
        <f t="shared" si="18"/>
        <v/>
      </c>
      <c r="D440" s="57" t="str">
        <f t="shared" si="19"/>
        <v/>
      </c>
      <c r="E440" s="97" t="str">
        <f>IF(games!I440&lt;&gt;"", games!I440, "")</f>
        <v/>
      </c>
    </row>
    <row r="441" spans="1:5" ht="28.5" customHeight="1">
      <c r="A441" s="73" t="str">
        <f>IF(games!A441="", "", games!A441)</f>
        <v/>
      </c>
      <c r="C441" s="57" t="str">
        <f t="shared" si="18"/>
        <v/>
      </c>
      <c r="D441" s="57" t="str">
        <f t="shared" si="19"/>
        <v/>
      </c>
      <c r="E441" s="97" t="str">
        <f>IF(games!I441&lt;&gt;"", games!I441, "")</f>
        <v/>
      </c>
    </row>
    <row r="442" spans="1:5" ht="28.5" customHeight="1">
      <c r="A442" s="73" t="str">
        <f>IF(games!A442="", "", games!A442)</f>
        <v/>
      </c>
      <c r="C442" s="57" t="str">
        <f t="shared" si="18"/>
        <v/>
      </c>
      <c r="D442" s="57" t="str">
        <f t="shared" si="19"/>
        <v/>
      </c>
      <c r="E442" s="97" t="str">
        <f>IF(games!I442&lt;&gt;"", games!I442, "")</f>
        <v/>
      </c>
    </row>
    <row r="443" spans="1:5" ht="28.5" customHeight="1">
      <c r="A443" s="73" t="str">
        <f>IF(games!A443="", "", games!A443)</f>
        <v/>
      </c>
      <c r="C443" s="57" t="str">
        <f t="shared" si="18"/>
        <v/>
      </c>
      <c r="D443" s="57" t="str">
        <f t="shared" si="19"/>
        <v/>
      </c>
      <c r="E443" s="97" t="str">
        <f>IF(games!I443&lt;&gt;"", games!I443, "")</f>
        <v/>
      </c>
    </row>
    <row r="444" spans="1:5" ht="28.5" customHeight="1">
      <c r="A444" s="73" t="str">
        <f>IF(games!A444="", "", games!A444)</f>
        <v/>
      </c>
      <c r="C444" s="57" t="str">
        <f t="shared" si="18"/>
        <v/>
      </c>
      <c r="D444" s="57" t="str">
        <f t="shared" si="19"/>
        <v/>
      </c>
      <c r="E444" s="97" t="str">
        <f>IF(games!I444&lt;&gt;"", games!I444, "")</f>
        <v/>
      </c>
    </row>
    <row r="445" spans="1:5" ht="28.5" customHeight="1">
      <c r="A445" s="73" t="str">
        <f>IF(games!A445="", "", games!A445)</f>
        <v/>
      </c>
      <c r="C445" s="57" t="str">
        <f t="shared" si="18"/>
        <v/>
      </c>
      <c r="D445" s="57" t="str">
        <f t="shared" si="19"/>
        <v/>
      </c>
      <c r="E445" s="97" t="str">
        <f>IF(games!I445&lt;&gt;"", games!I445, "")</f>
        <v/>
      </c>
    </row>
    <row r="446" spans="1:5" ht="28.5" customHeight="1">
      <c r="A446" s="73" t="str">
        <f>IF(games!A446="", "", games!A446)</f>
        <v/>
      </c>
      <c r="C446" s="57" t="str">
        <f t="shared" si="18"/>
        <v/>
      </c>
      <c r="D446" s="57" t="str">
        <f t="shared" si="19"/>
        <v/>
      </c>
      <c r="E446" s="97" t="str">
        <f>IF(games!I446&lt;&gt;"", games!I446, "")</f>
        <v/>
      </c>
    </row>
    <row r="447" spans="1:5" ht="28.5" customHeight="1">
      <c r="A447" s="73" t="str">
        <f>IF(games!A447="", "", games!A447)</f>
        <v/>
      </c>
      <c r="C447" s="57" t="str">
        <f t="shared" si="18"/>
        <v/>
      </c>
      <c r="D447" s="57" t="str">
        <f t="shared" si="19"/>
        <v/>
      </c>
      <c r="E447" s="97" t="str">
        <f>IF(games!I447&lt;&gt;"", games!I447, "")</f>
        <v/>
      </c>
    </row>
    <row r="448" spans="1:5"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s>
  <pageMargins left="0.7" right="0.7" top="0.75" bottom="0.75" header="0.3" footer="0.3"/>
  <pageSetup paperSize="9" orientation="portrait" r:id="rId1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2026-03-16T13:18:49Z</dcterms:modified>
</cp:coreProperties>
</file>