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<sst xmlns="http://schemas.openxmlformats.org/spreadsheetml/2006/main" count="8060" uniqueCount="5485">
  <si>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</si>
  <si>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</si>
  <si>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</si>
  <si>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</si>
  <si>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</si>
  <si>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</si>
  <si>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</si>
  <si>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</si>
  <si>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</si>
  <si>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</si>
  <si>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</si>
  <si>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</si>
  <si>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</si>
  <si>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</si>
  <si>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</si>
  <si>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</si>
  <si>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</si>
  <si>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</si>
  <si>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</si>
  <si>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</si>
  <si>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</si>
  <si>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</si>
  <si>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</si>
  <si>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</si>
  <si>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</si>
  <si>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</si>
  <si>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</si>
  <si>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</si>
  <si>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</si>
  <si>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</si>
  <si>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</si>
  <si>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</si>
  <si>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</si>
  <si>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</si>
  <si>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</si>
  <si>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</si>
  <si>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</si>
  <si>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</si>
  <si>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</si>
  <si>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</si>
  <si>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</si>
  <si>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</si>
  <si>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</si>
  <si>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</si>
  <si>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</si>
  <si>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</si>
  <si>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</si>
  <si>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</si>
  <si>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</si>
  <si>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</si>
  <si>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</si>
  <si>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</si>
  <si>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</si>
  <si>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</si>
  <si>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</si>
  <si>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</si>
  <si>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</si>
  <si>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</si>
  <si>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</si>
  <si>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</si>
  <si>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</si>
  <si>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</si>
  <si>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</si>
  <si>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</si>
  <si>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</si>
  <si>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</si>
  <si>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</si>
  <si>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</si>
  <si>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</si>
  <si>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</si>
  <si>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</si>
  <si>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</si>
  <si>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</si>
  <si>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</si>
  <si>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</si>
  <si>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</si>
  <si>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</si>
  <si>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</si>
  <si>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</si>
  <si>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</si>
  <si>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</si>
  <si>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</si>
  <si>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</si>
  <si>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</si>
  <si>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</si>
  <si>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</si>
  <si>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</si>
  <si>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</si>
  <si>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</si>
  <si>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</si>
  <si>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</si>
  <si>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</si>
  <si>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</si>
  <si>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</si>
  <si>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</si>
  <si>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</si>
  <si>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</si>
  <si>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</si>
  <si>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</si>
  <si>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</si>
  <si>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</si>
  <si>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</si>
  <si>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</si>
  <si>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</si>
  <si>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</si>
  <si>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</si>
  <si>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</si>
  <si>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</si>
  <si>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</si>
  <si>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</si>
  <si>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</si>
  <si>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</si>
  <si>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</si>
  <si>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</si>
  <si>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</si>
  <si>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</si>
  <si>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</si>
  <si>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</si>
  <si>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</si>
  <si>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</si>
  <si>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</si>
  <si>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</si>
  <si>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</si>
  <si>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</si>
  <si>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</si>
  <si>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</si>
  <si>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</si>
  <si>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</si>
  <si>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</si>
  <si>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</si>
  <si>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</si>
  <si>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</si>
  <si>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</si>
  <si>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</si>
  <si>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</si>
  <si>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</si>
  <si>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</si>
  <si>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</si>
  <si>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</si>
  <si>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</si>
  <si>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</si>
  <si>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</si>
  <si>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</si>
  <si>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</si>
  <si>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</si>
  <si>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</si>
  <si>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</si>
  <si>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</si>
  <si>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</si>
  <si>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</si>
  <si>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</si>
  <si>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</si>
  <si>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</si>
  <si>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</si>
  <si>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</si>
  <si>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</si>
  <si>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</si>
  <si>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</si>
  <si>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</si>
  <si>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</si>
  <si>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</si>
  <si>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</si>
  <si>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</si>
  <si>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</si>
  <si>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</si>
  <si>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</si>
  <si>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</si>
  <si>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</si>
  <si>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</si>
  <si>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</si>
  <si>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</si>
  <si>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</si>
  <si>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</si>
  <si>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</si>
  <si>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</si>
  <si>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</si>
  <si>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</si>
  <si>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</si>
  <si>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</si>
  <si>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</si>
  <si>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</si>
  <si>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</si>
  <si>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</si>
  <si>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</si>
  <si>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</si>
  <si>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</si>
  <si>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</si>
  <si>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</si>
  <si>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</si>
  <si>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</si>
  <si>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</si>
  <si>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</si>
  <si>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</si>
  <si>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</si>
  <si>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</si>
  <si>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</si>
  <si>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</si>
  <si>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</si>
  <si>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</si>
  <si>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</si>
  <si>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</si>
  <si>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</si>
  <si>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</si>
  <si>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</si>
  <si>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</si>
  <si>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</si>
  <si>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</si>
  <si>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</si>
  <si>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</si>
  <si>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</si>
  <si>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</si>
  <si>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</si>
  <si>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</si>
  <si>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</si>
  <si>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</si>
  <si>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</si>
  <si>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</si>
  <si>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</si>
  <si>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</si>
  <si>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</si>
  <si>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</si>
  <si>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</si>
  <si>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</si>
  <si>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</si>
  <si>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</si>
  <si>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</si>
  <si>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</si>
  <si>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</si>
  <si>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</si>
  <si>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</si>
  <si>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</si>
  <si>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</si>
  <si>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</si>
  <si>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</si>
  <si>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</si>
  <si>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</si>
  <si>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</si>
  <si>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</si>
  <si>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</si>
  <si>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</si>
  <si>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</si>
  <si>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</si>
  <si>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</si>
  <si>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</si>
  <si>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</si>
  <si>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</si>
  <si>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</si>
  <si>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</si>
  <si>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</si>
  <si>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</si>
  <si>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</si>
  <si>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</si>
  <si>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</si>
  <si>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</si>
  <si>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</si>
  <si>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</si>
  <si>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</si>
  <si>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</si>
  <si>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</si>
  <si>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</si>
  <si>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</si>
  <si>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</si>
  <si>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</si>
  <si>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</si>
  <si>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</si>
  <si>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</si>
  <si>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</si>
  <si>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</si>
  <si>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</si>
  <si>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</si>
  <si>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</si>
  <si>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</si>
  <si>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</si>
  <si>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</si>
  <si>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</si>
  <si>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</si>
  <si>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</si>
  <si>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</si>
  <si>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</si>
  <si>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</si>
  <si>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</si>
  <si>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</si>
  <si>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</si>
  <si>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</si>
  <si>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</si>
  <si>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</si>
  <si>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</si>
  <si>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</si>
  <si>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</si>
  <si>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</si>
  <si>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</si>
  <si>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</si>
  <si>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</si>
  <si>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</si>
  <si>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</si>
  <si>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</si>
  <si>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</si>
  <si>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</si>
  <si>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</si>
  <si>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</si>
  <si>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</si>
  <si>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</si>
  <si>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</si>
  <si>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</si>
  <si>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</si>
  <si>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</si>
  <si>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</si>
  <si>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</si>
  <si>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</si>
  <si>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</si>
  <si>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</si>
  <si>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</si>
  <si>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</si>
  <si>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</si>
  <si>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</si>
  <si>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</si>
  <si>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</si>
  <si>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</si>
  <si>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</si>
  <si>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</si>
  <si>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</si>
  <si>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</si>
  <si>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</si>
  <si>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</si>
  <si>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</si>
  <si>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</si>
  <si>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</si>
  <si>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</si>
  <si>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</si>
  <si>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</si>
  <si>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</si>
  <si>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</si>
  <si>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</si>
  <si>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</si>
  <si>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</si>
  <si>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</si>
  <si>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</si>
  <si>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</si>
  <si>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</si>
  <si>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</si>
  <si>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</si>
  <si>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</si>
  <si>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</si>
  <si>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</si>
  <si>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</si>
  <si>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</si>
  <si>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</si>
  <si>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</si>
  <si>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</si>
  <si>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</si>
  <si>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</si>
  <si>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</si>
  <si>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</si>
  <si>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</si>
  <si>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</si>
  <si>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</si>
  <si>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</si>
  <si>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</si>
  <si>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</si>
  <si>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</si>
  <si>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</si>
  <si>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</si>
  <si>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</si>
  <si>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</si>
  <si>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</si>
  <si>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</si>
  <si>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</si>
  <si>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</si>
  <si>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</si>
  <si>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</si>
  <si>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</si>
  <si>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</si>
  <si>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</si>
  <si>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</si>
  <si>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</si>
  <si>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</si>
  <si>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</si>
  <si>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</si>
  <si>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</si>
  <si>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</si>
  <si>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</si>
  <si>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</si>
  <si>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</si>
  <si>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</si>
  <si>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</si>
  <si>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</si>
  <si>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</si>
  <si>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</si>
  <si>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</si>
  <si>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</si>
  <si>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</si>
  <si>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</si>
  <si>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</si>
  <si>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</si>
  <si>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</si>
  <si>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</si>
  <si>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</si>
  <si>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</si>
  <si>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</si>
  <si>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</si>
  <si>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</si>
  <si>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</si>
  <si>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</si>
  <si>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</si>
  <si>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</si>
  <si>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</si>
  <si>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</si>
  <si>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</si>
  <si>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</si>
  <si>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</si>
  <si>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</si>
  <si>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</si>
  <si>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</si>
  <si>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</si>
  <si>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</si>
  <si>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</si>
  <si>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</si>
  <si>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</si>
  <si>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</si>
  <si>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</si>
  <si>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</si>
  <si>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</si>
  <si>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</si>
  <si>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</si>
  <si>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</si>
  <si>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</si>
  <si>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</si>
  <si>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</si>
  <si>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</si>
  <si>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</si>
  <si>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</si>
  <si>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</si>
  <si>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</si>
  <si>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</si>
  <si>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</si>
  <si>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</si>
  <si>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</si>
  <si>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</si>
  <si>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</si>
  <si>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</si>
  <si>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</si>
  <si>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</si>
  <si>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</si>
  <si>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</si>
  <si>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</si>
  <si>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</si>
  <si>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</si>
  <si>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</si>
  <si>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</si>
  <si>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</si>
  <si>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</si>
  <si>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</si>
  <si>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</si>
  <si>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</si>
  <si>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</si>
  <si>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</si>
  <si>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</si>
  <si>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</si>
  <si>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</si>
  <si>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</si>
  <si>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</si>
  <si>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</si>
  <si>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</si>
  <si>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</si>
  <si>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</si>
  <si>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</si>
  <si>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</si>
  <si>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</si>
  <si>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</si>
  <si>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</si>
  <si>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</si>
  <si>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</si>
  <si>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</si>
  <si>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</si>
  <si>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</si>
  <si>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</si>
  <si>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</si>
  <si>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</si>
  <si>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</si>
  <si>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</si>
  <si>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</si>
  <si>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</si>
  <si>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</si>
  <si>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</si>
  <si>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</si>
  <si>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</si>
  <si>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</si>
  <si>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</si>
  <si>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</si>
  <si>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</si>
  <si>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</si>
  <si>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</si>
  <si>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</si>
  <si>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</si>
  <si>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</si>
  <si>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</si>
  <si>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</si>
  <si>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</si>
  <si>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</si>
  <si>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</si>
  <si>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</si>
  <si>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</si>
  <si>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</si>
  <si>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</si>
  <si>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</si>
  <si>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</si>
  <si>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</si>
  <si>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</si>
  <si>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</si>
  <si>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</si>
  <si>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</si>
  <si>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</si>
  <si>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</si>
  <si>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</si>
  <si>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</si>
  <si>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</si>
  <si>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</si>
  <si>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</si>
  <si>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</si>
  <si>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</si>
  <si>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</si>
  <si>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</si>
  <si>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</si>
  <si>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</si>
  <si>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</si>
  <si>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</si>
  <si>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</si>
  <si>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</si>
  <si>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</si>
  <si>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</si>
  <si>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</si>
  <si>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</si>
  <si>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</si>
  <si>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</si>
  <si>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</si>
  <si>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</si>
  <si>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</si>
  <si>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</si>
  <si>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</si>
  <si>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</si>
  <si>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</si>
  <si>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</si>
  <si>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</si>
  <si>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</si>
  <si>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</si>
  <si>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</si>
  <si>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</si>
  <si>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</si>
  <si>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</si>
  <si>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</si>
  <si>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</si>
  <si>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</si>
  <si>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</si>
  <si>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</si>
  <si>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</si>
  <si>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</si>
  <si>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</si>
  <si>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</si>
  <si>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</si>
  <si>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</si>
  <si>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</si>
  <si>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</si>
  <si>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</si>
  <si>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</si>
  <si>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</si>
  <si>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</si>
  <si>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</si>
  <si>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</si>
  <si>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</si>
  <si>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</si>
  <si>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</si>
  <si>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</si>
  <si>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</si>
  <si>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</si>
  <si>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</si>
  <si>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</si>
  <si>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</si>
  <si>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</si>
  <si>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</si>
  <si>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</si>
  <si>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</si>
  <si>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</si>
  <si>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</si>
  <si>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</si>
  <si>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</si>
  <si>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</si>
  <si>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</si>
  <si>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</si>
  <si>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</si>
  <si>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</si>
  <si>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</si>
  <si>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</si>
  <si>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</si>
  <si>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</si>
  <si>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</si>
  <si>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</si>
  <si>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</si>
  <si>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</si>
  <si>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</si>
  <si>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</si>
  <si>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</si>
  <si>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</si>
  <si>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</si>
  <si>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</si>
  <si>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</si>
  <si>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</si>
  <si>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</si>
  <si>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</si>
  <si>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</si>
  <si>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</si>
  <si>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</si>
  <si>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</si>
  <si>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</si>
  <si>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</si>
  <si>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</si>
  <si>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</si>
  <si>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</si>
  <si>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</si>
  <si>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</si>
  <si>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</si>
  <si>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</si>
  <si>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</si>
  <si>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</si>
  <si>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</si>
  <si>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</si>
  <si>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</si>
  <si>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</si>
  <si>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</si>
  <si>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</si>
  <si>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</si>
  <si>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</si>
  <si>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</si>
  <si>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</si>
  <si>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</si>
  <si>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</si>
  <si>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</si>
  <si>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</si>
  <si>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</si>
  <si>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</si>
  <si>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</si>
  <si>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</si>
  <si>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</si>
  <si>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</si>
  <si>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</si>
  <si>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</si>
  <si>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</si>
  <si>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</si>
  <si>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</si>
  <si>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</si>
  <si>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</si>
  <si>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</si>
  <si>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</si>
  <si>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</si>
  <si>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</si>
  <si>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</si>
  <si>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</si>
  <si>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</si>
  <si>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</si>
  <si>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</si>
  <si>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</si>
  <si>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</si>
  <si>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</si>
  <si>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</si>
  <si>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</si>
  <si>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</si>
  <si>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</si>
  <si>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</si>
  <si>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</si>
  <si>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</si>
  <si>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</si>
  <si>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</si>
  <si>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</si>
  <si>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</si>
  <si>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</si>
  <si>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</si>
  <si>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</si>
  <si>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</si>
  <si>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</si>
  <si>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</si>
  <si>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</si>
  <si>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</si>
  <si>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</si>
  <si>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</si>
  <si>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</si>
  <si>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</si>
  <si>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</si>
  <si>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</si>
  <si>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</si>
  <si>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</si>
  <si>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</si>
  <si>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</si>
  <si>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</si>
  <si>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</si>
  <si>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</si>
  <si>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</si>
  <si>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</si>
  <si>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</si>
  <si>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</si>
  <si>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</si>
  <si>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</si>
  <si>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</si>
  <si>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</si>
  <si>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</si>
  <si>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</si>
  <si>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</si>
  <si>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</si>
  <si>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</si>
  <si>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</si>
  <si>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</si>
  <si>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</si>
  <si>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</si>
  <si>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</si>
  <si>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</si>
  <si>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</si>
  <si>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</si>
  <si>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</si>
  <si>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</si>
  <si>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</si>
  <si>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</si>
  <si>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</si>
  <si>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</si>
  <si>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</si>
  <si>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</si>
  <si>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</si>
  <si>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</si>
  <si>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</si>
  <si>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</si>
  <si>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</si>
  <si>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</si>
  <si>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</si>
  <si>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</si>
  <si>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</si>
  <si>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</si>
  <si>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</si>
  <si>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</si>
  <si>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</si>
  <si>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</si>
  <si>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</si>
  <si>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</si>
  <si>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</si>
  <si>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</si>
  <si>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</si>
  <si>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</si>
  <si>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</si>
  <si>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</si>
  <si>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</si>
  <si>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</si>
  <si>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</si>
  <si>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</si>
  <si>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</si>
  <si>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</si>
  <si>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</si>
  <si>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</si>
  <si>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</si>
  <si>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</si>
  <si>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</si>
  <si>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</si>
  <si>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</si>
  <si>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</si>
  <si>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</si>
  <si>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</si>
  <si>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</si>
  <si>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</si>
  <si>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</si>
  <si>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</si>
  <si>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</si>
  <si>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</si>
  <si>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</si>
  <si>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</si>
  <si>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</si>
  <si>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</si>
  <si>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</si>
  <si>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</si>
  <si>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</si>
  <si>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</si>
  <si>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</si>
  <si>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</si>
  <si>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</si>
  <si>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</si>
  <si>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</si>
  <si>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</si>
  <si>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</si>
  <si>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</si>
  <si>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</si>
  <si>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</si>
  <si>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</si>
  <si>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</si>
  <si>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</si>
  <si>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</si>
  <si>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</si>
  <si>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</si>
  <si>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</si>
  <si>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</si>
  <si>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</si>
  <si>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</si>
  <si>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</si>
  <si>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</si>
  <si>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</si>
  <si>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</si>
  <si>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</si>
  <si>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</si>
  <si>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</si>
  <si>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</si>
  <si>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</si>
  <si>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</si>
  <si>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</si>
  <si>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</si>
  <si>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</si>
  <si>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</si>
  <si>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</si>
  <si>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</si>
  <si>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</si>
  <si>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</si>
  <si>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</si>
  <si>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</si>
  <si>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</si>
  <si>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</si>
  <si>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</si>
  <si>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</si>
  <si>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</si>
  <si>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</si>
  <si>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</si>
  <si>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</si>
  <si>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</si>
  <si>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</si>
  <si>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</si>
  <si>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</si>
  <si>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</si>
  <si>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</si>
  <si>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</si>
  <si>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</si>
  <si>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</si>
  <si>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</si>
  <si>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</si>
  <si>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</si>
  <si>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</si>
  <si>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</si>
  <si>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</si>
  <si>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</si>
  <si>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</si>
  <si>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</si>
  <si>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</si>
  <si>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</si>
  <si>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</si>
  <si>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</si>
  <si>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</si>
  <si>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</si>
  <si>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</si>
  <si>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</si>
  <si>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</si>
  <si>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</si>
  <si>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</si>
  <si>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</si>
  <si>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</si>
  <si>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</si>
  <si>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</si>
  <si>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</si>
  <si>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</si>
  <si>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</si>
  <si>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</si>
  <si>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</si>
  <si>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</si>
  <si>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</si>
  <si>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</si>
  <si>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</si>
  <si>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</si>
  <si>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</si>
  <si>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</si>
  <si>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</si>
  <si>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</si>
  <si>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</si>
  <si>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</si>
  <si>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</si>
  <si>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</si>
  <si>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</si>
  <si>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</si>
  <si>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</si>
  <si>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</si>
  <si>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</si>
  <si>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</si>
  <si>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</si>
  <si>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</si>
  <si>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</si>
  <si>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</si>
  <si>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</si>
  <si>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</si>
  <si>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</si>
  <si>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</si>
  <si>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</si>
  <si>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</si>
  <si>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</si>
  <si>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</si>
  <si>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</si>
  <si>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</si>
  <si>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</si>
  <si>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</si>
  <si>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</si>
  <si>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</si>
  <si>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</si>
  <si>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</si>
  <si>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</si>
  <si>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</si>
  <si>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</si>
  <si>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</si>
  <si>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</si>
  <si>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</si>
  <si>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</si>
  <si>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</si>
  <si>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</si>
  <si>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</si>
  <si>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</si>
  <si>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</si>
  <si>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</si>
  <si>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</si>
  <si>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</si>
  <si>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</si>
  <si>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</si>
  <si>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</si>
  <si>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</si>
  <si>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</si>
  <si>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</si>
  <si>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</si>
  <si>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</si>
  <si>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</si>
  <si>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</si>
  <si>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</si>
  <si>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</si>
  <si>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</si>
  <si>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</si>
  <si>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</si>
  <si>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</si>
  <si>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</si>
  <si>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</si>
  <si>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</si>
  <si>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</si>
  <si>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</si>
  <si>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</si>
  <si>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</si>
  <si>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</si>
  <si>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</si>
  <si>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</si>
  <si>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</si>
  <si>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</si>
  <si>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</si>
  <si>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</si>
  <si>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</si>
  <si>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</si>
  <si>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</si>
  <si>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</si>
  <si>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</si>
  <si>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</si>
  <si>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</si>
  <si>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</si>
  <si>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</si>
  <si>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</si>
  <si>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</si>
  <si>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</si>
  <si>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</si>
  <si>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</si>
  <si>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</si>
  <si>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</si>
  <si>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</si>
  <si>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</si>
  <si>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</si>
  <si>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</si>
  <si>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</si>
  <si>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</si>
  <si>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</si>
  <si>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</si>
  <si>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</si>
  <si>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</si>
  <si>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</si>
  <si>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</si>
  <si>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</si>
  <si>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</si>
  <si>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</si>
  <si>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</si>
  <si>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</si>
  <si>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</si>
  <si>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</si>
  <si>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</si>
  <si>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</si>
  <si>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</si>
  <si>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</si>
  <si>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</si>
  <si>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</si>
  <si>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</si>
  <si>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</si>
  <si>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</si>
  <si>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</si>
  <si>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</si>
  <si>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</si>
  <si>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</si>
  <si>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</si>
  <si>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</si>
  <si>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</si>
  <si>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</si>
  <si>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</si>
  <si>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</si>
  <si>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</si>
  <si>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</si>
  <si>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</si>
  <si>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</si>
  <si>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</si>
  <si>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</si>
  <si>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</si>
  <si>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</si>
  <si>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</si>
  <si>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</si>
  <si>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</si>
  <si>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</si>
  <si>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</si>
  <si>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</si>
  <si>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</si>
  <si>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</si>
  <si>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</si>
  <si>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</si>
  <si>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</si>
  <si>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</si>
  <si>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</si>
  <si>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</si>
  <si>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</si>
  <si>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</si>
  <si>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</si>
  <si>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</si>
  <si>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</si>
  <si>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</si>
  <si>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</si>
  <si>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</si>
  <si>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</si>
  <si>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</si>
  <si>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</si>
  <si>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</si>
  <si>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</si>
  <si>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</si>
  <si>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</si>
  <si>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</si>
  <si>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</si>
  <si>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</si>
  <si>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</si>
  <si>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</si>
  <si>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</si>
  <si>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</si>
  <si>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</si>
  <si>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</si>
  <si>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</si>
  <si>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</si>
  <si>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</si>
  <si>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</si>
  <si>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</si>
  <si>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</si>
  <si>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</si>
  <si>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</si>
  <si>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</si>
  <si>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</si>
  <si>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</si>
  <si>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</si>
  <si>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</si>
  <si>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</si>
  <si>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</si>
  <si>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</si>
  <si>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</si>
  <si>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</si>
  <si>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</si>
  <si>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</si>
  <si>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</si>
  <si>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</si>
  <si>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</si>
  <si>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</si>
  <si>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</si>
  <si>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</si>
  <si>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</si>
  <si>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</si>
  <si>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</si>
  <si>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</si>
  <si>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</si>
  <si>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</si>
  <si>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</si>
  <si>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</si>
  <si>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</si>
  <si>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</si>
  <si>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</si>
  <si>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</si>
  <si>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</si>
  <si>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</si>
  <si>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</si>
  <si>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</si>
  <si>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</si>
  <si>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</si>
  <si>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</si>
  <si>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</si>
  <si>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</si>
  <si>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</si>
  <si>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</si>
  <si>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</si>
  <si>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</si>
  <si>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</si>
  <si>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</si>
  <si>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</si>
  <si>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</si>
  <si>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</si>
  <si>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</si>
  <si>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</si>
  <si>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</si>
  <si>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</si>
  <si>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</si>
  <si>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</si>
  <si>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</si>
  <si>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</si>
  <si>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</si>
  <si>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</si>
  <si>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</si>
  <si>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</si>
  <si>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</si>
  <si>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</si>
  <si>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</si>
  <si>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</si>
  <si>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</si>
  <si>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</si>
  <si>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</si>
  <si>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</si>
  <si>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</si>
  <si>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</si>
  <si>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</si>
  <si>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</si>
  <si>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</si>
  <si>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</si>
  <si>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</si>
  <si>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</si>
  <si>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</si>
  <si>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</si>
  <si>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</si>
  <si>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</si>
  <si>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</si>
  <si>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</si>
  <si>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</si>
  <si>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</si>
  <si>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</si>
  <si>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</si>
  <si>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</si>
  <si>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</si>
  <si>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</si>
  <si>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</si>
  <si>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</si>
  <si>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</si>
  <si>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</si>
  <si>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</si>
  <si>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</si>
  <si>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</si>
  <si>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</si>
  <si>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</si>
  <si>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</si>
  <si>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</si>
  <si>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</si>
  <si>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</si>
  <si>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</si>
  <si>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</si>
  <si>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</si>
  <si>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</si>
  <si>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</si>
  <si>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</si>
  <si>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</si>
  <si>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</si>
  <si>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</si>
  <si>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</si>
  <si>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</si>
  <si>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</si>
  <si>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</si>
  <si>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</si>
  <si>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</si>
  <si>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</si>
  <si>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</si>
  <si>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</si>
  <si>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</si>
  <si>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</si>
  <si>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</si>
  <si>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</si>
  <si>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</si>
  <si>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</si>
  <si>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</si>
  <si>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</si>
  <si>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</si>
  <si>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</si>
  <si>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</si>
  <si>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</si>
  <si>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</si>
  <si>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</si>
  <si>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</si>
  <si>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</si>
  <si>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</si>
  <si>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</si>
  <si>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</si>
  <si>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</si>
  <si>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</si>
  <si>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</si>
  <si>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</si>
  <si>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</si>
  <si>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</si>
  <si>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</si>
  <si>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</si>
  <si>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</si>
  <si>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</si>
  <si>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</si>
  <si>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</si>
  <si>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</si>
  <si>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</si>
  <si>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</si>
  <si>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</si>
  <si>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</si>
  <si>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</si>
  <si>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</si>
  <si>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</si>
  <si>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</si>
  <si>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</si>
  <si>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</si>
  <si>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</si>
  <si>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</si>
  <si>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</si>
  <si>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</si>
  <si>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</si>
  <si>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</si>
  <si>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</si>
  <si>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</si>
  <si>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</si>
  <si>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</si>
  <si>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</si>
  <si>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</si>
  <si>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</si>
  <si>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</si>
  <si>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</si>
  <si>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</si>
  <si>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</si>
  <si>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</si>
  <si>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</si>
  <si>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</si>
  <si>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</si>
  <si>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</si>
  <si>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</si>
  <si>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</si>
  <si>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</si>
  <si>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</si>
  <si>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</si>
  <si>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</si>
  <si>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</si>
  <si>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</si>
  <si>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</si>
  <si>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</si>
  <si>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</si>
  <si>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</si>
  <si>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</si>
  <si>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</si>
  <si>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</si>
  <si>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</si>
  <si>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</si>
  <si>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</si>
  <si>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</si>
  <si>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</si>
  <si>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</si>
  <si>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</si>
  <si>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</si>
  <si>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</si>
  <si>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</si>
  <si>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</si>
  <si>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</si>
  <si>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</si>
  <si>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</si>
  <si>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</si>
  <si>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</si>
  <si>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</si>
  <si>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</si>
  <si>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</si>
  <si>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</si>
  <si>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</si>
  <si>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</si>
  <si>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</si>
  <si>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</si>
  <si>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</si>
  <si>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</si>
  <si>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</si>
  <si>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</si>
  <si>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</si>
  <si>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</si>
  <si>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</si>
  <si>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</si>
  <si>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</si>
  <si>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</si>
  <si>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</si>
  <si>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</si>
  <si>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</si>
  <si>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</si>
  <si>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</si>
  <si>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</si>
  <si>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</si>
  <si>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</si>
  <si>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</si>
  <si>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</si>
  <si>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</si>
  <si>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</si>
  <si>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</si>
  <si>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</si>
  <si>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</si>
  <si>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</si>
  <si>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</si>
  <si>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</si>
  <si>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</si>
  <si>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</si>
  <si>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</si>
  <si>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</si>
  <si>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</si>
  <si>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</si>
  <si>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</si>
  <si>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</si>
  <si>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</si>
  <si>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</si>
  <si>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</si>
  <si>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</si>
  <si>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</si>
  <si>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</si>
  <si>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</si>
  <si>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</si>
  <si>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</si>
  <si>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</si>
  <si>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</si>
  <si>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</si>
  <si>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</si>
  <si>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</si>
  <si>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</si>
  <si>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</si>
  <si>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</si>
  <si>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</si>
  <si>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</si>
  <si>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</si>
  <si>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</si>
  <si>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</si>
  <si>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</si>
  <si>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</si>
  <si>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</si>
  <si>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</si>
  <si>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</si>
  <si>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</si>
  <si>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</si>
  <si>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</si>
  <si>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</si>
  <si>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</si>
  <si>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</si>
  <si>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</si>
  <si>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</si>
  <si>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</si>
  <si>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</si>
  <si>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</si>
  <si>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</si>
  <si>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</si>
  <si>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</si>
  <si>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</si>
  <si>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</si>
  <si>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</si>
  <si>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</si>
  <si>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</si>
  <si>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</si>
  <si>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</si>
  <si>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</si>
  <si>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</si>
  <si>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</si>
  <si>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</si>
  <si>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</si>
  <si>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</si>
  <si>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</si>
  <si>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</si>
  <si>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</si>
  <si>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</si>
  <si>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</si>
  <si>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</si>
  <si>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</si>
  <si>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</si>
  <si>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</si>
  <si>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</si>
  <si>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</si>
  <si>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</si>
  <si>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</si>
  <si>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</si>
  <si>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</si>
  <si>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</si>
  <si>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</si>
  <si>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</si>
  <si>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</si>
  <si>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</si>
  <si>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</si>
  <si>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</si>
  <si>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</si>
  <si>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</si>
  <si>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</si>
  <si>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</si>
  <si>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</si>
  <si>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</si>
  <si>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</si>
  <si>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</si>
  <si>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</si>
  <si>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</si>
  <si>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</si>
  <si>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</si>
  <si>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</si>
  <si>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</si>
  <si>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</si>
  <si>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</si>
  <si>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</si>
  <si>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</si>
  <si>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</si>
  <si>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</si>
  <si>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</si>
  <si>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</si>
  <si>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</si>
  <si>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</si>
  <si>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</si>
  <si>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</si>
  <si>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</si>
  <si>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</si>
  <si>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</si>
  <si>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</si>
  <si>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</si>
  <si>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</si>
  <si>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</si>
  <si>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</si>
  <si>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</si>
  <si>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</si>
  <si>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</si>
  <si>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</si>
  <si>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</si>
  <si>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</si>
  <si>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</si>
  <si>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</si>
  <si>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</si>
  <si>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</si>
  <si>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</si>
  <si>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</si>
  <si>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</si>
  <si>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</si>
  <si>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</si>
  <si>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</si>
  <si>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</si>
  <si>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</si>
  <si>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</si>
  <si>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</si>
  <si>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</si>
  <si>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</si>
  <si>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</si>
  <si>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</si>
  <si>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</si>
  <si>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</si>
  <si>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</si>
  <si>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</si>
  <si>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</si>
  <si>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</si>
  <si>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</si>
  <si>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</si>
  <si>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</si>
  <si>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</si>
  <si>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</si>
  <si>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</si>
  <si>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</si>
  <si>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</si>
  <si>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</si>
  <si>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</si>
  <si>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</si>
  <si>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</si>
  <si>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</si>
  <si>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</si>
  <si>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</si>
  <si>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</si>
  <si>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</si>
  <si>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</si>
  <si>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</si>
  <si>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</si>
  <si>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</si>
  <si>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</si>
  <si>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</si>
  <si>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</si>
  <si>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</si>
  <si>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</si>
  <si>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</si>
  <si>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</si>
  <si>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</si>
  <si>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</si>
  <si>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</si>
  <si>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</si>
  <si>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</si>
  <si>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</si>
  <si>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</si>
  <si>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</si>
  <si>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</si>
  <si>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</si>
  <si>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</si>
  <si>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</si>
  <si>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</si>
  <si>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</si>
  <si>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</si>
  <si>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</si>
  <si>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</si>
  <si>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</si>
  <si>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</si>
  <si>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</si>
  <si>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</si>
  <si>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</si>
  <si>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</si>
  <si>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</si>
  <si>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</si>
  <si>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</si>
  <si>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</si>
  <si>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</si>
  <si>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</si>
  <si>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</si>
  <si>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</si>
  <si>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</si>
  <si>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</si>
  <si>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</si>
  <si>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</si>
  <si>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</si>
  <si>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</si>
  <si>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</si>
  <si>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</si>
  <si>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</si>
  <si>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</si>
  <si>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</si>
  <si>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</si>
  <si>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</si>
  <si>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</si>
  <si>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</si>
  <si>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</si>
  <si>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</si>
  <si>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</si>
  <si>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</si>
  <si>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</si>
  <si>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</si>
  <si>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</si>
  <si>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</si>
  <si>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</si>
  <si>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</si>
  <si>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</si>
  <si>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</si>
  <si>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</si>
  <si>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</si>
  <si>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</si>
  <si>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</si>
  <si>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</si>
  <si>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</si>
  <si>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</si>
  <si>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</si>
  <si>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</si>
  <si>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</si>
  <si>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</si>
  <si>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</si>
  <si>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</si>
  <si>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</si>
  <si>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</si>
  <si>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</si>
  <si>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</si>
  <si>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</si>
  <si>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</si>
  <si>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</si>
  <si>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</si>
  <si>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</si>
  <si>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</si>
  <si>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</si>
  <si>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</si>
  <si>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</si>
  <si>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</si>
  <si>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</si>
  <si>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</si>
  <si>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</si>
  <si>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</si>
  <si>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</si>
  <si>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</si>
  <si>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</si>
  <si>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</si>
  <si>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</si>
  <si>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</si>
  <si>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</si>
  <si>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</si>
  <si>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</si>
  <si>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</si>
  <si>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</si>
  <si>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</si>
  <si>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</si>
  <si>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</si>
  <si>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</si>
  <si>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</si>
  <si>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</si>
  <si>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</si>
  <si>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</si>
  <si>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</si>
  <si>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</si>
  <si>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</si>
  <si>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</si>
  <si>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</si>
  <si>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</si>
  <si>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</si>
  <si>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</si>
  <si>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</si>
  <si>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</si>
  <si>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</si>
  <si>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</si>
  <si>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</si>
  <si>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</si>
  <si>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</si>
  <si>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</si>
  <si>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</si>
  <si>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</si>
  <si>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</si>
  <si>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</si>
  <si>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</si>
  <si>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</si>
  <si>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</si>
  <si>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</si>
  <si>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</si>
  <si>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</si>
  <si>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</si>
  <si>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</si>
  <si>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</si>
  <si>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</si>
  <si>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</si>
  <si>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</si>
  <si>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</si>
  <si>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</si>
  <si>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</si>
  <si>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</si>
  <si>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</si>
  <si>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</si>
  <si>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</si>
  <si>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</si>
  <si>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</si>
  <si>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</si>
  <si>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</si>
  <si>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</si>
  <si>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</si>
  <si>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</si>
  <si>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</si>
  <si>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</si>
  <si>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</si>
  <si>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</si>
  <si>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</si>
  <si>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</si>
  <si>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</si>
  <si>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</si>
  <si>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</si>
  <si>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</si>
  <si>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</si>
  <si>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</si>
  <si>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</si>
  <si>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</si>
  <si>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</si>
  <si>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</si>
  <si>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</si>
  <si>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</si>
  <si>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</si>
  <si>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</si>
  <si>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</si>
  <si>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</si>
  <si>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</si>
  <si>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</si>
  <si>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</si>
  <si>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</si>
  <si>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</si>
  <si>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</si>
  <si>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</si>
  <si>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</si>
  <si>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</si>
  <si>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</si>
  <si>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</si>
  <si>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</si>
  <si>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</si>
  <si>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</si>
  <si>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</si>
  <si>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</si>
  <si>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</si>
  <si>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</si>
  <si>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</si>
  <si>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</si>
  <si>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</si>
  <si>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</si>
  <si>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</si>
  <si>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</si>
  <si>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</si>
  <si>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</si>
  <si>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</si>
  <si>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</si>
  <si>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</si>
  <si>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</si>
  <si>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</si>
  <si>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</si>
  <si>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</si>
  <si>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</si>
  <si>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</si>
  <si>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</si>
  <si>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</si>
  <si>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</si>
  <si>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</si>
  <si>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</si>
  <si>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</si>
  <si>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</si>
  <si>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</si>
  <si>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</si>
  <si>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</si>
  <si>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</si>
  <si>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</si>
  <si>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</si>
  <si>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</si>
  <si>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</si>
  <si>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</si>
  <si>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</si>
  <si>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</si>
  <si>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</si>
  <si>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</si>
  <si>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</si>
  <si>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</si>
  <si>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</si>
  <si>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</si>
  <si>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</si>
  <si>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</si>
  <si>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</si>
  <si>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</si>
  <si>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</si>
  <si>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</si>
  <si>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</si>
  <si>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</si>
  <si>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</si>
  <si>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</si>
  <si>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</si>
  <si>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</si>
  <si>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</si>
  <si>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</si>
  <si>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</si>
  <si>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</si>
  <si>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</si>
  <si>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</si>
  <si>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</si>
  <si>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</si>
  <si>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</si>
  <si>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</si>
  <si>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</si>
  <si>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</si>
  <si>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</si>
  <si>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</si>
  <si>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</si>
  <si>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</si>
  <si>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</si>
  <si>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</si>
  <si>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</si>
  <si>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</si>
  <si>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</si>
  <si>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</si>
  <si>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</si>
  <si>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</si>
  <si>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</si>
  <si>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</si>
  <si>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</si>
  <si>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</si>
  <si>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</si>
  <si>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</si>
  <si>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</si>
  <si>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</si>
  <si>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</si>
  <si>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</si>
  <si>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</si>
  <si>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</si>
  <si>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</si>
  <si>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</si>
  <si>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</si>
  <si>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</si>
  <si>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</si>
  <si>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</si>
  <si>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</si>
  <si>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</si>
  <si>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</si>
  <si>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</si>
  <si>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</si>
  <si>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</si>
  <si>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</si>
  <si>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</si>
  <si>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</si>
  <si>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</si>
  <si>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</si>
  <si>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</si>
  <si>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</si>
  <si>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</si>
  <si>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</si>
  <si>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</si>
  <si>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</si>
  <si>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</si>
  <si>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</si>
  <si>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</si>
  <si>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</si>
  <si>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</si>
  <si>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</si>
  <si>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</si>
  <si>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</si>
  <si>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</si>
  <si>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</si>
  <si>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</si>
  <si>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</si>
  <si>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</si>
  <si>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</si>
  <si>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</si>
  <si>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</si>
  <si>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</si>
  <si>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</si>
  <si>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</si>
  <si>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</si>
  <si>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</si>
  <si>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</si>
  <si>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</si>
  <si>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</si>
  <si>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</si>
  <si>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</si>
  <si>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</si>
  <si>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</si>
  <si>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</si>
  <si>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</si>
  <si>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</si>
  <si>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</si>
  <si>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</si>
  <si>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</si>
  <si>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</si>
  <si>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</si>
  <si>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</si>
  <si>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</si>
  <si>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</si>
  <si>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</si>
  <si>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</si>
  <si>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</si>
  <si>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</si>
  <si>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</si>
  <si>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</si>
  <si>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</si>
  <si>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</si>
  <si>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</si>
  <si>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</si>
  <si>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</si>
  <si>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</si>
  <si>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</si>
  <si>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</si>
  <si>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</si>
  <si>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</si>
  <si>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</si>
  <si>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</si>
  <si>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</si>
  <si>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</si>
  <si>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</si>
  <si>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</si>
  <si>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</si>
  <si>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</si>
  <si>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</si>
  <si>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</si>
  <si>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</si>
  <si>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</si>
  <si>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</si>
  <si>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</si>
  <si>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</si>
  <si>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</si>
  <si>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</si>
  <si>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</si>
  <si>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</si>
  <si>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</si>
  <si>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</si>
  <si>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</si>
  <si>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</si>
  <si>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</si>
  <si>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</si>
  <si>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</si>
  <si>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</si>
  <si>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</si>
  <si>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</si>
  <si>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</si>
  <si>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</si>
  <si>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</si>
  <si>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</si>
  <si>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</si>
  <si>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</si>
  <si>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</si>
  <si>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</si>
  <si>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</si>
  <si>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</si>
  <si>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</si>
  <si>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</si>
  <si>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</si>
  <si>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</si>
  <si>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</si>
  <si>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</si>
  <si>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</si>
  <si>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</si>
  <si>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</si>
  <si>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</si>
  <si>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</si>
  <si>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</si>
  <si>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</si>
  <si>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</si>
  <si>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</si>
  <si>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</si>
  <si>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</si>
  <si>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</si>
  <si>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</si>
  <si>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</si>
  <si>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</si>
  <si>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</si>
  <si>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</si>
  <si>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</si>
  <si>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</si>
  <si>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</si>
  <si>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</si>
  <si>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</si>
  <si>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</si>
  <si>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</si>
  <si>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</si>
  <si>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</si>
  <si>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</si>
  <si>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</si>
  <si>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</si>
  <si>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</si>
  <si>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</si>
  <si>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</si>
  <si>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</si>
  <si>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</si>
  <si>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</si>
  <si>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</si>
  <si>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</si>
  <si>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</si>
  <si>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</si>
  <si>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</si>
  <si>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</si>
  <si>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</si>
  <si>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</si>
  <si>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</si>
  <si>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</si>
  <si>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</si>
  <si>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</si>
  <si>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</si>
  <si>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</si>
  <si>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</si>
  <si>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</si>
  <si>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</si>
  <si>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</si>
  <si>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</si>
  <si>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</si>
  <si>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</si>
  <si>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</si>
  <si>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</si>
  <si>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</si>
  <si>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</si>
  <si>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</si>
  <si>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</si>
  <si>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</si>
  <si>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</si>
  <si>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</si>
  <si>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</si>
  <si>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</si>
  <si>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</si>
  <si>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</si>
  <si>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</si>
  <si>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</si>
  <si>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</si>
  <si>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</si>
  <si>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</si>
  <si>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</si>
  <si>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</si>
  <si>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</si>
  <si>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</si>
  <si>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</si>
  <si>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</si>
  <si>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</si>
  <si>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</si>
  <si>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</si>
  <si>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</si>
  <si>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</si>
  <si>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</si>
  <si>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</si>
  <si>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</si>
  <si>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</si>
  <si>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</si>
  <si>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</si>
  <si>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</si>
  <si>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</si>
  <si>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</si>
  <si>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</si>
  <si>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</si>
  <si>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</si>
  <si>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</si>
  <si>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</si>
  <si>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</si>
  <si>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</si>
  <si>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</si>
  <si>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</si>
  <si>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</si>
  <si>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</si>
  <si>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</si>
  <si>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</si>
  <si>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</si>
  <si>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</si>
  <si>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</si>
  <si>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</si>
  <si>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</si>
  <si>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</si>
  <si>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</si>
  <si>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</si>
  <si>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</si>
  <si>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</si>
  <si>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</si>
  <si>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</si>
  <si>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</si>
  <si>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</si>
  <si>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</si>
  <si>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</si>
  <si>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</si>
  <si>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</si>
  <si>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</si>
  <si>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</si>
  <si>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</si>
  <si>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</si>
  <si>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</si>
  <si>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</si>
  <si>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</si>
  <si>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</si>
  <si>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</si>
  <si>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</si>
  <si>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</si>
  <si>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</si>
  <si>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</si>
  <si>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</si>
  <si>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</si>
  <si>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</si>
  <si>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</si>
  <si>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</si>
  <si>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</si>
  <si>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</si>
  <si>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</si>
  <si>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</si>
  <si>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</si>
  <si>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</si>
  <si>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</si>
  <si>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</si>
  <si>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</si>
  <si>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</si>
  <si>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</si>
  <si>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</si>
  <si>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</si>
  <si>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</si>
  <si>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</si>
  <si>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</si>
  <si>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</si>
  <si>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</si>
  <si>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</si>
  <si>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</si>
  <si>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</si>
  <si>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</si>
  <si>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</si>
  <si>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</si>
  <si>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</si>
  <si>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</si>
  <si>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</si>
  <si>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</si>
  <si>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</si>
  <si>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</si>
  <si>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</si>
  <si>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</si>
  <si>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</si>
  <si>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</si>
  <si>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</si>
  <si>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</si>
  <si>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</si>
  <si>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</si>
  <si>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</si>
  <si>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</si>
  <si>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</si>
  <si>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</si>
  <si>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</si>
  <si>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</si>
  <si>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</si>
  <si>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</si>
  <si>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</si>
  <si>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</si>
  <si>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</si>
  <si>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</si>
  <si>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</si>
  <si>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</si>
  <si>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</si>
  <si>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</si>
  <si>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</si>
  <si>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</si>
  <si>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</si>
  <si>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</si>
  <si>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</si>
  <si>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</si>
  <si>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</si>
  <si>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</si>
  <si>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</si>
  <si>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</si>
  <si>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</si>
  <si>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</si>
  <si>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</si>
  <si>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</si>
  <si>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</si>
  <si>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</si>
  <si>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</si>
  <si>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</si>
  <si>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</si>
  <si>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</si>
  <si>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</si>
  <si>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</si>
  <si>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</si>
  <si>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</si>
  <si>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</si>
  <si>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</si>
  <si>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</si>
  <si>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</si>
  <si>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</si>
  <si>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</si>
  <si>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</si>
  <si>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</si>
  <si>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</si>
  <si>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</si>
  <si>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</si>
  <si>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</si>
  <si>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</si>
  <si>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</si>
  <si>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</si>
  <si>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</si>
  <si>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</si>
  <si>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</si>
  <si>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</si>
  <si>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</si>
  <si>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</si>
  <si>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</si>
  <si>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</si>
  <si>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</si>
  <si>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</si>
  <si>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</si>
  <si>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</si>
  <si>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</si>
  <si>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</si>
  <si>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</si>
  <si>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</si>
  <si>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</si>
  <si>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</si>
  <si>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</si>
  <si>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</si>
  <si>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</si>
  <si>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</si>
  <si>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</si>
  <si>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</si>
  <si>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</si>
  <si>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</si>
  <si>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</si>
  <si>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</si>
  <si>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</si>
  <si>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</si>
  <si>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</si>
  <si>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</si>
  <si>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</si>
  <si>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</si>
  <si>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</si>
  <si>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</si>
  <si>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</si>
  <si>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</si>
  <si>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</si>
  <si>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</si>
  <si>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</si>
  <si>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</si>
  <si>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</si>
  <si>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</si>
  <si>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</si>
  <si>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</si>
  <si>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</si>
  <si>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</si>
  <si>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</si>
  <si>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</si>
  <si>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</si>
  <si>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</si>
  <si>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</si>
  <si>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</si>
  <si>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</si>
  <si>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</si>
  <si>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</si>
  <si>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</si>
  <si>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</si>
  <si>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</si>
  <si>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</si>
  <si>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</si>
  <si>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</si>
  <si>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</si>
  <si>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</si>
  <si>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</si>
  <si>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</si>
  <si>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</si>
  <si>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</si>
  <si>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</si>
  <si>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</si>
  <si>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</si>
  <si>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</si>
  <si>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</si>
  <si>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</si>
  <si>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</si>
  <si>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</si>
  <si>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</si>
  <si>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</si>
  <si>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</si>
  <si>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</si>
  <si>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</si>
  <si>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</si>
  <si>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</si>
  <si>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</si>
  <si>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</si>
  <si>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</si>
  <si>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</si>
  <si>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</si>
  <si>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</si>
  <si>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</si>
  <si>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</si>
  <si>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</si>
  <si>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</si>
  <si>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</si>
  <si>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</si>
  <si>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</si>
  <si>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</si>
  <si>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</si>
  <si>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</si>
  <si>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</si>
  <si>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</si>
  <si>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</si>
  <si>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</si>
  <si>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</si>
  <si>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</si>
  <si>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</si>
  <si>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</si>
  <si>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</si>
  <si>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</si>
  <si>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</si>
  <si>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</si>
  <si>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</si>
  <si>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</si>
  <si>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</si>
  <si>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</si>
  <si>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</si>
  <si>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</si>
  <si>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</si>
  <si>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</si>
  <si>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</si>
  <si>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</si>
  <si>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</si>
  <si>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</si>
  <si>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</si>
  <si>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</si>
  <si>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</si>
  <si>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</si>
  <si>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</si>
  <si>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</si>
  <si>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</si>
  <si>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</si>
  <si>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</si>
  <si>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</si>
  <si>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</si>
  <si>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</si>
  <si>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</si>
  <si>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</si>
  <si>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</si>
  <si>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</si>
  <si>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</si>
  <si>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</si>
  <si>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</si>
  <si>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</si>
  <si>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</si>
  <si>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</si>
  <si>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</si>
  <si>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</si>
  <si>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</si>
  <si>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</si>
  <si>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</si>
  <si>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</si>
  <si>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</si>
  <si>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</si>
  <si>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</si>
  <si>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</si>
  <si>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</si>
  <si>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</si>
  <si>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</si>
  <si>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</si>
  <si>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</si>
  <si>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</si>
  <si>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</si>
  <si>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</si>
  <si>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</si>
  <si>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</si>
  <si>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</si>
  <si>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</si>
  <si>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</si>
  <si>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</si>
  <si>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</si>
  <si>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</si>
  <si>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</si>
  <si>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</si>
  <si>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</si>
  <si>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</si>
  <si>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</si>
  <si>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</si>
  <si>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</si>
  <si>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</si>
  <si>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</si>
  <si>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</si>
  <si>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</si>
  <si>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</si>
  <si>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</si>
  <si>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</si>
  <si>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</si>
  <si>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</si>
  <si>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</si>
  <si>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</si>
  <si>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</si>
  <si>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</si>
  <si>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</si>
  <si>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</si>
  <si>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</si>
  <si>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</si>
  <si>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</si>
  <si>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</si>
  <si>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</si>
  <si>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</si>
  <si>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</si>
  <si>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</si>
  <si>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</si>
  <si>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</si>
  <si>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</si>
  <si>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</si>
  <si>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</si>
  <si>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</si>
  <si>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</si>
  <si>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</si>
  <si>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</si>
  <si>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</si>
  <si>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</si>
  <si>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</si>
  <si>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</si>
  <si>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</si>
  <si>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</si>
  <si>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</si>
  <si>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</si>
  <si>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</si>
  <si>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</si>
  <si>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</si>
  <si>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</si>
  <si>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</si>
  <si>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</si>
  <si>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</si>
  <si>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</si>
  <si>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</si>
  <si>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</si>
  <si>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</si>
  <si>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</si>
  <si>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</si>
  <si>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</si>
  <si>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</si>
  <si>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</si>
  <si>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</si>
  <si>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</si>
  <si>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</si>
  <si>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</si>
  <si>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</si>
  <si>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</si>
  <si>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</si>
  <si>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</si>
  <si>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</si>
  <si>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</si>
  <si>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</si>
  <si>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</si>
  <si>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</si>
  <si>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</si>
  <si>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</si>
  <si>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</si>
  <si>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</si>
  <si>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</si>
  <si>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</si>
  <si>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</si>
  <si>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</si>
  <si>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</si>
  <si>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</si>
  <si>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</si>
  <si>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</si>
  <si>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</si>
  <si>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</si>
  <si>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</si>
  <si>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</si>
  <si>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</si>
  <si>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</si>
  <si>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</si>
  <si>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</si>
  <si>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</si>
  <si>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</si>
  <si>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</si>
  <si>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</si>
  <si>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</si>
  <si>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</si>
  <si>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</si>
  <si>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</si>
  <si>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</si>
  <si>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</si>
  <si>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</si>
  <si>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</si>
  <si>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</si>
  <si>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</si>
  <si>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</si>
  <si>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</si>
  <si>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</si>
  <si>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</si>
  <si>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</si>
  <si>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</si>
  <si>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</si>
  <si>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</si>
  <si>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</si>
  <si>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</si>
  <si>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</si>
  <si>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</si>
  <si>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</si>
  <si>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</si>
  <si>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</si>
  <si>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</si>
  <si>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</si>
  <si>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</si>
  <si>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</si>
  <si>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</si>
  <si>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</si>
  <si>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</si>
  <si>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</si>
  <si>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</si>
  <si>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</si>
  <si>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</si>
  <si>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</si>
  <si>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</si>
  <si>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</si>
  <si>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</si>
  <si>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</si>
  <si>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</si>
  <si>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</si>
  <si>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</si>
  <si>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</si>
  <si>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</si>
  <si>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</si>
  <si>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</si>
  <si>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</si>
  <si>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</si>
  <si>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</si>
  <si>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</si>
  <si>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</si>
  <si>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</si>
  <si>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</si>
  <si>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</si>
  <si>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</si>
  <si>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</si>
  <si>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</si>
  <si>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</si>
  <si>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</si>
  <si>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</si>
  <si>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</si>
  <si>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</si>
  <si>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</si>
  <si>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</si>
  <si>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</si>
  <si>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</si>
  <si>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</si>
  <si>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</si>
  <si>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</si>
  <si>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</si>
  <si>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</si>
  <si>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</si>
  <si>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</si>
  <si>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</si>
  <si>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</si>
  <si>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</si>
  <si>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</si>
  <si>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</si>
  <si>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</si>
  <si>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</si>
  <si>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</si>
  <si>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</si>
  <si>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</si>
  <si>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</si>
  <si>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</si>
  <si>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</si>
  <si>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</si>
  <si>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</si>
  <si>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</si>
  <si>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</si>
  <si>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</si>
  <si>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</si>
  <si>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</si>
  <si>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</si>
  <si>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</si>
  <si>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</si>
  <si>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</si>
  <si>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</si>
  <si>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</si>
  <si>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</si>
  <si>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</si>
  <si>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</si>
  <si>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</si>
  <si>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</si>
  <si>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</si>
  <si>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</si>
  <si>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</si>
  <si>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</si>
  <si>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</si>
  <si>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</si>
  <si>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</si>
  <si>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</si>
  <si>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</si>
  <si>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</si>
  <si>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</si>
  <si>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</si>
  <si>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</si>
  <si>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</si>
  <si>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</si>
  <si>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</si>
  <si>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</si>
  <si>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</si>
  <si>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</si>
  <si>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</si>
  <si>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</si>
  <si>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</si>
  <si>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</si>
  <si>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</si>
  <si>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</si>
  <si>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</si>
  <si>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</si>
  <si>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</si>
  <si>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</si>
  <si>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</si>
  <si>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</si>
  <si>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</si>
  <si>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</si>
  <si>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</si>
  <si>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</si>
  <si>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</si>
  <si>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</si>
  <si>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</si>
  <si>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</si>
  <si>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</si>
  <si>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</si>
  <si>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</si>
  <si>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</si>
  <si>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</si>
  <si>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</si>
  <si>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</si>
  <si>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</si>
  <si>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</si>
  <si>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</si>
  <si>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</si>
  <si>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</si>
  <si>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</si>
  <si>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</si>
  <si>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</si>
  <si>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</si>
  <si>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</si>
  <si>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</si>
  <si>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</si>
  <si>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</si>
  <si>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</si>
  <si>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</si>
  <si>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</si>
  <si>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</si>
  <si>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</si>
  <si>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</si>
  <si>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</si>
  <si>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</si>
  <si>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</si>
  <si>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</si>
  <si>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</si>
  <si>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</si>
  <si>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</si>
  <si>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</si>
  <si>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</si>
  <si>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</si>
  <si>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</si>
  <si>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</si>
  <si>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</si>
  <si>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</si>
  <si>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</si>
  <si>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</si>
  <si>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</si>
  <si>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</si>
  <si>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</si>
  <si>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</si>
  <si>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</si>
  <si>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</si>
  <si>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</si>
  <si>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</si>
  <si>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</si>
  <si>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</si>
  <si>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</si>
  <si>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</si>
  <si>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</si>
  <si>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</si>
  <si>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</si>
  <si>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</si>
  <si>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</si>
  <si>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</si>
  <si>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</si>
  <si>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</si>
  <si>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</si>
  <si>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</si>
  <si>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</si>
  <si>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</si>
  <si>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</si>
  <si>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</si>
  <si>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</si>
  <si>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</si>
  <si>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</si>
  <si>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</si>
  <si>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</si>
  <si>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</si>
  <si>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</si>
  <si>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</si>
  <si>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</si>
  <si>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</si>
  <si>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</si>
  <si>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</si>
  <si>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</si>
  <si>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</si>
  <si>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</si>
  <si>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</si>
  <si>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</si>
  <si>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</si>
  <si>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</si>
  <si>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</si>
  <si>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</si>
  <si>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</si>
  <si>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</si>
  <si>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</si>
  <si>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</si>
  <si>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</si>
  <si>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</si>
  <si>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</si>
  <si>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</si>
  <si>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</si>
  <si>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</si>
  <si>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</si>
  <si>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</si>
  <si>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</si>
  <si>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</si>
  <si>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</si>
  <si>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</si>
  <si>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</si>
  <si>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</si>
  <si>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</si>
  <si>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</si>
  <si>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</si>
  <si>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</si>
  <si>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</si>
  <si>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</si>
  <si>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</si>
  <si>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</si>
  <si>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</si>
  <si>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</si>
  <si>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</si>
  <si>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</si>
  <si>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</si>
  <si>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</si>
  <si>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</si>
  <si>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</si>
  <si>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</si>
  <si>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</si>
  <si>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</si>
  <si>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</si>
  <si>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</si>
  <si>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</si>
  <si>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</si>
  <si>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</si>
  <si>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</si>
  <si>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</si>
  <si>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</si>
  <si>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</si>
  <si>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</si>
  <si>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</si>
  <si>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</si>
  <si>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</si>
  <si>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</si>
  <si>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</si>
  <si>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</si>
  <si>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</si>
  <si>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</si>
  <si>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</si>
  <si>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</si>
  <si>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</si>
  <si>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</si>
  <si>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</si>
  <si>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</si>
  <si>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</si>
  <si>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</si>
  <si>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</si>
  <si>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</si>
  <si>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</si>
  <si>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</si>
  <si>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</si>
  <si>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</si>
  <si>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</si>
  <si>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</si>
  <si>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</si>
  <si>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</si>
  <si>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</si>
  <si>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</si>
  <si>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</si>
  <si>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</si>
  <si>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</si>
  <si>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</si>
  <si>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</si>
  <si>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</si>
  <si>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</si>
  <si>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</si>
  <si>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</si>
  <si>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</si>
  <si>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</si>
  <si>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</si>
  <si>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</si>
  <si>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</si>
  <si>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</si>
  <si>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</si>
  <si>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</si>
  <si>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</si>
  <si>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</si>
  <si>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</si>
  <si>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</si>
  <si>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</si>
  <si>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</si>
  <si>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</si>
  <si>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</si>
  <si>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</si>
  <si>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</si>
  <si>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</si>
  <si>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</si>
  <si>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</si>
  <si>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</si>
  <si>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</si>
  <si>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</si>
  <si>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</si>
  <si>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</si>
  <si>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</si>
  <si>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</si>
  <si>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</si>
  <si>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</si>
  <si>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</si>
  <si>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</si>
  <si>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</si>
  <si>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</si>
  <si>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</si>
  <si>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</si>
  <si>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</si>
  <si>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</si>
  <si>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</si>
  <si>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</si>
  <si>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</si>
  <si>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</si>
  <si>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</si>
  <si>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</si>
  <si>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</si>
  <si>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</si>
  <si>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</si>
  <si>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</si>
  <si>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</si>
  <si>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</si>
  <si>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</si>
  <si>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</si>
  <si>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</si>
  <si>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</si>
  <si>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</si>
  <si>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</si>
  <si>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</si>
  <si>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</si>
  <si>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</si>
  <si>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</si>
  <si>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</si>
  <si>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</si>
  <si>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</si>
  <si>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</si>
  <si>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</si>
  <si>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</si>
  <si>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</si>
  <si>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</si>
  <si>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</si>
  <si>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</si>
  <si>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</si>
  <si>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</si>
  <si>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</si>
  <si>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</si>
  <si>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</si>
  <si>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</si>
  <si>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</si>
  <si>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</si>
  <si>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</si>
  <si>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</si>
  <si>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</si>
  <si>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</si>
  <si>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</si>
  <si>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</si>
  <si>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</si>
  <si>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</si>
  <si>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</si>
  <si>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</si>
  <si>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</si>
  <si>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</si>
  <si>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</si>
  <si>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</si>
  <si>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</si>
  <si>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</si>
  <si>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</si>
  <si>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</si>
  <si>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</si>
  <si>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</si>
  <si>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</si>
  <si>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</si>
  <si>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</si>
  <si>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</si>
  <si>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</si>
  <si>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</si>
  <si>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</si>
  <si>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</si>
  <si>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</si>
  <si>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</si>
  <si>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</si>
  <si>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</si>
  <si>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</si>
  <si>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</si>
  <si>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</si>
  <si>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</si>
  <si>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</si>
  <si>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</si>
  <si>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</si>
  <si>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</si>
  <si>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</si>
  <si>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</si>
  <si>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</si>
  <si>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</si>
  <si>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</si>
  <si>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</si>
  <si>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</si>
  <si>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</si>
  <si>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</si>
  <si>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</si>
  <si>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</si>
  <si>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</si>
  <si>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</si>
  <si>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</si>
  <si>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</si>
  <si>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</si>
  <si>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</si>
  <si>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</si>
  <si>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</si>
  <si>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</si>
  <si>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</si>
  <si>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</si>
  <si>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</si>
  <si>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</si>
  <si>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</si>
  <si>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</si>
  <si>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</si>
  <si>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</si>
  <si>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</si>
  <si>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</si>
  <si>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</si>
  <si>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</si>
  <si>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</si>
  <si>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</si>
  <si>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</si>
  <si>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</si>
  <si>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</si>
  <si>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</si>
  <si>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</si>
  <si>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</si>
  <si>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</si>
  <si>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</si>
  <si>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</si>
  <si>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</si>
  <si>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</si>
  <si>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</si>
  <si>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</si>
  <si>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</si>
  <si>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</si>
  <si>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</si>
  <si>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</si>
  <si>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</si>
  <si>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</si>
  <si>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</si>
  <si>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</si>
  <si>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</si>
  <si>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</si>
  <si>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</si>
  <si>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</si>
  <si>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</si>
  <si>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</si>
  <si>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</si>
  <si>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</si>
  <si>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</si>
  <si>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</si>
  <si>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</si>
  <si>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</si>
  <si>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</si>
  <si>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</si>
  <si>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</si>
  <si>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</si>
  <si>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</si>
  <si>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</si>
  <si>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</si>
  <si>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</si>
  <si>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</si>
  <si>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</si>
  <si>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</si>
  <si>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</si>
  <si>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</si>
  <si>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</si>
  <si>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</si>
  <si>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</si>
  <si>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</si>
  <si>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</si>
  <si>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</si>
  <si>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</si>
  <si>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</si>
  <si>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</si>
  <si>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</si>
  <si>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</si>
  <si>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</si>
  <si>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</si>
  <si>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</si>
  <si>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</si>
  <si>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</si>
  <si>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</si>
  <si>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</si>
  <si>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</si>
  <si>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</si>
  <si>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</si>
  <si>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</si>
  <si>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</si>
  <si>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</si>
  <si>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</si>
  <si>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</si>
  <si>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</si>
  <si>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</si>
  <si>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</si>
  <si>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</si>
  <si>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</si>
  <si>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</si>
  <si>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</si>
  <si>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</si>
  <si>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</si>
  <si>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</si>
  <si>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</si>
  <si>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</si>
  <si>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</si>
  <si>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</si>
  <si>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</si>
  <si>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</si>
  <si>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</si>
  <si>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</si>
  <si>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</si>
  <si>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</si>
  <si>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</si>
  <si>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</si>
  <si>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</si>
  <si>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</si>
  <si>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</si>
  <si>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</si>
  <si>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</si>
  <si>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</si>
  <si>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</si>
  <si>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</si>
  <si>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</si>
  <si>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</si>
  <si>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</si>
  <si>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</si>
  <si>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</si>
  <si>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</si>
  <si>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</si>
  <si>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</si>
  <si>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</si>
  <si>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</si>
  <si>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</si>
  <si>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</si>
  <si>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</si>
  <si>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</si>
  <si>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</si>
  <si>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</si>
  <si>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</si>
  <si>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</si>
  <si>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</si>
  <si>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</si>
  <si>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</si>
  <si>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</si>
  <si>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</si>
  <si>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</si>
  <si>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</si>
  <si>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</si>
  <si>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</si>
  <si>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</si>
  <si>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</si>
  <si>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</si>
  <si>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</si>
  <si>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</si>
  <si>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</si>
  <si>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</si>
  <si>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</si>
  <si>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</si>
  <si>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</si>
  <si>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</si>
  <si>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</si>
  <si>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</si>
  <si>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</si>
  <si>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</si>
  <si>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</si>
  <si>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</si>
  <si>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</si>
  <si>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</si>
  <si>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</si>
  <si>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</si>
  <si>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</si>
  <si>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</si>
  <si>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</si>
  <si>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</si>
  <si>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</si>
  <si>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</si>
  <si>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</si>
  <si>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</si>
  <si>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</si>
  <si>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</si>
  <si>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</si>
  <si>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</si>
  <si>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</si>
  <si>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</si>
  <si>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</si>
  <si>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</si>
  <si>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</si>
  <si>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</si>
  <si>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</si>
  <si>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</si>
  <si>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</si>
  <si>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</si>
  <si>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</si>
  <si>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</si>
  <si>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</si>
  <si>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</si>
  <si>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</si>
  <si>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</si>
  <si>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</si>
  <si>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</si>
  <si>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</si>
  <si>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</si>
  <si>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</si>
  <si>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</si>
  <si>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</si>
  <si>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</si>
  <si>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</si>
  <si>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</si>
  <si>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</si>
  <si>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</si>
  <si>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</si>
  <si>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</si>
  <si>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</si>
  <si>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</si>
  <si>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</si>
  <si>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</si>
  <si>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</si>
  <si>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</si>
  <si>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</si>
  <si>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</si>
  <si>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</si>
  <si>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</si>
  <si>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</si>
  <si>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</si>
  <si>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</si>
  <si>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</si>
  <si>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</si>
  <si>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</si>
  <si>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</si>
  <si>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</si>
  <si>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</si>
  <si>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</si>
  <si>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</si>
  <si>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</si>
  <si>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</si>
  <si>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</si>
  <si>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</si>
  <si>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</si>
  <si>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</si>
  <si>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</si>
  <si>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</si>
  <si>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</si>
  <si>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</si>
  <si>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</si>
  <si>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</si>
  <si>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</si>
  <si>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</si>
  <si>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</si>
  <si>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</si>
  <si>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</si>
  <si>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</si>
  <si>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</si>
  <si>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</si>
  <si>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</si>
  <si>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</si>
  <si>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</si>
  <si>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</si>
  <si>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</si>
  <si>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</si>
  <si>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</si>
  <si>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</si>
  <si>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</si>
  <si>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</si>
  <si>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</si>
  <si>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</si>
  <si>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</si>
  <si>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</si>
  <si>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</si>
  <si>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</si>
  <si>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</si>
  <si>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</si>
  <si>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</si>
  <si>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</si>
  <si>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</si>
  <si>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</si>
  <si>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</si>
  <si>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</si>
  <si>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</si>
  <si>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</si>
  <si>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</si>
  <si>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</si>
  <si>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</si>
  <si>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</si>
  <si>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</si>
  <si>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</si>
  <si>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</si>
  <si>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</si>
  <si>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</si>
  <si>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</si>
  <si>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</si>
  <si>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</si>
  <si>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</si>
  <si>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</si>
  <si>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</si>
  <si>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</si>
  <si>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</si>
  <si>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</si>
  <si>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</si>
  <si>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</si>
  <si>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</si>
  <si>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</si>
  <si>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</si>
  <si>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</si>
  <si>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</si>
  <si>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</si>
  <si>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</si>
  <si>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</si>
  <si>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</si>
  <si>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</si>
  <si>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</si>
  <si>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</si>
  <si>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</si>
  <si>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</si>
  <si>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</si>
  <si>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</si>
  <si>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</si>
  <si>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</si>
  <si>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</si>
  <si>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</si>
  <si>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</si>
  <si>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</si>
  <si>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</si>
  <si>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</si>
  <si>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</si>
  <si>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</si>
  <si>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</si>
  <si>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</si>
  <si>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</si>
  <si>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</si>
  <si>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</si>
  <si>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</si>
  <si>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</si>
  <si>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</si>
  <si>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</si>
  <si>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</si>
  <si>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</si>
  <si>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</si>
  <si>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</si>
  <si>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</si>
  <si>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</si>
  <si>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</si>
  <si>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</si>
  <si>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</si>
  <si>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</si>
  <si>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</si>
  <si>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</si>
  <si>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</si>
  <si>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</si>
  <si>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</si>
  <si>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</si>
  <si>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</si>
  <si>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</si>
  <si>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</si>
  <si>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</si>
  <si>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</si>
  <si>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</si>
  <si>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</si>
  <si>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</si>
  <si>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</si>
  <si>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</si>
  <si>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</si>
  <si>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</si>
  <si>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</si>
  <si>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</si>
  <si>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</si>
  <si>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</si>
  <si>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</si>
  <si>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</si>
  <si>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</si>
  <si>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</si>
  <si>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</si>
  <si>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</si>
  <si>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</si>
  <si>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</si>
  <si>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</si>
  <si>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</si>
  <si>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</si>
  <si>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</si>
  <si>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</si>
  <si>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</si>
  <si>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</si>
  <si>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</si>
  <si>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</si>
  <si>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</si>
  <si>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</si>
  <si>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</si>
  <si>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</si>
  <si>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</si>
  <si>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</si>
  <si>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</si>
  <si>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</si>
  <si>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</si>
  <si>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</si>
  <si>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</si>
  <si>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</si>
  <si>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</si>
  <si>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</si>
  <si>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</si>
  <si>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</si>
  <si>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</si>
  <si>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</si>
  <si>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</si>
  <si>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</si>
  <si>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</si>
  <si>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</si>
  <si>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</si>
  <si>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</si>
  <si>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</si>
  <si>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</si>
  <si>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</si>
  <si>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</si>
  <si>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</si>
  <si>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</si>
  <si>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</si>
  <si>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</si>
  <si>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</si>
  <si>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</si>
  <si>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</si>
  <si>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</si>
  <si>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</si>
  <si>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</si>
  <si>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</si>
  <si>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</si>
  <si>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</si>
  <si>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</si>
  <si>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</si>
  <si>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</si>
  <si>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</si>
  <si>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</si>
  <si>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</si>
  <si>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</si>
  <si>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</si>
  <si>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</si>
  <si>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</si>
  <si>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</si>
  <si>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</si>
  <si>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</si>
  <si>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</si>
  <si>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</si>
  <si>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</si>
  <si>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</si>
  <si>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</si>
  <si>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</si>
  <si>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</si>
  <si>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</si>
  <si>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</si>
  <si>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</si>
  <si>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</si>
  <si>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</si>
  <si>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</si>
  <si>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</si>
  <si>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</si>
  <si>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</si>
  <si>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</si>
  <si>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</si>
  <si>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</si>
  <si>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</si>
  <si>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</si>
  <si>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</si>
  <si>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</si>
  <si>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</si>
  <si>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</si>
  <si>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</si>
  <si>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</si>
  <si>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</si>
  <si>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</si>
  <si>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</si>
  <si>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</si>
  <si>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</si>
  <si>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</si>
  <si>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</si>
  <si>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</si>
  <si>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</si>
  <si>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</si>
  <si>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</si>
  <si>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</si>
  <si>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</si>
  <si>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</si>
  <si>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</si>
  <si>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</si>
  <si>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</si>
  <si>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</si>
  <si>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</si>
  <si>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</si>
  <si>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</si>
  <si>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</si>
  <si>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</si>
  <si>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</si>
  <si>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</si>
  <si>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</si>
  <si>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</si>
  <si>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</si>
  <si>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</si>
  <si>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</si>
  <si>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</si>
  <si>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</si>
  <si>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</si>
  <si>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</si>
  <si>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</si>
  <si>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</si>
  <si>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</si>
  <si>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</si>
  <si>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</si>
  <si>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</si>
  <si>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</si>
  <si>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</si>
  <si>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</si>
  <si>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</si>
  <si>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</si>
  <si>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</si>
  <si>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</si>
  <si>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</si>
  <si>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</si>
  <si>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</si>
  <si>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</si>
  <si>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</si>
  <si>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</si>
  <si>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</si>
  <si>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</si>
  <si>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</si>
  <si>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</si>
  <si>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</si>
  <si>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</si>
  <si>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</si>
  <si>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</si>
  <si>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</si>
  <si>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</si>
  <si>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</si>
  <si>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</si>
  <si>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</si>
  <si>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</si>
  <si>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</si>
  <si>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</si>
  <si>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</si>
  <si>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</si>
  <si>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</si>
  <si>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</si>
  <si>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</si>
  <si>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</si>
  <si>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</si>
  <si>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</si>
  <si>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</si>
  <si>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</si>
  <si>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</si>
  <si>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</si>
  <si>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</si>
  <si>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</si>
  <si>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</si>
  <si>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</si>
  <si>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</si>
  <si>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</si>
  <si>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</si>
  <si>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</si>
  <si>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</si>
  <si>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</si>
  <si>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</si>
  <si>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</si>
  <si>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</si>
  <si>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</si>
  <si>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</si>
  <si>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</si>
  <si>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</si>
  <si>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</si>
  <si>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</si>
  <si>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</si>
  <si>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</si>
  <si>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</si>
  <si>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</si>
  <si>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</si>
  <si>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</si>
  <si>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</si>
  <si>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</si>
  <si>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</si>
  <si>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</si>
  <si>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</si>
  <si>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</si>
  <si>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</si>
  <si>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</si>
  <si>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</si>
  <si>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</si>
  <si>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</si>
  <si>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</si>
  <si>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</si>
  <si>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</si>
  <si>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</si>
  <si>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</si>
  <si>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</si>
  <si>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</si>
  <si>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</si>
  <si>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</si>
  <si>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</si>
  <si>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</si>
  <si>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</si>
  <si>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</si>
  <si>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</si>
  <si>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</si>
  <si>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</si>
  <si>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</si>
  <si>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</si>
  <si>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</si>
  <si>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</si>
  <si>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</si>
  <si>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</si>
  <si>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</si>
  <si>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</si>
  <si>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</si>
  <si>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</si>
  <si>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</si>
  <si>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</si>
  <si>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</si>
  <si>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</si>
  <si>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</si>
  <si>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</si>
  <si>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</si>
  <si>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</si>
  <si>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</si>
  <si>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</si>
  <si>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</si>
  <si>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</si>
  <si>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</si>
  <si>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</si>
  <si>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</si>
  <si>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</si>
  <si>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</si>
  <si>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</si>
  <si>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</si>
  <si>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</si>
  <si>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</si>
  <si>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</si>
  <si>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</si>
  <si>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</si>
  <si>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</si>
  <si>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</si>
  <si>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</si>
  <si>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</si>
  <si>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</si>
  <si>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</si>
  <si>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</si>
  <si>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</si>
  <si>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</si>
  <si>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</si>
  <si>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</si>
  <si>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</si>
  <si>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</si>
  <si>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</si>
  <si>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</si>
  <si>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</si>
  <si>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</si>
  <si>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</si>
  <si>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</si>
  <si>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</si>
  <si>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</si>
  <si>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</si>
  <si>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</si>
  <si>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</si>
  <si>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</si>
  <si>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</si>
  <si>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</si>
  <si>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</si>
  <si>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</si>
  <si>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</si>
  <si>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</si>
  <si>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</si>
  <si>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</si>
  <si>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</si>
  <si>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</si>
  <si>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</si>
  <si>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</si>
  <si>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</si>
  <si>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</si>
  <si>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</si>
  <si>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</si>
  <si>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</si>
  <si>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</si>
  <si>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</si>
  <si>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</si>
  <si>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</si>
  <si>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</si>
  <si>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</si>
  <si>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</si>
  <si>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</si>
  <si>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</si>
  <si>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</si>
  <si>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</si>
  <si>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</si>
  <si>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</si>
  <si>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</si>
  <si>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</si>
  <si>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</si>
  <si>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</si>
  <si>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</si>
  <si>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</si>
  <si>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</si>
  <si>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</si>
  <si>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</si>
  <si>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</si>
  <si>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</si>
  <si>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</si>
  <si>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</si>
  <si>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</si>
  <si>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</si>
  <si>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</si>
  <si>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</si>
  <si>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</si>
  <si>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</si>
  <si>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</si>
  <si>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</si>
  <si>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</si>
  <si>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</si>
  <si>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</si>
  <si>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</si>
  <si>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</si>
  <si>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</si>
  <si>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</si>
  <si>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</si>
  <si>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</si>
  <si>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</si>
  <si>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</si>
  <si>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</si>
  <si>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</si>
  <si>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</si>
  <si>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</si>
  <si>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</si>
  <si>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</si>
  <si>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</si>
  <si>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</si>
  <si>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</si>
  <si>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</si>
  <si>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</si>
  <si>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</si>
  <si>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</si>
  <si>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</si>
  <si>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</si>
  <si>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</si>
  <si>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</si>
  <si>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</si>
  <si>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</si>
  <si>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</si>
  <si>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</si>
  <si>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</si>
  <si>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</si>
  <si>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</si>
  <si>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</si>
  <si>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</si>
  <si>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</si>
  <si>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</si>
  <si>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</si>
  <si>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</si>
  <si>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</si>
  <si>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</si>
  <si>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</si>
  <si>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</si>
  <si>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</si>
  <si>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</si>
  <si>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</si>
  <si>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</si>
  <si>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</si>
  <si>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</si>
  <si>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</si>
  <si>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</si>
  <si>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</si>
  <si>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</si>
  <si>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</si>
  <si>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</si>
  <si>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</si>
  <si>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</si>
  <si>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</si>
  <si>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</si>
  <si>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</si>
  <si>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</si>
  <si>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</si>
  <si>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</si>
  <si>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</si>
  <si>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</si>
  <si>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</si>
  <si>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</si>
  <si>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</si>
  <si>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</si>
  <si>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</si>
  <si>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</si>
  <si>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</si>
  <si>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</si>
  <si>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</si>
  <si>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</si>
  <si>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</si>
  <si>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</si>
  <si>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</si>
  <si>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</si>
  <si>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</si>
  <si>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</si>
  <si>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</si>
  <si>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</si>
  <si>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</si>
  <si>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</si>
  <si>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</si>
  <si>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</si>
  <si>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</si>
  <si>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</si>
  <si>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</si>
  <si>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</si>
  <si>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</si>
  <si>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</si>
  <si>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</si>
  <si>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</si>
  <si>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</si>
  <si>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</si>
  <si>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</si>
  <si>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</si>
  <si>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</si>
  <si>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</si>
  <si>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</si>
  <si>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</si>
  <si>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</si>
  <si>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</si>
  <si>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</si>
  <si>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</si>
  <si>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</si>
  <si>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</si>
  <si>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</si>
  <si>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</si>
  <si>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</si>
  <si>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</si>
  <si>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</si>
  <si>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</si>
  <si>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</si>
  <si>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</si>
  <si>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</si>
  <si>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</si>
  <si>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</si>
  <si>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</si>
  <si>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</si>
  <si>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</si>
  <si>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</si>
  <si>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</si>
  <si>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</si>
  <si>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</si>
  <si>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</si>
  <si>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</si>
  <si>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</si>
  <si>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</si>
  <si>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</si>
  <si>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</si>
  <si>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</si>
  <si>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</si>
  <si>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</si>
  <si>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</si>
  <si>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</si>
  <si>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</si>
  <si>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</si>
  <si>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</si>
  <si>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</si>
  <si>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</si>
  <si>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</si>
  <si>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</si>
  <si>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</si>
  <si>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</si>
  <si>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</si>
  <si>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</si>
  <si>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</si>
  <si>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</si>
  <si>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</si>
  <si>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</si>
  <si>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</si>
  <si>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</si>
  <si>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</si>
  <si>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</si>
  <si>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</si>
  <si>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</si>
  <si>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</si>
  <si>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</si>
  <si>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</si>
  <si>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</si>
  <si>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</si>
  <si>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</si>
  <si>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</si>
  <si>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</si>
  <si>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</si>
  <si>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</si>
  <si>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</si>
  <si>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</si>
  <si>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</si>
  <si>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</si>
  <si>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</si>
  <si>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</si>
  <si>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</si>
  <si>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</si>
  <si>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</si>
  <si>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</si>
  <si>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</si>
  <si>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</si>
  <si>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</si>
  <si>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</si>
  <si>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</si>
  <si>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</si>
  <si>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</si>
  <si>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</si>
  <si>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</si>
  <si>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</si>
  <si>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</si>
  <si>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</si>
  <si>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</si>
  <si>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</si>
  <si>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</si>
  <si>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</si>
  <si>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</si>
  <si>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</si>
  <si>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</si>
  <si>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</si>
  <si>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</si>
  <si>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</si>
  <si>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</si>
  <si>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</si>
  <si>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</si>
  <si>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</si>
  <si>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</si>
  <si>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</si>
  <si>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</si>
  <si>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</si>
  <si>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</si>
  <si>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</si>
  <si>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</si>
  <si>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</si>
  <si>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</si>
  <si>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</si>
  <si>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</si>
  <si>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</si>
  <si>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</si>
  <si>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</si>
  <si>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</si>
  <si>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</si>
  <si>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</si>
  <si>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</si>
  <si>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</si>
  <si>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</si>
  <si>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</si>
  <si>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</si>
  <si>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</si>
  <si>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</si>
  <si>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</si>
  <si>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</si>
  <si>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</si>
  <si>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</si>
  <si>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</si>
  <si>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</si>
  <si>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</si>
  <si>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</si>
  <si>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</si>
  <si>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</si>
  <si>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</si>
  <si>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</si>
  <si>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</si>
  <si>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</si>
  <si>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</si>
  <si>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</si>
  <si>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</si>
  <si>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</si>
  <si>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</si>
  <si>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</si>
  <si>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</si>
  <si>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</si>
  <si>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</si>
  <si>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</si>
  <si>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</si>
  <si>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</si>
  <si>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</si>
  <si>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</si>
  <si>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</si>
  <si>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</si>
  <si>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</si>
  <si>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</si>
  <si>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</si>
  <si>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</si>
  <si>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</si>
  <si>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</si>
  <si>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</si>
  <si>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</si>
  <si>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</si>
  <si>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</si>
  <si>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</si>
  <si>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</si>
  <si>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</si>
  <si>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</si>
  <si>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</si>
  <si>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</si>
  <si>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</si>
  <si>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</si>
  <si>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</si>
  <si>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</si>
  <si>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</si>
  <si>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</si>
  <si>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</si>
  <si>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</si>
  <si>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</si>
  <si>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</si>
  <si>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</si>
  <si>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</si>
  <si>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</si>
  <si>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</si>
  <si>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</si>
  <si>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</si>
  <si>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</si>
  <si>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</si>
  <si>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</si>
  <si>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</si>
  <si>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</si>
  <si>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</si>
  <si>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</si>
  <si>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</si>
  <si>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</si>
  <si>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</si>
  <si>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</si>
  <si>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</si>
  <si>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</si>
  <si>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</si>
  <si>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</si>
  <si>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</si>
  <si>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</si>
  <si>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</si>
  <si>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</si>
  <si>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</si>
  <si>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</si>
  <si>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</si>
  <si>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</si>
  <si>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</si>
  <si>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</si>
  <si>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</si>
  <si>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</si>
  <si>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</si>
  <si>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</si>
  <si>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</si>
  <si>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</si>
  <si>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</si>
  <si>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</si>
  <si>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</si>
  <si>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</si>
  <si>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</si>
  <si>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</si>
  <si>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</si>
  <si>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</si>
  <si>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</si>
  <si>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</si>
  <si>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</si>
  <si>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</si>
  <si>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</si>
  <si>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</si>
  <si>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</si>
  <si>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</si>
  <si>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</si>
  <si>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</si>
  <si>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</si>
  <si>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</si>
  <si>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</si>
  <si>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</si>
  <si>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</si>
  <si>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</si>
  <si>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</si>
  <si>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</si>
  <si>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</si>
  <si>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</si>
  <si>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</si>
  <si>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</si>
  <si>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</si>
  <si>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</si>
  <si>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</si>
  <si>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</si>
  <si>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</si>
  <si>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</si>
  <si>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</si>
  <si>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</si>
  <si>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</si>
  <si>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</si>
  <si>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</si>
  <si>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</si>
  <si>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</si>
  <si>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</si>
  <si>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</si>
  <si>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</si>
  <si>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</si>
  <si>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</si>
  <si>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</si>
  <si>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</si>
  <si>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</si>
  <si>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</si>
  <si>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</si>
  <si>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</si>
  <si>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</si>
  <si>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</si>
  <si>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</si>
  <si>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</si>
  <si>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</si>
  <si>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</si>
  <si>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</si>
  <si>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</si>
  <si>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</si>
  <si>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</si>
  <si>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</si>
  <si>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</si>
  <si>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</si>
  <si>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</si>
  <si>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</si>
  <si>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</si>
  <si>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</si>
  <si>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</si>
  <si>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</si>
  <si>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</si>
  <si>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</si>
  <si>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</si>
  <si>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</si>
  <si>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</si>
  <si>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</si>
  <si>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</si>
  <si>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</si>
  <si>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</si>
  <si>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</si>
  <si>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</si>
  <si>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</si>
  <si>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</si>
  <si>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</si>
  <si>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</si>
  <si>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</si>
  <si>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</si>
  <si>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</si>
  <si>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</si>
  <si>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</si>
  <si>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</si>
  <si>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</si>
  <si>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</si>
  <si>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</si>
  <si>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</si>
  <si>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</si>
  <si>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</si>
  <si>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</si>
  <si>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</si>
  <si>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</si>
  <si>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</si>
  <si>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</si>
  <si>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</si>
  <si>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</si>
  <si>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</si>
  <si>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</si>
  <si>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</si>
  <si>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</si>
  <si>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</si>
  <si>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</si>
  <si>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</si>
  <si>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</si>
  <si>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</si>
  <si>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</si>
  <si>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</si>
  <si>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</si>
  <si>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</si>
  <si>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</si>
  <si>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</si>
  <si>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</si>
  <si>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</si>
  <si>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</si>
  <si>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</si>
  <si>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</si>
  <si>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</si>
  <si>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</si>
  <si>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</si>
  <si>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</si>
  <si>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</si>
  <si>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</si>
  <si>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</si>
  <si>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</si>
  <si>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</si>
  <si>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</si>
  <si>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</si>
  <si>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</si>
  <si>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</si>
  <si>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</si>
  <si>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</si>
  <si>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</si>
  <si>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</si>
  <si>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</si>
  <si>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</si>
  <si>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</si>
  <si>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</si>
  <si>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</si>
  <si>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</si>
  <si>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</si>
  <si>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</si>
  <si>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</si>
  <si>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</si>
  <si>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</si>
  <si>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</si>
  <si>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</si>
  <si>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</si>
  <si>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</si>
  <si>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</si>
  <si>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</si>
  <si>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</si>
  <si>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</si>
  <si>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</si>
  <si>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</si>
  <si>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</si>
  <si>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</si>
  <si>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</si>
  <si>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</si>
  <si>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</si>
  <si>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</si>
  <si>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</si>
  <si>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</si>
  <si>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</si>
  <si>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</si>
  <si>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</si>
  <si>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</si>
  <si>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</si>
  <si>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</si>
  <si>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</si>
  <si>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</si>
  <si>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</si>
  <si>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</si>
  <si>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</si>
  <si>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</si>
  <si>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</si>
  <si>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</si>
  <si>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</si>
  <si>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</si>
  <si>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</si>
  <si>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</si>
  <si>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</si>
  <si>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</si>
  <si>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</si>
  <si>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</si>
  <si>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</si>
  <si>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</si>
  <si>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</si>
  <si>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</si>
  <si>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</si>
  <si>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</si>
  <si>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</si>
  <si>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</si>
  <si>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</si>
  <si>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</si>
  <si>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</si>
  <si>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</si>
  <si>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</si>
  <si>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</si>
  <si>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</si>
  <si>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</si>
  <si>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</si>
  <si>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</si>
  <si>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</si>
  <si>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</si>
  <si>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</si>
  <si>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</si>
  <si>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</si>
  <si>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</si>
  <si>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</si>
  <si>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</si>
  <si>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</si>
  <si>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</si>
  <si>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</si>
  <si>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</si>
  <si>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</si>
  <si>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</si>
  <si>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</si>
  <si>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</si>
  <si>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</si>
  <si>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</si>
  <si>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</si>
  <si>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</si>
  <si>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</si>
  <si>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</si>
  <si>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</si>
  <si>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</si>
  <si>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</si>
  <si>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</si>
  <si>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</si>
  <si>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</si>
  <si>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</si>
  <si>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</si>
  <si>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</si>
  <si>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</si>
  <si>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</si>
  <si>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</si>
  <si>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</si>
  <si>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</si>
  <si>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</si>
  <si>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</si>
  <si>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</si>
  <si>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</si>
  <si>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</si>
  <si>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</si>
  <si>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</si>
  <si>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</si>
  <si>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</si>
  <si>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</si>
  <si>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</si>
  <si>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</si>
  <si>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</si>
  <si>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</si>
  <si>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</si>
  <si>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</si>
  <si>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</si>
  <si>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</si>
  <si>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</si>
  <si>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</si>
  <si>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</si>
  <si>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</si>
  <si>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</si>
  <si>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</si>
  <si>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</si>
  <si>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</si>
  <si>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</si>
  <si>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</si>
  <si>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</si>
  <si>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</si>
  <si>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</si>
  <si>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</si>
  <si>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</si>
  <si>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</si>
  <si>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</si>
  <si>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</si>
  <si>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</si>
  <si>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</si>
  <si>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</si>
  <si>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</si>
  <si>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</si>
  <si>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</si>
  <si>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</si>
  <si>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</si>
  <si>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</si>
  <si>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</si>
  <si>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</si>
  <si>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</si>
  <si>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</si>
  <si>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</si>
  <si>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</si>
  <si>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</si>
  <si>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</si>
  <si>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</si>
  <si>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</si>
  <si>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</si>
  <si>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</si>
  <si>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</si>
  <si>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</si>
  <si>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</si>
  <si>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</si>
  <si>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</si>
  <si>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</si>
  <si>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</si>
  <si>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</si>
  <si>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</si>
  <si>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</si>
  <si>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</si>
  <si>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</si>
  <si>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</si>
  <si>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</si>
  <si>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</si>
  <si>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</si>
  <si>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</si>
  <si>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</si>
  <si>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</si>
  <si>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</si>
  <si>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</si>
  <si>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</si>
  <si>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</si>
  <si>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</si>
  <si>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</si>
  <si>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</si>
  <si>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</si>
  <si>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</si>
  <si>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</si>
  <si>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</si>
  <si>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</si>
  <si>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</si>
  <si>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</si>
  <si>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</si>
  <si>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</si>
  <si>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</si>
  <si>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</si>
  <si>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</si>
  <si>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</si>
  <si>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</si>
  <si>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</si>
  <si>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</si>
  <si>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</si>
  <si>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</si>
  <si>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</si>
  <si>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</si>
  <si>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</si>
  <si>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</si>
  <si>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</si>
  <si>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</si>
  <si>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</si>
  <si>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</si>
  <si>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</si>
  <si>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</si>
  <si>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</si>
  <si>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</si>
  <si>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</si>
  <si>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</si>
  <si>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</si>
  <si>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</si>
  <si>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</si>
  <si>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</si>
  <si>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</si>
  <si>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</si>
  <si>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</si>
  <si>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</si>
  <si>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</si>
  <si>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</si>
  <si>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</si>
  <si>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</si>
  <si>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</si>
  <si>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</si>
  <si>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</si>
  <si>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</si>
  <si>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</si>
  <si>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</si>
  <si>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</si>
  <si>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</si>
  <si>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</si>
  <si>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</si>
  <si>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</si>
  <si>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</si>
  <si>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</si>
  <si>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</si>
  <si>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</si>
  <si>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</si>
  <si>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</si>
  <si>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</si>
  <si>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</si>
  <si>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</si>
  <si>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</si>
  <si>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</si>
  <si>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</si>
  <si>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</si>
  <si>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</si>
  <si>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</si>
  <si>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</si>
  <si>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</si>
  <si>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</si>
  <si>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</si>
  <si>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</si>
  <si>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</si>
  <si>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</si>
  <si>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</si>
  <si>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</si>
  <si>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</si>
  <si>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</si>
  <si>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</si>
  <si>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</si>
  <si>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</si>
  <si>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</si>
  <si>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</si>
  <si>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</si>
  <si>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</si>
  <si>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</si>
  <si>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</si>
  <si>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</si>
  <si>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</si>
  <si>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</si>
  <si>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</si>
  <si>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</si>
  <si>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</si>
  <si>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</si>
  <si>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</si>
  <si>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</si>
  <si>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</si>
  <si>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</si>
  <si>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</si>
  <si>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</si>
  <si>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</si>
  <si>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</si>
  <si>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</si>
  <si>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</si>
  <si>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</si>
  <si>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</si>
  <si>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</si>
  <si>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</si>
  <si>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</si>
  <si>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</si>
  <si>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</si>
  <si>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</si>
  <si>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</si>
  <si>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</si>
  <si>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</si>
  <si>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</si>
  <si>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</si>
  <si>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</si>
  <si>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</si>
  <si>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</si>
  <si>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</si>
  <si>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</si>
  <si>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</si>
  <si>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</si>
  <si>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</si>
  <si>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</si>
  <si>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</si>
  <si>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</si>
  <si>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</si>
  <si>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</si>
  <si>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</si>
  <si>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</si>
  <si>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</si>
  <si>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</si>
  <si>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</si>
  <si>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</si>
  <si>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</si>
  <si>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</si>
  <si>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</si>
  <si>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</si>
  <si>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</si>
  <si>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</si>
  <si>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</si>
  <si>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</si>
  <si>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</si>
  <si>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</si>
  <si>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</si>
  <si>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</si>
  <si>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</si>
  <si>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</si>
  <si>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</si>
  <si>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</si>
  <si>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</si>
  <si>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</si>
  <si>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</si>
  <si>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</si>
  <si>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</si>
  <si>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</si>
  <si>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</si>
  <si>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</si>
  <si>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</si>
  <si>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</si>
  <si>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</si>
  <si>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</si>
  <si>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</si>
  <si>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</si>
  <si>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</si>
  <si>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</si>
  <si>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</si>
  <si>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</si>
  <si>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</si>
  <si>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</si>
  <si>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</si>
  <si>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</si>
  <si>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</si>
  <si>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</si>
  <si>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</si>
  <si>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</si>
  <si>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</si>
  <si>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</si>
  <si>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</si>
  <si>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</si>
  <si>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</si>
  <si>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</si>
  <si>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</si>
  <si>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</si>
  <si>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</si>
  <si>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</si>
  <si>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</si>
  <si>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</si>
  <si>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</si>
  <si>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</si>
  <si>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</si>
  <si>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</si>
  <si>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</si>
  <si>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</si>
  <si>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</si>
  <si>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</si>
  <si>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</si>
  <si>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</si>
  <si>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</si>
  <si>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</si>
  <si>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</si>
  <si>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</si>
  <si>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</si>
  <si>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</si>
  <si>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</si>
  <si>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</si>
  <si>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</si>
  <si>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</si>
  <si>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</si>
  <si>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</si>
  <si>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</si>
  <si>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</si>
  <si>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</si>
  <si>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</si>
  <si>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</si>
  <si>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</si>
  <si>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</si>
  <si>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</si>
  <si>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</si>
  <si>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</si>
  <si>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</si>
  <si>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</si>
  <si>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</si>
  <si>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</si>
  <si>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</si>
  <si>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</si>
  <si>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</si>
  <si>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</si>
  <si>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</si>
  <si>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</si>
  <si>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</si>
  <si>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</si>
  <si>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</si>
  <si>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</si>
  <si>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</si>
  <si>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</si>
  <si>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</si>
  <si>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</si>
  <si>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</si>
  <si>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</si>
  <si>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</si>
  <si>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</si>
  <si>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</si>
  <si>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</si>
  <si>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</si>
  <si>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</si>
  <si>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</si>
  <si>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</si>
  <si>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</si>
  <si>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</si>
  <si>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</si>
  <si>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</si>
  <si>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</si>
  <si>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</si>
  <si>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</si>
  <si>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</si>
  <si>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</si>
  <si>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</si>
  <si>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</si>
  <si>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</si>
  <si>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</si>
  <si>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</si>
  <si>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</si>
  <si>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</si>
  <si>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</si>
  <si>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</si>
  <si>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</si>
  <si>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</si>
  <si>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</si>
  <si>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</si>
  <si>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</si>
  <si>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</si>
  <si>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</si>
  <si>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</si>
  <si>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</si>
  <si>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</si>
  <si>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</si>
  <si>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</si>
  <si>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</si>
  <si>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</si>
  <si>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</si>
  <si>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</si>
  <si>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</si>
  <si>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</si>
  <si>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</si>
  <si>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</si>
  <si>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</si>
  <si>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</si>
  <si>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</si>
  <si>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</si>
  <si>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</si>
  <si>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</si>
  <si>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</si>
  <si>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</si>
  <si>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</si>
  <si>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</si>
  <si>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</si>
  <si>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</si>
  <si>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</si>
  <si>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</si>
  <si>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</si>
  <si>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</si>
  <si>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</si>
  <si>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</si>
  <si>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</si>
  <si>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</si>
  <si>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</si>
  <si>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</si>
  <si>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</si>
  <si>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</si>
  <si>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</si>
  <si>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</si>
  <si>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</si>
  <si>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</si>
  <si>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</si>
  <si>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</si>
  <si>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</si>
  <si>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</si>
  <si>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</si>
  <si>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</si>
  <si>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</si>
  <si>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</si>
  <si>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</si>
  <si>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</si>
  <si>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</si>
  <si>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</si>
  <si>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</si>
  <si>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</si>
  <si>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</si>
  <si>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</si>
  <si>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</si>
  <si>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</si>
  <si>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</si>
  <si>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</si>
  <si>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</si>
  <si>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</si>
  <si>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</si>
  <si>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</si>
  <si>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</si>
  <si>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</si>
  <si>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</si>
  <si>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</si>
  <si>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</si>
  <si>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</si>
  <si>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</si>
  <si>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</si>
  <si>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</si>
  <si>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</si>
  <si>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</si>
  <si>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</si>
  <si>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</si>
  <si>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</si>
  <si>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</si>
  <si>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</si>
  <si>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</si>
  <si>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</si>
  <si>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</si>
  <si>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</si>
  <si>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</si>
  <si>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</si>
  <si>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</si>
  <si>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</si>
  <si>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</si>
  <si>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</si>
  <si>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</si>
  <si>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</si>
  <si>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</si>
  <si>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</si>
  <si>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</si>
  <si>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</si>
  <si>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</si>
  <si>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</si>
  <si>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</si>
  <si>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</si>
  <si>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</si>
  <si>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</si>
  <si>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</si>
  <si>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</si>
  <si>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</si>
  <si>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</si>
  <si>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</si>
  <si>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</si>
  <si>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</si>
  <si>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</si>
  <si>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</si>
  <si>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</si>
  <si>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</si>
  <si>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</si>
  <si>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</si>
  <si>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</si>
  <si>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</si>
  <si>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</si>
  <si>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</si>
  <si>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</si>
  <si>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</si>
  <si>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</si>
  <si>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</si>
  <si>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</si>
  <si>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</si>
  <si>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</si>
  <si>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</si>
  <si>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</si>
  <si>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</si>
  <si>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</si>
  <si>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</si>
  <si>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</si>
  <si>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</si>
  <si>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</si>
  <si>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</si>
  <si>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</si>
  <si>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</si>
  <si>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</si>
  <si>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</si>
  <si>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</si>
  <si>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</si>
  <si>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</si>
  <si>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</si>
  <si>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</si>
  <si>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</si>
  <si>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</si>
  <si>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</si>
  <si>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</si>
  <si>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</si>
  <si>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</si>
  <si>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</si>
  <si>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</si>
  <si>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</si>
  <si>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</si>
  <si>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</si>
  <si>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</si>
  <si>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</si>
  <si>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</si>
  <si>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</si>
  <si>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</si>
  <si>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</si>
  <si>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</si>
  <si>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</si>
  <si>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</si>
  <si>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</si>
  <si>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</si>
  <si>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</si>
  <si>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</si>
  <si>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</si>
  <si>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</si>
  <si>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</si>
  <si>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</si>
  <si>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</si>
  <si>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</si>
  <si>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</si>
  <si>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</si>
  <si>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</si>
  <si>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</si>
  <si>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</si>
  <si>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</si>
  <si>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</si>
  <si>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</si>
  <si>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</si>
  <si>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</si>
  <si>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</si>
  <si>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</si>
  <si>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</si>
  <si>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</si>
  <si>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</si>
  <si>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</si>
  <si>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</si>
  <si>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</si>
  <si>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</si>
  <si>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</si>
  <si>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</si>
  <si>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</si>
  <si>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</si>
  <si>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</si>
  <si>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</si>
  <si>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</si>
  <si>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</si>
  <si>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</si>
  <si>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</si>
  <si>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</si>
  <si>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</si>
  <si>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</si>
  <si>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</si>
  <si>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</si>
  <si>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</si>
  <si>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</si>
  <si>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</si>
  <si>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</si>
  <si>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</si>
  <si>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</si>
  <si>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</si>
  <si>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</si>
  <si>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</si>
  <si>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</si>
  <si>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</si>
  <si>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</si>
  <si>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</si>
  <si>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</si>
  <si>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</si>
  <si>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</si>
  <si>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</si>
  <si>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</si>
  <si>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</si>
  <si>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</si>
  <si>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</si>
  <si>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</si>
  <si>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</si>
  <si>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</si>
  <si>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</si>
  <si>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</si>
  <si>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</si>
  <si>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</si>
  <si>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</si>
  <si>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</si>
  <si>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</si>
  <si>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</si>
  <si>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</si>
  <si>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</si>
  <si>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</si>
  <si>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</si>
  <si>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</si>
  <si>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</si>
  <si>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</si>
  <si>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</si>
  <si>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</si>
  <si>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</si>
  <si>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</si>
  <si>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</si>
  <si>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</si>
  <si>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</si>
  <si>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</si>
  <si>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</si>
  <si>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</si>
  <si>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</si>
  <si>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</si>
  <si>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</si>
  <si>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</si>
  <si>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</si>
  <si>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</si>
  <si>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</si>
  <si>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</si>
  <si>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</si>
  <si>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</si>
  <si>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</si>
  <si>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</si>
  <si>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</si>
  <si>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</si>
  <si>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</si>
  <si>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</si>
  <si>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</si>
  <si>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</si>
  <si>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</si>
  <si>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</si>
  <si>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</si>
  <si>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</si>
  <si>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</si>
  <si>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</si>
  <si>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</si>
  <si>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</si>
  <si>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</si>
  <si>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</si>
  <si>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</si>
  <si>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</si>
  <si>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</si>
  <si>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</si>
  <si>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</si>
  <si>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</si>
  <si>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</si>
  <si>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</si>
  <si>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</si>
  <si>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</si>
  <si>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</si>
  <si>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</si>
  <si>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</si>
  <si>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</si>
  <si>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</si>
  <si>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</si>
  <si>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</si>
  <si>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</si>
  <si>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</si>
  <si>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</si>
  <si>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</si>
  <si>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</si>
  <si>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</si>
  <si>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</si>
  <si>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</si>
  <si>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</si>
  <si>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</si>
  <si>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</si>
  <si>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</si>
  <si>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</si>
  <si>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</si>
  <si>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</si>
  <si>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</si>
  <si>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</si>
  <si>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</si>
  <si>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</si>
  <si>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</si>
  <si>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</si>
  <si>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</si>
  <si>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</si>
  <si>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</si>
  <si>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</si>
  <si>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</si>
  <si>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</si>
  <si>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</si>
  <si>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</si>
  <si>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</si>
  <si>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</si>
  <si>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</si>
  <si>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</si>
  <si>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</si>
  <si>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</si>
  <si>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</si>
  <si>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</si>
  <si>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</si>
  <si>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</si>
  <si>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</si>
  <si>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</si>
  <si>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</si>
  <si>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</si>
  <si>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</si>
  <si>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</si>
  <si>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</si>
  <si>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</si>
  <si>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</si>
  <si>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</si>
  <si>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</si>
  <si>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</si>
  <si>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</si>
  <si>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</si>
  <si>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</si>
  <si>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</si>
  <si>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</si>
  <si>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</si>
  <si>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</si>
  <si>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</si>
  <si>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</si>
  <si>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</si>
  <si>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</si>
  <si>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</si>
  <si>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</si>
  <si>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</si>
  <si>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</si>
  <si>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</si>
  <si>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</si>
  <si>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</si>
  <si>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</si>
  <si>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</si>
  <si>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</si>
  <si>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</si>
  <si>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</si>
  <si>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</si>
  <si>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</si>
  <si>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</si>
  <si>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</si>
  <si>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</si>
  <si>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</si>
  <si>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</si>
  <si>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</si>
  <si>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</si>
  <si>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</si>
  <si>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</si>
  <si>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</si>
  <si>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</si>
  <si>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</si>
  <si>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</si>
  <si>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</si>
  <si>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</si>
  <si>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</si>
  <si>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</si>
  <si>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</si>
  <si>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</si>
  <si>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</si>
  <si>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</si>
  <si>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</si>
  <si>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</si>
  <si>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</si>
  <si>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</si>
  <si>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</si>
  <si>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</si>
  <si>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</si>
  <si>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</si>
  <si>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</si>
  <si>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</si>
  <si>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</si>
  <si>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</si>
  <si>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</si>
  <si>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</si>
  <si>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</si>
  <si>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</si>
  <si>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</si>
  <si>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</si>
  <si>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</si>
  <si>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</si>
  <si>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</si>
  <si>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</si>
  <si>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</si>
  <si>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</si>
  <si>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</si>
  <si>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</si>
  <si>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</si>
  <si>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</si>
  <si>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</si>
  <si>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</si>
  <si>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</si>
  <si>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</si>
  <si>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</si>
  <si>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</si>
  <si>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</si>
  <si>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</si>
  <si>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</si>
  <si>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</si>
  <si>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</si>
  <si>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</si>
  <si>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</si>
  <si>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</si>
  <si>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</si>
  <si>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</si>
  <si>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</si>
  <si>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</si>
  <si>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</si>
  <si>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</si>
  <si>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</si>
  <si>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</si>
  <si>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</si>
  <si>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</si>
  <si>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</si>
  <si>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</si>
  <si>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</si>
  <si>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</si>
  <si>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</si>
  <si>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</si>
  <si>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</si>
  <si>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</si>
  <si>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</si>
  <si>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</si>
  <si>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</si>
  <si>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</si>
  <si>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</si>
  <si>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</si>
  <si>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</si>
  <si>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</si>
  <si>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</si>
  <si>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</si>
  <si>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</si>
  <si>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</si>
  <si>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</si>
  <si>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</si>
  <si>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</si>
  <si>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</si>
  <si>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</si>
  <si>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</si>
  <si>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</si>
  <si>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</si>
  <si>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</si>
  <si>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</si>
  <si>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</si>
  <si>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</si>
  <si>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</si>
  <si>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</si>
  <si>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</si>
  <si>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</si>
  <si>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</si>
  <si>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</si>
  <si>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</si>
  <si>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</si>
  <si>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</si>
  <si>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</si>
  <si>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</si>
  <si>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</si>
  <si>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</si>
  <si>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</si>
  <si>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</si>
  <si>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</si>
  <si>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</si>
  <si>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</si>
  <si>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</si>
  <si>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</si>
  <si>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</si>
  <si>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</si>
  <si>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</si>
  <si>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</si>
  <si>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</si>
  <si>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</si>
  <si>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</si>
  <si>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</si>
  <si>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</si>
  <si>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</si>
  <si>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</si>
  <si>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</si>
  <si>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</si>
  <si>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</si>
  <si>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</si>
  <si>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</si>
  <si>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</si>
  <si>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</si>
  <si>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</si>
  <si>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</si>
  <si>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</si>
  <si>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</si>
  <si>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</si>
  <si>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</si>
  <si>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</si>
  <si>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</si>
  <si>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</si>
  <si>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</si>
  <si>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</si>
  <si>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</si>
  <si>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</si>
  <si>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</si>
  <si>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</si>
  <si>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</si>
  <si>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</si>
  <si>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</si>
  <si>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</si>
  <si>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</si>
  <si>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</si>
  <si>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</si>
  <si>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</si>
  <si>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</si>
  <si>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</si>
  <si>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</si>
  <si>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</si>
  <si>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</si>
  <si>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</si>
  <si>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</si>
  <si>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</si>
  <si>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</si>
  <si>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</si>
  <si>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</si>
  <si>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</si>
  <si>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</si>
  <si>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</si>
  <si>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</si>
  <si>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</si>
  <si>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</si>
  <si>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</si>
  <si>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</si>
  <si>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</si>
  <si>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</si>
  <si>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</si>
  <si>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</si>
  <si>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</si>
  <si>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</si>
  <si>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</si>
  <si>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</si>
  <si>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</si>
  <si>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</si>
  <si>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</si>
  <si>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</si>
  <si>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</si>
  <si>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</si>
  <si>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</si>
  <si>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</si>
  <si>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</si>
  <si>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</si>
  <si>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</si>
  <si>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</si>
  <si>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</si>
  <si>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</si>
  <si>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</si>
  <si>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</si>
  <si>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</si>
  <si>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</si>
  <si>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</si>
  <si>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</si>
  <si>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</si>
  <si>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</si>
  <si>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</si>
  <si>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</si>
  <si>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</si>
  <si>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</si>
  <si>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</si>
  <si>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</si>
  <si>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</si>
  <si>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</si>
  <si>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</si>
  <si>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</si>
  <si>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</si>
  <si>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</si>
  <si>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</si>
  <si>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</si>
  <si>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</si>
  <si>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</si>
  <si>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</si>
  <si>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</si>
  <si>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</si>
  <si>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</si>
  <si>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</si>
  <si>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</si>
  <si>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</si>
  <si>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</si>
  <si>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</si>
  <si>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</si>
  <si>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</si>
  <si>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</si>
  <si>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</si>
  <si>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</si>
  <si>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</si>
  <si>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</si>
  <si>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</si>
  <si>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</si>
  <si>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</si>
  <si>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</si>
  <si>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</si>
  <si>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</si>
  <si>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</si>
  <si>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</si>
  <si>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</si>
  <si>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</si>
  <si>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</si>
  <si>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</si>
  <si>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</si>
  <si>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</si>
  <si>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</si>
  <si>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</si>
  <si>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</si>
  <si>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</si>
  <si>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</si>
  <si>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</si>
  <si>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</si>
  <si>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</si>
  <si>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</si>
  <si>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</si>
  <si>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</si>
  <si>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</si>
  <si>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</si>
  <si>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</si>
  <si>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</si>
  <si>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</si>
  <si>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</si>
  <si>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</si>
  <si>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</si>
  <si>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</si>
  <si>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</si>
  <si>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</si>
  <si>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</si>
  <si>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</si>
  <si>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</si>
  <si>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</si>
  <si>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</si>
  <si>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</si>
  <si>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</si>
  <si>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</si>
  <si>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</si>
  <si>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</si>
  <si>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</si>
  <si>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</si>
  <si>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</si>
  <si>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</si>
  <si>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</si>
  <si>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</si>
  <si>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</si>
  <si>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</si>
  <si>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</si>
  <si>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</si>
  <si>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</si>
  <si>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</si>
  <si>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</si>
  <si>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</si>
  <si>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</si>
  <si>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</si>
  <si>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</si>
  <si>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</si>
  <si>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</si>
  <si>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</si>
  <si>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</si>
  <si>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</si>
  <si>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</si>
  <si>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</si>
  <si>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</si>
  <si>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</si>
  <si>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</si>
  <si>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</si>
  <si>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</si>
  <si>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</si>
  <si>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</si>
  <si>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</si>
  <si>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</si>
  <si>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</si>
  <si>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</si>
  <si>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</si>
  <si>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</si>
  <si>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</si>
  <si>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</si>
  <si>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</si>
  <si>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</si>
  <si>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</si>
  <si>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</si>
  <si>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</si>
  <si>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</si>
  <si>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</si>
  <si>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</si>
  <si>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</si>
  <si>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</si>
  <si>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</si>
  <si>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</si>
  <si>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</si>
  <si>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</si>
  <si>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</si>
  <si>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</si>
  <si>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</si>
  <si>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</si>
  <si>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</si>
  <si>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</si>
  <si>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</si>
  <si>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</si>
  <si>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</si>
  <si>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</si>
  <si>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</si>
  <si>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</si>
  <si>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</si>
  <si>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</si>
  <si>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</si>
  <si>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</si>
  <si>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</si>
  <si>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</si>
  <si>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</si>
  <si>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</si>
  <si>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</si>
  <si>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</si>
  <si>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</si>
  <si>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</si>
  <si>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</si>
  <si>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</si>
  <si>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</si>
  <si>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</si>
  <si>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</si>
  <si>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</si>
  <si>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</si>
  <si>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</si>
  <si>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</si>
  <si>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</si>
  <si>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</si>
  <si>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</si>
  <si>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</si>
  <si>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</si>
  <si>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</si>
  <si>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</si>
  <si>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</si>
  <si>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</si>
  <si>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</si>
  <si>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</si>
  <si>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</si>
  <si>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</si>
  <si>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</si>
  <si>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</si>
  <si>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</si>
  <si>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</si>
  <si>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</si>
  <si>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</si>
  <si>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</si>
  <si>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</si>
  <si>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</si>
  <si>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</si>
  <si>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</si>
  <si>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</si>
  <si>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</si>
  <si>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</si>
  <si>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</si>
  <si>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</si>
  <si>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</si>
  <si>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</si>
  <si>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</si>
  <si>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</si>
  <si>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</si>
  <si>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</si>
  <si>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</si>
  <si>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</si>
  <si>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</si>
  <si>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</si>
  <si>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</si>
  <si>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</si>
  <si>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</si>
  <si>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</si>
  <si>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</si>
  <si>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</si>
  <si>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</si>
  <si>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</si>
  <si>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</si>
  <si>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</si>
  <si>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</si>
  <si>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</si>
  <si>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</si>
  <si>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</si>
  <si>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</si>
  <si>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</si>
  <si>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</si>
  <si>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</si>
  <si>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</si>
  <si>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</si>
  <si>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</si>
  <si>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</si>
  <si>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</si>
  <si>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</si>
  <si>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</si>
  <si>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</si>
  <si>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</si>
  <si>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</si>
  <si>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</si>
  <si>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</si>
  <si>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</si>
  <si>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</si>
  <si>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</si>
  <si>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</si>
  <si>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</si>
  <si>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</si>
  <si>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</si>
  <si>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</si>
  <si>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</si>
  <si>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</si>
  <si>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</si>
  <si>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</si>
  <si>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</si>
  <si>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</si>
  <si>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</si>
  <si>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</si>
  <si>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</si>
  <si>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</si>
  <si>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</si>
  <si>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</si>
  <si>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</si>
  <si>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</si>
  <si>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</si>
  <si>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</si>
  <si>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</si>
  <si>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</si>
  <si>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</si>
  <si>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</si>
  <si>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</si>
  <si>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</si>
  <si>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</si>
  <si>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</si>
  <si>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</si>
  <si>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</si>
  <si>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</si>
  <si>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</si>
  <si>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</si>
  <si>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</si>
  <si>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</si>
  <si>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</si>
  <si>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</si>
  <si>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</si>
  <si>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</si>
  <si>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</si>
  <si>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</si>
  <si>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</si>
  <si>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</si>
  <si>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</si>
  <si>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</si>
  <si>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</si>
  <si>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</si>
  <si>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</si>
  <si>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</si>
  <si>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</si>
  <si>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</si>
  <si>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</si>
  <si>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</si>
  <si>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</si>
  <si>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</si>
  <si>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</si>
  <si>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</si>
  <si>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</si>
  <si>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</si>
  <si>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</si>
  <si>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</si>
  <si>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</si>
  <si>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</si>
  <si>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</si>
  <si>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</si>
  <si>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</si>
  <si>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</si>
  <si>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</si>
  <si>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</si>
  <si>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</si>
  <si>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</si>
  <si>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</si>
  <si>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</si>
  <si>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</si>
  <si>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</si>
  <si>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</si>
  <si>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</si>
  <si>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</si>
  <si>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</si>
  <si>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</si>
  <si>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</si>
  <si>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</si>
  <si>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</si>
  <si>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</si>
  <si>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</si>
  <si>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</si>
  <si>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</si>
  <si>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</si>
  <si>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</si>
  <si>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</si>
  <si>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</si>
  <si>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</si>
  <si>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</si>
  <si>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</si>
  <si>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https://www.youtube.com/@%E7%86%B1%E8%A1%80%E6%B1%9F%E6%B9%96%E7%A6%8F%E5%88%A9%E5%8A%A0%E5%BC%B7%E7%89%88</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</si>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</sst>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1">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21" Type="http://schemas.openxmlformats.org/officeDocument/2006/relationships/hyperlink" Target="mailto:&#26368;&#26032;&#20778;&#24800;&#39340;&#19978;&#21839;&#21839;Line@&#23458;&#26381;" TargetMode="External"/><Relationship Id="rId7" Type="http://schemas.openxmlformats.org/officeDocument/2006/relationships/hyperlink" Target="mailto:&#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0" Type="http://schemas.openxmlformats.org/officeDocument/2006/relationships/hyperlink" Target="mailto:&#26368;&#26032;&#20778;&#24800;&#39340;&#19978;&#21839;&#21839;Line@&#23458;&#26381;" TargetMode="External"/><Relationship Id="rId29" Type="http://schemas.openxmlformats.org/officeDocument/2006/relationships/hyperlink" Target="mailto:&#26368;&#26032;&#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1" Type="http://schemas.openxmlformats.org/officeDocument/2006/relationships/hyperlink" Target="mailto:&#39340;&#19978;&#21839;&#21839;Line@&#23458;&#26381;" TargetMode="External"/><Relationship Id="rId24" Type="http://schemas.openxmlformats.org/officeDocument/2006/relationships/hyperlink" Target="mailto:&#26368;&#26032;&#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78;&#24800;&#39340;&#19978;&#21839;&#21839;Line@&#23458;&#26381;" TargetMode="External"/><Relationship Id="rId28" Type="http://schemas.openxmlformats.org/officeDocument/2006/relationships/hyperlink" Target="mailto:&#26368;&#26032;&#20778;&#24800;&#39340;&#19978;&#21839;&#21839;Line@&#23458;&#26381;" TargetMode="External"/><Relationship Id="rId10" Type="http://schemas.openxmlformats.org/officeDocument/2006/relationships/hyperlink" Target="mailto:&#39340;&#19978;&#21839;&#21839;Line@&#23458;&#26381;" TargetMode="External"/><Relationship Id="rId19"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78;&#24800;&#39340;&#19978;&#21839;&#21839;Line@&#23458;&#26381;" TargetMode="External"/><Relationship Id="rId27" Type="http://schemas.openxmlformats.org/officeDocument/2006/relationships/hyperlink" Target="mailto:&#26368;&#26032;&#20778;&#24800;&#39340;&#19978;&#21839;&#21839;Line@&#23458;&#26381;" TargetMode="External"/><Relationship Id="rId30"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F285" activePane="bottomRight" state="frozen"/>
      <selection pane="topRight" activeCell="B1" sqref="B1"/>
      <selection pane="bottomLeft" activeCell="A2" sqref="A2"/>
      <selection pane="bottomRight" activeCell="K290" sqref="J290:K290"/>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5134</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5161</v>
      </c>
      <c r="AI223" s="88" t="s">
        <v>5258</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5161</v>
      </c>
      <c r="W224" s="88" t="s">
        <v>5258</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5161</v>
      </c>
      <c r="W226" s="88" t="s">
        <v>5258</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5161</v>
      </c>
      <c r="AG227" s="88" t="s">
        <v>5258</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5161</v>
      </c>
      <c r="AE228" s="88" t="s">
        <v>5258</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5135</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5161</v>
      </c>
      <c r="AE229" s="88" t="s">
        <v>5258</v>
      </c>
    </row>
    <row r="230" spans="1:35" ht="22.5" customHeight="1" thickBot="1">
      <c r="A230" s="55" t="s">
        <v>5126</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5136</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5161</v>
      </c>
      <c r="AI230" s="88" t="s">
        <v>5258</v>
      </c>
    </row>
    <row r="231" spans="1:35" ht="22.5" customHeight="1" thickBot="1">
      <c r="A231" s="55" t="s">
        <v>5127</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5137</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5161</v>
      </c>
      <c r="AC231" s="88" t="s">
        <v>5258</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5138</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5161</v>
      </c>
      <c r="AE232" s="88" t="s">
        <v>5258</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5139</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5161</v>
      </c>
      <c r="AE234" s="88" t="s">
        <v>5258</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5161</v>
      </c>
      <c r="AC235" s="88" t="s">
        <v>5258</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5161</v>
      </c>
      <c r="AG236" s="88" t="s">
        <v>5258</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5161</v>
      </c>
      <c r="AE237" s="88" t="s">
        <v>5258</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5161</v>
      </c>
      <c r="Y238" s="88" t="s">
        <v>5258</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5161</v>
      </c>
      <c r="AC239" s="88" t="s">
        <v>5258</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5161</v>
      </c>
      <c r="W240" s="88" t="s">
        <v>5258</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5140</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5161</v>
      </c>
      <c r="AC241" s="88" t="s">
        <v>5258</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5141</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5161</v>
      </c>
      <c r="Y242" s="88" t="s">
        <v>5258</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5142</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5161</v>
      </c>
      <c r="AC243" s="88" t="s">
        <v>5258</v>
      </c>
    </row>
    <row r="244" spans="1:33" ht="22.5" customHeight="1" thickBot="1">
      <c r="A244" s="55" t="s">
        <v>5128</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5143</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5161</v>
      </c>
      <c r="AE244" s="88" t="s">
        <v>5258</v>
      </c>
    </row>
    <row r="245" spans="1:33" ht="22.5" customHeight="1" thickBot="1">
      <c r="A245" s="55" t="s">
        <v>5129</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5161</v>
      </c>
      <c r="Y245" s="88" t="s">
        <v>5258</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5130</v>
      </c>
      <c r="K246" s="52">
        <v>1139</v>
      </c>
      <c r="L246" s="53" t="s">
        <v>4497</v>
      </c>
      <c r="M246" s="52">
        <v>225</v>
      </c>
      <c r="N246" s="53" t="s">
        <v>4498</v>
      </c>
      <c r="O246" s="52">
        <v>99</v>
      </c>
      <c r="P246" s="53" t="s">
        <v>4499</v>
      </c>
      <c r="Q246" s="52">
        <v>25</v>
      </c>
      <c r="R246" s="85" t="s">
        <v>5161</v>
      </c>
      <c r="S246" s="88" t="s">
        <v>5258</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5161</v>
      </c>
      <c r="Y247" s="88" t="s">
        <v>5258</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5161</v>
      </c>
      <c r="AC248" s="88" t="s">
        <v>5258</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5161</v>
      </c>
      <c r="AA249" s="88" t="s">
        <v>5258</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5161</v>
      </c>
      <c r="Y250" s="88" t="s">
        <v>5258</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5161</v>
      </c>
      <c r="W251" s="88" t="s">
        <v>5258</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5161</v>
      </c>
      <c r="AE252" s="88" t="s">
        <v>5258</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5161</v>
      </c>
      <c r="AG253" s="88" t="s">
        <v>5258</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5131</v>
      </c>
      <c r="Q254" s="55">
        <v>194</v>
      </c>
      <c r="R254" s="53" t="s">
        <v>4657</v>
      </c>
      <c r="S254" s="55">
        <v>74</v>
      </c>
      <c r="T254" s="53" t="s">
        <v>4658</v>
      </c>
      <c r="U254" s="55">
        <v>17</v>
      </c>
      <c r="V254" s="53" t="s">
        <v>4659</v>
      </c>
      <c r="W254" s="55">
        <v>194</v>
      </c>
      <c r="X254" s="53" t="s">
        <v>4660</v>
      </c>
      <c r="Y254" s="55">
        <v>74</v>
      </c>
      <c r="Z254" s="85" t="s">
        <v>5161</v>
      </c>
      <c r="AA254" s="88" t="s">
        <v>5258</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5161</v>
      </c>
      <c r="Y255" s="88" t="s">
        <v>5258</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5161</v>
      </c>
      <c r="Y256" s="88" t="s">
        <v>5258</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5161</v>
      </c>
      <c r="AE257" s="88" t="s">
        <v>5258</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5161</v>
      </c>
      <c r="AG258" s="88" t="s">
        <v>5258</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5161</v>
      </c>
      <c r="AC259" s="88" t="s">
        <v>5258</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5161</v>
      </c>
      <c r="AE260" s="88" t="s">
        <v>5258</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5161</v>
      </c>
      <c r="AA261" s="88" t="s">
        <v>5258</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5161</v>
      </c>
      <c r="W262" s="88" t="s">
        <v>5258</v>
      </c>
    </row>
    <row r="263" spans="1:35" ht="22.5" customHeight="1" thickBot="1">
      <c r="A263" s="67" t="s">
        <v>5132</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4856</v>
      </c>
      <c r="K263" s="55">
        <v>2371</v>
      </c>
      <c r="L263" s="53" t="s">
        <v>4857</v>
      </c>
      <c r="M263" s="55">
        <v>1204</v>
      </c>
      <c r="N263" s="53" t="s">
        <v>4858</v>
      </c>
      <c r="O263" s="55">
        <v>563</v>
      </c>
      <c r="P263" s="53" t="s">
        <v>4859</v>
      </c>
      <c r="Q263" s="55">
        <v>261</v>
      </c>
      <c r="R263" s="53" t="s">
        <v>4860</v>
      </c>
      <c r="S263" s="55">
        <v>128</v>
      </c>
      <c r="T263" s="53" t="s">
        <v>4861</v>
      </c>
      <c r="U263" s="55">
        <v>26</v>
      </c>
      <c r="V263" s="53" t="s">
        <v>4862</v>
      </c>
      <c r="W263" s="55">
        <v>400</v>
      </c>
      <c r="X263" s="53" t="s">
        <v>4863</v>
      </c>
      <c r="Y263" s="55">
        <v>128</v>
      </c>
      <c r="Z263" s="53" t="s">
        <v>4864</v>
      </c>
      <c r="AA263" s="55">
        <v>2371</v>
      </c>
      <c r="AB263" s="53" t="s">
        <v>4865</v>
      </c>
      <c r="AC263" s="55">
        <v>1204</v>
      </c>
      <c r="AD263" s="53" t="s">
        <v>4866</v>
      </c>
      <c r="AE263" s="55">
        <v>400</v>
      </c>
      <c r="AF263" s="53" t="s">
        <v>4867</v>
      </c>
      <c r="AG263" s="55">
        <v>26</v>
      </c>
      <c r="AH263" s="85" t="s">
        <v>5161</v>
      </c>
      <c r="AI263" s="88" t="s">
        <v>5258</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5144</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4868</v>
      </c>
      <c r="W265" s="55">
        <v>247</v>
      </c>
      <c r="X265" s="53" t="s">
        <v>196</v>
      </c>
      <c r="Y265" s="55">
        <v>261</v>
      </c>
      <c r="Z265" s="53" t="s">
        <v>4833</v>
      </c>
      <c r="AA265" s="55">
        <v>162</v>
      </c>
      <c r="AB265" s="53" t="s">
        <v>4832</v>
      </c>
      <c r="AC265" s="55">
        <v>162</v>
      </c>
      <c r="AD265" s="85" t="s">
        <v>5161</v>
      </c>
      <c r="AE265" s="88" t="s">
        <v>5258</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5161</v>
      </c>
      <c r="AA266" s="88" t="s">
        <v>5258</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4917</v>
      </c>
      <c r="K267" s="55">
        <v>2371</v>
      </c>
      <c r="L267" s="53" t="s">
        <v>4918</v>
      </c>
      <c r="M267" s="55">
        <v>1204</v>
      </c>
      <c r="N267" s="53" t="s">
        <v>4919</v>
      </c>
      <c r="O267" s="55">
        <v>807</v>
      </c>
      <c r="P267" s="53" t="s">
        <v>4920</v>
      </c>
      <c r="Q267" s="55">
        <v>530</v>
      </c>
      <c r="R267" s="53" t="s">
        <v>4921</v>
      </c>
      <c r="S267" s="55">
        <v>294</v>
      </c>
      <c r="T267" s="53" t="s">
        <v>4922</v>
      </c>
      <c r="U267" s="55">
        <v>136</v>
      </c>
      <c r="V267" s="53" t="s">
        <v>4923</v>
      </c>
      <c r="W267" s="55">
        <v>29</v>
      </c>
      <c r="X267" s="53" t="s">
        <v>4924</v>
      </c>
      <c r="Y267" s="55">
        <v>136</v>
      </c>
      <c r="Z267" s="53" t="s">
        <v>4925</v>
      </c>
      <c r="AA267" s="55">
        <v>136</v>
      </c>
      <c r="AB267" s="53" t="s">
        <v>4926</v>
      </c>
      <c r="AC267" s="55">
        <v>196</v>
      </c>
      <c r="AD267" s="85" t="s">
        <v>5161</v>
      </c>
      <c r="AE267" s="88" t="s">
        <v>5258</v>
      </c>
    </row>
    <row r="268" spans="1:35" ht="22.5" customHeight="1" thickBot="1">
      <c r="A268" s="55" t="s">
        <v>4894</v>
      </c>
      <c r="C268" s="80" t="s">
        <v>4896</v>
      </c>
      <c r="D268" s="45" t="s">
        <v>4879</v>
      </c>
      <c r="E268" s="45" t="s">
        <v>4880</v>
      </c>
      <c r="F268" s="37" t="str">
        <f t="shared" ref="F268:F312" si="12">IF(A268="", "", "gift-codes.html?game=" &amp; A268)</f>
        <v>gift-codes.html?game=我的花園世界</v>
      </c>
      <c r="G268" s="45" t="s">
        <v>4895</v>
      </c>
      <c r="H268" s="38" t="str">
        <f t="shared" si="11"/>
        <v>https://www.ssbuy.tw/detail_giftcode/dist/gamedetail/我的花園世界.html</v>
      </c>
      <c r="I268" s="39" t="s">
        <v>4897</v>
      </c>
      <c r="J268" s="53" t="s">
        <v>4889</v>
      </c>
      <c r="K268" s="55">
        <v>2609</v>
      </c>
      <c r="L268" s="53" t="s">
        <v>204</v>
      </c>
      <c r="M268" s="55">
        <v>1365</v>
      </c>
      <c r="N268" s="53" t="s">
        <v>4890</v>
      </c>
      <c r="O268" s="55">
        <v>807</v>
      </c>
      <c r="P268" s="53" t="s">
        <v>4447</v>
      </c>
      <c r="Q268" s="55">
        <v>546</v>
      </c>
      <c r="R268" s="53" t="s">
        <v>4891</v>
      </c>
      <c r="S268" s="55">
        <v>400</v>
      </c>
      <c r="T268" s="53" t="s">
        <v>205</v>
      </c>
      <c r="U268" s="55">
        <v>269</v>
      </c>
      <c r="V268" s="53" t="s">
        <v>239</v>
      </c>
      <c r="W268" s="55">
        <v>145</v>
      </c>
      <c r="X268" s="53" t="s">
        <v>240</v>
      </c>
      <c r="Y268" s="55">
        <v>29</v>
      </c>
      <c r="Z268" s="53" t="s">
        <v>4892</v>
      </c>
      <c r="AA268" s="55">
        <v>29</v>
      </c>
      <c r="AB268" s="53" t="s">
        <v>4893</v>
      </c>
      <c r="AC268" s="55">
        <v>145</v>
      </c>
      <c r="AD268" s="85" t="s">
        <v>5161</v>
      </c>
      <c r="AE268" s="88" t="s">
        <v>5258</v>
      </c>
    </row>
    <row r="269" spans="1:35" ht="22.5" customHeight="1" thickBot="1">
      <c r="A269" s="55" t="s">
        <v>4927</v>
      </c>
      <c r="C269" s="80" t="s">
        <v>4932</v>
      </c>
      <c r="D269" s="38" t="s">
        <v>4934</v>
      </c>
      <c r="E269" s="38" t="s">
        <v>4933</v>
      </c>
      <c r="F269" s="37" t="str">
        <f t="shared" si="12"/>
        <v>gift-codes.html?game=Awakenloop</v>
      </c>
      <c r="G269" s="38" t="s">
        <v>4935</v>
      </c>
      <c r="H269" s="38" t="str">
        <f t="shared" si="11"/>
        <v>https://www.ssbuy.tw/detail_giftcode/dist/gamedetail/Awakenloop.html</v>
      </c>
      <c r="I269" s="39" t="s">
        <v>4951</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4969</v>
      </c>
      <c r="Y269" s="55">
        <v>52</v>
      </c>
      <c r="Z269" s="53" t="s">
        <v>4841</v>
      </c>
      <c r="AA269" s="55">
        <v>26</v>
      </c>
      <c r="AB269" s="85" t="s">
        <v>5161</v>
      </c>
      <c r="AC269" s="88" t="s">
        <v>5258</v>
      </c>
    </row>
    <row r="270" spans="1:35" ht="22.5" customHeight="1" thickBot="1">
      <c r="A270" s="55" t="s">
        <v>4928</v>
      </c>
      <c r="C270" s="37" t="s">
        <v>4939</v>
      </c>
      <c r="D270" s="38" t="s">
        <v>4936</v>
      </c>
      <c r="E270" s="38" t="s">
        <v>4937</v>
      </c>
      <c r="F270" s="37" t="str">
        <f t="shared" si="12"/>
        <v>gift-codes.html?game=Astellia</v>
      </c>
      <c r="G270" s="38" t="s">
        <v>4938</v>
      </c>
      <c r="H270" s="38" t="str">
        <f t="shared" si="11"/>
        <v>https://www.ssbuy.tw/detail_giftcode/dist/gamedetail/Astellia.html</v>
      </c>
      <c r="I270" s="39" t="s">
        <v>4952</v>
      </c>
      <c r="J270" s="53" t="s">
        <v>4970</v>
      </c>
      <c r="K270" s="55">
        <v>2076</v>
      </c>
      <c r="L270" s="53" t="s">
        <v>261</v>
      </c>
      <c r="M270" s="55">
        <v>1030</v>
      </c>
      <c r="N270" s="53" t="s">
        <v>263</v>
      </c>
      <c r="O270" s="55">
        <v>637</v>
      </c>
      <c r="P270" s="53" t="s">
        <v>3699</v>
      </c>
      <c r="Q270" s="55">
        <v>227</v>
      </c>
      <c r="R270" s="85" t="s">
        <v>5161</v>
      </c>
      <c r="S270" s="88" t="s">
        <v>5258</v>
      </c>
    </row>
    <row r="271" spans="1:35" ht="22.5" customHeight="1" thickBot="1">
      <c r="A271" s="55" t="s">
        <v>4929</v>
      </c>
      <c r="C271" s="37" t="s">
        <v>4949</v>
      </c>
      <c r="D271" s="37" t="s">
        <v>4949</v>
      </c>
      <c r="E271" s="38" t="s">
        <v>4950</v>
      </c>
      <c r="F271" s="37" t="str">
        <f t="shared" si="12"/>
        <v>gift-codes.html?game=華夏千秋</v>
      </c>
      <c r="G271" s="38" t="s">
        <v>4940</v>
      </c>
      <c r="H271" s="38" t="str">
        <f t="shared" si="11"/>
        <v>https://www.ssbuy.tw/detail_giftcode/dist/gamedetail/華夏千秋.html</v>
      </c>
      <c r="I271" s="39" t="s">
        <v>4953</v>
      </c>
      <c r="J271" s="53" t="s">
        <v>4971</v>
      </c>
      <c r="K271" s="55">
        <v>2579</v>
      </c>
      <c r="L271" s="53" t="s">
        <v>4972</v>
      </c>
      <c r="M271" s="55">
        <v>1988</v>
      </c>
      <c r="N271" s="53" t="s">
        <v>4973</v>
      </c>
      <c r="O271" s="55">
        <v>1349</v>
      </c>
      <c r="P271" s="53" t="s">
        <v>4974</v>
      </c>
      <c r="Q271" s="55">
        <v>950</v>
      </c>
      <c r="R271" s="53" t="s">
        <v>4975</v>
      </c>
      <c r="S271" s="55">
        <v>798</v>
      </c>
      <c r="T271" s="53" t="s">
        <v>4976</v>
      </c>
      <c r="U271" s="55">
        <v>749</v>
      </c>
      <c r="V271" s="53" t="s">
        <v>4977</v>
      </c>
      <c r="W271" s="55">
        <v>540</v>
      </c>
      <c r="X271" s="53" t="s">
        <v>4978</v>
      </c>
      <c r="Y271" s="55">
        <v>395</v>
      </c>
      <c r="Z271" s="53" t="s">
        <v>4979</v>
      </c>
      <c r="AA271" s="55">
        <v>346</v>
      </c>
      <c r="AB271" s="53" t="s">
        <v>4980</v>
      </c>
      <c r="AC271" s="55">
        <v>314</v>
      </c>
      <c r="AD271" s="85" t="s">
        <v>5161</v>
      </c>
      <c r="AE271" s="88" t="s">
        <v>5258</v>
      </c>
    </row>
    <row r="272" spans="1:35" ht="22.5" customHeight="1" thickBot="1">
      <c r="A272" s="55" t="s">
        <v>4930</v>
      </c>
      <c r="C272" s="37" t="s">
        <v>4941</v>
      </c>
      <c r="D272" s="38" t="s">
        <v>4944</v>
      </c>
      <c r="E272" s="38" t="s">
        <v>4943</v>
      </c>
      <c r="F272" s="37" t="str">
        <f t="shared" si="12"/>
        <v>gift-codes.html?game=萌塔娘</v>
      </c>
      <c r="G272" s="38" t="s">
        <v>4942</v>
      </c>
      <c r="H272" s="38" t="str">
        <f t="shared" si="11"/>
        <v>https://www.ssbuy.tw/detail_giftcode/dist/gamedetail/萌塔娘.html</v>
      </c>
      <c r="I272" s="39" t="s">
        <v>4954</v>
      </c>
      <c r="J272" s="53" t="s">
        <v>4981</v>
      </c>
      <c r="K272" s="55">
        <v>2579</v>
      </c>
      <c r="L272" s="53" t="s">
        <v>4982</v>
      </c>
      <c r="M272" s="55">
        <v>1349</v>
      </c>
      <c r="N272" s="53" t="s">
        <v>4983</v>
      </c>
      <c r="O272" s="55">
        <v>798</v>
      </c>
      <c r="P272" s="53" t="s">
        <v>4984</v>
      </c>
      <c r="Q272" s="55">
        <v>395</v>
      </c>
      <c r="R272" s="53" t="s">
        <v>4985</v>
      </c>
      <c r="S272" s="55">
        <v>266</v>
      </c>
      <c r="T272" s="53" t="s">
        <v>4986</v>
      </c>
      <c r="U272" s="55">
        <v>143</v>
      </c>
      <c r="V272" s="53" t="s">
        <v>4987</v>
      </c>
      <c r="W272" s="55">
        <v>29</v>
      </c>
      <c r="X272" s="85" t="s">
        <v>5161</v>
      </c>
      <c r="Y272" s="88" t="s">
        <v>5258</v>
      </c>
    </row>
    <row r="273" spans="1:31" ht="22.5" customHeight="1" thickBot="1">
      <c r="A273" s="55" t="s">
        <v>4931</v>
      </c>
      <c r="C273" s="37" t="s">
        <v>4945</v>
      </c>
      <c r="D273" s="38" t="s">
        <v>4946</v>
      </c>
      <c r="E273" s="38" t="s">
        <v>4947</v>
      </c>
      <c r="F273" s="37" t="str">
        <f t="shared" si="12"/>
        <v>gift-codes.html?game=盜夢英雄2：幻野</v>
      </c>
      <c r="G273" s="38" t="s">
        <v>4948</v>
      </c>
      <c r="H273" s="38" t="str">
        <f t="shared" si="11"/>
        <v>https://www.ssbuy.tw/detail_giftcode/dist/gamedetail/盜夢英雄2：幻野.html</v>
      </c>
      <c r="I273" s="39" t="s">
        <v>4955</v>
      </c>
      <c r="J273" s="53" t="s">
        <v>4988</v>
      </c>
      <c r="K273" s="55">
        <v>2579</v>
      </c>
      <c r="L273" s="53" t="s">
        <v>1675</v>
      </c>
      <c r="M273" s="55">
        <v>1828</v>
      </c>
      <c r="N273" s="53" t="s">
        <v>1676</v>
      </c>
      <c r="O273" s="55">
        <v>1349</v>
      </c>
      <c r="P273" s="53" t="s">
        <v>1678</v>
      </c>
      <c r="Q273" s="55">
        <v>950</v>
      </c>
      <c r="R273" s="53" t="s">
        <v>151</v>
      </c>
      <c r="S273" s="55">
        <v>798</v>
      </c>
      <c r="T273" s="53" t="s">
        <v>4989</v>
      </c>
      <c r="U273" s="55">
        <v>669</v>
      </c>
      <c r="V273" s="53" t="s">
        <v>1679</v>
      </c>
      <c r="W273" s="55">
        <v>540</v>
      </c>
      <c r="X273" s="53" t="s">
        <v>153</v>
      </c>
      <c r="Y273" s="55">
        <v>395</v>
      </c>
      <c r="Z273" s="53" t="s">
        <v>4990</v>
      </c>
      <c r="AA273" s="55">
        <v>314</v>
      </c>
      <c r="AB273" s="53" t="s">
        <v>154</v>
      </c>
      <c r="AC273" s="55">
        <v>160</v>
      </c>
      <c r="AD273" s="85" t="s">
        <v>5161</v>
      </c>
      <c r="AE273" s="88" t="s">
        <v>5258</v>
      </c>
    </row>
    <row r="274" spans="1:31" ht="22.5" customHeight="1" thickBot="1">
      <c r="A274" s="67" t="s">
        <v>5005</v>
      </c>
      <c r="C274" s="37" t="s">
        <v>5002</v>
      </c>
      <c r="D274" s="38" t="s">
        <v>5003</v>
      </c>
      <c r="E274" s="38" t="s">
        <v>5004</v>
      </c>
      <c r="F274" s="37" t="str">
        <f t="shared" si="12"/>
        <v>gift-codes.html?game=貪婪洞窟：重生</v>
      </c>
      <c r="G274" s="45" t="s">
        <v>5006</v>
      </c>
      <c r="H274" s="38" t="str">
        <f t="shared" si="11"/>
        <v>https://www.ssbuy.tw/detail_giftcode/dist/gamedetail/貪婪洞窟：重生.html</v>
      </c>
      <c r="I274" s="39" t="s">
        <v>5007</v>
      </c>
      <c r="J274" s="53" t="s">
        <v>5008</v>
      </c>
      <c r="K274" s="55">
        <v>2343</v>
      </c>
      <c r="L274" s="53" t="s">
        <v>5009</v>
      </c>
      <c r="M274" s="55">
        <v>1190</v>
      </c>
      <c r="N274" s="53" t="s">
        <v>5010</v>
      </c>
      <c r="O274" s="55">
        <v>556</v>
      </c>
      <c r="P274" s="53" t="s">
        <v>5011</v>
      </c>
      <c r="Q274" s="55">
        <v>258</v>
      </c>
      <c r="R274" s="53" t="s">
        <v>5012</v>
      </c>
      <c r="S274" s="55">
        <v>126</v>
      </c>
      <c r="T274" s="53" t="s">
        <v>1377</v>
      </c>
      <c r="U274" s="55">
        <v>26</v>
      </c>
      <c r="V274" s="53" t="s">
        <v>5013</v>
      </c>
      <c r="W274" s="55">
        <v>556</v>
      </c>
      <c r="X274" s="53" t="s">
        <v>5014</v>
      </c>
      <c r="Y274" s="55">
        <v>556</v>
      </c>
      <c r="Z274" s="53" t="s">
        <v>5015</v>
      </c>
      <c r="AA274" s="55">
        <v>1190</v>
      </c>
      <c r="AB274" s="53" t="s">
        <v>5016</v>
      </c>
      <c r="AC274" s="55">
        <v>2343</v>
      </c>
      <c r="AD274" s="85" t="s">
        <v>5161</v>
      </c>
      <c r="AE274" s="88" t="s">
        <v>5258</v>
      </c>
    </row>
    <row r="275" spans="1:31" ht="22.5" customHeight="1" thickBot="1">
      <c r="A275" s="67" t="s">
        <v>5057</v>
      </c>
      <c r="C275" s="37" t="s">
        <v>5051</v>
      </c>
      <c r="D275" s="38" t="s">
        <v>5054</v>
      </c>
      <c r="E275" s="38" t="s">
        <v>5055</v>
      </c>
      <c r="F275" s="37" t="str">
        <f t="shared" si="12"/>
        <v>gift-codes.html?game=小兵特攻隊</v>
      </c>
      <c r="G275" s="38" t="s">
        <v>5056</v>
      </c>
      <c r="H275" s="38" t="str">
        <f t="shared" si="11"/>
        <v>https://www.ssbuy.tw/detail_giftcode/dist/gamedetail/小兵特攻隊.html</v>
      </c>
      <c r="I275" s="39" t="s">
        <v>5059</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5058</v>
      </c>
      <c r="Y275" s="55">
        <v>141</v>
      </c>
      <c r="Z275" s="85" t="s">
        <v>5161</v>
      </c>
      <c r="AA275" s="88" t="s">
        <v>5258</v>
      </c>
    </row>
    <row r="276" spans="1:31" ht="22.5" customHeight="1" thickBot="1">
      <c r="A276" s="55" t="s">
        <v>5068</v>
      </c>
      <c r="C276" s="37" t="s">
        <v>5071</v>
      </c>
      <c r="D276" s="38" t="s">
        <v>5084</v>
      </c>
      <c r="E276" s="38" t="s">
        <v>5085</v>
      </c>
      <c r="F276" s="37" t="str">
        <f t="shared" si="12"/>
        <v>gift-codes.html?game=星塔旅人</v>
      </c>
      <c r="G276" s="45" t="s">
        <v>5086</v>
      </c>
      <c r="H276" s="38" t="str">
        <f t="shared" si="11"/>
        <v>https://www.ssbuy.tw/detail_giftcode/dist/gamedetail/星塔旅人.html</v>
      </c>
      <c r="I276" s="39" t="s">
        <v>5087</v>
      </c>
      <c r="J276" s="1" t="s">
        <v>5262</v>
      </c>
      <c r="K276" s="59">
        <v>2477</v>
      </c>
      <c r="L276" s="1" t="s">
        <v>5263</v>
      </c>
      <c r="M276" s="59">
        <v>1346</v>
      </c>
      <c r="N276" s="1" t="s">
        <v>5264</v>
      </c>
      <c r="O276" s="59">
        <v>713</v>
      </c>
      <c r="P276" s="1" t="s">
        <v>5265</v>
      </c>
      <c r="Q276" s="59">
        <v>340</v>
      </c>
      <c r="R276" s="1" t="s">
        <v>5266</v>
      </c>
      <c r="S276" s="59">
        <v>169</v>
      </c>
      <c r="T276" s="1" t="s">
        <v>5267</v>
      </c>
      <c r="U276" s="59">
        <v>82</v>
      </c>
      <c r="V276" s="1" t="s">
        <v>5268</v>
      </c>
      <c r="W276" s="59">
        <v>30</v>
      </c>
      <c r="X276" s="1" t="s">
        <v>5269</v>
      </c>
      <c r="Y276" s="59">
        <v>133</v>
      </c>
      <c r="Z276" s="85" t="s">
        <v>5161</v>
      </c>
      <c r="AA276" s="88" t="s">
        <v>5258</v>
      </c>
    </row>
    <row r="277" spans="1:31" ht="22.5" customHeight="1" thickBot="1">
      <c r="A277" s="55" t="s">
        <v>4668</v>
      </c>
      <c r="C277" s="37" t="s">
        <v>5074</v>
      </c>
      <c r="D277" s="38" t="s">
        <v>5075</v>
      </c>
      <c r="E277" s="38" t="s">
        <v>5077</v>
      </c>
      <c r="F277" s="37" t="str">
        <f t="shared" si="12"/>
        <v>gift-codes.html?game=卡厄斯夢境</v>
      </c>
      <c r="G277" s="38" t="s">
        <v>5076</v>
      </c>
      <c r="H277" s="38" t="str">
        <f t="shared" si="11"/>
        <v>https://www.ssbuy.tw/detail_giftcode/dist/gamedetail/卡厄斯夢境.html</v>
      </c>
      <c r="I277" s="39" t="s">
        <v>5088</v>
      </c>
      <c r="J277" s="86" t="s">
        <v>5008</v>
      </c>
      <c r="K277" s="87">
        <v>2230</v>
      </c>
      <c r="L277" s="86" t="s">
        <v>5009</v>
      </c>
      <c r="M277" s="87">
        <v>1389</v>
      </c>
      <c r="N277" s="86" t="s">
        <v>5164</v>
      </c>
      <c r="O277" s="87">
        <v>821</v>
      </c>
      <c r="P277" s="86" t="s">
        <v>5165</v>
      </c>
      <c r="Q277" s="87">
        <v>407</v>
      </c>
      <c r="R277" s="86" t="s">
        <v>5012</v>
      </c>
      <c r="S277" s="87">
        <v>147</v>
      </c>
      <c r="T277" s="86" t="s">
        <v>1377</v>
      </c>
      <c r="U277" s="87">
        <v>29</v>
      </c>
      <c r="V277" s="86" t="s">
        <v>5166</v>
      </c>
      <c r="W277" s="87">
        <v>147</v>
      </c>
      <c r="X277" s="53"/>
      <c r="Y277" s="55"/>
      <c r="Z277" s="85" t="s">
        <v>5161</v>
      </c>
      <c r="AA277" s="88" t="s">
        <v>5258</v>
      </c>
    </row>
    <row r="278" spans="1:31" ht="22.5" customHeight="1" thickBot="1">
      <c r="A278" s="55" t="s">
        <v>5069</v>
      </c>
      <c r="C278" s="37" t="s">
        <v>5073</v>
      </c>
      <c r="D278" s="38" t="s">
        <v>5078</v>
      </c>
      <c r="E278" s="38" t="s">
        <v>5080</v>
      </c>
      <c r="F278" s="37" t="str">
        <f t="shared" si="12"/>
        <v>gift-codes.html?game=星痕共鳴</v>
      </c>
      <c r="G278" s="38" t="s">
        <v>5079</v>
      </c>
      <c r="H278" s="38" t="str">
        <f t="shared" si="11"/>
        <v>https://www.ssbuy.tw/detail_giftcode/dist/gamedetail/星痕共鳴.html</v>
      </c>
      <c r="I278" s="39" t="s">
        <v>5089</v>
      </c>
      <c r="J278" s="53" t="s">
        <v>5093</v>
      </c>
      <c r="K278" s="55">
        <v>2533</v>
      </c>
      <c r="L278" s="53" t="s">
        <v>5094</v>
      </c>
      <c r="M278" s="55">
        <v>1325</v>
      </c>
      <c r="N278" s="53" t="s">
        <v>3515</v>
      </c>
      <c r="O278" s="55">
        <v>783</v>
      </c>
      <c r="P278" s="53" t="s">
        <v>5095</v>
      </c>
      <c r="Q278" s="55">
        <v>388</v>
      </c>
      <c r="R278" s="53" t="s">
        <v>5096</v>
      </c>
      <c r="S278" s="55">
        <v>261</v>
      </c>
      <c r="T278" s="53" t="s">
        <v>28</v>
      </c>
      <c r="U278" s="55">
        <v>141</v>
      </c>
      <c r="V278" s="53" t="s">
        <v>4713</v>
      </c>
      <c r="W278" s="55">
        <v>28</v>
      </c>
      <c r="X278" s="53" t="s">
        <v>178</v>
      </c>
      <c r="Y278" s="55">
        <v>141</v>
      </c>
      <c r="Z278" s="53" t="s">
        <v>5097</v>
      </c>
      <c r="AA278" s="55">
        <v>522</v>
      </c>
      <c r="AB278" s="53" t="s">
        <v>5098</v>
      </c>
      <c r="AC278" s="55">
        <v>261</v>
      </c>
      <c r="AD278" s="85" t="s">
        <v>5161</v>
      </c>
      <c r="AE278" s="88" t="s">
        <v>5258</v>
      </c>
    </row>
    <row r="279" spans="1:31" ht="22.5" customHeight="1" thickBot="1">
      <c r="A279" s="55" t="s">
        <v>5070</v>
      </c>
      <c r="C279" s="37" t="s">
        <v>5072</v>
      </c>
      <c r="D279" s="38" t="s">
        <v>5081</v>
      </c>
      <c r="E279" s="38" t="s">
        <v>5083</v>
      </c>
      <c r="F279" s="37" t="str">
        <f t="shared" si="12"/>
        <v>gift-codes.html?game=二重螺旋</v>
      </c>
      <c r="G279" s="38" t="s">
        <v>5082</v>
      </c>
      <c r="H279" s="38" t="str">
        <f t="shared" si="11"/>
        <v>https://www.ssbuy.tw/detail_giftcode/dist/gamedetail/二重螺旋.html</v>
      </c>
      <c r="I279" s="39" t="s">
        <v>5090</v>
      </c>
      <c r="J279" s="1" t="s">
        <v>5099</v>
      </c>
      <c r="K279" s="59">
        <v>2717</v>
      </c>
      <c r="L279" s="1" t="s">
        <v>5100</v>
      </c>
      <c r="M279" s="59">
        <v>1422</v>
      </c>
      <c r="N279" s="1" t="s">
        <v>5101</v>
      </c>
      <c r="O279" s="59">
        <v>840</v>
      </c>
      <c r="P279" s="1" t="s">
        <v>5102</v>
      </c>
      <c r="Q279" s="59">
        <v>416</v>
      </c>
      <c r="R279" s="1" t="s">
        <v>5103</v>
      </c>
      <c r="S279" s="59">
        <v>151</v>
      </c>
      <c r="T279" s="1" t="s">
        <v>5104</v>
      </c>
      <c r="U279" s="59">
        <v>30</v>
      </c>
      <c r="V279" s="1" t="s">
        <v>5370</v>
      </c>
      <c r="W279" s="59">
        <v>151</v>
      </c>
      <c r="X279" s="85" t="s">
        <v>5161</v>
      </c>
      <c r="Y279" s="88" t="s">
        <v>5258</v>
      </c>
      <c r="Z279" s="53"/>
      <c r="AA279" s="55"/>
      <c r="AB279" s="85"/>
      <c r="AC279" s="88"/>
    </row>
    <row r="280" spans="1:31" ht="22.5" customHeight="1" thickBot="1">
      <c r="A280" s="55" t="s">
        <v>5123</v>
      </c>
      <c r="C280" s="37" t="s">
        <v>5120</v>
      </c>
      <c r="D280" s="38" t="s">
        <v>5121</v>
      </c>
      <c r="E280" s="38" t="s">
        <v>5119</v>
      </c>
      <c r="F280" s="37" t="str">
        <f t="shared" si="12"/>
        <v>gift-codes.html?game=電馭跑酷</v>
      </c>
      <c r="G280" s="45" t="s">
        <v>5124</v>
      </c>
      <c r="H280" s="38" t="str">
        <f t="shared" si="11"/>
        <v>https://www.ssbuy.tw/detail_giftcode/dist/gamedetail/電馭跑酷.html</v>
      </c>
      <c r="I280" s="67" t="s">
        <v>5162</v>
      </c>
      <c r="J280" s="86" t="s">
        <v>5145</v>
      </c>
      <c r="K280" s="87">
        <v>2302</v>
      </c>
      <c r="L280" s="86" t="s">
        <v>5146</v>
      </c>
      <c r="M280" s="87">
        <v>1168</v>
      </c>
      <c r="N280" s="86" t="s">
        <v>5147</v>
      </c>
      <c r="O280" s="87">
        <v>467</v>
      </c>
      <c r="P280" s="86" t="s">
        <v>5148</v>
      </c>
      <c r="Q280" s="87">
        <v>248</v>
      </c>
      <c r="R280" s="86" t="s">
        <v>5149</v>
      </c>
      <c r="S280" s="87">
        <v>124</v>
      </c>
      <c r="T280" s="86" t="s">
        <v>5150</v>
      </c>
      <c r="U280" s="87">
        <v>51</v>
      </c>
      <c r="V280" s="86" t="s">
        <v>5151</v>
      </c>
      <c r="W280" s="87">
        <v>248</v>
      </c>
      <c r="X280" s="85" t="s">
        <v>5161</v>
      </c>
      <c r="Y280" s="88" t="s">
        <v>5258</v>
      </c>
    </row>
    <row r="281" spans="1:31" ht="22.5" customHeight="1" thickBot="1">
      <c r="A281" s="55" t="s">
        <v>5133</v>
      </c>
      <c r="C281" s="37" t="s">
        <v>5122</v>
      </c>
      <c r="D281" s="38" t="s">
        <v>5118</v>
      </c>
      <c r="E281" s="38" t="s">
        <v>5117</v>
      </c>
      <c r="F281" s="37" t="str">
        <f t="shared" si="12"/>
        <v>gift-codes.html?game=火焰紋章Shadows</v>
      </c>
      <c r="G281" s="45" t="s">
        <v>5125</v>
      </c>
      <c r="H281" s="38" t="str">
        <f t="shared" si="11"/>
        <v>https://www.ssbuy.tw/detail_giftcode/dist/gamedetail/火焰紋章Shadows.html</v>
      </c>
      <c r="I281" s="67" t="s">
        <v>5163</v>
      </c>
      <c r="J281" s="86" t="s">
        <v>5152</v>
      </c>
      <c r="K281" s="87">
        <v>1549</v>
      </c>
      <c r="L281" s="86" t="s">
        <v>5153</v>
      </c>
      <c r="M281" s="87">
        <v>1030</v>
      </c>
      <c r="N281" s="86" t="s">
        <v>5154</v>
      </c>
      <c r="O281" s="87">
        <v>673</v>
      </c>
      <c r="P281" s="86" t="s">
        <v>5155</v>
      </c>
      <c r="Q281" s="87">
        <v>344</v>
      </c>
      <c r="R281" s="86" t="s">
        <v>5156</v>
      </c>
      <c r="S281" s="87">
        <v>157</v>
      </c>
      <c r="T281" s="86" t="s">
        <v>5157</v>
      </c>
      <c r="U281" s="87">
        <v>81</v>
      </c>
      <c r="V281" s="86" t="s">
        <v>5158</v>
      </c>
      <c r="W281" s="87">
        <v>17</v>
      </c>
      <c r="X281" s="86" t="s">
        <v>5159</v>
      </c>
      <c r="Y281" s="87">
        <v>244</v>
      </c>
      <c r="Z281" s="86" t="s">
        <v>5160</v>
      </c>
      <c r="AA281" s="87">
        <v>139</v>
      </c>
      <c r="AB281" s="85" t="s">
        <v>5161</v>
      </c>
      <c r="AC281" s="88" t="s">
        <v>5258</v>
      </c>
    </row>
    <row r="282" spans="1:31" ht="22.5" customHeight="1" thickBot="1">
      <c r="A282" s="87" t="s">
        <v>5206</v>
      </c>
      <c r="C282" s="37" t="s">
        <v>5167</v>
      </c>
      <c r="D282" s="38" t="s">
        <v>5168</v>
      </c>
      <c r="E282" s="38" t="s">
        <v>5169</v>
      </c>
      <c r="F282" s="37" t="str">
        <f t="shared" si="12"/>
        <v>gift-codes.html?game=石器時代：寵物世界</v>
      </c>
      <c r="G282" s="85" t="s">
        <v>5183</v>
      </c>
      <c r="H282" s="38" t="str">
        <f t="shared" si="11"/>
        <v>https://www.ssbuy.tw/detail_giftcode/dist/gamedetail/石器時代：寵物世界.html</v>
      </c>
      <c r="I282" s="39" t="s">
        <v>5186</v>
      </c>
      <c r="J282" s="86" t="s">
        <v>4988</v>
      </c>
      <c r="K282" s="87">
        <v>2655</v>
      </c>
      <c r="L282" s="86" t="s">
        <v>1674</v>
      </c>
      <c r="M282" s="87">
        <v>2047</v>
      </c>
      <c r="N282" s="86" t="s">
        <v>5176</v>
      </c>
      <c r="O282" s="87">
        <v>1357</v>
      </c>
      <c r="P282" s="86" t="s">
        <v>5177</v>
      </c>
      <c r="Q282" s="87">
        <v>1085</v>
      </c>
      <c r="R282" s="86" t="s">
        <v>5178</v>
      </c>
      <c r="S282" s="87">
        <v>822</v>
      </c>
      <c r="T282" s="86" t="s">
        <v>5179</v>
      </c>
      <c r="U282" s="87">
        <v>680</v>
      </c>
      <c r="V282" s="86" t="s">
        <v>152</v>
      </c>
      <c r="W282" s="87">
        <v>572</v>
      </c>
      <c r="X282" s="86" t="s">
        <v>153</v>
      </c>
      <c r="Y282" s="87">
        <v>407</v>
      </c>
      <c r="Z282" s="86" t="s">
        <v>5180</v>
      </c>
      <c r="AA282" s="87">
        <v>357</v>
      </c>
      <c r="AB282" s="86" t="s">
        <v>1680</v>
      </c>
      <c r="AC282" s="87">
        <v>274</v>
      </c>
      <c r="AD282" s="85" t="s">
        <v>5161</v>
      </c>
      <c r="AE282" s="88" t="s">
        <v>5258</v>
      </c>
    </row>
    <row r="283" spans="1:31" ht="22.5" customHeight="1" thickBot="1">
      <c r="A283" s="87" t="s">
        <v>5181</v>
      </c>
      <c r="C283" s="37" t="s">
        <v>5170</v>
      </c>
      <c r="D283" s="38" t="s">
        <v>5171</v>
      </c>
      <c r="E283" s="38" t="s">
        <v>5172</v>
      </c>
      <c r="F283" s="37" t="str">
        <f t="shared" si="12"/>
        <v>gift-codes.html?game=蔚藍星球：國王很忙</v>
      </c>
      <c r="G283" s="85" t="s">
        <v>5184</v>
      </c>
      <c r="H283" s="38" t="str">
        <f t="shared" si="11"/>
        <v>https://www.ssbuy.tw/detail_giftcode/dist/gamedetail/蔚藍星球：國王很忙.html</v>
      </c>
      <c r="I283" s="39" t="s">
        <v>5187</v>
      </c>
      <c r="J283" s="1" t="s">
        <v>5330</v>
      </c>
      <c r="K283" s="59">
        <v>2717</v>
      </c>
      <c r="L283" s="1" t="s">
        <v>5331</v>
      </c>
      <c r="M283" s="59">
        <v>1422</v>
      </c>
      <c r="N283" s="1" t="s">
        <v>5332</v>
      </c>
      <c r="O283" s="59">
        <v>586</v>
      </c>
      <c r="P283" s="1" t="s">
        <v>5333</v>
      </c>
      <c r="Q283" s="59">
        <v>416</v>
      </c>
      <c r="R283" s="1" t="s">
        <v>1302</v>
      </c>
      <c r="S283" s="59">
        <v>151</v>
      </c>
      <c r="T283" s="1" t="s">
        <v>7</v>
      </c>
      <c r="U283" s="59">
        <v>30</v>
      </c>
      <c r="V283" s="1" t="s">
        <v>5334</v>
      </c>
      <c r="W283" s="59">
        <v>151</v>
      </c>
      <c r="X283" s="1" t="s">
        <v>5335</v>
      </c>
      <c r="Y283" s="59">
        <v>89</v>
      </c>
      <c r="Z283" s="85" t="s">
        <v>5161</v>
      </c>
      <c r="AA283" s="88" t="s">
        <v>5258</v>
      </c>
    </row>
    <row r="284" spans="1:31" ht="22.5" customHeight="1" thickBot="1">
      <c r="A284" s="87" t="s">
        <v>5182</v>
      </c>
      <c r="C284" s="37" t="s">
        <v>5173</v>
      </c>
      <c r="D284" s="38" t="s">
        <v>5174</v>
      </c>
      <c r="E284" s="38" t="s">
        <v>5175</v>
      </c>
      <c r="F284" s="37" t="str">
        <f t="shared" si="12"/>
        <v>gift-codes.html?game=胸懷三國：美人計</v>
      </c>
      <c r="G284" s="85" t="s">
        <v>5185</v>
      </c>
      <c r="H284" s="38" t="str">
        <f t="shared" ref="H284:H312" si="13">IF(A284="", "", "https://www.ssbuy.tw/game-detail.html?game="&amp;A284)</f>
        <v>https://www.ssbuy.tw/game-detail.html?game=胸懷三國：美人計</v>
      </c>
      <c r="I284" s="39" t="s">
        <v>5188</v>
      </c>
      <c r="J284" s="1" t="s">
        <v>5277</v>
      </c>
      <c r="K284" s="59">
        <v>2717</v>
      </c>
      <c r="L284" s="1" t="s">
        <v>5278</v>
      </c>
      <c r="M284" s="59">
        <v>1388</v>
      </c>
      <c r="N284" s="1" t="s">
        <v>5279</v>
      </c>
      <c r="O284" s="59">
        <v>841</v>
      </c>
      <c r="P284" s="1" t="s">
        <v>5280</v>
      </c>
      <c r="Q284" s="59">
        <v>586</v>
      </c>
      <c r="R284" s="1" t="s">
        <v>5281</v>
      </c>
      <c r="S284" s="59">
        <v>416</v>
      </c>
      <c r="T284" s="1" t="s">
        <v>5282</v>
      </c>
      <c r="U284" s="59">
        <v>280</v>
      </c>
      <c r="V284" s="1" t="s">
        <v>5283</v>
      </c>
      <c r="W284" s="59">
        <v>146</v>
      </c>
      <c r="X284" s="1" t="s">
        <v>5284</v>
      </c>
      <c r="Y284" s="59">
        <v>30</v>
      </c>
      <c r="Z284" s="1" t="s">
        <v>5285</v>
      </c>
      <c r="AA284" s="59">
        <v>416</v>
      </c>
      <c r="AB284" s="1" t="s">
        <v>5286</v>
      </c>
      <c r="AC284" s="59">
        <v>586</v>
      </c>
      <c r="AD284" s="85" t="s">
        <v>5161</v>
      </c>
      <c r="AE284" s="88" t="s">
        <v>5258</v>
      </c>
    </row>
    <row r="285" spans="1:31" ht="22.5" customHeight="1" thickBot="1">
      <c r="A285" s="87" t="s">
        <v>5233</v>
      </c>
      <c r="C285" s="37" t="s">
        <v>5231</v>
      </c>
      <c r="D285" s="38" t="s">
        <v>5232</v>
      </c>
      <c r="E285" s="38" t="s">
        <v>5221</v>
      </c>
      <c r="F285" s="37" t="str">
        <f t="shared" si="12"/>
        <v>gift-codes.html?game=弓箭英雄：塔防</v>
      </c>
      <c r="G285" s="85" t="s">
        <v>5234</v>
      </c>
      <c r="H285" s="38" t="str">
        <f t="shared" si="13"/>
        <v>https://www.ssbuy.tw/game-detail.html?game=弓箭英雄：塔防</v>
      </c>
      <c r="I285" s="39" t="s">
        <v>5261</v>
      </c>
      <c r="J285" s="1" t="s">
        <v>5256</v>
      </c>
      <c r="K285" s="59">
        <v>2469</v>
      </c>
      <c r="L285" s="1" t="s">
        <v>1466</v>
      </c>
      <c r="M285" s="59">
        <v>1253</v>
      </c>
      <c r="N285" s="1" t="s">
        <v>1294</v>
      </c>
      <c r="O285" s="59">
        <v>501</v>
      </c>
      <c r="P285" s="1" t="s">
        <v>64</v>
      </c>
      <c r="Q285" s="59">
        <v>257</v>
      </c>
      <c r="R285" s="1" t="s">
        <v>6</v>
      </c>
      <c r="S285" s="59">
        <v>133</v>
      </c>
      <c r="T285" s="1" t="s">
        <v>5257</v>
      </c>
      <c r="U285" s="59">
        <v>27</v>
      </c>
      <c r="V285" s="85" t="s">
        <v>5161</v>
      </c>
      <c r="W285" s="88" t="s">
        <v>5258</v>
      </c>
    </row>
    <row r="286" spans="1:31" ht="22.5" customHeight="1" thickBot="1">
      <c r="A286" s="87" t="s">
        <v>5239</v>
      </c>
      <c r="C286" s="37" t="s">
        <v>5223</v>
      </c>
      <c r="D286" s="38" t="s">
        <v>5222</v>
      </c>
      <c r="E286" s="38" t="s">
        <v>5224</v>
      </c>
      <c r="F286" s="37" t="str">
        <f t="shared" si="12"/>
        <v>gift-codes.html?game=十二之天M</v>
      </c>
      <c r="G286" s="85" t="s">
        <v>5235</v>
      </c>
      <c r="H286" s="38" t="str">
        <f t="shared" si="13"/>
        <v>https://www.ssbuy.tw/game-detail.html?game=十二之天M</v>
      </c>
      <c r="I286" s="67" t="s">
        <v>5253</v>
      </c>
      <c r="J286" s="1" t="s">
        <v>5270</v>
      </c>
      <c r="K286" s="59">
        <v>2717</v>
      </c>
      <c r="L286" s="1" t="s">
        <v>5271</v>
      </c>
      <c r="M286" s="59">
        <v>1422</v>
      </c>
      <c r="N286" s="1" t="s">
        <v>5272</v>
      </c>
      <c r="O286" s="59">
        <v>840</v>
      </c>
      <c r="P286" s="1" t="s">
        <v>5273</v>
      </c>
      <c r="Q286" s="59">
        <v>416</v>
      </c>
      <c r="R286" s="1" t="s">
        <v>1536</v>
      </c>
      <c r="S286" s="59">
        <v>151</v>
      </c>
      <c r="T286" s="1" t="s">
        <v>1538</v>
      </c>
      <c r="U286" s="59">
        <v>30</v>
      </c>
      <c r="V286" s="1" t="s">
        <v>5274</v>
      </c>
      <c r="W286" s="59">
        <v>213</v>
      </c>
      <c r="X286" s="1" t="s">
        <v>5275</v>
      </c>
      <c r="Y286" s="59">
        <v>357</v>
      </c>
      <c r="Z286" s="1" t="s">
        <v>5276</v>
      </c>
      <c r="AA286" s="59">
        <v>705</v>
      </c>
      <c r="AB286" s="85" t="s">
        <v>5161</v>
      </c>
      <c r="AC286" s="88" t="s">
        <v>5258</v>
      </c>
    </row>
    <row r="287" spans="1:31" ht="22.5" customHeight="1" thickBot="1">
      <c r="A287" s="87" t="s">
        <v>5240</v>
      </c>
      <c r="C287" s="37" t="s">
        <v>5227</v>
      </c>
      <c r="D287" s="38" t="s">
        <v>5226</v>
      </c>
      <c r="E287" s="38" t="s">
        <v>5225</v>
      </c>
      <c r="F287" s="37" t="str">
        <f t="shared" si="12"/>
        <v>gift-codes.html?game=NBA巔峰對決</v>
      </c>
      <c r="G287" s="85" t="s">
        <v>5236</v>
      </c>
      <c r="H287" s="38" t="str">
        <f t="shared" si="13"/>
        <v>https://www.ssbuy.tw/game-detail.html?game=NBA巔峰對決</v>
      </c>
      <c r="I287" s="39" t="s">
        <v>5254</v>
      </c>
      <c r="J287" s="1" t="s">
        <v>5381</v>
      </c>
      <c r="K287" s="59">
        <v>2717</v>
      </c>
      <c r="L287" s="1" t="s">
        <v>5382</v>
      </c>
      <c r="M287" s="59">
        <v>1422</v>
      </c>
      <c r="N287" s="1" t="s">
        <v>5383</v>
      </c>
      <c r="O287" s="59">
        <v>840</v>
      </c>
      <c r="P287" s="1" t="s">
        <v>5384</v>
      </c>
      <c r="Q287" s="59">
        <v>586</v>
      </c>
      <c r="R287" s="1" t="s">
        <v>5385</v>
      </c>
      <c r="S287" s="59">
        <v>297</v>
      </c>
      <c r="T287" s="1" t="s">
        <v>5386</v>
      </c>
      <c r="U287" s="59">
        <v>146</v>
      </c>
      <c r="V287" s="1" t="s">
        <v>5387</v>
      </c>
      <c r="W287" s="59">
        <v>30</v>
      </c>
      <c r="X287" s="1" t="s">
        <v>5388</v>
      </c>
      <c r="Y287" s="59">
        <v>9</v>
      </c>
      <c r="Z287" s="1" t="s">
        <v>1295</v>
      </c>
      <c r="AA287" s="59">
        <v>146</v>
      </c>
      <c r="AB287" s="85" t="s">
        <v>5161</v>
      </c>
      <c r="AC287" s="88" t="s">
        <v>5258</v>
      </c>
    </row>
    <row r="288" spans="1:31" ht="22.5" customHeight="1" thickBot="1">
      <c r="A288" s="87" t="s">
        <v>5237</v>
      </c>
      <c r="C288" s="37" t="s">
        <v>5230</v>
      </c>
      <c r="D288" s="38" t="s">
        <v>5229</v>
      </c>
      <c r="E288" s="38" t="s">
        <v>5228</v>
      </c>
      <c r="F288" s="37" t="str">
        <f t="shared" si="12"/>
        <v>gift-codes.html?game=三國志：王戰</v>
      </c>
      <c r="G288" s="85" t="s">
        <v>5238</v>
      </c>
      <c r="H288" s="38" t="str">
        <f t="shared" si="13"/>
        <v>https://www.ssbuy.tw/game-detail.html?game=三國志：王戰</v>
      </c>
      <c r="I288" s="39" t="s">
        <v>5255</v>
      </c>
      <c r="J288" s="85" t="s">
        <v>5161</v>
      </c>
      <c r="K288" s="88" t="s">
        <v>5258</v>
      </c>
    </row>
    <row r="289" spans="1:31" ht="22.5" customHeight="1" thickBot="1">
      <c r="A289" s="84" t="s">
        <v>5344</v>
      </c>
      <c r="C289" s="37" t="s">
        <v>5348</v>
      </c>
      <c r="D289" s="38" t="s">
        <v>5345</v>
      </c>
      <c r="E289" s="38" t="s">
        <v>5347</v>
      </c>
      <c r="F289" s="37" t="str">
        <f t="shared" si="12"/>
        <v>gift-codes.html?game=信長 霸道</v>
      </c>
      <c r="G289" s="38" t="s">
        <v>5346</v>
      </c>
      <c r="H289" s="38" t="str">
        <f t="shared" si="13"/>
        <v>https://www.ssbuy.tw/game-detail.html?game=信長 霸道</v>
      </c>
      <c r="I289" s="39" t="s">
        <v>5359</v>
      </c>
      <c r="J289" s="1" t="s">
        <v>5349</v>
      </c>
      <c r="K289" s="59">
        <v>2086</v>
      </c>
      <c r="L289" s="1" t="s">
        <v>5350</v>
      </c>
      <c r="M289" s="59">
        <v>1051</v>
      </c>
      <c r="N289" s="1" t="s">
        <v>5351</v>
      </c>
      <c r="O289" s="59">
        <v>531</v>
      </c>
      <c r="P289" s="1" t="s">
        <v>5352</v>
      </c>
      <c r="Q289" s="59">
        <v>357</v>
      </c>
      <c r="R289" s="1" t="s">
        <v>5353</v>
      </c>
      <c r="S289" s="59">
        <v>149</v>
      </c>
      <c r="T289" s="1" t="s">
        <v>5354</v>
      </c>
      <c r="U289" s="59">
        <v>32</v>
      </c>
      <c r="V289" s="1" t="s">
        <v>5355</v>
      </c>
      <c r="W289" s="59">
        <v>1051</v>
      </c>
      <c r="X289" s="1" t="s">
        <v>5356</v>
      </c>
      <c r="Y289" s="59">
        <v>531</v>
      </c>
      <c r="Z289" s="1" t="s">
        <v>5357</v>
      </c>
      <c r="AA289" s="59">
        <v>186</v>
      </c>
      <c r="AB289" s="1" t="s">
        <v>5358</v>
      </c>
      <c r="AC289" s="59">
        <v>357</v>
      </c>
      <c r="AD289" s="85" t="s">
        <v>5161</v>
      </c>
      <c r="AE289" s="88" t="s">
        <v>5258</v>
      </c>
    </row>
    <row r="290" spans="1:31" ht="22.5" customHeight="1" thickBot="1">
      <c r="A290" s="59" t="s">
        <v>5444</v>
      </c>
      <c r="C290" s="37" t="s">
        <v>5391</v>
      </c>
      <c r="D290" s="38" t="s">
        <v>5390</v>
      </c>
      <c r="E290" s="38" t="s">
        <v>5389</v>
      </c>
      <c r="F290" s="37" t="str">
        <f t="shared" si="12"/>
        <v>gift-codes.html?game=勇者前線Versus</v>
      </c>
      <c r="G290" s="38" t="s">
        <v>5415</v>
      </c>
      <c r="H290" s="38" t="str">
        <f t="shared" si="13"/>
        <v>https://www.ssbuy.tw/game-detail.html?game=勇者前線Versus</v>
      </c>
      <c r="I290" s="39" t="s">
        <v>5451</v>
      </c>
      <c r="J290" s="2" t="s">
        <v>5428</v>
      </c>
      <c r="K290" s="88" t="s">
        <v>5258</v>
      </c>
    </row>
    <row r="291" spans="1:31" ht="22.5" customHeight="1" thickBot="1">
      <c r="A291" s="83" t="s">
        <v>5445</v>
      </c>
      <c r="C291" s="37" t="s">
        <v>5392</v>
      </c>
      <c r="D291" s="38" t="s">
        <v>5393</v>
      </c>
      <c r="E291" s="38" t="s">
        <v>5394</v>
      </c>
      <c r="F291" s="37" t="str">
        <f t="shared" si="12"/>
        <v>gift-codes.html?game=幻域方舟</v>
      </c>
      <c r="G291" s="38" t="s">
        <v>5395</v>
      </c>
      <c r="H291" s="38" t="str">
        <f t="shared" si="13"/>
        <v>https://www.ssbuy.tw/game-detail.html?game=幻域方舟</v>
      </c>
      <c r="I291" s="39" t="s">
        <v>5452</v>
      </c>
      <c r="J291" s="2" t="s">
        <v>5428</v>
      </c>
      <c r="K291" s="88" t="s">
        <v>5258</v>
      </c>
    </row>
    <row r="292" spans="1:31" ht="22.5" customHeight="1" thickBot="1">
      <c r="A292" s="83" t="s">
        <v>5446</v>
      </c>
      <c r="C292" s="37" t="s">
        <v>5396</v>
      </c>
      <c r="D292" s="38" t="s">
        <v>5397</v>
      </c>
      <c r="E292" s="38" t="s">
        <v>5398</v>
      </c>
      <c r="F292" s="37" t="str">
        <f t="shared" si="12"/>
        <v>gift-codes.html?game=開天</v>
      </c>
      <c r="G292" s="38" t="s">
        <v>5399</v>
      </c>
      <c r="H292" s="38" t="str">
        <f t="shared" si="13"/>
        <v>https://www.ssbuy.tw/game-detail.html?game=開天</v>
      </c>
      <c r="I292" s="39" t="s">
        <v>5453</v>
      </c>
      <c r="J292" s="2" t="s">
        <v>5428</v>
      </c>
      <c r="K292" s="88" t="s">
        <v>5258</v>
      </c>
      <c r="L292" s="1" t="s">
        <v>1514</v>
      </c>
      <c r="M292" s="59">
        <v>2717</v>
      </c>
      <c r="N292" s="1" t="s">
        <v>5416</v>
      </c>
      <c r="O292" s="59">
        <v>2095</v>
      </c>
      <c r="P292" s="1" t="s">
        <v>1515</v>
      </c>
      <c r="Q292" s="59">
        <v>1388</v>
      </c>
      <c r="R292" s="1" t="s">
        <v>5417</v>
      </c>
      <c r="S292" s="59">
        <v>1194</v>
      </c>
      <c r="T292" s="1" t="s">
        <v>5418</v>
      </c>
      <c r="U292" s="59">
        <v>840</v>
      </c>
      <c r="V292" s="1" t="s">
        <v>5419</v>
      </c>
      <c r="W292" s="59">
        <v>815</v>
      </c>
      <c r="X292" s="1" t="s">
        <v>5420</v>
      </c>
      <c r="Y292" s="59">
        <v>756</v>
      </c>
      <c r="Z292" s="1" t="s">
        <v>1630</v>
      </c>
      <c r="AA292" s="59">
        <v>280</v>
      </c>
      <c r="AB292" s="1" t="s">
        <v>318</v>
      </c>
      <c r="AC292" s="59">
        <v>146</v>
      </c>
    </row>
    <row r="293" spans="1:31" ht="22.5" customHeight="1" thickBot="1">
      <c r="A293" s="83" t="s">
        <v>5447</v>
      </c>
      <c r="C293" s="37" t="s">
        <v>5400</v>
      </c>
      <c r="D293" s="38" t="s">
        <v>5403</v>
      </c>
      <c r="E293" s="38" t="s">
        <v>5402</v>
      </c>
      <c r="F293" s="37" t="str">
        <f t="shared" si="12"/>
        <v>gift-codes.html?game=人人有功練：腸仔江湖見</v>
      </c>
      <c r="G293" s="38" t="s">
        <v>5401</v>
      </c>
      <c r="H293" s="38" t="str">
        <f t="shared" si="13"/>
        <v>https://www.ssbuy.tw/game-detail.html?game=人人有功練：腸仔江湖見</v>
      </c>
      <c r="I293" s="39" t="s">
        <v>5454</v>
      </c>
      <c r="J293" s="2" t="s">
        <v>5428</v>
      </c>
      <c r="K293" s="88" t="s">
        <v>5258</v>
      </c>
      <c r="L293" s="1" t="s">
        <v>5421</v>
      </c>
      <c r="M293" s="59">
        <v>2717</v>
      </c>
      <c r="N293" s="1" t="s">
        <v>5422</v>
      </c>
      <c r="O293" s="59">
        <v>1422</v>
      </c>
      <c r="P293" s="1" t="s">
        <v>5423</v>
      </c>
      <c r="Q293" s="59">
        <v>840</v>
      </c>
      <c r="R293" s="1" t="s">
        <v>5424</v>
      </c>
      <c r="S293" s="59">
        <v>620</v>
      </c>
      <c r="T293" s="1" t="s">
        <v>5425</v>
      </c>
      <c r="U293" s="59">
        <v>318</v>
      </c>
      <c r="V293" s="1" t="s">
        <v>5426</v>
      </c>
      <c r="W293" s="59">
        <v>151</v>
      </c>
      <c r="X293" s="1" t="s">
        <v>5427</v>
      </c>
      <c r="Y293" s="59">
        <v>30</v>
      </c>
    </row>
    <row r="294" spans="1:31" ht="22.5" customHeight="1" thickBot="1">
      <c r="A294" s="83" t="s">
        <v>5448</v>
      </c>
      <c r="C294" s="38" t="s">
        <v>5406</v>
      </c>
      <c r="D294" s="38" t="s">
        <v>5406</v>
      </c>
      <c r="E294" s="38" t="s">
        <v>5404</v>
      </c>
      <c r="F294" s="37" t="str">
        <f t="shared" si="12"/>
        <v>gift-codes.html?game=楓之谷：放置冒險記</v>
      </c>
      <c r="G294" s="38" t="s">
        <v>5405</v>
      </c>
      <c r="H294" s="38" t="str">
        <f t="shared" si="13"/>
        <v>https://www.ssbuy.tw/game-detail.html?game=楓之谷：放置冒險記</v>
      </c>
      <c r="I294" s="39" t="s">
        <v>5455</v>
      </c>
      <c r="J294" s="2" t="s">
        <v>5428</v>
      </c>
      <c r="K294" s="88" t="s">
        <v>5258</v>
      </c>
      <c r="L294" s="1" t="s">
        <v>5429</v>
      </c>
      <c r="M294" s="59">
        <v>2469</v>
      </c>
      <c r="N294" s="1" t="s">
        <v>5430</v>
      </c>
      <c r="O294" s="59">
        <v>1253</v>
      </c>
      <c r="P294" s="1" t="s">
        <v>5431</v>
      </c>
      <c r="Q294" s="59">
        <v>1085</v>
      </c>
      <c r="R294" s="1" t="s">
        <v>5432</v>
      </c>
      <c r="S294" s="59">
        <v>840</v>
      </c>
      <c r="T294" s="1" t="s">
        <v>5433</v>
      </c>
      <c r="U294" s="59">
        <v>569</v>
      </c>
      <c r="V294" s="1" t="s">
        <v>5434</v>
      </c>
      <c r="W294" s="59">
        <v>272</v>
      </c>
      <c r="X294" s="1" t="s">
        <v>5435</v>
      </c>
      <c r="Y294" s="59">
        <v>195</v>
      </c>
      <c r="Z294" s="1" t="s">
        <v>5436</v>
      </c>
      <c r="AA294" s="59">
        <v>106</v>
      </c>
    </row>
    <row r="295" spans="1:31" ht="22.5" customHeight="1" thickBot="1">
      <c r="A295" s="59" t="s">
        <v>5449</v>
      </c>
      <c r="C295" s="37" t="s">
        <v>5414</v>
      </c>
      <c r="D295" s="38" t="s">
        <v>5413</v>
      </c>
      <c r="E295" s="38" t="s">
        <v>5408</v>
      </c>
      <c r="F295" s="37" t="str">
        <f t="shared" si="12"/>
        <v>gift-codes.html?game=Shiba Wars：Goddess Link TD</v>
      </c>
      <c r="G295" s="38" t="s">
        <v>5407</v>
      </c>
      <c r="H295" s="38" t="str">
        <f t="shared" si="13"/>
        <v>https://www.ssbuy.tw/game-detail.html?game=Shiba Wars：Goddess Link TD</v>
      </c>
      <c r="I295" s="39" t="s">
        <v>5456</v>
      </c>
      <c r="J295" s="2" t="s">
        <v>5428</v>
      </c>
      <c r="K295" s="88" t="s">
        <v>5258</v>
      </c>
      <c r="L295" s="1" t="s">
        <v>5437</v>
      </c>
      <c r="M295" s="59">
        <v>1926</v>
      </c>
      <c r="N295" s="1" t="s">
        <v>5438</v>
      </c>
      <c r="O295" s="59">
        <v>1253</v>
      </c>
      <c r="P295" s="1" t="s">
        <v>5439</v>
      </c>
      <c r="Q295" s="59">
        <v>586</v>
      </c>
      <c r="R295" s="1" t="s">
        <v>5440</v>
      </c>
      <c r="S295" s="59">
        <v>272</v>
      </c>
      <c r="T295" s="1" t="s">
        <v>5441</v>
      </c>
      <c r="U295" s="59">
        <v>195</v>
      </c>
      <c r="V295" s="1" t="s">
        <v>5442</v>
      </c>
      <c r="W295" s="59">
        <v>82</v>
      </c>
      <c r="X295" s="1" t="s">
        <v>5443</v>
      </c>
      <c r="Y295" s="59">
        <v>55</v>
      </c>
      <c r="Z295" s="1" t="s">
        <v>3730</v>
      </c>
      <c r="AA295" s="59">
        <v>331</v>
      </c>
    </row>
    <row r="296" spans="1:31" ht="22.5" customHeight="1" thickBot="1">
      <c r="A296" s="83" t="s">
        <v>5450</v>
      </c>
      <c r="C296" s="37" t="s">
        <v>5409</v>
      </c>
      <c r="D296" s="38" t="s">
        <v>5410</v>
      </c>
      <c r="E296" s="38" t="s">
        <v>5411</v>
      </c>
      <c r="F296" s="37" t="str">
        <f t="shared" si="12"/>
        <v>gift-codes.html?game=熱血江湖：福利加強版</v>
      </c>
      <c r="G296" s="38" t="s">
        <v>5412</v>
      </c>
      <c r="H296" s="38" t="str">
        <f t="shared" si="13"/>
        <v>https://www.ssbuy.tw/game-detail.html?game=熱血江湖：福利加強版</v>
      </c>
      <c r="I296" s="39" t="s">
        <v>5457</v>
      </c>
      <c r="J296" s="2" t="s">
        <v>5428</v>
      </c>
      <c r="K296" s="88" t="s">
        <v>5258</v>
      </c>
    </row>
    <row r="297" spans="1:31" ht="22.5" customHeight="1">
      <c r="F297" s="37" t="str">
        <f t="shared" si="12"/>
        <v/>
      </c>
      <c r="H297" s="38" t="str">
        <f t="shared" si="13"/>
        <v/>
      </c>
    </row>
    <row r="298" spans="1:31" ht="22.5" customHeight="1">
      <c r="F298" s="37" t="str">
        <f t="shared" si="12"/>
        <v/>
      </c>
      <c r="H298" s="38" t="str">
        <f t="shared" si="13"/>
        <v/>
      </c>
    </row>
    <row r="299" spans="1:31" ht="22.5" customHeight="1">
      <c r="F299" s="37" t="str">
        <f t="shared" si="12"/>
        <v/>
      </c>
      <c r="H299" s="38" t="str">
        <f t="shared" si="13"/>
        <v/>
      </c>
    </row>
    <row r="300" spans="1:31" ht="22.5" customHeight="1">
      <c r="F300" s="37" t="str">
        <f t="shared" si="12"/>
        <v/>
      </c>
      <c r="H300" s="38" t="str">
        <f t="shared" si="13"/>
        <v/>
      </c>
    </row>
    <row r="301" spans="1:31" ht="22.5" customHeight="1">
      <c r="F301" s="37" t="str">
        <f t="shared" si="12"/>
        <v/>
      </c>
      <c r="H301" s="38" t="str">
        <f t="shared" si="13"/>
        <v/>
      </c>
    </row>
    <row r="302" spans="1:31" ht="22.5" customHeight="1">
      <c r="F302" s="37" t="str">
        <f t="shared" si="12"/>
        <v/>
      </c>
      <c r="H302" s="38" t="str">
        <f t="shared" si="13"/>
        <v/>
      </c>
    </row>
    <row r="303" spans="1:31" ht="22.5" customHeight="1">
      <c r="F303" s="37" t="str">
        <f t="shared" si="12"/>
        <v/>
      </c>
      <c r="H303" s="38" t="str">
        <f t="shared" si="13"/>
        <v/>
      </c>
    </row>
    <row r="304" spans="1:31" ht="22.5" customHeight="1">
      <c r="F304" s="37" t="str">
        <f t="shared" si="12"/>
        <v/>
      </c>
      <c r="H304" s="38" t="str">
        <f t="shared" si="13"/>
        <v/>
      </c>
    </row>
    <row r="305" spans="6:8" ht="22.5" customHeight="1">
      <c r="F305" s="37" t="str">
        <f t="shared" si="12"/>
        <v/>
      </c>
      <c r="H305" s="38" t="str">
        <f t="shared" si="13"/>
        <v/>
      </c>
    </row>
    <row r="306" spans="6:8" ht="22.5" customHeight="1">
      <c r="F306" s="37" t="str">
        <f t="shared" si="12"/>
        <v/>
      </c>
      <c r="H306" s="38" t="str">
        <f t="shared" si="13"/>
        <v/>
      </c>
    </row>
    <row r="307" spans="6:8" ht="22.5" customHeight="1">
      <c r="F307" s="37" t="str">
        <f t="shared" si="12"/>
        <v/>
      </c>
      <c r="H307" s="38" t="str">
        <f t="shared" si="13"/>
        <v/>
      </c>
    </row>
    <row r="308" spans="6:8" ht="22.5" customHeight="1">
      <c r="F308" s="37" t="str">
        <f t="shared" si="12"/>
        <v/>
      </c>
      <c r="H308" s="38" t="str">
        <f t="shared" si="13"/>
        <v/>
      </c>
    </row>
    <row r="309" spans="6:8" ht="22.5" customHeight="1">
      <c r="F309" s="37" t="str">
        <f t="shared" si="12"/>
        <v/>
      </c>
      <c r="H309" s="38" t="str">
        <f t="shared" si="13"/>
        <v/>
      </c>
    </row>
    <row r="310" spans="6:8" ht="22.5" customHeight="1">
      <c r="F310" s="37" t="str">
        <f t="shared" si="12"/>
        <v/>
      </c>
      <c r="H310" s="38" t="str">
        <f t="shared" si="13"/>
        <v/>
      </c>
    </row>
    <row r="311" spans="6:8" ht="22.5" customHeight="1">
      <c r="F311" s="37" t="str">
        <f t="shared" si="12"/>
        <v/>
      </c>
      <c r="H311" s="38" t="str">
        <f t="shared" si="13"/>
        <v/>
      </c>
    </row>
    <row r="312" spans="6:8" ht="22.5" customHeight="1">
      <c r="F312" s="37" t="str">
        <f t="shared" si="12"/>
        <v/>
      </c>
      <c r="H312" s="38" t="str">
        <f t="shared" si="13"/>
        <v/>
      </c>
    </row>
    <row r="313" spans="6:8" ht="22.5" customHeight="1">
      <c r="F313" s="37" t="str">
        <f t="shared" ref="F313:F376" si="14">IF(A313="", "", "gift-codes.html?game=" &amp; A313)</f>
        <v/>
      </c>
      <c r="H313" s="38" t="str">
        <f t="shared" ref="H313:H376" si="15">IF(A313="", "", "https://www.ssbuy.tw/game-detail.html?game="&amp;A313)</f>
        <v/>
      </c>
    </row>
    <row r="314" spans="6:8" ht="22.5" customHeight="1">
      <c r="F314" s="37" t="str">
        <f t="shared" si="14"/>
        <v/>
      </c>
      <c r="H314" s="38" t="str">
        <f t="shared" si="15"/>
        <v/>
      </c>
    </row>
    <row r="315" spans="6:8" ht="22.5" customHeight="1">
      <c r="F315" s="37" t="str">
        <f t="shared" si="14"/>
        <v/>
      </c>
      <c r="H315" s="38" t="str">
        <f t="shared" si="15"/>
        <v/>
      </c>
    </row>
    <row r="316" spans="6:8" ht="22.5" customHeight="1">
      <c r="F316" s="37" t="str">
        <f t="shared" si="14"/>
        <v/>
      </c>
      <c r="H316" s="38" t="str">
        <f t="shared" si="15"/>
        <v/>
      </c>
    </row>
    <row r="317" spans="6:8" ht="22.5" customHeight="1">
      <c r="F317" s="37" t="str">
        <f t="shared" si="14"/>
        <v/>
      </c>
      <c r="H317" s="38" t="str">
        <f t="shared" si="15"/>
        <v/>
      </c>
    </row>
    <row r="318" spans="6:8" ht="22.5" customHeight="1">
      <c r="F318" s="37" t="str">
        <f t="shared" si="14"/>
        <v/>
      </c>
      <c r="H318" s="38" t="str">
        <f t="shared" si="15"/>
        <v/>
      </c>
    </row>
    <row r="319" spans="6:8" ht="22.5" customHeight="1">
      <c r="F319" s="37" t="str">
        <f t="shared" si="14"/>
        <v/>
      </c>
      <c r="H319" s="38" t="str">
        <f t="shared" si="15"/>
        <v/>
      </c>
    </row>
    <row r="320" spans="6:8"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si="14"/>
        <v/>
      </c>
      <c r="H373" s="38" t="str">
        <f t="shared" si="15"/>
        <v/>
      </c>
    </row>
    <row r="374" spans="6:8" ht="22.5" customHeight="1">
      <c r="F374" s="37" t="str">
        <f t="shared" si="14"/>
        <v/>
      </c>
      <c r="H374" s="38" t="str">
        <f t="shared" si="15"/>
        <v/>
      </c>
    </row>
    <row r="375" spans="6:8" ht="22.5" customHeight="1">
      <c r="F375" s="37" t="str">
        <f t="shared" si="14"/>
        <v/>
      </c>
      <c r="H375" s="38" t="str">
        <f t="shared" si="15"/>
        <v/>
      </c>
    </row>
    <row r="376" spans="6:8" ht="22.5" customHeight="1">
      <c r="F376" s="37" t="str">
        <f t="shared" si="14"/>
        <v/>
      </c>
      <c r="H376" s="38" t="str">
        <f t="shared" si="15"/>
        <v/>
      </c>
    </row>
    <row r="377" spans="6:8" ht="22.5" customHeight="1">
      <c r="F377" s="37" t="str">
        <f t="shared" ref="F377:F440" si="16">IF(A377="", "", "gift-codes.html?game=" &amp; A377)</f>
        <v/>
      </c>
      <c r="H377" s="38" t="str">
        <f t="shared" ref="H377:H440" si="17">IF(A377="", "", "https://www.ssbuy.tw/game-detail.html?game="&amp;A377)</f>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ht="22.5" customHeight="1">
      <c r="F429" s="37" t="str">
        <f t="shared" si="16"/>
        <v/>
      </c>
      <c r="H429" s="38" t="str">
        <f t="shared" si="17"/>
        <v/>
      </c>
    </row>
    <row r="430" spans="6:8" ht="22.5" customHeight="1">
      <c r="F430" s="37" t="str">
        <f t="shared" si="16"/>
        <v/>
      </c>
      <c r="H430" s="38" t="str">
        <f t="shared" si="17"/>
        <v/>
      </c>
    </row>
    <row r="431" spans="6:8" ht="22.5" customHeight="1">
      <c r="F431" s="37" t="str">
        <f t="shared" si="16"/>
        <v/>
      </c>
      <c r="H431" s="38" t="str">
        <f t="shared" si="17"/>
        <v/>
      </c>
    </row>
    <row r="432" spans="6:8" ht="22.5" customHeight="1">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si="16"/>
        <v/>
      </c>
      <c r="H437" s="38" t="str">
        <f t="shared" si="17"/>
        <v/>
      </c>
    </row>
    <row r="438" spans="6:8">
      <c r="F438" s="37" t="str">
        <f t="shared" si="16"/>
        <v/>
      </c>
      <c r="H438" s="38" t="str">
        <f t="shared" si="17"/>
        <v/>
      </c>
    </row>
    <row r="439" spans="6:8">
      <c r="F439" s="37" t="str">
        <f t="shared" si="16"/>
        <v/>
      </c>
      <c r="H439" s="38" t="str">
        <f t="shared" si="17"/>
        <v/>
      </c>
    </row>
    <row r="440" spans="6:8">
      <c r="F440" s="37" t="str">
        <f t="shared" si="16"/>
        <v/>
      </c>
      <c r="H440" s="38" t="str">
        <f t="shared" si="17"/>
        <v/>
      </c>
    </row>
    <row r="441" spans="6:8">
      <c r="F441" s="37" t="str">
        <f t="shared" ref="F441:F504" si="18">IF(A441="", "", "gift-codes.html?game=" &amp; A441)</f>
        <v/>
      </c>
      <c r="H441" s="38" t="str">
        <f t="shared" ref="H441:H504" si="19">IF(A441="", "", "https://www.ssbuy.tw/game-detail.html?game="&amp;A441)</f>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si="18"/>
        <v/>
      </c>
      <c r="H501" s="38" t="str">
        <f t="shared" si="19"/>
        <v/>
      </c>
    </row>
    <row r="502" spans="6:8">
      <c r="F502" s="37" t="str">
        <f t="shared" si="18"/>
        <v/>
      </c>
      <c r="H502" s="38" t="str">
        <f t="shared" si="19"/>
        <v/>
      </c>
    </row>
    <row r="503" spans="6:8">
      <c r="F503" s="37" t="str">
        <f t="shared" si="18"/>
        <v/>
      </c>
      <c r="H503" s="38" t="str">
        <f t="shared" si="19"/>
        <v/>
      </c>
    </row>
    <row r="504" spans="6:8">
      <c r="F504" s="37" t="str">
        <f t="shared" si="18"/>
        <v/>
      </c>
      <c r="H504" s="38" t="str">
        <f t="shared" si="19"/>
        <v/>
      </c>
    </row>
    <row r="505" spans="6:8">
      <c r="F505" s="37" t="str">
        <f t="shared" ref="F505:F568" si="20">IF(A505="", "", "gift-codes.html?game=" &amp; A505)</f>
        <v/>
      </c>
      <c r="H505" s="38" t="str">
        <f t="shared" ref="H505:H568" si="21">IF(A505="", "", "https://www.ssbuy.tw/game-detail.html?game="&amp;A505)</f>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 t="shared" si="20"/>
        <v/>
      </c>
      <c r="H565" s="38" t="str">
        <f t="shared" si="21"/>
        <v/>
      </c>
    </row>
    <row r="566" spans="6:8">
      <c r="F566" s="37" t="str">
        <f t="shared" si="20"/>
        <v/>
      </c>
      <c r="H566" s="38" t="str">
        <f t="shared" si="21"/>
        <v/>
      </c>
    </row>
    <row r="567" spans="6:8">
      <c r="F567" s="37" t="str">
        <f t="shared" si="20"/>
        <v/>
      </c>
      <c r="H567" s="38" t="str">
        <f t="shared" si="21"/>
        <v/>
      </c>
    </row>
    <row r="568" spans="6:8">
      <c r="F568" s="37" t="str">
        <f t="shared" si="20"/>
        <v/>
      </c>
      <c r="H568" s="38" t="str">
        <f t="shared" si="21"/>
        <v/>
      </c>
    </row>
    <row r="569" spans="6:8">
      <c r="F569" s="37" t="str">
        <f>IF(A569="", "", "gift-codes.html?game=" &amp; A569)</f>
        <v/>
      </c>
      <c r="H569" s="38" t="str">
        <f t="shared" ref="H569:H627" si="22">IF(A569="", "", "https://www.ssbuy.tw/game-detail.html?game="&amp;A569)</f>
        <v/>
      </c>
    </row>
    <row r="570" spans="6:8">
      <c r="F570" s="37" t="str">
        <f>IF(A570="", "", "gift-codes.html?game=" &amp; A570)</f>
        <v/>
      </c>
      <c r="H570" s="38" t="str">
        <f t="shared" si="22"/>
        <v/>
      </c>
    </row>
    <row r="571" spans="6:8">
      <c r="F571" s="37" t="str">
        <f>IF(A571="", "", "gift-codes.html?game=" &amp; A571)</f>
        <v/>
      </c>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row r="624" spans="8:8">
      <c r="H624" s="38" t="str">
        <f t="shared" si="22"/>
        <v/>
      </c>
    </row>
    <row r="625" spans="8:8">
      <c r="H625" s="38" t="str">
        <f t="shared" si="22"/>
        <v/>
      </c>
    </row>
    <row r="626" spans="8:8">
      <c r="H626" s="38" t="str">
        <f t="shared" si="22"/>
        <v/>
      </c>
    </row>
    <row r="627" spans="8:8">
      <c r="H627"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8" r:id="rId279"/>
    <hyperlink ref="Z276" r:id="rId280"/>
    <hyperlink ref="AB286" r:id="rId281"/>
    <hyperlink ref="AD289" r:id="rId282"/>
    <hyperlink ref="X279" r:id="rId283"/>
    <hyperlink ref="AB287"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Y278" activePane="bottomRight" state="frozen"/>
      <selection pane="topRight" activeCell="B1" sqref="B1"/>
      <selection pane="bottomLeft" activeCell="A2" sqref="A2"/>
      <selection pane="bottomRight" activeCell="AG285" sqref="AG285"/>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5027</v>
      </c>
      <c r="AM127" s="15" t="s">
        <v>5028</v>
      </c>
      <c r="AN127" s="10" t="s">
        <v>5033</v>
      </c>
      <c r="AO127" s="15" t="s">
        <v>5029</v>
      </c>
      <c r="AP127" s="10" t="s">
        <v>5032</v>
      </c>
      <c r="AQ127" s="15" t="s">
        <v>5030</v>
      </c>
      <c r="AR127" s="10" t="s">
        <v>5031</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39"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39"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39"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39"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39"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39"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39"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39"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39"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39"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39"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39"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39"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39"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4855</v>
      </c>
    </row>
    <row r="191" spans="1:39"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39"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4966</v>
      </c>
      <c r="AE227" s="15" t="s">
        <v>4967</v>
      </c>
      <c r="AG227" s="15" t="s">
        <v>4968</v>
      </c>
      <c r="AI227" s="15" t="s">
        <v>4991</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4992</v>
      </c>
      <c r="L236" s="10" t="s">
        <v>5017</v>
      </c>
      <c r="M236" s="69" t="s">
        <v>5018</v>
      </c>
      <c r="N236" s="10" t="s">
        <v>5019</v>
      </c>
      <c r="O236" s="69" t="s">
        <v>5020</v>
      </c>
      <c r="P236" s="10" t="s">
        <v>5021</v>
      </c>
      <c r="Q236" s="69" t="s">
        <v>5022</v>
      </c>
      <c r="R236" s="10" t="s">
        <v>4993</v>
      </c>
      <c r="S236" s="69" t="s">
        <v>5023</v>
      </c>
      <c r="T236" s="10" t="s">
        <v>5024</v>
      </c>
      <c r="U236" s="15" t="s">
        <v>5025</v>
      </c>
      <c r="V236" s="10" t="s">
        <v>5026</v>
      </c>
      <c r="W236" s="15" t="s">
        <v>5207</v>
      </c>
      <c r="X236" s="10" t="s">
        <v>5220</v>
      </c>
      <c r="Y236" s="15" t="s">
        <v>5208</v>
      </c>
      <c r="Z236" s="10" t="s">
        <v>5219</v>
      </c>
      <c r="AA236" s="15" t="s">
        <v>5209</v>
      </c>
      <c r="AB236" s="10" t="s">
        <v>5218</v>
      </c>
      <c r="AC236" s="15" t="s">
        <v>5210</v>
      </c>
      <c r="AD236" s="10" t="s">
        <v>5217</v>
      </c>
      <c r="AE236" s="15" t="s">
        <v>5211</v>
      </c>
      <c r="AF236" s="10" t="s">
        <v>5216</v>
      </c>
      <c r="AG236" s="15" t="s">
        <v>5212</v>
      </c>
      <c r="AH236" s="10" t="s">
        <v>5215</v>
      </c>
      <c r="AI236" s="15" t="s">
        <v>5213</v>
      </c>
      <c r="AJ236" s="10" t="s">
        <v>5214</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4877</v>
      </c>
      <c r="L259" s="10" t="s">
        <v>4878</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4873</v>
      </c>
      <c r="G265" s="10" t="s">
        <v>4874</v>
      </c>
      <c r="H265" s="10" t="s">
        <v>4875</v>
      </c>
      <c r="I265" s="10" t="s">
        <v>4876</v>
      </c>
      <c r="K265" s="14" t="s">
        <v>4871</v>
      </c>
      <c r="L265" s="10" t="s">
        <v>4872</v>
      </c>
      <c r="M265" s="15" t="s">
        <v>4956</v>
      </c>
      <c r="O265" s="15" t="s">
        <v>4957</v>
      </c>
      <c r="Q265" s="15" t="s">
        <v>4958</v>
      </c>
      <c r="S265" s="15" t="s">
        <v>4959</v>
      </c>
      <c r="U265" s="15" t="s">
        <v>4960</v>
      </c>
      <c r="W265" s="15" t="s">
        <v>4961</v>
      </c>
      <c r="Y265" s="15" t="s">
        <v>4962</v>
      </c>
      <c r="AA265" s="15" t="s">
        <v>4963</v>
      </c>
      <c r="AC265" s="15" t="s">
        <v>4964</v>
      </c>
      <c r="AE265" s="15" t="s">
        <v>4965</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4906</v>
      </c>
      <c r="G267" s="10" t="s">
        <v>4907</v>
      </c>
      <c r="H267" s="10" t="s">
        <v>4908</v>
      </c>
      <c r="I267" s="10" t="s">
        <v>4909</v>
      </c>
      <c r="J267" s="10" t="s">
        <v>4910</v>
      </c>
      <c r="K267" s="14" t="s">
        <v>4898</v>
      </c>
      <c r="L267" s="10" t="s">
        <v>4911</v>
      </c>
      <c r="M267" s="15" t="s">
        <v>4899</v>
      </c>
      <c r="N267" s="10" t="s">
        <v>4912</v>
      </c>
      <c r="O267" s="15" t="s">
        <v>4900</v>
      </c>
      <c r="P267" s="10" t="s">
        <v>4913</v>
      </c>
      <c r="Q267" s="15" t="s">
        <v>4901</v>
      </c>
      <c r="R267" s="10" t="s">
        <v>4914</v>
      </c>
      <c r="S267" s="15" t="s">
        <v>4902</v>
      </c>
      <c r="T267" s="10" t="s">
        <v>4915</v>
      </c>
      <c r="U267" s="15" t="s">
        <v>4903</v>
      </c>
      <c r="V267" s="10" t="s">
        <v>4916</v>
      </c>
      <c r="W267" s="15" t="s">
        <v>4904</v>
      </c>
      <c r="X267" s="10" t="s">
        <v>4916</v>
      </c>
      <c r="Y267" s="15" t="s">
        <v>4905</v>
      </c>
      <c r="Z267" s="10" t="s">
        <v>4916</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5040</v>
      </c>
      <c r="G268" s="10" t="s">
        <v>5041</v>
      </c>
      <c r="H268" s="10" t="s">
        <v>2625</v>
      </c>
      <c r="I268" s="10" t="s">
        <v>4360</v>
      </c>
      <c r="K268" s="14" t="s">
        <v>4869</v>
      </c>
      <c r="L268" s="10" t="s">
        <v>4870</v>
      </c>
      <c r="M268" s="15" t="s">
        <v>4881</v>
      </c>
      <c r="N268" s="10" t="s">
        <v>4885</v>
      </c>
      <c r="O268" s="15" t="s">
        <v>4882</v>
      </c>
      <c r="P268" s="10" t="s">
        <v>4886</v>
      </c>
      <c r="Q268" s="15" t="s">
        <v>4883</v>
      </c>
      <c r="R268" s="10" t="s">
        <v>4887</v>
      </c>
      <c r="S268" s="15" t="s">
        <v>4884</v>
      </c>
      <c r="T268" s="10" t="s">
        <v>4888</v>
      </c>
    </row>
    <row r="269" spans="1:31">
      <c r="A269" s="10" t="str">
        <f>IF(games!A269="", "", games!A269)</f>
        <v>Awakenloop</v>
      </c>
      <c r="C269" s="10" t="str">
        <f t="shared" ref="C269:C312" si="12">IF(A269="","", "giftcodesbanner/" &amp; A269 &amp; "-禮包碼.jpg")</f>
        <v>giftcodesbanner/Awakenloop-禮包碼.jpg</v>
      </c>
      <c r="D269" s="10" t="str">
        <f t="shared" ref="D269:D312"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5193</v>
      </c>
      <c r="G269" s="10" t="s">
        <v>5194</v>
      </c>
      <c r="H269" s="10" t="s">
        <v>2625</v>
      </c>
      <c r="I269" s="10" t="s">
        <v>4360</v>
      </c>
      <c r="K269" s="14" t="s">
        <v>5189</v>
      </c>
      <c r="L269" s="10" t="s">
        <v>5192</v>
      </c>
      <c r="M269" s="15" t="s">
        <v>5190</v>
      </c>
      <c r="N269" s="10" t="s">
        <v>5191</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5050</v>
      </c>
      <c r="G272" s="10" t="s">
        <v>5067</v>
      </c>
      <c r="H272" s="10" t="s">
        <v>2625</v>
      </c>
      <c r="I272" s="10" t="s">
        <v>4360</v>
      </c>
      <c r="K272" s="14" t="s">
        <v>5048</v>
      </c>
      <c r="L272" s="10" t="s">
        <v>5049</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5062</v>
      </c>
      <c r="G273" s="10" t="s">
        <v>2625</v>
      </c>
      <c r="H273" s="10" t="s">
        <v>4360</v>
      </c>
      <c r="K273" s="14" t="s">
        <v>5042</v>
      </c>
      <c r="L273" s="10" t="s">
        <v>5060</v>
      </c>
      <c r="M273" s="15" t="s">
        <v>5043</v>
      </c>
      <c r="N273" s="10" t="s">
        <v>5061</v>
      </c>
      <c r="O273" s="15" t="s">
        <v>5044</v>
      </c>
      <c r="P273" s="10" t="s">
        <v>5063</v>
      </c>
      <c r="Q273" s="15" t="s">
        <v>5045</v>
      </c>
      <c r="R273" s="10" t="s">
        <v>5064</v>
      </c>
      <c r="S273" s="15" t="s">
        <v>5046</v>
      </c>
      <c r="T273" s="10" t="s">
        <v>5065</v>
      </c>
      <c r="U273" s="15" t="s">
        <v>5047</v>
      </c>
      <c r="V273" s="10" t="s">
        <v>5066</v>
      </c>
      <c r="W273" s="15" t="s">
        <v>5198</v>
      </c>
      <c r="X273" s="10" t="s">
        <v>5202</v>
      </c>
      <c r="Y273" s="15" t="s">
        <v>5199</v>
      </c>
      <c r="Z273" s="10" t="s">
        <v>5203</v>
      </c>
      <c r="AA273" s="15" t="s">
        <v>5200</v>
      </c>
      <c r="AB273" s="10" t="s">
        <v>5204</v>
      </c>
      <c r="AC273" s="15" t="s">
        <v>5201</v>
      </c>
      <c r="AD273" s="10" t="s">
        <v>5205</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4994</v>
      </c>
      <c r="G274" s="10" t="s">
        <v>4995</v>
      </c>
      <c r="H274" s="10" t="s">
        <v>2625</v>
      </c>
      <c r="I274" s="10" t="s">
        <v>4360</v>
      </c>
      <c r="K274" s="14" t="s">
        <v>4996</v>
      </c>
      <c r="L274" s="10" t="s">
        <v>4997</v>
      </c>
      <c r="M274" s="15" t="s">
        <v>4998</v>
      </c>
      <c r="N274" s="10" t="s">
        <v>4999</v>
      </c>
      <c r="O274" s="15" t="s">
        <v>5000</v>
      </c>
      <c r="P274" s="10" t="s">
        <v>5001</v>
      </c>
      <c r="Q274" s="89" t="s">
        <v>5464</v>
      </c>
      <c r="R274" s="10" t="s">
        <v>5458</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5036</v>
      </c>
      <c r="G275" s="10" t="s">
        <v>5037</v>
      </c>
      <c r="H275" s="10" t="s">
        <v>5038</v>
      </c>
      <c r="I275" s="10" t="s">
        <v>2625</v>
      </c>
      <c r="J275" s="10" t="s">
        <v>5039</v>
      </c>
      <c r="K275" s="15" t="s">
        <v>5034</v>
      </c>
      <c r="L275" s="10" t="s">
        <v>5035</v>
      </c>
      <c r="M275" s="15" t="s">
        <v>5052</v>
      </c>
      <c r="N275" s="10" t="s">
        <v>5053</v>
      </c>
      <c r="O275" s="15" t="s">
        <v>5105</v>
      </c>
      <c r="Q275" s="15" t="s">
        <v>5106</v>
      </c>
      <c r="S275" s="15" t="s">
        <v>5107</v>
      </c>
      <c r="U275" s="15" t="s">
        <v>2056</v>
      </c>
      <c r="W275" s="15" t="s">
        <v>4560</v>
      </c>
      <c r="Y275" s="15" t="s">
        <v>5108</v>
      </c>
      <c r="AA275" s="89" t="s">
        <v>5464</v>
      </c>
      <c r="AB275" s="10" t="s">
        <v>5458</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5113</v>
      </c>
      <c r="G276" s="10" t="s">
        <v>5114</v>
      </c>
      <c r="H276" s="10" t="s">
        <v>5115</v>
      </c>
      <c r="I276" s="10" t="s">
        <v>5116</v>
      </c>
      <c r="K276" s="14" t="s">
        <v>5109</v>
      </c>
      <c r="L276" s="10" t="s">
        <v>5111</v>
      </c>
      <c r="M276" s="15" t="s">
        <v>5110</v>
      </c>
      <c r="N276" s="10" t="s">
        <v>5112</v>
      </c>
      <c r="Q276" s="89" t="s">
        <v>5464</v>
      </c>
      <c r="R276" s="10" t="s">
        <v>5458</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5091</v>
      </c>
      <c r="G277" s="10" t="s">
        <v>5092</v>
      </c>
      <c r="H277" s="10" t="s">
        <v>2625</v>
      </c>
      <c r="I277" s="10" t="s">
        <v>4360</v>
      </c>
      <c r="K277" s="89" t="s">
        <v>5464</v>
      </c>
      <c r="L277" s="10" t="s">
        <v>5458</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5246</v>
      </c>
      <c r="G278" s="10" t="s">
        <v>5247</v>
      </c>
      <c r="H278" s="10" t="s">
        <v>5248</v>
      </c>
      <c r="K278" s="14" t="s">
        <v>5242</v>
      </c>
      <c r="L278" s="10" t="s">
        <v>5245</v>
      </c>
      <c r="M278" s="15" t="s">
        <v>5243</v>
      </c>
      <c r="N278" s="10" t="s">
        <v>5244</v>
      </c>
      <c r="O278" s="89" t="s">
        <v>5464</v>
      </c>
      <c r="P278" s="10" t="s">
        <v>5458</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5321</v>
      </c>
      <c r="G279" s="10" t="s">
        <v>5322</v>
      </c>
      <c r="H279" s="10" t="s">
        <v>5323</v>
      </c>
      <c r="I279" s="10" t="s">
        <v>2625</v>
      </c>
      <c r="J279" s="10" t="s">
        <v>4360</v>
      </c>
      <c r="K279" s="14" t="s">
        <v>5249</v>
      </c>
      <c r="L279" s="10" t="s">
        <v>5360</v>
      </c>
      <c r="M279" s="15" t="s">
        <v>5250</v>
      </c>
      <c r="N279" s="10" t="s">
        <v>5361</v>
      </c>
      <c r="O279" s="15" t="s">
        <v>5251</v>
      </c>
      <c r="P279" s="10" t="s">
        <v>5362</v>
      </c>
      <c r="Q279" s="15" t="s">
        <v>5252</v>
      </c>
      <c r="R279" s="10" t="s">
        <v>5363</v>
      </c>
      <c r="S279" s="15" t="s">
        <v>5324</v>
      </c>
      <c r="T279" s="10" t="s">
        <v>5364</v>
      </c>
      <c r="U279" s="15" t="s">
        <v>5325</v>
      </c>
      <c r="V279" s="10" t="s">
        <v>5365</v>
      </c>
      <c r="W279" s="15" t="s">
        <v>5326</v>
      </c>
      <c r="X279" s="10" t="s">
        <v>5366</v>
      </c>
      <c r="Y279" s="15" t="s">
        <v>5327</v>
      </c>
      <c r="Z279" s="10" t="s">
        <v>5367</v>
      </c>
      <c r="AA279" s="15" t="s">
        <v>5329</v>
      </c>
      <c r="AB279" s="10" t="s">
        <v>5368</v>
      </c>
      <c r="AC279" s="15" t="s">
        <v>5328</v>
      </c>
      <c r="AD279" s="10" t="s">
        <v>5369</v>
      </c>
      <c r="AG279" s="89" t="s">
        <v>5464</v>
      </c>
      <c r="AH279" s="10" t="s">
        <v>5458</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5241</v>
      </c>
      <c r="K280" s="78" t="s">
        <v>5459</v>
      </c>
      <c r="L280" s="10" t="s">
        <v>5460</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5241</v>
      </c>
      <c r="K281" s="78" t="s">
        <v>5459</v>
      </c>
      <c r="L281" s="10" t="s">
        <v>5460</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5241</v>
      </c>
      <c r="K282" s="78" t="s">
        <v>5459</v>
      </c>
      <c r="L282" s="10" t="s">
        <v>5460</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5312</v>
      </c>
      <c r="G283" s="10" t="s">
        <v>5313</v>
      </c>
      <c r="H283" s="10" t="s">
        <v>2625</v>
      </c>
      <c r="I283" s="10" t="s">
        <v>4360</v>
      </c>
      <c r="K283" s="14" t="s">
        <v>5314</v>
      </c>
      <c r="L283" s="10" t="s">
        <v>5336</v>
      </c>
      <c r="M283" s="15" t="s">
        <v>4141</v>
      </c>
      <c r="N283" s="10" t="s">
        <v>5337</v>
      </c>
      <c r="O283" s="15" t="s">
        <v>4140</v>
      </c>
      <c r="P283" s="10" t="s">
        <v>5338</v>
      </c>
      <c r="Q283" s="15" t="s">
        <v>5315</v>
      </c>
      <c r="R283" s="10" t="s">
        <v>5339</v>
      </c>
      <c r="S283" s="15" t="s">
        <v>5316</v>
      </c>
      <c r="T283" s="10" t="s">
        <v>5340</v>
      </c>
      <c r="U283" s="15" t="s">
        <v>5317</v>
      </c>
      <c r="V283" s="10" t="s">
        <v>5340</v>
      </c>
      <c r="W283" s="15" t="s">
        <v>5318</v>
      </c>
      <c r="X283" s="10" t="s">
        <v>5340</v>
      </c>
      <c r="Y283" s="15" t="s">
        <v>5319</v>
      </c>
      <c r="Z283" s="10" t="s">
        <v>5341</v>
      </c>
      <c r="AA283" s="15" t="s">
        <v>2056</v>
      </c>
      <c r="AB283" s="10" t="s">
        <v>5342</v>
      </c>
      <c r="AC283" s="15" t="s">
        <v>5320</v>
      </c>
      <c r="AD283" s="10" t="s">
        <v>5343</v>
      </c>
      <c r="AE283" s="15" t="s">
        <v>5483</v>
      </c>
      <c r="AG283" s="15" t="s">
        <v>5484</v>
      </c>
      <c r="AI283" s="89" t="s">
        <v>5464</v>
      </c>
      <c r="AJ283" s="10" t="s">
        <v>5458</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5195</v>
      </c>
      <c r="G284" s="10" t="s">
        <v>5196</v>
      </c>
      <c r="H284" s="10" t="s">
        <v>5197</v>
      </c>
      <c r="K284" s="14" t="s">
        <v>5259</v>
      </c>
      <c r="L284" s="10" t="s">
        <v>5311</v>
      </c>
      <c r="M284" s="15" t="s">
        <v>5260</v>
      </c>
      <c r="N284" s="10" t="s">
        <v>5310</v>
      </c>
      <c r="O284" s="15" t="s">
        <v>5287</v>
      </c>
      <c r="P284" s="10" t="s">
        <v>5309</v>
      </c>
      <c r="Q284" s="15" t="s">
        <v>5288</v>
      </c>
      <c r="R284" s="10" t="s">
        <v>5308</v>
      </c>
      <c r="S284" s="15" t="s">
        <v>5289</v>
      </c>
      <c r="T284" s="10" t="s">
        <v>5307</v>
      </c>
      <c r="U284" s="15" t="s">
        <v>5290</v>
      </c>
      <c r="V284" s="10" t="s">
        <v>5306</v>
      </c>
      <c r="W284" s="15" t="s">
        <v>5291</v>
      </c>
      <c r="X284" s="10" t="s">
        <v>5305</v>
      </c>
      <c r="Y284" s="15" t="s">
        <v>5292</v>
      </c>
      <c r="Z284" s="10" t="s">
        <v>5304</v>
      </c>
      <c r="AA284" s="15" t="s">
        <v>5293</v>
      </c>
      <c r="AB284" s="10" t="s">
        <v>5303</v>
      </c>
      <c r="AC284" s="15" t="s">
        <v>1932</v>
      </c>
      <c r="AD284" s="10" t="s">
        <v>5302</v>
      </c>
      <c r="AE284" s="15" t="s">
        <v>5294</v>
      </c>
      <c r="AF284" s="10" t="s">
        <v>5301</v>
      </c>
      <c r="AG284" s="15" t="s">
        <v>5295</v>
      </c>
      <c r="AH284" s="10" t="s">
        <v>5300</v>
      </c>
      <c r="AI284" s="15" t="s">
        <v>5296</v>
      </c>
      <c r="AJ284" s="10" t="s">
        <v>5299</v>
      </c>
      <c r="AK284" s="15" t="s">
        <v>2199</v>
      </c>
      <c r="AL284" s="10" t="s">
        <v>5298</v>
      </c>
      <c r="AM284" s="15" t="s">
        <v>2200</v>
      </c>
      <c r="AN284" s="10" t="s">
        <v>5297</v>
      </c>
      <c r="AO284" s="89" t="s">
        <v>5464</v>
      </c>
      <c r="AP284" s="10" t="s">
        <v>5458</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5241</v>
      </c>
      <c r="K285" s="78" t="s">
        <v>5459</v>
      </c>
      <c r="L285" s="10" t="s">
        <v>5460</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5241</v>
      </c>
      <c r="K286" s="78" t="s">
        <v>5459</v>
      </c>
      <c r="L286" s="10" t="s">
        <v>5460</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5377</v>
      </c>
      <c r="G287" s="10" t="s">
        <v>5378</v>
      </c>
      <c r="H287" s="10" t="s">
        <v>2625</v>
      </c>
      <c r="I287" s="10" t="s">
        <v>4360</v>
      </c>
      <c r="K287" s="15" t="s">
        <v>5371</v>
      </c>
      <c r="L287" s="10" t="s">
        <v>5374</v>
      </c>
      <c r="M287" s="15" t="s">
        <v>5372</v>
      </c>
      <c r="N287" s="10" t="s">
        <v>5375</v>
      </c>
      <c r="O287" s="15" t="s">
        <v>5373</v>
      </c>
      <c r="P287" s="10" t="s">
        <v>5376</v>
      </c>
      <c r="Q287" s="15" t="s">
        <v>5379</v>
      </c>
      <c r="R287" s="10" t="s">
        <v>5380</v>
      </c>
      <c r="S287" t="s">
        <v>5481</v>
      </c>
      <c r="U287" t="s">
        <v>5482</v>
      </c>
      <c r="W287" s="89" t="s">
        <v>5464</v>
      </c>
      <c r="X287" s="10" t="s">
        <v>5458</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5241</v>
      </c>
      <c r="K288" s="89" t="s">
        <v>5464</v>
      </c>
      <c r="L288" s="10" t="s">
        <v>5458</v>
      </c>
    </row>
    <row r="289" spans="1:30">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5241</v>
      </c>
      <c r="K289" s="89" t="s">
        <v>5464</v>
      </c>
      <c r="L289" s="10" t="s">
        <v>5458</v>
      </c>
    </row>
    <row r="290" spans="1:30">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5241</v>
      </c>
      <c r="K290" s="89" t="s">
        <v>5464</v>
      </c>
      <c r="L290" s="10" t="s">
        <v>5458</v>
      </c>
    </row>
    <row r="291" spans="1:30">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5462</v>
      </c>
      <c r="G291" s="10" t="s">
        <v>5461</v>
      </c>
      <c r="H291" s="10" t="s">
        <v>5463</v>
      </c>
      <c r="K291" s="78" t="s">
        <v>5465</v>
      </c>
      <c r="L291" s="10" t="s">
        <v>5466</v>
      </c>
      <c r="M291" s="89" t="s">
        <v>5464</v>
      </c>
      <c r="N291" s="10" t="s">
        <v>5458</v>
      </c>
    </row>
    <row r="292" spans="1:30">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5475</v>
      </c>
      <c r="G292" s="10" t="s">
        <v>5476</v>
      </c>
      <c r="H292" s="10" t="s">
        <v>2625</v>
      </c>
      <c r="K292" s="89" t="s">
        <v>5467</v>
      </c>
      <c r="M292" s="15" t="s">
        <v>5468</v>
      </c>
      <c r="N292" s="90"/>
      <c r="O292" s="15" t="s">
        <v>5469</v>
      </c>
      <c r="Q292" s="15" t="s">
        <v>5470</v>
      </c>
      <c r="S292" s="15" t="s">
        <v>5471</v>
      </c>
      <c r="U292" s="15" t="s">
        <v>1933</v>
      </c>
      <c r="W292" s="15" t="s">
        <v>5472</v>
      </c>
      <c r="Y292" s="15" t="s">
        <v>5473</v>
      </c>
      <c r="AA292" s="15" t="s">
        <v>5474</v>
      </c>
      <c r="AC292" s="89" t="s">
        <v>5464</v>
      </c>
      <c r="AD292" s="10" t="s">
        <v>5458</v>
      </c>
    </row>
    <row r="293" spans="1:30">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5475</v>
      </c>
      <c r="G293" s="10" t="s">
        <v>5476</v>
      </c>
      <c r="H293" s="10" t="s">
        <v>2625</v>
      </c>
      <c r="K293" s="89" t="s">
        <v>5477</v>
      </c>
      <c r="M293" s="15" t="s">
        <v>5478</v>
      </c>
      <c r="O293" s="15" t="s">
        <v>5479</v>
      </c>
      <c r="Q293" s="15" t="s">
        <v>5480</v>
      </c>
      <c r="S293" s="89" t="s">
        <v>5464</v>
      </c>
      <c r="T293" s="10" t="s">
        <v>5458</v>
      </c>
    </row>
    <row r="294" spans="1:30">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5241</v>
      </c>
      <c r="K294" s="89" t="s">
        <v>5464</v>
      </c>
      <c r="L294" s="10" t="s">
        <v>5458</v>
      </c>
    </row>
    <row r="295" spans="1:30">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5241</v>
      </c>
      <c r="K295" s="89" t="s">
        <v>5464</v>
      </c>
      <c r="L295" s="10" t="s">
        <v>5458</v>
      </c>
    </row>
    <row r="296" spans="1:30">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5241</v>
      </c>
      <c r="K296" s="89" t="s">
        <v>5464</v>
      </c>
      <c r="L296" s="10" t="s">
        <v>5458</v>
      </c>
    </row>
    <row r="297" spans="1:30">
      <c r="A297" s="10" t="str">
        <f>IF(games!A297="", "", games!A297)</f>
        <v/>
      </c>
      <c r="C297" s="10" t="str">
        <f t="shared" si="12"/>
        <v/>
      </c>
      <c r="D297" s="10" t="str">
        <f t="shared" si="13"/>
        <v/>
      </c>
      <c r="E297" s="11" t="str">
        <f>IF(games!I297&lt;&gt;"", games!I297, "")</f>
        <v/>
      </c>
    </row>
    <row r="298" spans="1:30">
      <c r="A298" s="10" t="str">
        <f>IF(games!A298="", "", games!A298)</f>
        <v/>
      </c>
      <c r="C298" s="10" t="str">
        <f t="shared" si="12"/>
        <v/>
      </c>
      <c r="D298" s="10" t="str">
        <f t="shared" si="13"/>
        <v/>
      </c>
      <c r="E298" s="11" t="str">
        <f>IF(games!I298&lt;&gt;"", games!I298, "")</f>
        <v/>
      </c>
    </row>
    <row r="299" spans="1:30">
      <c r="A299" s="10" t="str">
        <f>IF(games!A299="", "", games!A299)</f>
        <v/>
      </c>
      <c r="C299" s="10" t="str">
        <f t="shared" si="12"/>
        <v/>
      </c>
      <c r="D299" s="10" t="str">
        <f t="shared" si="13"/>
        <v/>
      </c>
      <c r="E299" s="11" t="str">
        <f>IF(games!I299&lt;&gt;"", games!I299, "")</f>
        <v/>
      </c>
    </row>
    <row r="300" spans="1:30">
      <c r="A300" s="10" t="str">
        <f>IF(games!A300="", "", games!A300)</f>
        <v/>
      </c>
      <c r="C300" s="10" t="str">
        <f t="shared" si="12"/>
        <v/>
      </c>
      <c r="D300" s="10" t="str">
        <f t="shared" si="13"/>
        <v/>
      </c>
      <c r="E300" s="11" t="str">
        <f>IF(games!I300&lt;&gt;"", games!I300, "")</f>
        <v/>
      </c>
    </row>
    <row r="301" spans="1:30">
      <c r="A301" s="10" t="str">
        <f>IF(games!A301="", "", games!A301)</f>
        <v/>
      </c>
      <c r="C301" s="10" t="str">
        <f t="shared" si="12"/>
        <v/>
      </c>
      <c r="D301" s="10" t="str">
        <f t="shared" si="13"/>
        <v/>
      </c>
      <c r="E301" s="11" t="str">
        <f>IF(games!I301&lt;&gt;"", games!I301, "")</f>
        <v/>
      </c>
    </row>
    <row r="302" spans="1:30">
      <c r="A302" s="10" t="str">
        <f>IF(games!A302="", "", games!A302)</f>
        <v/>
      </c>
      <c r="C302" s="10" t="str">
        <f t="shared" si="12"/>
        <v/>
      </c>
      <c r="D302" s="10" t="str">
        <f t="shared" si="13"/>
        <v/>
      </c>
      <c r="E302" s="11" t="str">
        <f>IF(games!I302&lt;&gt;"", games!I302, "")</f>
        <v/>
      </c>
    </row>
    <row r="303" spans="1:30">
      <c r="A303" s="10" t="str">
        <f>IF(games!A303="", "", games!A303)</f>
        <v/>
      </c>
      <c r="C303" s="10" t="str">
        <f t="shared" si="12"/>
        <v/>
      </c>
      <c r="D303" s="10" t="str">
        <f t="shared" si="13"/>
        <v/>
      </c>
      <c r="E303" s="11" t="str">
        <f>IF(games!I303&lt;&gt;"", games!I303, "")</f>
        <v/>
      </c>
    </row>
    <row r="304" spans="1:30">
      <c r="C304" s="10" t="str">
        <f t="shared" si="12"/>
        <v/>
      </c>
      <c r="D304" s="10" t="str">
        <f t="shared" si="13"/>
        <v/>
      </c>
      <c r="E304" s="11" t="str">
        <f>IF(games!I304&lt;&gt;"", games!I304, "")</f>
        <v/>
      </c>
    </row>
    <row r="305" spans="3:5">
      <c r="C305" s="10" t="str">
        <f t="shared" si="12"/>
        <v/>
      </c>
      <c r="D305" s="10" t="str">
        <f t="shared" si="13"/>
        <v/>
      </c>
      <c r="E305" s="11" t="str">
        <f>IF(games!I305&lt;&gt;"", games!I305, "")</f>
        <v/>
      </c>
    </row>
    <row r="306" spans="3:5">
      <c r="C306" s="10" t="str">
        <f t="shared" si="12"/>
        <v/>
      </c>
      <c r="D306" s="10" t="str">
        <f t="shared" si="13"/>
        <v/>
      </c>
      <c r="E306" s="11" t="str">
        <f>IF(games!I306&lt;&gt;"", games!I306, "")</f>
        <v/>
      </c>
    </row>
    <row r="307" spans="3:5">
      <c r="C307" s="10" t="str">
        <f t="shared" si="12"/>
        <v/>
      </c>
      <c r="D307" s="10" t="str">
        <f t="shared" si="13"/>
        <v/>
      </c>
      <c r="E307" s="11" t="str">
        <f>IF(games!I307&lt;&gt;"", games!I307, "")</f>
        <v/>
      </c>
    </row>
    <row r="308" spans="3:5">
      <c r="C308" s="10" t="str">
        <f t="shared" si="12"/>
        <v/>
      </c>
      <c r="D308" s="10" t="str">
        <f t="shared" si="13"/>
        <v/>
      </c>
      <c r="E308" s="11" t="str">
        <f>IF(games!I308&lt;&gt;"", games!I308, "")</f>
        <v/>
      </c>
    </row>
    <row r="309" spans="3:5">
      <c r="C309" s="10" t="str">
        <f t="shared" si="12"/>
        <v/>
      </c>
      <c r="D309" s="10" t="str">
        <f t="shared" si="13"/>
        <v/>
      </c>
      <c r="E309" s="11" t="str">
        <f>IF(games!I309&lt;&gt;"", games!I309, "")</f>
        <v/>
      </c>
    </row>
    <row r="310" spans="3:5">
      <c r="C310" s="10" t="str">
        <f t="shared" si="12"/>
        <v/>
      </c>
      <c r="D310" s="10" t="str">
        <f t="shared" si="13"/>
        <v/>
      </c>
      <c r="E310" s="11" t="str">
        <f>IF(games!I310&lt;&gt;"", games!I310, "")</f>
        <v/>
      </c>
    </row>
    <row r="311" spans="3:5">
      <c r="C311" s="10" t="str">
        <f t="shared" si="12"/>
        <v/>
      </c>
      <c r="D311" s="10" t="str">
        <f t="shared" si="13"/>
        <v/>
      </c>
      <c r="E311" s="11" t="str">
        <f>IF(games!I311&lt;&gt;"", games!I311, "")</f>
        <v/>
      </c>
    </row>
    <row r="312" spans="3:5">
      <c r="C312" s="10" t="str">
        <f t="shared" si="12"/>
        <v/>
      </c>
      <c r="D312" s="10" t="str">
        <f t="shared" si="13"/>
        <v/>
      </c>
      <c r="E312" s="11" t="str">
        <f>IF(games!I312&lt;&gt;"", games!I312, "")</f>
        <v/>
      </c>
    </row>
    <row r="313" spans="3:5">
      <c r="C313" s="10" t="str">
        <f t="shared" ref="C313:C376" si="14">IF(A313="","", "giftcodesbanner/" &amp; A313 &amp; "-禮包碼.jpg")</f>
        <v/>
      </c>
      <c r="D313" s="10" t="str">
        <f t="shared" ref="D313:D376" si="15">IF(A313="","", "https://www.ssbuy.tw/gift-codes.html?game="&amp;A313)</f>
        <v/>
      </c>
      <c r="E313" s="11" t="str">
        <f>IF(games!I313&lt;&gt;"", games!I313, "")</f>
        <v/>
      </c>
    </row>
    <row r="314" spans="3:5">
      <c r="C314" s="10" t="str">
        <f t="shared" si="14"/>
        <v/>
      </c>
      <c r="D314" s="10" t="str">
        <f t="shared" si="15"/>
        <v/>
      </c>
      <c r="E314" s="11" t="str">
        <f>IF(games!I314&lt;&gt;"", games!I314, "")</f>
        <v/>
      </c>
    </row>
    <row r="315" spans="3:5">
      <c r="C315" s="10" t="str">
        <f t="shared" si="14"/>
        <v/>
      </c>
      <c r="D315" s="10" t="str">
        <f t="shared" si="15"/>
        <v/>
      </c>
      <c r="E315" s="11" t="str">
        <f>IF(games!I315&lt;&gt;"", games!I315, "")</f>
        <v/>
      </c>
    </row>
    <row r="316" spans="3:5">
      <c r="C316" s="10" t="str">
        <f t="shared" si="14"/>
        <v/>
      </c>
      <c r="D316" s="10" t="str">
        <f t="shared" si="15"/>
        <v/>
      </c>
      <c r="E316" s="11" t="str">
        <f>IF(games!I316&lt;&gt;"", games!I316, "")</f>
        <v/>
      </c>
    </row>
    <row r="317" spans="3:5">
      <c r="C317" s="10" t="str">
        <f t="shared" si="14"/>
        <v/>
      </c>
      <c r="D317" s="10" t="str">
        <f t="shared" si="15"/>
        <v/>
      </c>
      <c r="E317" s="11" t="str">
        <f>IF(games!I317&lt;&gt;"", games!I317, "")</f>
        <v/>
      </c>
    </row>
    <row r="318" spans="3:5">
      <c r="C318" s="10" t="str">
        <f t="shared" si="14"/>
        <v/>
      </c>
      <c r="D318" s="10" t="str">
        <f t="shared" si="15"/>
        <v/>
      </c>
      <c r="E318" s="11" t="str">
        <f>IF(games!I318&lt;&gt;"", games!I318, "")</f>
        <v/>
      </c>
    </row>
    <row r="319" spans="3:5">
      <c r="C319" s="10" t="str">
        <f t="shared" si="14"/>
        <v/>
      </c>
      <c r="D319" s="10" t="str">
        <f t="shared" si="15"/>
        <v/>
      </c>
      <c r="E319" s="11" t="str">
        <f>IF(games!I319&lt;&gt;"", games!I319, "")</f>
        <v/>
      </c>
    </row>
    <row r="320" spans="3:5">
      <c r="C320" s="10" t="str">
        <f t="shared" si="14"/>
        <v/>
      </c>
      <c r="D320" s="10" t="str">
        <f t="shared" si="15"/>
        <v/>
      </c>
      <c r="E320" s="11" t="str">
        <f>IF(games!I320&lt;&gt;"", games!I320, "")</f>
        <v/>
      </c>
    </row>
    <row r="321" spans="3:5">
      <c r="C321" s="10" t="str">
        <f t="shared" si="14"/>
        <v/>
      </c>
      <c r="D321" s="10" t="str">
        <f t="shared" si="15"/>
        <v/>
      </c>
      <c r="E321" s="11" t="str">
        <f>IF(games!I321&lt;&gt;"", games!I321, "")</f>
        <v/>
      </c>
    </row>
    <row r="322" spans="3:5">
      <c r="C322" s="10" t="str">
        <f t="shared" si="14"/>
        <v/>
      </c>
      <c r="D322" s="10" t="str">
        <f t="shared" si="15"/>
        <v/>
      </c>
      <c r="E322" s="11" t="str">
        <f>IF(games!I322&lt;&gt;"", games!I322, "")</f>
        <v/>
      </c>
    </row>
    <row r="323" spans="3:5">
      <c r="C323" s="10" t="str">
        <f t="shared" si="14"/>
        <v/>
      </c>
      <c r="D323" s="10" t="str">
        <f t="shared" si="15"/>
        <v/>
      </c>
      <c r="E323" s="11" t="str">
        <f>IF(games!I323&lt;&gt;"", games!I323, "")</f>
        <v/>
      </c>
    </row>
    <row r="324" spans="3:5">
      <c r="C324" s="10" t="str">
        <f t="shared" si="14"/>
        <v/>
      </c>
      <c r="D324" s="10" t="str">
        <f t="shared" si="15"/>
        <v/>
      </c>
      <c r="E324" s="11" t="str">
        <f>IF(games!I324&lt;&gt;"", games!I324, "")</f>
        <v/>
      </c>
    </row>
    <row r="325" spans="3:5">
      <c r="C325" s="10" t="str">
        <f t="shared" si="14"/>
        <v/>
      </c>
      <c r="D325" s="10" t="str">
        <f t="shared" si="15"/>
        <v/>
      </c>
      <c r="E325" s="11" t="str">
        <f>IF(games!I325&lt;&gt;"", games!I325, "")</f>
        <v/>
      </c>
    </row>
    <row r="326" spans="3:5">
      <c r="C326" s="10" t="str">
        <f t="shared" si="14"/>
        <v/>
      </c>
      <c r="D326" s="10" t="str">
        <f t="shared" si="15"/>
        <v/>
      </c>
      <c r="E326" s="11" t="str">
        <f>IF(games!I326&lt;&gt;"", games!I326, "")</f>
        <v/>
      </c>
    </row>
    <row r="327" spans="3:5">
      <c r="C327" s="10" t="str">
        <f t="shared" si="14"/>
        <v/>
      </c>
      <c r="D327" s="10" t="str">
        <f t="shared" si="15"/>
        <v/>
      </c>
      <c r="E327" s="11" t="str">
        <f>IF(games!I327&lt;&gt;"", games!I327, "")</f>
        <v/>
      </c>
    </row>
    <row r="328" spans="3:5">
      <c r="C328" s="10" t="str">
        <f t="shared" si="14"/>
        <v/>
      </c>
      <c r="D328" s="10" t="str">
        <f t="shared" si="15"/>
        <v/>
      </c>
      <c r="E328" s="11" t="str">
        <f>IF(games!I328&lt;&gt;"", games!I328, "")</f>
        <v/>
      </c>
    </row>
    <row r="329" spans="3:5">
      <c r="C329" s="10" t="str">
        <f t="shared" si="14"/>
        <v/>
      </c>
      <c r="D329" s="10" t="str">
        <f t="shared" si="15"/>
        <v/>
      </c>
      <c r="E329" s="11" t="str">
        <f>IF(games!I329&lt;&gt;"", games!I329, "")</f>
        <v/>
      </c>
    </row>
    <row r="330" spans="3:5">
      <c r="C330" s="10" t="str">
        <f t="shared" si="14"/>
        <v/>
      </c>
      <c r="D330" s="10" t="str">
        <f t="shared" si="15"/>
        <v/>
      </c>
      <c r="E330" s="11" t="str">
        <f>IF(games!I330&lt;&gt;"", games!I330, "")</f>
        <v/>
      </c>
    </row>
    <row r="331" spans="3:5">
      <c r="C331" s="10" t="str">
        <f t="shared" si="14"/>
        <v/>
      </c>
      <c r="D331" s="10" t="str">
        <f t="shared" si="15"/>
        <v/>
      </c>
      <c r="E331" s="11" t="str">
        <f>IF(games!I331&lt;&gt;"", games!I331, "")</f>
        <v/>
      </c>
    </row>
    <row r="332" spans="3:5">
      <c r="C332" s="10" t="str">
        <f t="shared" si="14"/>
        <v/>
      </c>
      <c r="D332" s="10" t="str">
        <f t="shared" si="15"/>
        <v/>
      </c>
      <c r="E332" s="11" t="str">
        <f>IF(games!I332&lt;&gt;"", games!I332, "")</f>
        <v/>
      </c>
    </row>
    <row r="333" spans="3:5">
      <c r="C333" s="10" t="str">
        <f t="shared" si="14"/>
        <v/>
      </c>
      <c r="D333" s="10" t="str">
        <f t="shared" si="15"/>
        <v/>
      </c>
      <c r="E333" s="11" t="str">
        <f>IF(games!I333&lt;&gt;"", games!I333, "")</f>
        <v/>
      </c>
    </row>
    <row r="334" spans="3:5">
      <c r="C334" s="10" t="str">
        <f t="shared" si="14"/>
        <v/>
      </c>
      <c r="D334" s="10" t="str">
        <f t="shared" si="15"/>
        <v/>
      </c>
      <c r="E334" s="11" t="str">
        <f>IF(games!I334&lt;&gt;"", games!I334, "")</f>
        <v/>
      </c>
    </row>
    <row r="335" spans="3:5">
      <c r="C335" s="10" t="str">
        <f t="shared" si="14"/>
        <v/>
      </c>
      <c r="D335" s="10" t="str">
        <f t="shared" si="15"/>
        <v/>
      </c>
      <c r="E335" s="11" t="str">
        <f>IF(games!I335&lt;&gt;"", games!I335, "")</f>
        <v/>
      </c>
    </row>
    <row r="336" spans="3:5">
      <c r="C336" s="10" t="str">
        <f t="shared" si="14"/>
        <v/>
      </c>
      <c r="D336" s="10" t="str">
        <f t="shared" si="15"/>
        <v/>
      </c>
      <c r="E336" s="11" t="str">
        <f>IF(games!I336&lt;&gt;"", games!I336, "")</f>
        <v/>
      </c>
    </row>
    <row r="337" spans="3:5">
      <c r="C337" s="10" t="str">
        <f t="shared" si="14"/>
        <v/>
      </c>
      <c r="D337" s="10" t="str">
        <f t="shared" si="15"/>
        <v/>
      </c>
      <c r="E337" s="11" t="str">
        <f>IF(games!I337&lt;&gt;"", games!I337, "")</f>
        <v/>
      </c>
    </row>
    <row r="338" spans="3:5">
      <c r="C338" s="10" t="str">
        <f t="shared" si="14"/>
        <v/>
      </c>
      <c r="D338" s="10" t="str">
        <f t="shared" si="15"/>
        <v/>
      </c>
      <c r="E338" s="11" t="str">
        <f>IF(games!I338&lt;&gt;"", games!I338, "")</f>
        <v/>
      </c>
    </row>
    <row r="339" spans="3:5">
      <c r="C339" s="10" t="str">
        <f t="shared" si="14"/>
        <v/>
      </c>
      <c r="D339" s="10" t="str">
        <f t="shared" si="15"/>
        <v/>
      </c>
      <c r="E339" s="11" t="str">
        <f>IF(games!I339&lt;&gt;"", games!I339, "")</f>
        <v/>
      </c>
    </row>
    <row r="340" spans="3:5">
      <c r="C340" s="10" t="str">
        <f t="shared" si="14"/>
        <v/>
      </c>
      <c r="D340" s="10" t="str">
        <f t="shared" si="15"/>
        <v/>
      </c>
      <c r="E340" s="11" t="str">
        <f>IF(games!I340&lt;&gt;"", games!I340, "")</f>
        <v/>
      </c>
    </row>
    <row r="341" spans="3:5">
      <c r="C341" s="10" t="str">
        <f t="shared" si="14"/>
        <v/>
      </c>
      <c r="D341" s="10" t="str">
        <f t="shared" si="15"/>
        <v/>
      </c>
      <c r="E341" s="11" t="str">
        <f>IF(games!I341&lt;&gt;"", games!I341, "")</f>
        <v/>
      </c>
    </row>
    <row r="342" spans="3:5">
      <c r="C342" s="10" t="str">
        <f t="shared" si="14"/>
        <v/>
      </c>
      <c r="D342" s="10" t="str">
        <f t="shared" si="15"/>
        <v/>
      </c>
      <c r="E342" s="11" t="str">
        <f>IF(games!I342&lt;&gt;"", games!I342, "")</f>
        <v/>
      </c>
    </row>
    <row r="343" spans="3:5">
      <c r="C343" s="10" t="str">
        <f t="shared" si="14"/>
        <v/>
      </c>
      <c r="D343" s="10" t="str">
        <f t="shared" si="15"/>
        <v/>
      </c>
      <c r="E343" s="11" t="str">
        <f>IF(games!I343&lt;&gt;"", games!I343, "")</f>
        <v/>
      </c>
    </row>
    <row r="344" spans="3:5">
      <c r="C344" s="10" t="str">
        <f t="shared" si="14"/>
        <v/>
      </c>
      <c r="D344" s="10" t="str">
        <f t="shared" si="15"/>
        <v/>
      </c>
      <c r="E344" s="11" t="str">
        <f>IF(games!I344&lt;&gt;"", games!I344, "")</f>
        <v/>
      </c>
    </row>
    <row r="345" spans="3:5">
      <c r="C345" s="10" t="str">
        <f t="shared" si="14"/>
        <v/>
      </c>
      <c r="D345" s="10" t="str">
        <f t="shared" si="15"/>
        <v/>
      </c>
      <c r="E345" s="11" t="str">
        <f>IF(games!I345&lt;&gt;"", games!I345, "")</f>
        <v/>
      </c>
    </row>
    <row r="346" spans="3:5">
      <c r="C346" s="10" t="str">
        <f t="shared" si="14"/>
        <v/>
      </c>
      <c r="D346" s="10" t="str">
        <f t="shared" si="15"/>
        <v/>
      </c>
      <c r="E346" s="11" t="str">
        <f>IF(games!I346&lt;&gt;"", games!I346, "")</f>
        <v/>
      </c>
    </row>
    <row r="347" spans="3:5">
      <c r="C347" s="10" t="str">
        <f t="shared" si="14"/>
        <v/>
      </c>
      <c r="D347" s="10" t="str">
        <f t="shared" si="15"/>
        <v/>
      </c>
      <c r="E347" s="11" t="str">
        <f>IF(games!I347&lt;&gt;"", games!I347, "")</f>
        <v/>
      </c>
    </row>
    <row r="348" spans="3:5">
      <c r="C348" s="10" t="str">
        <f t="shared" si="14"/>
        <v/>
      </c>
      <c r="D348" s="10" t="str">
        <f t="shared" si="15"/>
        <v/>
      </c>
      <c r="E348" s="11" t="str">
        <f>IF(games!I348&lt;&gt;"", games!I348, "")</f>
        <v/>
      </c>
    </row>
    <row r="349" spans="3:5">
      <c r="C349" s="10" t="str">
        <f t="shared" si="14"/>
        <v/>
      </c>
      <c r="D349" s="10" t="str">
        <f t="shared" si="15"/>
        <v/>
      </c>
      <c r="E349" s="11" t="str">
        <f>IF(games!I349&lt;&gt;"", games!I349, "")</f>
        <v/>
      </c>
    </row>
    <row r="350" spans="3:5">
      <c r="C350" s="10" t="str">
        <f t="shared" si="14"/>
        <v/>
      </c>
      <c r="D350" s="10" t="str">
        <f t="shared" si="15"/>
        <v/>
      </c>
      <c r="E350" s="11" t="str">
        <f>IF(games!I350&lt;&gt;"", games!I350, "")</f>
        <v/>
      </c>
    </row>
    <row r="351" spans="3:5">
      <c r="C351" s="10" t="str">
        <f t="shared" si="14"/>
        <v/>
      </c>
      <c r="D351" s="10" t="str">
        <f t="shared" si="15"/>
        <v/>
      </c>
      <c r="E351" s="11" t="str">
        <f>IF(games!I351&lt;&gt;"", games!I351, "")</f>
        <v/>
      </c>
    </row>
    <row r="352" spans="3:5">
      <c r="C352" s="10" t="str">
        <f t="shared" si="14"/>
        <v/>
      </c>
      <c r="D352" s="10" t="str">
        <f t="shared" si="15"/>
        <v/>
      </c>
      <c r="E352" s="11" t="str">
        <f>IF(games!I352&lt;&gt;"", games!I352, "")</f>
        <v/>
      </c>
    </row>
    <row r="353" spans="3:5">
      <c r="C353" s="10" t="str">
        <f t="shared" si="14"/>
        <v/>
      </c>
      <c r="D353" s="10" t="str">
        <f t="shared" si="15"/>
        <v/>
      </c>
      <c r="E353" s="11" t="str">
        <f>IF(games!I353&lt;&gt;"", games!I353, "")</f>
        <v/>
      </c>
    </row>
    <row r="354" spans="3:5">
      <c r="C354" s="10" t="str">
        <f t="shared" si="14"/>
        <v/>
      </c>
      <c r="D354" s="10" t="str">
        <f t="shared" si="15"/>
        <v/>
      </c>
      <c r="E354" s="11" t="str">
        <f>IF(games!I354&lt;&gt;"", games!I354, "")</f>
        <v/>
      </c>
    </row>
    <row r="355" spans="3:5">
      <c r="C355" s="10" t="str">
        <f t="shared" si="14"/>
        <v/>
      </c>
      <c r="D355" s="10" t="str">
        <f t="shared" si="15"/>
        <v/>
      </c>
      <c r="E355" s="11" t="str">
        <f>IF(games!I355&lt;&gt;"", games!I355, "")</f>
        <v/>
      </c>
    </row>
    <row r="356" spans="3:5">
      <c r="C356" s="10" t="str">
        <f t="shared" si="14"/>
        <v/>
      </c>
      <c r="D356" s="10" t="str">
        <f t="shared" si="15"/>
        <v/>
      </c>
      <c r="E356" s="11" t="str">
        <f>IF(games!I356&lt;&gt;"", games!I356, "")</f>
        <v/>
      </c>
    </row>
    <row r="357" spans="3:5">
      <c r="C357" s="10" t="str">
        <f t="shared" si="14"/>
        <v/>
      </c>
      <c r="D357" s="10" t="str">
        <f t="shared" si="15"/>
        <v/>
      </c>
      <c r="E357" s="11" t="str">
        <f>IF(games!I357&lt;&gt;"", games!I357, "")</f>
        <v/>
      </c>
    </row>
    <row r="358" spans="3:5">
      <c r="C358" s="10" t="str">
        <f t="shared" si="14"/>
        <v/>
      </c>
      <c r="D358" s="10" t="str">
        <f t="shared" si="15"/>
        <v/>
      </c>
      <c r="E358" s="11" t="str">
        <f>IF(games!I358&lt;&gt;"", games!I358, "")</f>
        <v/>
      </c>
    </row>
    <row r="359" spans="3:5">
      <c r="C359" s="10" t="str">
        <f t="shared" si="14"/>
        <v/>
      </c>
      <c r="D359" s="10" t="str">
        <f t="shared" si="15"/>
        <v/>
      </c>
      <c r="E359" s="11" t="str">
        <f>IF(games!I359&lt;&gt;"", games!I359, "")</f>
        <v/>
      </c>
    </row>
    <row r="360" spans="3:5">
      <c r="C360" s="10" t="str">
        <f t="shared" si="14"/>
        <v/>
      </c>
      <c r="D360" s="10" t="str">
        <f t="shared" si="15"/>
        <v/>
      </c>
      <c r="E360" s="11" t="str">
        <f>IF(games!I360&lt;&gt;"", games!I360, "")</f>
        <v/>
      </c>
    </row>
    <row r="361" spans="3:5">
      <c r="C361" s="10" t="str">
        <f t="shared" si="14"/>
        <v/>
      </c>
      <c r="D361" s="10" t="str">
        <f t="shared" si="15"/>
        <v/>
      </c>
      <c r="E361" s="11" t="str">
        <f>IF(games!I361&lt;&gt;"", games!I361, "")</f>
        <v/>
      </c>
    </row>
    <row r="362" spans="3:5">
      <c r="C362" s="10" t="str">
        <f t="shared" si="14"/>
        <v/>
      </c>
      <c r="D362" s="10" t="str">
        <f t="shared" si="15"/>
        <v/>
      </c>
      <c r="E362" s="11" t="str">
        <f>IF(games!I362&lt;&gt;"", games!I362, "")</f>
        <v/>
      </c>
    </row>
    <row r="363" spans="3:5">
      <c r="C363" s="10" t="str">
        <f t="shared" si="14"/>
        <v/>
      </c>
      <c r="D363" s="10" t="str">
        <f t="shared" si="15"/>
        <v/>
      </c>
      <c r="E363" s="11" t="str">
        <f>IF(games!I363&lt;&gt;"", games!I363, "")</f>
        <v/>
      </c>
    </row>
    <row r="364" spans="3:5">
      <c r="C364" s="10" t="str">
        <f t="shared" si="14"/>
        <v/>
      </c>
      <c r="D364" s="10" t="str">
        <f t="shared" si="15"/>
        <v/>
      </c>
      <c r="E364" s="11" t="str">
        <f>IF(games!I364&lt;&gt;"", games!I364, "")</f>
        <v/>
      </c>
    </row>
    <row r="365" spans="3:5">
      <c r="C365" s="10" t="str">
        <f t="shared" si="14"/>
        <v/>
      </c>
      <c r="D365" s="10" t="str">
        <f t="shared" si="15"/>
        <v/>
      </c>
      <c r="E365" s="11" t="str">
        <f>IF(games!I365&lt;&gt;"", games!I365, "")</f>
        <v/>
      </c>
    </row>
    <row r="366" spans="3:5">
      <c r="C366" s="10" t="str">
        <f t="shared" si="14"/>
        <v/>
      </c>
      <c r="D366" s="10" t="str">
        <f t="shared" si="15"/>
        <v/>
      </c>
      <c r="E366" s="11" t="str">
        <f>IF(games!I366&lt;&gt;"", games!I366, "")</f>
        <v/>
      </c>
    </row>
    <row r="367" spans="3:5">
      <c r="C367" s="10" t="str">
        <f t="shared" si="14"/>
        <v/>
      </c>
      <c r="D367" s="10" t="str">
        <f t="shared" si="15"/>
        <v/>
      </c>
      <c r="E367" s="11" t="str">
        <f>IF(games!I367&lt;&gt;"", games!I367, "")</f>
        <v/>
      </c>
    </row>
    <row r="368" spans="3: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si="14"/>
        <v/>
      </c>
      <c r="D373" s="10" t="str">
        <f t="shared" si="15"/>
        <v/>
      </c>
      <c r="E373" s="11" t="str">
        <f>IF(games!I373&lt;&gt;"", games!I373, "")</f>
        <v/>
      </c>
    </row>
    <row r="374" spans="3:5">
      <c r="C374" s="10" t="str">
        <f t="shared" si="14"/>
        <v/>
      </c>
      <c r="D374" s="10" t="str">
        <f t="shared" si="15"/>
        <v/>
      </c>
      <c r="E374" s="11" t="str">
        <f>IF(games!I374&lt;&gt;"", games!I374, "")</f>
        <v/>
      </c>
    </row>
    <row r="375" spans="3:5">
      <c r="C375" s="10" t="str">
        <f t="shared" si="14"/>
        <v/>
      </c>
      <c r="D375" s="10" t="str">
        <f t="shared" si="15"/>
        <v/>
      </c>
      <c r="E375" s="11" t="str">
        <f>IF(games!I375&lt;&gt;"", games!I375, "")</f>
        <v/>
      </c>
    </row>
    <row r="376" spans="3:5">
      <c r="C376" s="10" t="str">
        <f t="shared" si="14"/>
        <v/>
      </c>
      <c r="D376" s="10" t="str">
        <f t="shared" si="15"/>
        <v/>
      </c>
      <c r="E376" s="11" t="str">
        <f>IF(games!I376&lt;&gt;"", games!I376, "")</f>
        <v/>
      </c>
    </row>
    <row r="377" spans="3:5">
      <c r="C377" s="10" t="str">
        <f t="shared" ref="C377:C435" si="16">IF(A377="","", "giftcodesbanner/" &amp; A377 &amp; "-禮包碼.jpg")</f>
        <v/>
      </c>
      <c r="D377" s="10" t="str">
        <f t="shared" ref="D377:D435" si="17">IF(A377="","", "https://www.ssbuy.tw/gift-codes.html?game="&amp;A377)</f>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c r="E396" s="11" t="str">
        <f>IF(games!I396&lt;&gt;"", games!I396, "")</f>
        <v/>
      </c>
    </row>
    <row r="397" spans="3:5">
      <c r="C397" s="10" t="str">
        <f t="shared" si="16"/>
        <v/>
      </c>
      <c r="D397" s="10" t="str">
        <f t="shared" si="17"/>
        <v/>
      </c>
      <c r="E397" s="11" t="str">
        <f>IF(games!I397&lt;&gt;"", games!I397, "")</f>
        <v/>
      </c>
    </row>
    <row r="398" spans="3:5">
      <c r="C398" s="10" t="str">
        <f t="shared" si="16"/>
        <v/>
      </c>
      <c r="D398" s="10" t="str">
        <f t="shared" si="17"/>
        <v/>
      </c>
      <c r="E398" s="11" t="str">
        <f>IF(games!I398&lt;&gt;"", games!I398, "")</f>
        <v/>
      </c>
    </row>
    <row r="399" spans="3:5">
      <c r="C399" s="10" t="str">
        <f t="shared" si="16"/>
        <v/>
      </c>
      <c r="D399" s="10" t="str">
        <f t="shared" si="17"/>
        <v/>
      </c>
      <c r="E399" s="11" t="str">
        <f>IF(games!I399&lt;&gt;"", games!I399, "")</f>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row r="432" spans="3:4">
      <c r="C432" s="10" t="str">
        <f t="shared" si="16"/>
        <v/>
      </c>
      <c r="D432" s="10" t="str">
        <f t="shared" si="17"/>
        <v/>
      </c>
    </row>
    <row r="433" spans="3:4">
      <c r="C433" s="10" t="str">
        <f t="shared" si="16"/>
        <v/>
      </c>
      <c r="D433" s="10" t="str">
        <f t="shared" si="17"/>
        <v/>
      </c>
    </row>
    <row r="434" spans="3:4">
      <c r="C434" s="10" t="str">
        <f t="shared" si="16"/>
        <v/>
      </c>
      <c r="D434" s="10" t="str">
        <f t="shared" si="17"/>
        <v/>
      </c>
    </row>
    <row r="435" spans="3:4">
      <c r="C435" s="10" t="str">
        <f t="shared" si="16"/>
        <v/>
      </c>
      <c r="D435"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K285" r:id="rId10"/>
    <hyperlink ref="K286" r:id="rId11"/>
    <hyperlink ref="M291" r:id="rId12"/>
    <hyperlink ref="K288" r:id="rId13"/>
    <hyperlink ref="K289" r:id="rId14"/>
    <hyperlink ref="K290" r:id="rId15"/>
    <hyperlink ref="K294" r:id="rId16"/>
    <hyperlink ref="K295" r:id="rId17"/>
    <hyperlink ref="K296" r:id="rId18"/>
    <hyperlink ref="AC292" r:id="rId19"/>
    <hyperlink ref="S293" r:id="rId20"/>
    <hyperlink ref="W287" r:id="rId21"/>
    <hyperlink ref="AO284" r:id="rId22"/>
    <hyperlink ref="AI283" r:id="rId23"/>
    <hyperlink ref="AG279" r:id="rId24"/>
    <hyperlink ref="O278" r:id="rId25"/>
    <hyperlink ref="K277" r:id="rId26"/>
    <hyperlink ref="Q276" r:id="rId27"/>
    <hyperlink ref="AA275" r:id="rId28"/>
    <hyperlink ref="Q274" r:id="rId29"/>
  </hyperlinks>
  <pageMargins left="0.7" right="0.7" top="0.75" bottom="0.75" header="0.3" footer="0.3"/>
  <pageSetup paperSize="9" orientation="portrait" r:id="rId3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2025-11-06T08:31:41Z</dcterms:modified>
</cp:coreProperties>
</file>