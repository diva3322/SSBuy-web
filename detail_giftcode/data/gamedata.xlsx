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03" i="3" l="1"/>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<sst xmlns="http://schemas.openxmlformats.org/spreadsheetml/2006/main" count="8447" uniqueCount="5755">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</sst>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printerSettings" Target="../printerSettings/printerSettings2.bin"/><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tabSelected="1" zoomScaleNormal="100" workbookViewId="0">
      <pane xSplit="1" ySplit="1" topLeftCell="K306" activePane="bottomRight" state="frozen"/>
      <selection pane="topRight" activeCell="B1" sqref="B1"/>
      <selection pane="bottomLeft" activeCell="A2" sqref="A2"/>
      <selection pane="bottomRight" activeCell="Z311" sqref="Z311:AA311"/>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5704</v>
      </c>
      <c r="M291" s="59">
        <v>2585</v>
      </c>
      <c r="N291" s="1" t="s">
        <v>5705</v>
      </c>
      <c r="O291" s="59">
        <v>1295</v>
      </c>
      <c r="P291" s="1" t="s">
        <v>5706</v>
      </c>
      <c r="Q291" s="59">
        <v>800</v>
      </c>
      <c r="R291" s="1" t="s">
        <v>5707</v>
      </c>
      <c r="S291" s="59">
        <v>400</v>
      </c>
      <c r="T291" s="1" t="s">
        <v>5708</v>
      </c>
      <c r="U291" s="59">
        <v>139</v>
      </c>
      <c r="V291" s="1" t="s">
        <v>5709</v>
      </c>
      <c r="W291" s="59">
        <v>29</v>
      </c>
      <c r="X291" s="1" t="s">
        <v>5710</v>
      </c>
      <c r="Y291" s="59">
        <v>533</v>
      </c>
      <c r="Z291" s="1" t="s">
        <v>5711</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5748</v>
      </c>
      <c r="M311" s="59">
        <v>2591</v>
      </c>
      <c r="N311" s="1" t="s">
        <v>5749</v>
      </c>
      <c r="O311" s="59">
        <v>1315</v>
      </c>
      <c r="P311" s="1" t="s">
        <v>5750</v>
      </c>
      <c r="Q311" s="59">
        <v>882</v>
      </c>
      <c r="R311" s="1" t="s">
        <v>5751</v>
      </c>
      <c r="S311" s="59">
        <v>437</v>
      </c>
      <c r="T311" s="1" t="s">
        <v>5752</v>
      </c>
      <c r="U311" s="59">
        <v>158</v>
      </c>
      <c r="V311" s="1" t="s">
        <v>5753</v>
      </c>
      <c r="W311" s="59">
        <v>32</v>
      </c>
      <c r="X311" s="1" t="s">
        <v>98</v>
      </c>
      <c r="Y311" s="59">
        <v>158</v>
      </c>
      <c r="Z311" s="1" t="s">
        <v>5754</v>
      </c>
      <c r="AA311" s="59">
        <v>93</v>
      </c>
      <c r="AB311" s="1"/>
      <c r="AC311" s="59"/>
      <c r="AD311" s="1"/>
      <c r="AE311" s="59"/>
    </row>
    <row r="312" spans="1:31" ht="22.5" customHeight="1" thickBot="1">
      <c r="A312" s="93" t="s">
        <v>5736</v>
      </c>
      <c r="C312" s="37" t="s">
        <v>5733</v>
      </c>
      <c r="D312" s="38" t="s">
        <v>5734</v>
      </c>
      <c r="E312" s="38" t="s">
        <v>5735</v>
      </c>
      <c r="F312" s="37" t="str">
        <f t="shared" ref="F312:F375" si="14">IF(A312="", "", "gift-codes.html?game=" &amp; A312)</f>
        <v>gift-codes.html?game=英雄來搞鬼</v>
      </c>
      <c r="G312" s="2" t="s">
        <v>5737</v>
      </c>
      <c r="H312" s="38" t="str">
        <f t="shared" ref="H312:H375" si="15">IF(A312="", "", "https://www.ssbuy.tw/game-detail.html?game="&amp;A312)</f>
        <v>https://www.ssbuy.tw/game-detail.html?game=英雄來搞鬼</v>
      </c>
      <c r="I312" s="39" t="s">
        <v>5738</v>
      </c>
      <c r="J312" s="2" t="s">
        <v>5424</v>
      </c>
      <c r="K312" s="88" t="s">
        <v>5454</v>
      </c>
      <c r="L312" s="1" t="s">
        <v>5739</v>
      </c>
      <c r="M312" s="59">
        <v>2851</v>
      </c>
      <c r="N312" s="1" t="s">
        <v>5740</v>
      </c>
      <c r="O312" s="59">
        <v>1492</v>
      </c>
      <c r="P312" s="1" t="s">
        <v>5741</v>
      </c>
      <c r="Q312" s="59">
        <v>882</v>
      </c>
      <c r="R312" s="1" t="s">
        <v>5742</v>
      </c>
      <c r="S312" s="59">
        <v>775</v>
      </c>
      <c r="T312" s="1" t="s">
        <v>5743</v>
      </c>
      <c r="U312" s="59">
        <v>597</v>
      </c>
      <c r="V312" s="1" t="s">
        <v>5744</v>
      </c>
      <c r="W312" s="59">
        <v>437</v>
      </c>
      <c r="X312" s="1" t="s">
        <v>5745</v>
      </c>
      <c r="Y312" s="59">
        <v>294</v>
      </c>
      <c r="Z312" s="1" t="s">
        <v>5746</v>
      </c>
      <c r="AA312" s="59">
        <v>224</v>
      </c>
      <c r="AB312" s="1" t="s">
        <v>5747</v>
      </c>
      <c r="AC312" s="59">
        <v>158</v>
      </c>
    </row>
    <row r="313" spans="1:31" ht="22.5" customHeight="1">
      <c r="F313" s="37" t="str">
        <f t="shared" si="14"/>
        <v/>
      </c>
      <c r="H313" s="38" t="str">
        <f t="shared" si="15"/>
        <v/>
      </c>
    </row>
    <row r="314" spans="1:31" ht="22.5" customHeight="1">
      <c r="F314" s="37" t="str">
        <f t="shared" si="14"/>
        <v/>
      </c>
      <c r="H314" s="38" t="str">
        <f t="shared" si="15"/>
        <v/>
      </c>
    </row>
    <row r="315" spans="1:31" ht="22.5" customHeight="1">
      <c r="F315" s="37" t="str">
        <f t="shared" si="14"/>
        <v/>
      </c>
      <c r="H315" s="38" t="str">
        <f t="shared" si="15"/>
        <v/>
      </c>
    </row>
    <row r="316" spans="1:31" ht="22.5" customHeight="1">
      <c r="F316" s="37" t="str">
        <f t="shared" si="14"/>
        <v/>
      </c>
      <c r="H316" s="38" t="str">
        <f t="shared" si="15"/>
        <v/>
      </c>
    </row>
    <row r="317" spans="1:31" ht="22.5" customHeight="1">
      <c r="F317" s="37" t="str">
        <f t="shared" si="14"/>
        <v/>
      </c>
      <c r="H317" s="38" t="str">
        <f t="shared" si="15"/>
        <v/>
      </c>
    </row>
    <row r="318" spans="1:31" ht="22.5" customHeight="1">
      <c r="F318" s="37" t="str">
        <f t="shared" si="14"/>
        <v/>
      </c>
      <c r="H318" s="38" t="str">
        <f t="shared" si="15"/>
        <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s>
  <pageMargins left="0.7" right="0.7" top="0.75" bottom="0.75" header="0.3" footer="0.3"/>
  <pageSetup paperSize="9" orientation="portrait" r:id="rId29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workbookViewId="0">
      <pane xSplit="1" ySplit="1" topLeftCell="E300" activePane="bottomRight" state="frozen"/>
      <selection pane="topRight" activeCell="B1" sqref="B1"/>
      <selection pane="bottomLeft" activeCell="A2" sqref="A2"/>
      <selection pane="bottomRight" activeCell="H321" sqref="H321"/>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5722</v>
      </c>
      <c r="AN190" s="10" t="s">
        <v>5723</v>
      </c>
      <c r="AO190" s="15" t="s">
        <v>5712</v>
      </c>
      <c r="AP190" s="10" t="s">
        <v>5713</v>
      </c>
      <c r="AQ190" s="15" t="s">
        <v>5714</v>
      </c>
      <c r="AR190" s="10" t="s">
        <v>5715</v>
      </c>
      <c r="AS190" s="15" t="s">
        <v>5716</v>
      </c>
      <c r="AT190" s="10" t="s">
        <v>5717</v>
      </c>
      <c r="AU190" s="15" t="s">
        <v>5718</v>
      </c>
      <c r="AV190" s="10" t="s">
        <v>5719</v>
      </c>
      <c r="AW190" s="15" t="s">
        <v>5720</v>
      </c>
      <c r="AX190" s="10" t="s">
        <v>5721</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5725</v>
      </c>
      <c r="AM296" s="15" t="s">
        <v>5726</v>
      </c>
      <c r="AO296" s="15" t="s">
        <v>5727</v>
      </c>
      <c r="AQ296" s="15" t="s">
        <v>5728</v>
      </c>
      <c r="AS296" s="89" t="s">
        <v>5724</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16">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16">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16">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16">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16">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5238</v>
      </c>
      <c r="K309" s="89" t="s">
        <v>5510</v>
      </c>
      <c r="L309" s="10" t="s">
        <v>5511</v>
      </c>
    </row>
    <row r="310" spans="1:16">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16">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16">
      <c r="A312" s="10" t="str">
        <f>IF(games!A312="", "", games!A312)</f>
        <v>英雄來搞鬼</v>
      </c>
      <c r="C312" s="10" t="str">
        <f t="shared" ref="C312:C375" si="14">IF(A312="","", "giftcodesbanner/" &amp; A312 &amp; "-禮包碼.jpg")</f>
        <v>giftcodesbanner/英雄來搞鬼-禮包碼.jpg</v>
      </c>
      <c r="D312" s="10" t="str">
        <f t="shared" ref="D312:D375"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5731</v>
      </c>
      <c r="G312" s="10" t="s">
        <v>5732</v>
      </c>
      <c r="H312" s="10" t="s">
        <v>2625</v>
      </c>
      <c r="K312" s="89" t="s">
        <v>5510</v>
      </c>
      <c r="L312" s="10" t="s">
        <v>5511</v>
      </c>
      <c r="M312" s="15" t="s">
        <v>5729</v>
      </c>
      <c r="N312" s="10" t="s">
        <v>5730</v>
      </c>
    </row>
    <row r="313" spans="1:16">
      <c r="A313" s="10" t="str">
        <f>IF(games!A313="", "", games!A313)</f>
        <v/>
      </c>
      <c r="C313" s="10" t="str">
        <f t="shared" si="14"/>
        <v/>
      </c>
      <c r="D313" s="10" t="str">
        <f t="shared" si="15"/>
        <v/>
      </c>
      <c r="E313" s="11" t="str">
        <f>IF(games!I313&lt;&gt;"", games!I313, "")</f>
        <v/>
      </c>
    </row>
    <row r="314" spans="1:16">
      <c r="A314" s="10" t="str">
        <f>IF(games!A314="", "", games!A314)</f>
        <v/>
      </c>
      <c r="C314" s="10" t="str">
        <f t="shared" si="14"/>
        <v/>
      </c>
      <c r="D314" s="10" t="str">
        <f t="shared" si="15"/>
        <v/>
      </c>
      <c r="E314" s="11" t="str">
        <f>IF(games!I314&lt;&gt;"", games!I314, "")</f>
        <v/>
      </c>
    </row>
    <row r="315" spans="1:16">
      <c r="A315" s="10" t="str">
        <f>IF(games!A315="", "", games!A315)</f>
        <v/>
      </c>
      <c r="C315" s="10" t="str">
        <f t="shared" si="14"/>
        <v/>
      </c>
      <c r="D315" s="10" t="str">
        <f t="shared" si="15"/>
        <v/>
      </c>
      <c r="E315" s="11" t="str">
        <f>IF(games!I315&lt;&gt;"", games!I315, "")</f>
        <v/>
      </c>
    </row>
    <row r="316" spans="1:16">
      <c r="A316" s="10" t="str">
        <f>IF(games!A316="", "", games!A316)</f>
        <v/>
      </c>
      <c r="C316" s="10" t="str">
        <f t="shared" si="14"/>
        <v/>
      </c>
      <c r="D316" s="10" t="str">
        <f t="shared" si="15"/>
        <v/>
      </c>
      <c r="E316" s="11" t="str">
        <f>IF(games!I316&lt;&gt;"", games!I316, "")</f>
        <v/>
      </c>
    </row>
    <row r="317" spans="1:16">
      <c r="A317" s="10" t="str">
        <f>IF(games!A317="", "", games!A317)</f>
        <v/>
      </c>
      <c r="C317" s="10" t="str">
        <f t="shared" si="14"/>
        <v/>
      </c>
      <c r="D317" s="10" t="str">
        <f t="shared" si="15"/>
        <v/>
      </c>
      <c r="E317" s="11" t="str">
        <f>IF(games!I317&lt;&gt;"", games!I317, "")</f>
        <v/>
      </c>
    </row>
    <row r="318" spans="1:16">
      <c r="A318" s="10" t="str">
        <f>IF(games!A318="", "", games!A318)</f>
        <v/>
      </c>
      <c r="C318" s="10" t="str">
        <f t="shared" si="14"/>
        <v/>
      </c>
      <c r="D318" s="10" t="str">
        <f t="shared" si="15"/>
        <v/>
      </c>
      <c r="E318" s="11" t="str">
        <f>IF(games!I318&lt;&gt;"", games!I318, "")</f>
        <v/>
      </c>
    </row>
    <row r="319" spans="1:16">
      <c r="A319" s="10" t="str">
        <f>IF(games!A319="", "", games!A319)</f>
        <v/>
      </c>
      <c r="C319" s="10" t="str">
        <f t="shared" si="14"/>
        <v/>
      </c>
      <c r="D319" s="10" t="str">
        <f t="shared" si="15"/>
        <v/>
      </c>
      <c r="E319" s="11" t="str">
        <f>IF(games!I319&lt;&gt;"", games!I319, "")</f>
        <v/>
      </c>
    </row>
    <row r="320" spans="1:16">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A368" s="10" t="str">
        <f>IF(games!A368="", "", games!A368)</f>
        <v/>
      </c>
      <c r="C368" s="10" t="str">
        <f t="shared" si="14"/>
        <v/>
      </c>
      <c r="D368" s="10" t="str">
        <f t="shared" si="15"/>
        <v/>
      </c>
      <c r="E368" s="11" t="str">
        <f>IF(games!I368&lt;&gt;"", games!I368, "")</f>
        <v/>
      </c>
    </row>
    <row r="369" spans="1:5">
      <c r="A369" s="10" t="str">
        <f>IF(games!A369="", "", games!A369)</f>
        <v/>
      </c>
      <c r="C369" s="10" t="str">
        <f t="shared" si="14"/>
        <v/>
      </c>
      <c r="D369" s="10" t="str">
        <f t="shared" si="15"/>
        <v/>
      </c>
      <c r="E369" s="11" t="str">
        <f>IF(games!I369&lt;&gt;"", games!I369, "")</f>
        <v/>
      </c>
    </row>
    <row r="370" spans="1:5">
      <c r="A370" s="10" t="str">
        <f>IF(games!A370="", "", games!A370)</f>
        <v/>
      </c>
      <c r="C370" s="10" t="str">
        <f t="shared" si="14"/>
        <v/>
      </c>
      <c r="D370" s="10" t="str">
        <f t="shared" si="15"/>
        <v/>
      </c>
      <c r="E370" s="11" t="str">
        <f>IF(games!I370&lt;&gt;"", games!I370, "")</f>
        <v/>
      </c>
    </row>
    <row r="371" spans="1:5">
      <c r="C371" s="10" t="str">
        <f t="shared" si="14"/>
        <v/>
      </c>
      <c r="D371" s="10" t="str">
        <f t="shared" si="15"/>
        <v/>
      </c>
      <c r="E371" s="11" t="str">
        <f>IF(games!I371&lt;&gt;"", games!I371, "")</f>
        <v/>
      </c>
    </row>
    <row r="372" spans="1:5">
      <c r="C372" s="10" t="str">
        <f t="shared" si="14"/>
        <v/>
      </c>
      <c r="D372" s="10" t="str">
        <f t="shared" si="15"/>
        <v/>
      </c>
      <c r="E372" s="11" t="str">
        <f>IF(games!I372&lt;&gt;"", games!I372, "")</f>
        <v/>
      </c>
    </row>
    <row r="373" spans="1:5">
      <c r="C373" s="10" t="str">
        <f t="shared" si="14"/>
        <v/>
      </c>
      <c r="D373" s="10" t="str">
        <f t="shared" si="15"/>
        <v/>
      </c>
      <c r="E373" s="11" t="str">
        <f>IF(games!I373&lt;&gt;"", games!I373, "")</f>
        <v/>
      </c>
    </row>
    <row r="374" spans="1:5">
      <c r="C374" s="10" t="str">
        <f t="shared" si="14"/>
        <v/>
      </c>
      <c r="D374" s="10" t="str">
        <f t="shared" si="15"/>
        <v/>
      </c>
      <c r="E374" s="11" t="str">
        <f>IF(games!I374&lt;&gt;"", games!I374, "")</f>
        <v/>
      </c>
    </row>
    <row r="375" spans="1:5">
      <c r="C375" s="10" t="str">
        <f t="shared" si="14"/>
        <v/>
      </c>
      <c r="D375" s="10" t="str">
        <f t="shared" si="15"/>
        <v/>
      </c>
      <c r="E375" s="11" t="str">
        <f>IF(games!I375&lt;&gt;"", games!I375, "")</f>
        <v/>
      </c>
    </row>
    <row r="376" spans="1:5">
      <c r="C376" s="10" t="str">
        <f t="shared" ref="C376:C434" si="16">IF(A376="","", "giftcodesbanner/" &amp; A376 &amp; "-禮包碼.jpg")</f>
        <v/>
      </c>
      <c r="D376" s="10" t="str">
        <f t="shared" ref="D376:D434" si="17">IF(A376="","", "https://www.ssbuy.tw/gift-codes.html?game="&amp;A376)</f>
        <v/>
      </c>
      <c r="E376" s="11" t="str">
        <f>IF(games!I376&lt;&gt;"", games!I376, "")</f>
        <v/>
      </c>
    </row>
    <row r="377" spans="1:5">
      <c r="C377" s="10" t="str">
        <f t="shared" si="16"/>
        <v/>
      </c>
      <c r="D377" s="10" t="str">
        <f t="shared" si="17"/>
        <v/>
      </c>
      <c r="E377" s="11" t="str">
        <f>IF(games!I377&lt;&gt;"", games!I377, "")</f>
        <v/>
      </c>
    </row>
    <row r="378" spans="1:5">
      <c r="C378" s="10" t="str">
        <f t="shared" si="16"/>
        <v/>
      </c>
      <c r="D378" s="10" t="str">
        <f t="shared" si="17"/>
        <v/>
      </c>
      <c r="E378" s="11" t="str">
        <f>IF(games!I378&lt;&gt;"", games!I378, "")</f>
        <v/>
      </c>
    </row>
    <row r="379" spans="1:5">
      <c r="C379" s="10" t="str">
        <f t="shared" si="16"/>
        <v/>
      </c>
      <c r="D379" s="10" t="str">
        <f t="shared" si="17"/>
        <v/>
      </c>
      <c r="E379" s="11" t="str">
        <f>IF(games!I379&lt;&gt;"", games!I379, "")</f>
        <v/>
      </c>
    </row>
    <row r="380" spans="1:5">
      <c r="C380" s="10" t="str">
        <f t="shared" si="16"/>
        <v/>
      </c>
      <c r="D380" s="10" t="str">
        <f t="shared" si="17"/>
        <v/>
      </c>
      <c r="E380" s="11" t="str">
        <f>IF(games!I380&lt;&gt;"", games!I380, "")</f>
        <v/>
      </c>
    </row>
    <row r="381" spans="1:5">
      <c r="C381" s="10" t="str">
        <f t="shared" si="16"/>
        <v/>
      </c>
      <c r="D381" s="10" t="str">
        <f t="shared" si="17"/>
        <v/>
      </c>
      <c r="E381" s="11" t="str">
        <f>IF(games!I381&lt;&gt;"", games!I381, "")</f>
        <v/>
      </c>
    </row>
    <row r="382" spans="1:5">
      <c r="C382" s="10" t="str">
        <f t="shared" si="16"/>
        <v/>
      </c>
      <c r="D382" s="10" t="str">
        <f t="shared" si="17"/>
        <v/>
      </c>
      <c r="E382" s="11" t="str">
        <f>IF(games!I382&lt;&gt;"", games!I382, "")</f>
        <v/>
      </c>
    </row>
    <row r="383" spans="1:5">
      <c r="C383" s="10" t="str">
        <f t="shared" si="16"/>
        <v/>
      </c>
      <c r="D383" s="10" t="str">
        <f t="shared" si="17"/>
        <v/>
      </c>
      <c r="E383" s="11" t="str">
        <f>IF(games!I383&lt;&gt;"", games!I383, "")</f>
        <v/>
      </c>
    </row>
    <row r="384" spans="1: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s>
  <pageMargins left="0.7" right="0.7" top="0.75" bottom="0.75" header="0.3" footer="0.3"/>
  <pageSetup paperSize="9" orientation="portrait" r:id="rId4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2025-11-20T14:41:01Z</dcterms:modified>
</cp:coreProperties>
</file>