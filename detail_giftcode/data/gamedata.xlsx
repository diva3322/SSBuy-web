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18" i="3" l="1"/>
  <c r="A319" i="3"/>
  <c r="A303" i="3" l="1"/>
  <c r="A304" i="3"/>
  <c r="A305" i="3"/>
  <c r="A306" i="3"/>
  <c r="A307" i="3"/>
  <c r="A308" i="3"/>
  <c r="A309" i="3"/>
  <c r="A310" i="3"/>
  <c r="A311" i="3"/>
  <c r="A312" i="3"/>
  <c r="A313" i="3"/>
  <c r="A314" i="3"/>
  <c r="A315" i="3"/>
  <c r="A316" i="3"/>
  <c r="A317"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<sst xmlns="http://schemas.openxmlformats.org/spreadsheetml/2006/main" count="8606" uniqueCount="5871">
  <si>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</si>
  <si>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</si>
  <si>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</si>
  <si>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</si>
  <si>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</si>
  <si>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</si>
  <si>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</si>
  <si>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</si>
  <si>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</si>
  <si>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</si>
  <si>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</si>
  <si>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</si>
  <si>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</si>
  <si>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</si>
  <si>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</si>
  <si>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</si>
  <si>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</si>
  <si>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</si>
  <si>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</si>
  <si>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</si>
  <si>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</si>
  <si>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</si>
  <si>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</si>
  <si>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</si>
  <si>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</si>
  <si>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</si>
  <si>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</si>
  <si>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</si>
  <si>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</si>
  <si>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</si>
  <si>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</si>
  <si>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</si>
  <si>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</si>
  <si>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</si>
  <si>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</si>
  <si>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</si>
  <si>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</si>
  <si>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</si>
  <si>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</si>
  <si>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</si>
  <si>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</si>
  <si>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</si>
  <si>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</si>
  <si>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</si>
  <si>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</si>
  <si>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</si>
  <si>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</si>
  <si>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</si>
  <si>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</si>
  <si>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</si>
  <si>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</si>
  <si>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</si>
  <si>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</si>
  <si>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</si>
  <si>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</si>
  <si>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</si>
  <si>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</si>
  <si>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</si>
  <si>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</si>
  <si>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</si>
  <si>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</si>
  <si>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</si>
  <si>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</si>
  <si>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</si>
  <si>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</si>
  <si>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</si>
  <si>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</si>
  <si>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</si>
  <si>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</si>
  <si>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</si>
  <si>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</si>
  <si>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</si>
  <si>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</si>
  <si>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</si>
  <si>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</si>
  <si>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</si>
  <si>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</si>
  <si>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</si>
  <si>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</si>
  <si>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</si>
  <si>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</si>
  <si>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</si>
  <si>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</si>
  <si>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</si>
  <si>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</si>
  <si>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</si>
  <si>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</si>
  <si>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</si>
  <si>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</si>
  <si>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</si>
  <si>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</si>
  <si>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</si>
  <si>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</si>
  <si>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</si>
  <si>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</si>
  <si>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</si>
  <si>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</si>
  <si>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</si>
  <si>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</si>
  <si>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</si>
  <si>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</si>
  <si>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</si>
  <si>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</si>
  <si>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</si>
  <si>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</si>
  <si>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</si>
  <si>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</si>
  <si>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</si>
  <si>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</si>
  <si>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</si>
  <si>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</si>
  <si>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</si>
  <si>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</si>
  <si>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</si>
  <si>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</si>
  <si>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</si>
  <si>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</si>
  <si>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</si>
  <si>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</si>
  <si>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</si>
  <si>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</si>
  <si>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</si>
  <si>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</si>
  <si>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</si>
  <si>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</si>
  <si>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</si>
  <si>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</si>
  <si>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</si>
  <si>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</si>
  <si>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</si>
  <si>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</si>
  <si>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</si>
  <si>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</si>
  <si>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</si>
  <si>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</si>
  <si>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</si>
  <si>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</si>
  <si>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</si>
  <si>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</si>
  <si>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</si>
  <si>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</si>
  <si>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</si>
  <si>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</si>
  <si>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</si>
  <si>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</si>
  <si>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</si>
  <si>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</si>
  <si>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</si>
  <si>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</si>
  <si>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</si>
  <si>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</si>
  <si>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</si>
  <si>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</si>
  <si>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</si>
  <si>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</si>
  <si>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</si>
  <si>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</si>
  <si>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</si>
  <si>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</si>
  <si>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</si>
  <si>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</si>
  <si>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</si>
  <si>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</si>
  <si>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</si>
  <si>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</si>
  <si>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</si>
  <si>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</si>
  <si>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</si>
  <si>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</si>
  <si>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</si>
  <si>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</si>
  <si>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</si>
  <si>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</si>
  <si>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</si>
  <si>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</si>
  <si>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</si>
  <si>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</si>
  <si>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</si>
  <si>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</si>
  <si>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</si>
  <si>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</si>
  <si>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</si>
  <si>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</si>
  <si>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</si>
  <si>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</si>
  <si>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</si>
  <si>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</si>
  <si>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</si>
  <si>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</si>
  <si>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</si>
  <si>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</si>
  <si>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</si>
  <si>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</si>
  <si>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</si>
  <si>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</si>
  <si>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</si>
  <si>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</si>
  <si>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</si>
  <si>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</si>
  <si>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</si>
  <si>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</si>
  <si>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</si>
  <si>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</si>
  <si>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</si>
  <si>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</si>
  <si>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</si>
  <si>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</si>
  <si>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</si>
  <si>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</si>
  <si>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</si>
  <si>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</si>
  <si>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</si>
  <si>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</si>
  <si>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</si>
  <si>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</si>
  <si>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</si>
  <si>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</si>
  <si>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</si>
  <si>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</si>
  <si>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</si>
  <si>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</si>
  <si>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</si>
  <si>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</si>
  <si>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</si>
  <si>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</si>
  <si>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</si>
  <si>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</si>
  <si>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</si>
  <si>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</si>
  <si>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</si>
  <si>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</si>
  <si>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</si>
  <si>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</si>
  <si>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</si>
  <si>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</si>
  <si>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</si>
  <si>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</si>
  <si>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</si>
  <si>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</si>
  <si>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</si>
  <si>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</si>
  <si>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</si>
  <si>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</si>
  <si>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</si>
  <si>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</si>
  <si>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</si>
  <si>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</si>
  <si>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</si>
  <si>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</si>
  <si>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</si>
  <si>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</si>
  <si>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</si>
  <si>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</si>
  <si>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</si>
  <si>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</si>
  <si>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</si>
  <si>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</si>
  <si>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</si>
  <si>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</si>
  <si>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</si>
  <si>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</si>
  <si>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</si>
  <si>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</si>
  <si>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</si>
  <si>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</si>
  <si>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</si>
  <si>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</si>
  <si>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</si>
  <si>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</si>
  <si>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</si>
  <si>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</si>
  <si>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</si>
  <si>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</si>
  <si>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</si>
  <si>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</si>
  <si>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</si>
  <si>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</si>
  <si>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</si>
  <si>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</si>
  <si>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</si>
  <si>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</si>
  <si>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</si>
  <si>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</si>
  <si>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</si>
  <si>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</si>
  <si>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</si>
  <si>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</si>
  <si>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</si>
  <si>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</si>
  <si>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</si>
  <si>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</si>
  <si>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</si>
  <si>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</si>
  <si>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</si>
  <si>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</si>
  <si>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</si>
  <si>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</si>
  <si>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</si>
  <si>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</si>
  <si>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</si>
  <si>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</si>
  <si>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</si>
  <si>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</si>
  <si>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</si>
  <si>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</si>
  <si>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</si>
  <si>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</si>
  <si>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</si>
  <si>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</si>
  <si>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</si>
  <si>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</si>
  <si>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</si>
  <si>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</si>
  <si>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</si>
  <si>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</si>
  <si>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</si>
  <si>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</si>
  <si>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</si>
  <si>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</si>
  <si>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</si>
  <si>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</si>
  <si>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</si>
  <si>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</si>
  <si>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</si>
  <si>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</si>
  <si>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</si>
  <si>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</si>
  <si>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</si>
  <si>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</si>
  <si>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</si>
  <si>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</si>
  <si>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</si>
  <si>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</si>
  <si>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</si>
  <si>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</si>
  <si>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</si>
  <si>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</si>
  <si>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</si>
  <si>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</si>
  <si>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</si>
  <si>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</si>
  <si>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</si>
  <si>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</si>
  <si>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</si>
  <si>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</si>
  <si>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</si>
  <si>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</si>
  <si>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</si>
  <si>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</si>
  <si>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</si>
  <si>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</si>
  <si>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</si>
  <si>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</si>
  <si>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</si>
  <si>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</si>
  <si>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</si>
  <si>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</si>
  <si>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</si>
  <si>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</si>
  <si>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</si>
  <si>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</si>
  <si>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</si>
  <si>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</si>
  <si>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</si>
  <si>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</si>
  <si>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</si>
  <si>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</si>
  <si>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</si>
  <si>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</si>
  <si>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</si>
  <si>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</si>
  <si>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</si>
  <si>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</si>
  <si>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</si>
  <si>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</si>
  <si>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</si>
  <si>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</si>
  <si>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</si>
  <si>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</si>
  <si>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</si>
  <si>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</si>
  <si>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</si>
  <si>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</si>
  <si>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</si>
  <si>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</si>
  <si>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</si>
  <si>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</si>
  <si>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</si>
  <si>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</si>
  <si>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</si>
  <si>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</si>
  <si>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</si>
  <si>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</si>
  <si>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</si>
  <si>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</si>
  <si>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</si>
  <si>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</si>
  <si>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</si>
  <si>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</si>
  <si>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</si>
  <si>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</si>
  <si>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</si>
  <si>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</si>
  <si>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</si>
  <si>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</si>
  <si>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</si>
  <si>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</si>
  <si>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</si>
  <si>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</si>
  <si>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</si>
  <si>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</si>
  <si>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</si>
  <si>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</si>
  <si>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</si>
  <si>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</si>
  <si>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</si>
  <si>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</si>
  <si>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</si>
  <si>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</si>
  <si>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</si>
  <si>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</si>
  <si>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</si>
  <si>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</si>
  <si>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</si>
  <si>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</si>
  <si>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</si>
  <si>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</si>
  <si>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</si>
  <si>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</si>
  <si>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</si>
  <si>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</si>
  <si>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</si>
  <si>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</si>
  <si>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</si>
  <si>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</si>
  <si>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</si>
  <si>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</si>
  <si>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</si>
  <si>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</si>
  <si>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</si>
  <si>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</si>
  <si>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</si>
  <si>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</si>
  <si>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</si>
  <si>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</si>
  <si>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</si>
  <si>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</si>
  <si>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</si>
  <si>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</si>
  <si>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</si>
  <si>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</si>
  <si>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</si>
  <si>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</si>
  <si>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</si>
  <si>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</si>
  <si>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</si>
  <si>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</si>
  <si>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</si>
  <si>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</si>
  <si>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</si>
  <si>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</si>
  <si>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</si>
  <si>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</si>
  <si>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</si>
  <si>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</si>
  <si>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</si>
  <si>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</si>
  <si>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</si>
  <si>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</si>
  <si>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</si>
  <si>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</si>
  <si>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</si>
  <si>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</si>
  <si>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</si>
  <si>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</si>
  <si>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</si>
  <si>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</si>
  <si>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</si>
  <si>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</si>
  <si>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</si>
  <si>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</si>
  <si>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</si>
  <si>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</si>
  <si>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</si>
  <si>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</si>
  <si>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</si>
  <si>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</si>
  <si>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</si>
  <si>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</si>
  <si>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</si>
  <si>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</si>
  <si>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</si>
  <si>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</si>
  <si>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</si>
  <si>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</si>
  <si>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</si>
  <si>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</si>
  <si>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</si>
  <si>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</si>
  <si>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</si>
  <si>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</si>
  <si>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</si>
  <si>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</si>
  <si>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</si>
  <si>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</si>
  <si>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</si>
  <si>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</si>
  <si>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</si>
  <si>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</si>
  <si>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</si>
  <si>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</si>
  <si>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</si>
  <si>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</si>
  <si>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</si>
  <si>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</si>
  <si>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</si>
  <si>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</si>
  <si>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</si>
  <si>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</si>
  <si>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</si>
  <si>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</si>
  <si>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</si>
  <si>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</si>
  <si>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</si>
  <si>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</si>
  <si>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</si>
  <si>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</si>
  <si>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</si>
  <si>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</si>
  <si>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</si>
  <si>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</si>
  <si>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</si>
  <si>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</si>
  <si>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</si>
  <si>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</si>
  <si>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</si>
  <si>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</si>
  <si>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</si>
  <si>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</si>
  <si>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</si>
  <si>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</si>
  <si>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</si>
  <si>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</si>
  <si>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</si>
  <si>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</si>
  <si>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</si>
  <si>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</si>
  <si>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</si>
  <si>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</si>
  <si>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</si>
  <si>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</si>
  <si>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</si>
  <si>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</si>
  <si>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</si>
  <si>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</si>
  <si>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</si>
  <si>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</si>
  <si>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</si>
  <si>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</si>
  <si>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</si>
  <si>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</si>
  <si>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</si>
  <si>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</si>
  <si>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</si>
  <si>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</si>
  <si>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</si>
  <si>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</si>
  <si>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</si>
  <si>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</si>
  <si>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</si>
  <si>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</si>
  <si>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</si>
  <si>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</si>
  <si>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</si>
  <si>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</si>
  <si>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</si>
  <si>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</si>
  <si>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</si>
  <si>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</si>
  <si>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</si>
  <si>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</si>
  <si>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</si>
  <si>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</si>
  <si>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</si>
  <si>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</si>
  <si>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</si>
  <si>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</si>
  <si>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</si>
  <si>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</si>
  <si>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</si>
  <si>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</si>
  <si>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</si>
  <si>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</si>
  <si>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</si>
  <si>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</si>
  <si>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</si>
  <si>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</si>
  <si>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</si>
  <si>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</si>
  <si>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</si>
  <si>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</si>
  <si>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</si>
  <si>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</si>
  <si>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</si>
  <si>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</si>
  <si>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</si>
  <si>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</si>
  <si>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</si>
  <si>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</si>
  <si>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</si>
  <si>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</si>
  <si>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</si>
  <si>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</si>
  <si>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</si>
  <si>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</si>
  <si>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</si>
  <si>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</si>
  <si>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</si>
  <si>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</si>
  <si>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</si>
  <si>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</si>
  <si>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</si>
  <si>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</si>
  <si>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</si>
  <si>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</si>
  <si>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</si>
  <si>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</si>
  <si>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</si>
  <si>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</si>
  <si>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</si>
  <si>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</si>
  <si>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</si>
  <si>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</si>
  <si>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</si>
  <si>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</si>
  <si>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</si>
  <si>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</si>
  <si>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</si>
  <si>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</si>
  <si>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</si>
  <si>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</si>
  <si>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</si>
  <si>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</si>
  <si>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</si>
  <si>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</si>
  <si>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</si>
  <si>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</si>
  <si>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</si>
  <si>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</si>
  <si>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</si>
  <si>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</si>
  <si>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</si>
  <si>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</si>
  <si>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</si>
  <si>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</si>
  <si>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</si>
  <si>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</si>
  <si>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</si>
  <si>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</si>
  <si>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</si>
  <si>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</si>
  <si>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</si>
  <si>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</si>
  <si>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</si>
  <si>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</si>
  <si>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</si>
  <si>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</si>
  <si>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</si>
  <si>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</si>
  <si>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</si>
  <si>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</si>
  <si>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</si>
  <si>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</si>
  <si>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</si>
  <si>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</si>
  <si>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</si>
  <si>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</si>
  <si>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</si>
  <si>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</si>
  <si>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</si>
  <si>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</si>
  <si>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</si>
  <si>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</si>
  <si>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</si>
  <si>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</si>
  <si>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</si>
  <si>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</si>
  <si>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</si>
  <si>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</si>
  <si>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</si>
  <si>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</si>
  <si>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</si>
  <si>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</si>
  <si>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</si>
  <si>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</si>
  <si>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</si>
  <si>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</si>
  <si>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</si>
  <si>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</si>
  <si>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</si>
  <si>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</si>
  <si>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</si>
  <si>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</si>
  <si>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</si>
  <si>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</si>
  <si>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</si>
  <si>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</si>
  <si>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</si>
  <si>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</si>
  <si>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</si>
  <si>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</si>
  <si>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</si>
  <si>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</si>
  <si>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</si>
  <si>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</si>
  <si>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</si>
  <si>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</si>
  <si>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</si>
  <si>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</si>
  <si>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</si>
  <si>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</si>
  <si>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</si>
  <si>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</si>
  <si>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</si>
  <si>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</si>
  <si>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</si>
  <si>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</si>
  <si>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</si>
  <si>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</si>
  <si>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</si>
  <si>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</si>
  <si>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</si>
  <si>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</si>
  <si>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</si>
  <si>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</si>
  <si>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</si>
  <si>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</si>
  <si>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</si>
  <si>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</si>
  <si>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</si>
  <si>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</si>
  <si>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</si>
  <si>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</si>
  <si>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</si>
  <si>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</si>
  <si>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</si>
  <si>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</si>
  <si>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</si>
  <si>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</si>
  <si>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</si>
  <si>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</si>
  <si>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</si>
  <si>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</si>
  <si>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</si>
  <si>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</si>
  <si>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</si>
  <si>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</si>
  <si>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</si>
  <si>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</si>
  <si>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</si>
  <si>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</si>
  <si>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</si>
  <si>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</si>
  <si>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</si>
  <si>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</si>
  <si>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</si>
  <si>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</si>
  <si>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</si>
  <si>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</si>
  <si>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</si>
  <si>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</si>
  <si>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</si>
  <si>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</si>
  <si>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</si>
  <si>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</si>
  <si>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</si>
  <si>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</si>
  <si>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</si>
  <si>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</si>
  <si>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</si>
  <si>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</si>
  <si>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</si>
  <si>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</si>
  <si>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</si>
  <si>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</si>
  <si>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</si>
  <si>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</si>
  <si>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</si>
  <si>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</si>
  <si>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</si>
  <si>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</si>
  <si>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</si>
  <si>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</si>
  <si>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</si>
  <si>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</si>
  <si>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</si>
  <si>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</si>
  <si>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</si>
  <si>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</si>
  <si>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</si>
  <si>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</si>
  <si>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</si>
  <si>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</si>
  <si>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</si>
  <si>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</si>
  <si>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</si>
  <si>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</si>
  <si>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</si>
  <si>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</si>
  <si>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</si>
  <si>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</si>
  <si>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</si>
  <si>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</si>
  <si>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</si>
  <si>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</si>
  <si>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</si>
  <si>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</si>
  <si>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</si>
  <si>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</si>
  <si>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</si>
  <si>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</si>
  <si>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</si>
  <si>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</si>
  <si>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</si>
  <si>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</si>
  <si>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</si>
  <si>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</si>
  <si>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</si>
  <si>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</si>
  <si>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</si>
  <si>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</si>
  <si>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</si>
  <si>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</si>
  <si>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</si>
  <si>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</si>
  <si>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</si>
  <si>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</si>
  <si>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</si>
  <si>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</si>
  <si>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</si>
  <si>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</si>
  <si>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</si>
  <si>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</si>
  <si>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</si>
  <si>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</si>
  <si>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</si>
  <si>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</si>
  <si>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</si>
  <si>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</si>
  <si>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</si>
  <si>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</si>
  <si>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</si>
  <si>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</si>
  <si>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</si>
  <si>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</si>
  <si>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</si>
  <si>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</si>
  <si>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</si>
  <si>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</si>
  <si>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</si>
  <si>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</si>
  <si>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</si>
  <si>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</si>
  <si>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</si>
  <si>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</si>
  <si>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</si>
  <si>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</si>
  <si>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</si>
  <si>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</si>
  <si>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</si>
  <si>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</si>
  <si>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</si>
  <si>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</si>
  <si>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</si>
  <si>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</si>
  <si>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</si>
  <si>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</si>
  <si>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</si>
  <si>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</si>
  <si>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</si>
  <si>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</si>
  <si>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</si>
  <si>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</si>
  <si>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</si>
  <si>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</si>
  <si>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</si>
  <si>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</si>
  <si>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</si>
  <si>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</si>
  <si>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</si>
  <si>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</si>
  <si>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</si>
  <si>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</si>
  <si>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</si>
  <si>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</si>
  <si>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</si>
  <si>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</si>
  <si>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</si>
  <si>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</si>
  <si>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</si>
  <si>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</si>
  <si>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</si>
  <si>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</si>
  <si>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</si>
  <si>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</si>
  <si>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</si>
  <si>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</si>
  <si>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</si>
  <si>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</si>
  <si>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</si>
  <si>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</si>
  <si>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</si>
  <si>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</si>
  <si>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</si>
  <si>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</si>
  <si>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</si>
  <si>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</si>
  <si>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</si>
  <si>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</si>
  <si>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</si>
  <si>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</si>
  <si>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</si>
  <si>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</si>
  <si>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</si>
  <si>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</si>
  <si>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</si>
  <si>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</si>
  <si>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</si>
  <si>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</si>
  <si>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</si>
  <si>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</si>
  <si>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</si>
  <si>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</si>
  <si>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</si>
  <si>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</si>
  <si>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</si>
  <si>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</si>
  <si>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</si>
  <si>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</si>
  <si>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</si>
  <si>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</si>
  <si>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</si>
  <si>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</si>
  <si>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</si>
  <si>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</si>
  <si>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</si>
  <si>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</si>
  <si>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</si>
  <si>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</si>
  <si>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</si>
  <si>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</si>
  <si>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</si>
  <si>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</si>
  <si>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</si>
  <si>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</si>
  <si>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</si>
  <si>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</si>
  <si>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</si>
  <si>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</si>
  <si>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</si>
  <si>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</si>
  <si>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</si>
  <si>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</si>
  <si>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</si>
  <si>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</si>
  <si>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</si>
  <si>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</si>
  <si>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</si>
  <si>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</si>
  <si>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</si>
  <si>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</si>
  <si>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</si>
  <si>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</si>
  <si>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</si>
  <si>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</si>
  <si>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</si>
  <si>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</si>
  <si>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</si>
  <si>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</si>
  <si>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</si>
  <si>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</si>
  <si>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</si>
  <si>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</si>
  <si>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</si>
  <si>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</si>
  <si>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</si>
  <si>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</si>
  <si>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</si>
  <si>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</si>
  <si>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</si>
  <si>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</si>
  <si>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</si>
  <si>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</si>
  <si>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</si>
  <si>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</si>
  <si>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</si>
  <si>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</si>
  <si>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</si>
  <si>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</si>
  <si>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</si>
  <si>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</si>
  <si>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</si>
  <si>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</si>
  <si>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</si>
  <si>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</si>
  <si>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</si>
  <si>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</si>
  <si>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</si>
  <si>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</si>
  <si>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</si>
  <si>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</si>
  <si>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</si>
  <si>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</si>
  <si>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</si>
  <si>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</si>
  <si>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</si>
  <si>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</si>
  <si>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</si>
  <si>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</si>
  <si>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</si>
  <si>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</si>
  <si>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</si>
  <si>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</si>
  <si>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</si>
  <si>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</si>
  <si>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</si>
  <si>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</si>
  <si>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</si>
  <si>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</si>
  <si>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</si>
  <si>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</si>
  <si>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</si>
  <si>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</si>
  <si>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</si>
  <si>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</si>
  <si>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</si>
  <si>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</si>
  <si>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</si>
  <si>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</si>
  <si>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</si>
  <si>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</si>
  <si>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</si>
  <si>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</si>
  <si>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</si>
  <si>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</si>
  <si>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</si>
  <si>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</si>
  <si>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</si>
  <si>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</si>
  <si>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</si>
  <si>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</si>
  <si>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</si>
  <si>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</si>
  <si>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</si>
  <si>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</si>
  <si>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</si>
  <si>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</si>
  <si>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</si>
  <si>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</si>
  <si>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</si>
  <si>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</si>
  <si>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</si>
  <si>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</si>
  <si>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</si>
  <si>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</si>
  <si>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</si>
  <si>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</si>
  <si>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</si>
  <si>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</si>
  <si>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</si>
  <si>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</si>
  <si>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</si>
  <si>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</si>
  <si>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</si>
  <si>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</si>
  <si>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</si>
  <si>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</si>
  <si>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</si>
  <si>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</si>
  <si>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</si>
  <si>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</si>
  <si>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</si>
  <si>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</si>
  <si>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</si>
  <si>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</si>
  <si>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</si>
  <si>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</si>
  <si>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</si>
  <si>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</si>
  <si>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</si>
  <si>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</si>
  <si>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</si>
  <si>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</si>
  <si>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</si>
  <si>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</si>
  <si>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</si>
  <si>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</si>
  <si>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</si>
  <si>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</si>
  <si>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</si>
  <si>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</si>
  <si>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</si>
  <si>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</si>
  <si>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</si>
  <si>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</si>
  <si>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</si>
  <si>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</si>
  <si>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</si>
  <si>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</si>
  <si>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</si>
  <si>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</si>
  <si>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</si>
  <si>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</si>
  <si>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</si>
  <si>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</si>
  <si>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</si>
  <si>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</si>
  <si>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</si>
  <si>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</si>
  <si>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</si>
  <si>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</si>
  <si>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</si>
  <si>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</si>
  <si>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</si>
  <si>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</si>
  <si>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</si>
  <si>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</si>
  <si>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</si>
  <si>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</si>
  <si>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</si>
  <si>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</si>
  <si>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</si>
  <si>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</si>
  <si>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</si>
  <si>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</si>
  <si>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</si>
  <si>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</si>
  <si>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</si>
  <si>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</si>
  <si>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</si>
  <si>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</si>
  <si>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</si>
  <si>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</si>
  <si>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</si>
  <si>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</si>
  <si>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</si>
  <si>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</si>
  <si>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</si>
  <si>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</si>
  <si>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</si>
  <si>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</si>
  <si>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</si>
  <si>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</si>
  <si>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</si>
  <si>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</si>
  <si>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</si>
  <si>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</si>
  <si>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</si>
  <si>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</si>
  <si>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</si>
  <si>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</si>
  <si>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</si>
  <si>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</si>
  <si>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</si>
  <si>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</si>
  <si>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</si>
  <si>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</si>
  <si>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</si>
  <si>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</si>
  <si>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</si>
  <si>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</si>
  <si>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</si>
  <si>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</si>
  <si>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</si>
  <si>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</si>
  <si>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</si>
  <si>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</si>
  <si>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</si>
  <si>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</si>
  <si>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</si>
  <si>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</si>
  <si>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</si>
  <si>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</si>
  <si>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</si>
  <si>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</si>
  <si>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</si>
  <si>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</si>
  <si>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</si>
  <si>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</si>
  <si>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</si>
  <si>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</si>
  <si>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</si>
  <si>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</si>
  <si>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</si>
  <si>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</si>
  <si>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</si>
  <si>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</si>
  <si>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</si>
  <si>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</si>
  <si>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</si>
  <si>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</si>
  <si>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</si>
  <si>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</si>
  <si>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</si>
  <si>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</si>
  <si>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</si>
  <si>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</si>
  <si>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</si>
  <si>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</si>
  <si>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</si>
  <si>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</si>
  <si>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</si>
  <si>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</si>
  <si>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</si>
  <si>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</si>
  <si>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</si>
  <si>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</si>
  <si>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</si>
  <si>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</si>
  <si>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</si>
  <si>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</si>
  <si>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</si>
  <si>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</si>
  <si>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</si>
  <si>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</si>
  <si>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</si>
  <si>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</si>
  <si>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</si>
  <si>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</si>
  <si>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</si>
  <si>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</si>
  <si>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</si>
  <si>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</si>
  <si>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</si>
  <si>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</si>
  <si>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</si>
  <si>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</si>
  <si>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</si>
  <si>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</si>
  <si>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</si>
  <si>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</si>
  <si>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</si>
  <si>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</si>
  <si>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</si>
  <si>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</si>
  <si>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</si>
  <si>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</si>
  <si>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</si>
  <si>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</si>
  <si>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</si>
  <si>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</si>
  <si>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</si>
  <si>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</si>
  <si>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</si>
  <si>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</si>
  <si>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</si>
  <si>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</si>
  <si>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</si>
  <si>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</si>
  <si>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</si>
  <si>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</si>
  <si>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</si>
  <si>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</si>
  <si>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</si>
  <si>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</si>
  <si>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</si>
  <si>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</si>
  <si>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</si>
  <si>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</si>
  <si>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</si>
  <si>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</si>
  <si>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</si>
  <si>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</si>
  <si>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</si>
  <si>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</si>
  <si>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</si>
  <si>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</si>
  <si>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</si>
  <si>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</si>
  <si>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</si>
  <si>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</si>
  <si>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</si>
  <si>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</si>
  <si>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</si>
  <si>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</si>
  <si>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</si>
  <si>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</si>
  <si>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</si>
  <si>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</si>
  <si>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</si>
  <si>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</si>
  <si>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</si>
  <si>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</si>
  <si>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</si>
  <si>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</si>
  <si>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</si>
  <si>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</si>
  <si>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</si>
  <si>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</si>
  <si>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</si>
  <si>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</si>
  <si>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</si>
  <si>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</si>
  <si>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</si>
  <si>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</si>
  <si>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</si>
  <si>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</si>
  <si>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</si>
  <si>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</si>
  <si>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</si>
  <si>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</si>
  <si>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</si>
  <si>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</si>
  <si>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</si>
  <si>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</si>
  <si>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</si>
  <si>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</si>
  <si>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</si>
  <si>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</si>
  <si>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</si>
  <si>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</si>
  <si>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</si>
  <si>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</si>
  <si>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</si>
  <si>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</si>
  <si>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</si>
  <si>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</si>
  <si>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</si>
  <si>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</si>
  <si>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</si>
  <si>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</si>
  <si>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</si>
  <si>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</si>
  <si>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</si>
  <si>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</si>
  <si>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</si>
  <si>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</si>
  <si>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</si>
  <si>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</si>
  <si>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</si>
  <si>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</si>
  <si>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</si>
  <si>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</si>
  <si>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</si>
  <si>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</si>
  <si>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</si>
  <si>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</si>
  <si>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</si>
  <si>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</si>
  <si>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</si>
  <si>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</si>
  <si>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</si>
  <si>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</si>
  <si>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</si>
  <si>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</si>
  <si>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</si>
  <si>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</si>
  <si>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</si>
  <si>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</si>
  <si>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</si>
  <si>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</si>
  <si>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</si>
  <si>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</si>
  <si>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</si>
  <si>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</si>
  <si>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</si>
  <si>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</si>
  <si>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</si>
  <si>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</si>
  <si>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</si>
  <si>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</si>
  <si>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</si>
  <si>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</si>
  <si>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</si>
  <si>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</si>
  <si>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</si>
  <si>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</si>
  <si>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</si>
  <si>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</si>
  <si>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</si>
  <si>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</si>
  <si>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</si>
  <si>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</si>
  <si>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</si>
  <si>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</si>
  <si>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</si>
  <si>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</si>
  <si>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</si>
  <si>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</si>
  <si>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</si>
  <si>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</si>
  <si>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</si>
  <si>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</si>
  <si>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</si>
  <si>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</si>
  <si>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</si>
  <si>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</si>
  <si>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</si>
  <si>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</si>
  <si>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</si>
  <si>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</si>
  <si>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</si>
  <si>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</si>
  <si>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</si>
  <si>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</si>
  <si>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</si>
  <si>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</si>
  <si>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</si>
  <si>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</si>
  <si>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</si>
  <si>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</si>
  <si>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</si>
  <si>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</si>
  <si>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</si>
  <si>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</si>
  <si>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</si>
  <si>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</si>
  <si>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</si>
  <si>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</si>
  <si>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</si>
  <si>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</si>
  <si>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</si>
  <si>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</si>
  <si>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</si>
  <si>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</si>
  <si>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</si>
  <si>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</si>
  <si>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</si>
  <si>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</si>
  <si>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</si>
  <si>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</si>
  <si>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</si>
  <si>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</si>
  <si>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</si>
  <si>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</si>
  <si>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</si>
  <si>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</si>
  <si>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</si>
  <si>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</si>
  <si>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</si>
  <si>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</si>
  <si>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</si>
  <si>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</si>
  <si>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</si>
  <si>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</si>
  <si>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</si>
  <si>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</si>
  <si>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</si>
  <si>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</si>
  <si>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</si>
  <si>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</si>
  <si>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</si>
  <si>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</si>
  <si>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</si>
  <si>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</si>
  <si>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</si>
  <si>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</si>
  <si>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</si>
  <si>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</si>
  <si>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</si>
  <si>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</si>
  <si>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</si>
  <si>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</si>
  <si>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</si>
  <si>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</si>
  <si>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</si>
  <si>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</si>
  <si>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</si>
  <si>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</si>
  <si>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</si>
  <si>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</si>
  <si>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</si>
  <si>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</si>
  <si>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</si>
  <si>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</si>
  <si>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</si>
  <si>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</si>
  <si>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</si>
  <si>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</si>
  <si>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</si>
  <si>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</si>
  <si>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</si>
  <si>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</si>
  <si>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</si>
  <si>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</si>
  <si>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</si>
  <si>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</si>
  <si>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</si>
  <si>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</si>
  <si>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</si>
  <si>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</si>
  <si>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</si>
  <si>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</si>
  <si>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</si>
  <si>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</si>
  <si>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</si>
  <si>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</si>
  <si>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</si>
  <si>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</si>
  <si>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</si>
  <si>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</si>
  <si>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</si>
  <si>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</si>
  <si>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</si>
  <si>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</si>
  <si>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</si>
  <si>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</si>
  <si>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</si>
  <si>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</si>
  <si>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</si>
  <si>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</si>
  <si>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</si>
  <si>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</si>
  <si>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</si>
  <si>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</si>
  <si>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</si>
  <si>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</si>
  <si>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</si>
  <si>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</si>
  <si>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</si>
  <si>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</si>
  <si>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</si>
  <si>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</si>
  <si>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</si>
  <si>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</si>
  <si>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</si>
  <si>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</si>
  <si>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</si>
  <si>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</si>
  <si>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</si>
  <si>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</si>
  <si>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</si>
  <si>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</si>
  <si>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</si>
  <si>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</si>
  <si>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</si>
  <si>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</si>
  <si>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</si>
  <si>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</si>
  <si>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</si>
  <si>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</si>
  <si>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</si>
  <si>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</si>
  <si>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</si>
  <si>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</si>
  <si>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</si>
  <si>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</si>
  <si>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</si>
  <si>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</si>
  <si>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</si>
  <si>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</si>
  <si>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</si>
  <si>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</si>
  <si>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</si>
  <si>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</si>
  <si>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</si>
  <si>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</si>
  <si>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</si>
  <si>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</si>
  <si>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</si>
  <si>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</si>
  <si>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</si>
  <si>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</si>
  <si>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</si>
  <si>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</si>
  <si>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</si>
  <si>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</si>
  <si>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</si>
  <si>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</si>
  <si>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</si>
  <si>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</si>
  <si>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</si>
  <si>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</si>
  <si>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</si>
  <si>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</si>
  <si>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</si>
  <si>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</si>
  <si>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</si>
  <si>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</si>
  <si>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</si>
  <si>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</si>
  <si>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</si>
  <si>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</si>
  <si>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</si>
  <si>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</si>
  <si>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</si>
  <si>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</si>
  <si>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</si>
  <si>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</si>
  <si>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</si>
  <si>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</si>
  <si>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</si>
  <si>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</si>
  <si>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</si>
  <si>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</si>
  <si>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</si>
  <si>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</si>
  <si>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</si>
  <si>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</si>
  <si>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</si>
  <si>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</si>
  <si>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</si>
  <si>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</si>
  <si>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</si>
  <si>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</si>
  <si>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</si>
  <si>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</si>
  <si>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</si>
  <si>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</si>
  <si>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</si>
  <si>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</si>
  <si>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</si>
  <si>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</si>
  <si>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</si>
  <si>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</si>
  <si>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</si>
  <si>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</si>
  <si>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</si>
  <si>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</si>
  <si>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</si>
  <si>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</si>
  <si>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</si>
  <si>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</si>
  <si>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</si>
  <si>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</si>
  <si>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</si>
  <si>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</si>
  <si>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</si>
  <si>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</si>
  <si>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</si>
  <si>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</si>
  <si>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</si>
  <si>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</si>
  <si>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</si>
  <si>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</si>
  <si>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</si>
  <si>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</si>
  <si>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</si>
  <si>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</si>
  <si>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</si>
  <si>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</si>
  <si>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</si>
  <si>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</si>
  <si>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</si>
  <si>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</si>
  <si>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</si>
  <si>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</si>
  <si>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</si>
  <si>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</si>
  <si>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</si>
  <si>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</si>
  <si>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</si>
  <si>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</si>
  <si>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</si>
  <si>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</si>
  <si>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</si>
  <si>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</si>
  <si>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</si>
  <si>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</si>
  <si>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</si>
  <si>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</si>
  <si>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</si>
  <si>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</si>
  <si>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</si>
  <si>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</si>
  <si>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</si>
  <si>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</si>
  <si>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</si>
  <si>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</si>
  <si>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</si>
  <si>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</si>
  <si>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</si>
  <si>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</si>
  <si>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</si>
  <si>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</si>
  <si>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</si>
  <si>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</si>
  <si>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</si>
  <si>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</si>
  <si>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</si>
  <si>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</si>
  <si>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</si>
  <si>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</si>
  <si>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</si>
  <si>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</si>
  <si>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</si>
  <si>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</si>
  <si>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</si>
  <si>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</si>
  <si>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</si>
  <si>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</si>
  <si>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</si>
  <si>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</si>
  <si>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</si>
  <si>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</si>
  <si>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</si>
  <si>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</si>
  <si>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</si>
  <si>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</si>
  <si>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</si>
  <si>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</si>
  <si>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</si>
  <si>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</si>
  <si>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</si>
  <si>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</si>
  <si>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</si>
  <si>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</si>
  <si>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</si>
  <si>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</si>
  <si>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</si>
  <si>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</si>
  <si>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</si>
  <si>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</si>
  <si>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</si>
  <si>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</si>
  <si>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</si>
  <si>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</si>
  <si>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</si>
  <si>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</si>
  <si>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</si>
  <si>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</si>
  <si>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</si>
  <si>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</si>
  <si>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</si>
  <si>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</si>
  <si>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</si>
  <si>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</si>
  <si>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</si>
  <si>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</si>
  <si>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</si>
  <si>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</si>
  <si>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</si>
  <si>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</si>
  <si>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</si>
  <si>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</si>
  <si>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</si>
  <si>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</si>
  <si>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</si>
  <si>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</si>
  <si>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</si>
  <si>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</si>
  <si>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</si>
  <si>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</si>
  <si>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</si>
  <si>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</si>
  <si>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</si>
  <si>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</si>
  <si>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</si>
  <si>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</si>
  <si>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</si>
  <si>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</si>
  <si>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</si>
  <si>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</si>
  <si>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</si>
  <si>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</si>
  <si>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</si>
  <si>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</si>
  <si>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</si>
  <si>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</si>
  <si>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</si>
  <si>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</si>
  <si>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</si>
  <si>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</si>
  <si>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</si>
  <si>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</si>
  <si>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</si>
  <si>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</si>
  <si>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</si>
  <si>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</si>
  <si>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</si>
  <si>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</si>
  <si>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</si>
  <si>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</si>
  <si>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</si>
  <si>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</si>
  <si>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</si>
  <si>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</si>
  <si>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</si>
  <si>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</si>
  <si>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</si>
  <si>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</si>
  <si>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</si>
  <si>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</si>
  <si>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</si>
  <si>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</si>
  <si>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</si>
  <si>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</si>
  <si>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</si>
  <si>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</si>
  <si>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</si>
  <si>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</si>
  <si>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</si>
  <si>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</si>
  <si>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</si>
  <si>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</si>
  <si>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</si>
  <si>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</si>
  <si>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</si>
  <si>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</si>
  <si>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</si>
  <si>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</si>
  <si>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</si>
  <si>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</si>
  <si>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</si>
  <si>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</si>
  <si>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</si>
  <si>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</si>
  <si>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</si>
  <si>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</si>
  <si>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</si>
  <si>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</si>
  <si>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</si>
  <si>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</si>
  <si>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</si>
  <si>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</si>
  <si>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</si>
  <si>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</si>
  <si>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</si>
  <si>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</si>
  <si>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</si>
  <si>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</si>
  <si>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</si>
  <si>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</si>
  <si>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</si>
  <si>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</si>
  <si>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</si>
  <si>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</si>
  <si>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</si>
  <si>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</si>
  <si>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</si>
  <si>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</si>
  <si>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</si>
  <si>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</si>
  <si>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</si>
  <si>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</si>
  <si>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</si>
  <si>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</si>
  <si>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</si>
  <si>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</si>
  <si>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</si>
  <si>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</si>
  <si>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</si>
  <si>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</si>
  <si>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</si>
  <si>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</si>
  <si>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</si>
  <si>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</si>
  <si>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</si>
  <si>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</si>
  <si>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</si>
  <si>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</si>
  <si>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</si>
  <si>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</si>
  <si>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</si>
  <si>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</si>
  <si>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</si>
  <si>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</si>
  <si>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</si>
  <si>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</si>
  <si>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</si>
  <si>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</si>
  <si>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</si>
  <si>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</si>
  <si>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</si>
  <si>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</si>
  <si>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</si>
  <si>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</si>
  <si>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</si>
  <si>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</si>
  <si>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</si>
  <si>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</si>
  <si>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</si>
  <si>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</si>
  <si>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</si>
  <si>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</si>
  <si>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</si>
  <si>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</si>
  <si>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</si>
  <si>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</si>
  <si>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</si>
  <si>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</si>
  <si>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</si>
  <si>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</si>
  <si>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</si>
  <si>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</si>
  <si>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</si>
  <si>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</si>
  <si>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</si>
  <si>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</si>
  <si>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</si>
  <si>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</si>
  <si>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</si>
  <si>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</si>
  <si>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</si>
  <si>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</si>
  <si>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</si>
  <si>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</si>
  <si>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</si>
  <si>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</si>
  <si>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</si>
  <si>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</si>
  <si>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</si>
  <si>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</si>
  <si>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</si>
  <si>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</si>
  <si>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</si>
  <si>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</si>
  <si>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</si>
  <si>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</si>
  <si>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</si>
  <si>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</si>
  <si>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</si>
  <si>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</si>
  <si>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</si>
  <si>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</si>
  <si>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</si>
  <si>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</si>
  <si>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</si>
  <si>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</si>
  <si>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</si>
  <si>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</si>
  <si>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</si>
  <si>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</si>
  <si>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</si>
  <si>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</si>
  <si>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</si>
  <si>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</si>
  <si>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</si>
  <si>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</si>
  <si>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</si>
  <si>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</si>
  <si>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</si>
  <si>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</si>
  <si>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</si>
  <si>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</si>
  <si>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</si>
  <si>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</si>
  <si>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</si>
  <si>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</si>
  <si>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</si>
  <si>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</si>
  <si>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</si>
  <si>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</si>
  <si>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</si>
  <si>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</si>
  <si>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</si>
  <si>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</si>
  <si>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</si>
  <si>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</si>
  <si>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</si>
  <si>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</si>
  <si>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</si>
  <si>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</si>
  <si>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</si>
  <si>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</si>
  <si>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</si>
  <si>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</si>
  <si>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</si>
  <si>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</si>
  <si>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</si>
  <si>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</si>
  <si>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</si>
  <si>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</si>
  <si>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</si>
  <si>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</si>
  <si>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</si>
  <si>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</si>
  <si>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</si>
  <si>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</si>
  <si>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</si>
  <si>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</si>
  <si>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</si>
  <si>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</si>
  <si>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</si>
  <si>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</si>
  <si>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</si>
  <si>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</si>
  <si>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</si>
  <si>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</si>
  <si>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</si>
  <si>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</si>
  <si>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</si>
  <si>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</si>
  <si>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</si>
  <si>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</si>
  <si>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</si>
  <si>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</si>
  <si>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</si>
  <si>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</si>
  <si>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</si>
  <si>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</si>
  <si>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</si>
  <si>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</si>
  <si>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</si>
  <si>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</si>
  <si>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</si>
  <si>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</si>
  <si>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</si>
  <si>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</si>
  <si>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</si>
  <si>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</si>
  <si>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</si>
  <si>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</si>
  <si>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</si>
  <si>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</si>
  <si>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</si>
  <si>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</si>
  <si>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</si>
  <si>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</si>
  <si>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</si>
  <si>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</si>
  <si>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</si>
  <si>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</si>
  <si>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</si>
  <si>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</si>
  <si>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</si>
  <si>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</si>
  <si>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</si>
  <si>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</si>
  <si>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</si>
  <si>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</si>
  <si>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</si>
  <si>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</si>
  <si>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</si>
  <si>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</si>
  <si>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</si>
  <si>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</si>
  <si>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</si>
  <si>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</si>
  <si>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</si>
  <si>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</si>
  <si>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</si>
  <si>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</si>
  <si>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</si>
  <si>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</si>
  <si>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</si>
  <si>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</si>
  <si>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</si>
  <si>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</si>
  <si>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</si>
  <si>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</si>
  <si>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</si>
  <si>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</si>
  <si>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</si>
  <si>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</si>
  <si>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</si>
  <si>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</si>
  <si>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</si>
  <si>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</si>
  <si>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</si>
  <si>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</si>
  <si>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</si>
  <si>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</si>
  <si>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</si>
  <si>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</si>
  <si>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</si>
  <si>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</si>
  <si>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</si>
  <si>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</si>
  <si>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</si>
  <si>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</si>
  <si>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</si>
  <si>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</si>
  <si>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</si>
  <si>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</si>
  <si>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</si>
  <si>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</si>
  <si>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</si>
  <si>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</si>
  <si>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</si>
  <si>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</si>
  <si>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</si>
  <si>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</si>
  <si>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</si>
  <si>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</si>
  <si>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</si>
  <si>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</si>
  <si>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</si>
  <si>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</si>
  <si>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</si>
  <si>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</si>
  <si>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</si>
  <si>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</si>
  <si>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</si>
  <si>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</si>
  <si>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</si>
  <si>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</si>
  <si>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</si>
  <si>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</si>
  <si>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</si>
  <si>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</si>
  <si>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</si>
  <si>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</si>
  <si>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</si>
  <si>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</si>
  <si>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</si>
  <si>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</si>
  <si>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</si>
  <si>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</si>
  <si>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</si>
  <si>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</si>
  <si>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</si>
  <si>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</si>
  <si>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</si>
  <si>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</si>
  <si>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</si>
  <si>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</si>
  <si>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</si>
  <si>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</si>
  <si>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</si>
  <si>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</si>
  <si>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</si>
  <si>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</si>
  <si>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</si>
  <si>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</si>
  <si>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</si>
  <si>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</si>
  <si>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</si>
  <si>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</si>
  <si>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</si>
  <si>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</si>
  <si>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</si>
  <si>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</si>
  <si>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</si>
  <si>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</si>
  <si>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</si>
  <si>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</si>
  <si>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</si>
  <si>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</si>
  <si>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</si>
  <si>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</si>
  <si>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</si>
  <si>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</si>
  <si>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</si>
  <si>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</si>
  <si>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</si>
  <si>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</si>
  <si>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</si>
  <si>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</si>
  <si>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</si>
  <si>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</si>
  <si>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</si>
  <si>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</si>
  <si>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</si>
  <si>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</si>
  <si>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</si>
  <si>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</si>
  <si>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</si>
  <si>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</si>
  <si>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</si>
  <si>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</si>
  <si>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</si>
  <si>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</si>
  <si>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</si>
  <si>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</si>
  <si>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</si>
  <si>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</si>
  <si>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</si>
  <si>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</si>
  <si>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</si>
  <si>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</si>
  <si>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</si>
  <si>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</si>
  <si>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</si>
  <si>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</si>
  <si>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</si>
  <si>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</si>
  <si>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</si>
  <si>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</si>
  <si>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</si>
  <si>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</si>
  <si>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</si>
  <si>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</si>
  <si>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</si>
  <si>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</si>
  <si>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</si>
  <si>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</si>
  <si>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</si>
  <si>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</si>
  <si>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</si>
  <si>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</si>
  <si>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</si>
  <si>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</si>
  <si>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</si>
  <si>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</si>
  <si>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</si>
  <si>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</si>
  <si>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</si>
  <si>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</si>
  <si>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</si>
  <si>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</si>
  <si>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</si>
  <si>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</si>
  <si>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</si>
  <si>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</si>
  <si>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</si>
  <si>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</si>
  <si>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</si>
  <si>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</si>
  <si>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</si>
  <si>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</si>
  <si>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</si>
  <si>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</si>
  <si>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</si>
  <si>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</si>
  <si>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</si>
  <si>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</si>
  <si>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</si>
  <si>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</si>
  <si>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</si>
  <si>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</si>
  <si>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</si>
  <si>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</si>
  <si>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</si>
  <si>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</si>
  <si>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</si>
  <si>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</si>
  <si>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</si>
  <si>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</si>
  <si>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</si>
  <si>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</si>
  <si>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</si>
  <si>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</si>
  <si>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</si>
  <si>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</si>
  <si>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</si>
  <si>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</si>
  <si>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</si>
  <si>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</si>
  <si>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</si>
  <si>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</si>
  <si>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</si>
  <si>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</si>
  <si>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</si>
  <si>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</si>
  <si>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</si>
  <si>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</si>
  <si>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</si>
  <si>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</si>
  <si>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</si>
  <si>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</si>
  <si>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</si>
  <si>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</si>
  <si>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</si>
  <si>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</si>
  <si>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</si>
  <si>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</si>
  <si>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</si>
  <si>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</si>
  <si>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</si>
  <si>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</si>
  <si>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</si>
  <si>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</si>
  <si>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</si>
  <si>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</si>
  <si>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</si>
  <si>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</si>
  <si>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</si>
  <si>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</si>
  <si>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</si>
  <si>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</si>
  <si>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</si>
  <si>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</si>
  <si>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</si>
  <si>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</si>
  <si>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</si>
  <si>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</si>
  <si>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</si>
  <si>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</si>
  <si>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</si>
  <si>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</si>
  <si>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</si>
  <si>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</si>
  <si>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</si>
  <si>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</si>
  <si>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</si>
  <si>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</si>
  <si>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</si>
  <si>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</si>
  <si>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</si>
  <si>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</si>
  <si>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</si>
  <si>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</si>
  <si>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</si>
  <si>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</si>
  <si>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</si>
  <si>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</si>
  <si>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</si>
  <si>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</si>
  <si>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</si>
  <si>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</si>
  <si>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</si>
  <si>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</si>
  <si>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</si>
  <si>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</si>
  <si>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</si>
  <si>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</si>
  <si>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</si>
  <si>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</si>
  <si>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</si>
  <si>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</si>
  <si>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</si>
  <si>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</si>
  <si>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</si>
  <si>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</si>
  <si>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</si>
  <si>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</si>
  <si>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</si>
  <si>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</si>
  <si>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</si>
  <si>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</si>
  <si>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</si>
  <si>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</si>
  <si>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</si>
  <si>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</si>
  <si>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</si>
  <si>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</si>
  <si>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</si>
  <si>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</si>
  <si>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</si>
  <si>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</si>
  <si>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</si>
  <si>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</si>
  <si>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</si>
  <si>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</si>
  <si>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</si>
  <si>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</si>
  <si>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</si>
  <si>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</si>
  <si>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</si>
  <si>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</si>
  <si>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</si>
  <si>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</si>
  <si>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</si>
  <si>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</si>
  <si>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</si>
  <si>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</si>
  <si>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</si>
  <si>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</si>
  <si>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</si>
  <si>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</si>
  <si>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</si>
  <si>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</si>
  <si>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</si>
  <si>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</si>
  <si>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</si>
  <si>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</si>
  <si>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</si>
  <si>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</si>
  <si>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</si>
  <si>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</si>
  <si>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</si>
  <si>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</si>
  <si>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</si>
  <si>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</si>
  <si>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</si>
  <si>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</si>
  <si>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</si>
  <si>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</si>
  <si>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</si>
  <si>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</si>
  <si>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</si>
  <si>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</si>
  <si>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</si>
  <si>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</si>
  <si>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</si>
  <si>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</si>
  <si>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</si>
  <si>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</si>
  <si>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</si>
  <si>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</si>
  <si>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</si>
  <si>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</si>
  <si>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</si>
  <si>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</si>
  <si>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</si>
  <si>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</si>
  <si>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</si>
  <si>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</si>
  <si>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</si>
  <si>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</si>
  <si>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</si>
  <si>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</si>
  <si>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</si>
  <si>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</si>
  <si>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</si>
  <si>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</si>
  <si>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</si>
  <si>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</si>
  <si>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</si>
  <si>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</si>
  <si>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</si>
  <si>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</si>
  <si>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</si>
  <si>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</si>
  <si>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</si>
  <si>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</si>
  <si>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</si>
  <si>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</si>
  <si>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</si>
  <si>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</si>
  <si>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</si>
  <si>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</si>
  <si>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</si>
  <si>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</si>
  <si>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</si>
  <si>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</si>
  <si>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</si>
  <si>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</si>
  <si>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</si>
  <si>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</si>
  <si>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</si>
  <si>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</si>
  <si>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</si>
  <si>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</si>
  <si>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</si>
  <si>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</si>
  <si>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</si>
  <si>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</si>
  <si>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</si>
  <si>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</si>
  <si>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</si>
  <si>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</si>
  <si>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</si>
  <si>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</si>
  <si>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</si>
  <si>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</si>
  <si>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</si>
  <si>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</si>
  <si>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</si>
  <si>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</si>
  <si>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</si>
  <si>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</si>
  <si>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</si>
  <si>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</si>
  <si>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</si>
  <si>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</si>
  <si>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</si>
  <si>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</si>
  <si>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</si>
  <si>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</si>
  <si>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</si>
  <si>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</si>
  <si>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</si>
  <si>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</si>
  <si>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</si>
  <si>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</si>
  <si>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</si>
  <si>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</si>
  <si>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</si>
  <si>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</si>
  <si>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</si>
  <si>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</si>
  <si>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</si>
  <si>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</si>
  <si>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</si>
  <si>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</si>
  <si>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</si>
  <si>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</si>
  <si>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</si>
  <si>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</si>
  <si>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</si>
  <si>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</si>
  <si>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</si>
  <si>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</si>
  <si>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</si>
  <si>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</si>
  <si>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</si>
  <si>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</si>
  <si>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</si>
  <si>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</si>
  <si>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</si>
  <si>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</si>
  <si>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</si>
  <si>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</si>
  <si>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</si>
  <si>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</si>
  <si>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</si>
  <si>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</si>
  <si>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</si>
  <si>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</si>
  <si>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</si>
  <si>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</si>
  <si>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</si>
  <si>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</si>
  <si>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</si>
  <si>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</si>
  <si>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</si>
  <si>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</si>
  <si>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</si>
  <si>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</si>
  <si>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</si>
  <si>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</si>
  <si>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</si>
  <si>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</si>
  <si>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</si>
  <si>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</si>
  <si>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</si>
  <si>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</si>
  <si>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</si>
  <si>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</si>
  <si>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</si>
  <si>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</si>
  <si>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</si>
  <si>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</si>
  <si>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</si>
  <si>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</si>
  <si>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</si>
  <si>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</si>
  <si>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</si>
  <si>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</si>
  <si>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</si>
  <si>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</si>
  <si>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</si>
  <si>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</si>
  <si>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</si>
  <si>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</si>
  <si>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</si>
  <si>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</si>
  <si>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</si>
  <si>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</si>
  <si>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</si>
  <si>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</si>
  <si>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</si>
  <si>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</si>
  <si>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</si>
  <si>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</si>
  <si>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</si>
  <si>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</si>
  <si>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</si>
  <si>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</si>
  <si>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</si>
  <si>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</si>
  <si>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</si>
  <si>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</si>
  <si>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</si>
  <si>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</si>
  <si>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</si>
  <si>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</si>
  <si>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</si>
  <si>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</si>
  <si>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</si>
  <si>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</si>
  <si>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</si>
  <si>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</si>
  <si>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</si>
  <si>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</si>
  <si>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</si>
  <si>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</si>
  <si>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</si>
  <si>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</si>
  <si>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</si>
  <si>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</si>
  <si>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</si>
  <si>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</si>
  <si>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</si>
  <si>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</si>
  <si>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</si>
  <si>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</si>
  <si>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</si>
  <si>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</si>
  <si>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</si>
  <si>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</si>
  <si>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</si>
  <si>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</si>
  <si>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</si>
  <si>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</si>
  <si>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</si>
  <si>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</si>
  <si>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</si>
  <si>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</si>
  <si>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</si>
  <si>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</si>
  <si>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</si>
  <si>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</si>
  <si>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</si>
  <si>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</si>
  <si>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</si>
  <si>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</si>
  <si>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</si>
  <si>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</si>
  <si>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</si>
  <si>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</si>
  <si>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</si>
  <si>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</si>
  <si>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</si>
  <si>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</si>
  <si>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</si>
  <si>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</si>
  <si>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</si>
  <si>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</si>
  <si>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</si>
  <si>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</si>
  <si>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</si>
  <si>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</si>
  <si>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</si>
  <si>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</si>
  <si>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</si>
  <si>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</si>
  <si>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</si>
  <si>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</si>
  <si>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</si>
  <si>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</si>
  <si>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</si>
  <si>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</si>
  <si>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</si>
  <si>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</si>
  <si>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</si>
  <si>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</si>
  <si>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</si>
  <si>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</si>
  <si>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</si>
  <si>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</si>
  <si>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</si>
  <si>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</si>
  <si>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</si>
  <si>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</si>
  <si>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</si>
  <si>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</si>
  <si>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</si>
  <si>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</si>
  <si>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</si>
  <si>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</si>
  <si>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</si>
  <si>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</si>
  <si>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</si>
  <si>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</si>
  <si>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</si>
  <si>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</si>
  <si>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</si>
  <si>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</si>
  <si>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</si>
  <si>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</si>
  <si>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</si>
  <si>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</si>
  <si>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</si>
  <si>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</si>
  <si>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</si>
  <si>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</si>
  <si>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</si>
  <si>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</si>
  <si>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</si>
  <si>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</si>
  <si>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</si>
  <si>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</si>
  <si>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</si>
  <si>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</si>
  <si>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</si>
  <si>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</si>
  <si>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</si>
  <si>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</si>
  <si>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</si>
  <si>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</si>
  <si>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</si>
  <si>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</si>
  <si>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</si>
  <si>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</si>
  <si>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</si>
  <si>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</si>
  <si>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</si>
  <si>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</si>
  <si>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</si>
  <si>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</si>
  <si>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</si>
  <si>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</si>
  <si>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</si>
  <si>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</si>
  <si>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</si>
  <si>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</si>
  <si>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</si>
  <si>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</si>
  <si>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</si>
  <si>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</si>
  <si>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</si>
  <si>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</si>
  <si>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</si>
  <si>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</si>
  <si>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</si>
  <si>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</si>
  <si>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</si>
  <si>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</si>
  <si>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</si>
  <si>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</si>
  <si>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</si>
  <si>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</si>
  <si>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</si>
  <si>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</si>
  <si>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</si>
  <si>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</si>
  <si>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</si>
  <si>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</si>
  <si>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</si>
  <si>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</si>
  <si>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</si>
  <si>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</si>
  <si>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</si>
  <si>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</si>
  <si>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</si>
  <si>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</si>
  <si>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</si>
  <si>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</si>
  <si>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</si>
  <si>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</si>
  <si>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</si>
  <si>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</si>
  <si>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</si>
  <si>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</si>
  <si>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</si>
  <si>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</si>
  <si>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</si>
  <si>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</si>
  <si>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</si>
  <si>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</si>
  <si>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</si>
  <si>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</si>
  <si>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</si>
  <si>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</si>
  <si>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</si>
  <si>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</si>
  <si>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</si>
  <si>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</si>
  <si>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</si>
  <si>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</si>
  <si>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</si>
  <si>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</si>
  <si>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</si>
  <si>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</si>
  <si>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</si>
  <si>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</si>
  <si>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</si>
  <si>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</si>
  <si>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</si>
  <si>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</si>
  <si>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</si>
  <si>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</si>
  <si>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</si>
  <si>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</si>
  <si>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</si>
  <si>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</si>
  <si>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</si>
  <si>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</si>
  <si>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</si>
  <si>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</si>
  <si>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</si>
  <si>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</si>
  <si>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</si>
  <si>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</si>
  <si>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</si>
  <si>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</si>
  <si>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</si>
  <si>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</si>
  <si>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</si>
  <si>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</si>
  <si>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</si>
  <si>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</si>
  <si>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</si>
  <si>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</si>
  <si>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</si>
  <si>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</si>
  <si>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</si>
  <si>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</si>
  <si>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</si>
  <si>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</si>
  <si>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</si>
  <si>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</si>
  <si>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</si>
  <si>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</si>
  <si>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</si>
  <si>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</si>
  <si>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</si>
  <si>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</si>
  <si>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</si>
  <si>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</si>
  <si>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</si>
  <si>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</si>
  <si>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</si>
  <si>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</si>
  <si>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</si>
  <si>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</si>
  <si>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</si>
  <si>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</si>
  <si>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</si>
  <si>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</si>
  <si>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</si>
  <si>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</si>
  <si>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</si>
  <si>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</si>
  <si>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</si>
  <si>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</si>
  <si>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</si>
  <si>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</si>
  <si>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</si>
  <si>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</si>
  <si>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</si>
  <si>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</si>
  <si>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</si>
  <si>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</si>
  <si>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</si>
  <si>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</si>
  <si>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</si>
  <si>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</si>
  <si>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</si>
  <si>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</si>
  <si>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</si>
  <si>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</si>
  <si>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</si>
  <si>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</si>
  <si>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</si>
  <si>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</si>
  <si>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</si>
  <si>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</si>
  <si>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</si>
  <si>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</si>
  <si>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</si>
  <si>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</si>
  <si>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</si>
  <si>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</si>
  <si>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</si>
  <si>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</si>
  <si>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</si>
  <si>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</si>
  <si>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</si>
  <si>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</si>
  <si>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</si>
  <si>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</si>
  <si>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</si>
  <si>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</si>
  <si>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</si>
  <si>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</si>
  <si>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</si>
  <si>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</si>
  <si>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</si>
  <si>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</si>
  <si>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</si>
  <si>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</si>
  <si>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</si>
  <si>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</si>
  <si>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</si>
  <si>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</si>
  <si>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</si>
  <si>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</si>
  <si>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</si>
  <si>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</si>
  <si>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</si>
  <si>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</si>
  <si>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</si>
  <si>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</si>
  <si>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</si>
  <si>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</si>
  <si>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</si>
  <si>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</si>
  <si>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</si>
  <si>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</si>
  <si>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</si>
  <si>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</si>
  <si>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</si>
  <si>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</si>
  <si>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</si>
  <si>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</si>
  <si>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</si>
  <si>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</si>
  <si>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</si>
  <si>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</si>
  <si>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</si>
  <si>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</si>
  <si>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</si>
  <si>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</si>
  <si>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</si>
  <si>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</si>
  <si>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</si>
  <si>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</si>
  <si>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</si>
  <si>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</si>
  <si>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</si>
  <si>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</si>
  <si>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</si>
  <si>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</si>
  <si>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</si>
  <si>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</si>
  <si>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</si>
  <si>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</si>
  <si>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</si>
  <si>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</si>
  <si>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</si>
  <si>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</si>
  <si>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</si>
  <si>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</si>
  <si>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</si>
  <si>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</si>
  <si>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</si>
  <si>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</si>
  <si>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</si>
  <si>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</si>
  <si>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</si>
  <si>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</si>
  <si>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</si>
  <si>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</si>
  <si>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</si>
  <si>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</si>
  <si>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</si>
  <si>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</si>
  <si>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</si>
  <si>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</si>
  <si>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</si>
  <si>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</si>
  <si>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</si>
  <si>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</si>
  <si>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</si>
  <si>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</si>
  <si>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</si>
  <si>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</si>
  <si>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</si>
  <si>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</si>
  <si>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</si>
  <si>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</si>
  <si>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</si>
  <si>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</si>
  <si>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</si>
  <si>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</si>
  <si>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</si>
  <si>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</si>
  <si>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</si>
  <si>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</si>
  <si>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</si>
  <si>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</si>
  <si>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</si>
  <si>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</si>
  <si>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</si>
  <si>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</si>
  <si>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</si>
  <si>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</si>
  <si>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</si>
  <si>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</si>
  <si>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</si>
  <si>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</si>
  <si>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</si>
  <si>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</si>
  <si>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</si>
  <si>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</si>
  <si>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</si>
  <si>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</si>
  <si>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</si>
  <si>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</si>
  <si>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</si>
  <si>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</si>
  <si>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</si>
  <si>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</si>
  <si>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</si>
  <si>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</si>
  <si>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</si>
  <si>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</si>
  <si>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</si>
  <si>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</si>
  <si>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</si>
  <si>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</si>
  <si>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</si>
  <si>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</si>
  <si>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</si>
  <si>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</si>
  <si>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</si>
  <si>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</si>
  <si>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</si>
  <si>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</si>
  <si>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</si>
  <si>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</si>
  <si>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</si>
  <si>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</si>
  <si>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</si>
  <si>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</si>
  <si>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</si>
  <si>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</si>
  <si>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</si>
  <si>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</si>
  <si>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</si>
  <si>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</si>
  <si>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</si>
  <si>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</si>
  <si>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</si>
  <si>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</si>
  <si>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</si>
  <si>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</si>
  <si>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</si>
  <si>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</si>
  <si>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</si>
  <si>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</si>
  <si>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</si>
  <si>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</si>
  <si>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</si>
  <si>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</si>
  <si>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</si>
  <si>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</si>
  <si>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</si>
  <si>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</si>
  <si>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</si>
  <si>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</si>
  <si>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</si>
  <si>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</si>
  <si>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</si>
  <si>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</si>
  <si>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</si>
  <si>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</si>
  <si>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</si>
  <si>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</si>
  <si>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</si>
  <si>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</si>
  <si>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</si>
  <si>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</si>
  <si>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</si>
  <si>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</si>
  <si>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</si>
  <si>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</si>
  <si>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</si>
  <si>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</si>
  <si>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</si>
  <si>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</si>
  <si>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</si>
  <si>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</si>
  <si>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</si>
  <si>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</si>
  <si>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</si>
  <si>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</si>
  <si>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</si>
  <si>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</si>
  <si>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</si>
  <si>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</si>
  <si>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</si>
  <si>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</si>
  <si>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</si>
  <si>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</si>
  <si>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</si>
  <si>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</si>
  <si>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</si>
  <si>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</si>
  <si>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</si>
  <si>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</si>
  <si>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</si>
  <si>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</si>
  <si>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</si>
  <si>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</si>
  <si>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</si>
  <si>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</si>
  <si>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</si>
  <si>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</si>
  <si>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</si>
  <si>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</si>
  <si>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</si>
  <si>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</si>
  <si>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</si>
  <si>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</si>
  <si>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</si>
  <si>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</si>
  <si>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</si>
  <si>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</si>
  <si>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</si>
  <si>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</si>
  <si>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</si>
  <si>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</si>
  <si>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</si>
  <si>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</si>
  <si>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</si>
  <si>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</si>
  <si>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</si>
  <si>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</si>
  <si>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</si>
  <si>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</si>
  <si>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</si>
  <si>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</si>
  <si>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</si>
  <si>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</si>
  <si>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</si>
  <si>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</si>
  <si>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</si>
  <si>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</si>
  <si>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</si>
  <si>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</si>
  <si>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</si>
  <si>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</si>
  <si>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</si>
  <si>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</si>
  <si>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</si>
  <si>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</si>
  <si>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</si>
  <si>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</si>
  <si>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</si>
  <si>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</si>
  <si>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</si>
  <si>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</si>
  <si>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</si>
  <si>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</si>
  <si>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</si>
  <si>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</si>
  <si>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</si>
  <si>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</si>
  <si>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</si>
  <si>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</si>
  <si>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</si>
  <si>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</si>
  <si>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</si>
  <si>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</si>
  <si>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</si>
  <si>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</si>
  <si>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</si>
  <si>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</si>
  <si>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</si>
  <si>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</si>
  <si>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</si>
  <si>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</si>
  <si>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</si>
  <si>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</si>
  <si>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</si>
  <si>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</si>
  <si>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</si>
  <si>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</si>
  <si>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</si>
  <si>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</si>
  <si>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</si>
  <si>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</si>
  <si>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</si>
  <si>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</si>
  <si>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</si>
  <si>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</si>
  <si>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</si>
  <si>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</si>
  <si>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</si>
  <si>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</si>
  <si>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</si>
  <si>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</si>
  <si>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</si>
  <si>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</si>
  <si>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</si>
  <si>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</si>
  <si>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</si>
  <si>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</si>
  <si>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</si>
  <si>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</si>
  <si>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</si>
  <si>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</si>
  <si>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</si>
  <si>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</si>
  <si>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</si>
  <si>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</si>
  <si>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</si>
  <si>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</si>
  <si>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</si>
  <si>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</si>
  <si>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</si>
  <si>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</si>
  <si>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</si>
  <si>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</si>
  <si>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</si>
  <si>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</si>
  <si>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</si>
  <si>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</si>
  <si>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</si>
  <si>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</si>
  <si>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</si>
  <si>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</si>
  <si>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</si>
  <si>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</si>
  <si>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</si>
  <si>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</si>
  <si>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</si>
  <si>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</si>
  <si>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</si>
  <si>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</si>
  <si>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</si>
  <si>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</si>
  <si>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</si>
  <si>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</si>
  <si>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</si>
  <si>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</si>
  <si>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</si>
  <si>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</si>
  <si>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</si>
  <si>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</si>
  <si>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</si>
  <si>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</si>
  <si>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</si>
  <si>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</si>
  <si>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</si>
  <si>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</si>
  <si>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</si>
  <si>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</si>
  <si>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</si>
  <si>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</si>
  <si>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</si>
  <si>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</si>
  <si>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</si>
  <si>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</si>
  <si>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</si>
  <si>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</si>
  <si>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</si>
  <si>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</si>
  <si>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</si>
  <si>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</si>
  <si>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</si>
  <si>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</si>
  <si>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</si>
  <si>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</si>
  <si>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</si>
  <si>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</si>
  <si>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</si>
  <si>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</si>
  <si>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</si>
  <si>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</si>
  <si>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</si>
  <si>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</si>
  <si>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</si>
  <si>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</si>
  <si>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</si>
  <si>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</si>
  <si>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</si>
  <si>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</si>
  <si>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</si>
  <si>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</si>
  <si>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</si>
  <si>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</si>
  <si>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</si>
  <si>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</si>
  <si>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</si>
  <si>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</si>
  <si>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</si>
  <si>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</si>
  <si>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</si>
  <si>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</si>
  <si>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</si>
  <si>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</si>
  <si>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</si>
  <si>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</si>
  <si>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</si>
  <si>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</si>
  <si>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</si>
  <si>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</si>
  <si>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</si>
  <si>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</si>
  <si>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</si>
  <si>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</si>
  <si>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</si>
  <si>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</si>
  <si>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</si>
  <si>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</si>
  <si>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</si>
  <si>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</si>
  <si>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</si>
  <si>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</si>
  <si>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</si>
  <si>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</si>
  <si>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</si>
  <si>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</si>
  <si>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</si>
  <si>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</si>
  <si>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</si>
  <si>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</si>
  <si>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</si>
  <si>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</si>
  <si>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</si>
  <si>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</si>
  <si>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</si>
  <si>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</si>
  <si>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</si>
  <si>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</si>
  <si>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</si>
  <si>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</si>
  <si>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</si>
  <si>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</si>
  <si>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</si>
  <si>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</si>
  <si>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</si>
  <si>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</si>
  <si>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</si>
  <si>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</si>
  <si>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</si>
  <si>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</si>
  <si>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</si>
  <si>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</si>
  <si>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</si>
  <si>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</si>
  <si>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</si>
  <si>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</si>
  <si>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</si>
  <si>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</si>
  <si>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</si>
  <si>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</si>
  <si>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</si>
  <si>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</si>
  <si>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</si>
  <si>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</si>
  <si>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</si>
  <si>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</si>
  <si>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</si>
  <si>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</si>
  <si>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</si>
  <si>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</si>
  <si>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</si>
  <si>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</si>
  <si>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</si>
  <si>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</si>
  <si>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</si>
  <si>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</si>
  <si>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</si>
  <si>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</si>
  <si>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</si>
  <si>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</si>
  <si>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</si>
  <si>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</si>
  <si>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</si>
  <si>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</si>
  <si>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</si>
  <si>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</si>
  <si>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</si>
  <si>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</si>
  <si>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</si>
  <si>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</si>
  <si>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</si>
  <si>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</si>
  <si>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</si>
  <si>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</si>
  <si>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</si>
  <si>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</si>
  <si>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</si>
  <si>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</si>
  <si>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</si>
  <si>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</si>
  <si>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</si>
  <si>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</si>
  <si>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</si>
  <si>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</si>
  <si>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</si>
  <si>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</si>
  <si>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</si>
  <si>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</si>
  <si>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</si>
  <si>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</si>
  <si>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</si>
  <si>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</si>
  <si>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</si>
  <si>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</si>
  <si>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</si>
  <si>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</si>
  <si>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</si>
  <si>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</si>
  <si>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</si>
  <si>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</si>
  <si>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</si>
  <si>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</si>
  <si>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</si>
  <si>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</si>
  <si>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</si>
  <si>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</si>
  <si>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</si>
  <si>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</si>
  <si>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</si>
  <si>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</si>
  <si>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</si>
  <si>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</si>
  <si>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</si>
  <si>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</si>
  <si>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</si>
  <si>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</si>
  <si>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</si>
  <si>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</si>
  <si>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</si>
  <si>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</si>
  <si>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</si>
  <si>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</si>
  <si>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</si>
  <si>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</si>
  <si>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</si>
  <si>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</si>
  <si>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</si>
  <si>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</si>
  <si>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</si>
  <si>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</si>
  <si>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</si>
  <si>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</si>
  <si>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</si>
  <si>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</si>
  <si>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</si>
  <si>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</si>
  <si>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</si>
  <si>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</si>
  <si>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</si>
  <si>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</si>
  <si>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</si>
  <si>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</si>
  <si>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</si>
  <si>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</si>
  <si>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</si>
  <si>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</si>
  <si>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</si>
  <si>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</si>
  <si>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</si>
  <si>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</si>
  <si>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</si>
  <si>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</si>
  <si>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</si>
  <si>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</si>
  <si>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</si>
  <si>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</si>
  <si>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</si>
  <si>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</si>
  <si>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</si>
  <si>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</si>
  <si>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</si>
  <si>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</si>
  <si>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</si>
  <si>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</si>
  <si>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</si>
  <si>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</si>
  <si>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</si>
  <si>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</si>
  <si>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</si>
  <si>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</si>
  <si>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</si>
  <si>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</si>
  <si>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</si>
  <si>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</si>
  <si>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</si>
  <si>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</si>
  <si>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</si>
  <si>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</si>
  <si>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</si>
  <si>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</si>
  <si>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</si>
  <si>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</si>
  <si>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</si>
  <si>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</si>
  <si>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</si>
  <si>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</si>
  <si>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</si>
  <si>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</si>
  <si>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</si>
  <si>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</si>
  <si>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</si>
  <si>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</si>
  <si>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</si>
  <si>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</si>
  <si>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</si>
  <si>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</si>
  <si>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</si>
  <si>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</si>
  <si>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</si>
  <si>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</si>
  <si>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</si>
  <si>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</si>
  <si>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</si>
  <si>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</si>
  <si>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</si>
  <si>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</si>
  <si>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</si>
  <si>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</si>
  <si>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</si>
  <si>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</si>
  <si>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</si>
  <si>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</si>
  <si>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</si>
  <si>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</si>
  <si>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</si>
  <si>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</si>
  <si>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</si>
  <si>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</si>
  <si>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</si>
  <si>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</si>
  <si>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</si>
  <si>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</si>
  <si>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</si>
  <si>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</si>
  <si>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</si>
  <si>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</si>
  <si>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</si>
  <si>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</si>
  <si>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</si>
  <si>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</si>
  <si>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</si>
  <si>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</si>
  <si>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</si>
  <si>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</si>
  <si>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</si>
  <si>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</si>
  <si>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</si>
  <si>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</si>
  <si>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</si>
  <si>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</si>
  <si>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</si>
  <si>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</si>
  <si>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</si>
  <si>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</si>
  <si>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</si>
  <si>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</si>
  <si>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</si>
  <si>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</si>
  <si>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</si>
  <si>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</si>
  <si>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</si>
  <si>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</si>
  <si>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</si>
  <si>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</si>
  <si>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</si>
  <si>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</si>
  <si>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</si>
  <si>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</si>
  <si>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</si>
  <si>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</si>
  <si>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</si>
  <si>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</si>
  <si>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</si>
  <si>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</si>
  <si>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</si>
  <si>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</si>
  <si>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</si>
  <si>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</si>
  <si>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</si>
  <si>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</si>
  <si>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</si>
  <si>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</si>
  <si>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</si>
  <si>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</si>
  <si>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</si>
  <si>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</si>
  <si>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</si>
  <si>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</si>
  <si>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</si>
  <si>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</si>
  <si>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</si>
  <si>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</si>
  <si>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</si>
  <si>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</si>
  <si>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</si>
  <si>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</si>
  <si>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</si>
  <si>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</si>
  <si>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</si>
  <si>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</si>
  <si>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</si>
  <si>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</si>
  <si>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</si>
  <si>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</si>
  <si>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</si>
  <si>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</si>
  <si>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</si>
  <si>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</si>
  <si>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</si>
  <si>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</si>
  <si>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</si>
  <si>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</si>
  <si>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</si>
  <si>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</si>
  <si>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</si>
  <si>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</si>
  <si>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</si>
  <si>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</si>
  <si>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</si>
  <si>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</si>
  <si>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</si>
  <si>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</si>
  <si>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</si>
  <si>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</si>
  <si>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</si>
  <si>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</si>
  <si>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</si>
  <si>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</si>
  <si>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</si>
  <si>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</si>
  <si>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</si>
  <si>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</si>
  <si>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</si>
  <si>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</si>
  <si>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</si>
  <si>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</si>
  <si>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</si>
  <si>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</si>
  <si>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</si>
  <si>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</si>
  <si>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</si>
  <si>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</si>
  <si>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</si>
  <si>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</si>
  <si>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</si>
  <si>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</si>
  <si>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</si>
  <si>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</si>
  <si>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</si>
  <si>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</si>
  <si>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</si>
  <si>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</si>
  <si>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</si>
  <si>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</si>
  <si>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</si>
  <si>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</si>
  <si>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</si>
  <si>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</si>
  <si>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</si>
  <si>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</si>
  <si>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</si>
  <si>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</si>
  <si>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</si>
  <si>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</si>
  <si>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</si>
  <si>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</si>
  <si>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</si>
  <si>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</si>
  <si>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</si>
  <si>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</si>
  <si>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</si>
  <si>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</si>
  <si>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</si>
  <si>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</si>
  <si>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</si>
  <si>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</si>
  <si>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</si>
  <si>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</si>
  <si>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</si>
  <si>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</si>
  <si>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</si>
  <si>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</si>
  <si>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</si>
  <si>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</si>
  <si>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</si>
  <si>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</si>
  <si>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</si>
  <si>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</si>
  <si>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</si>
  <si>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</si>
  <si>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</si>
  <si>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</si>
  <si>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</si>
  <si>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</si>
  <si>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</si>
  <si>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</si>
  <si>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</si>
  <si>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</si>
  <si>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</si>
  <si>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</si>
  <si>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</si>
  <si>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</si>
  <si>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</si>
  <si>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</si>
  <si>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</si>
  <si>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</si>
  <si>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</si>
  <si>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</si>
  <si>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</si>
  <si>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</si>
  <si>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</si>
  <si>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</si>
  <si>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</si>
  <si>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</si>
  <si>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</si>
  <si>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</si>
  <si>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</si>
  <si>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</si>
  <si>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</si>
  <si>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</si>
  <si>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</si>
  <si>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</si>
  <si>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</si>
  <si>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</si>
  <si>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</si>
  <si>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</si>
  <si>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</si>
  <si>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</si>
  <si>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</si>
  <si>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</si>
  <si>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</si>
  <si>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</si>
  <si>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</si>
  <si>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</si>
  <si>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</si>
  <si>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</si>
  <si>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</si>
  <si>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</si>
  <si>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</si>
  <si>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</si>
  <si>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</si>
  <si>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</si>
  <si>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</si>
  <si>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</si>
  <si>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</si>
  <si>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</si>
  <si>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</si>
  <si>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</si>
  <si>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</si>
  <si>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</si>
  <si>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</si>
  <si>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</si>
  <si>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</si>
  <si>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</si>
  <si>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</si>
  <si>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</si>
  <si>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</si>
  <si>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</si>
  <si>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</si>
  <si>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</si>
  <si>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</si>
  <si>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</si>
  <si>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</si>
  <si>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</si>
  <si>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</si>
  <si>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</si>
  <si>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</si>
  <si>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</si>
  <si>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</si>
  <si>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</si>
  <si>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</si>
  <si>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</si>
  <si>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</si>
  <si>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</si>
  <si>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</si>
  <si>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</si>
  <si>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</si>
  <si>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</si>
  <si>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</si>
  <si>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</si>
  <si>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</si>
  <si>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</si>
  <si>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</si>
  <si>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</si>
  <si>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</si>
  <si>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</si>
  <si>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</si>
  <si>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</si>
  <si>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</si>
  <si>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</si>
  <si>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</si>
  <si>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</si>
  <si>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</si>
  <si>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</si>
  <si>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</si>
  <si>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</si>
  <si>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</si>
  <si>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</si>
  <si>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</si>
  <si>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</si>
  <si>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</si>
  <si>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</si>
  <si>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</si>
  <si>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</si>
  <si>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</si>
  <si>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</si>
  <si>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</si>
  <si>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</si>
  <si>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</si>
  <si>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</si>
  <si>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</si>
  <si>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</si>
  <si>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</si>
  <si>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</si>
  <si>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</si>
  <si>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</si>
  <si>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</si>
  <si>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</si>
  <si>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</si>
  <si>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</si>
  <si>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</si>
  <si>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</si>
  <si>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</si>
  <si>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</si>
  <si>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</si>
  <si>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</si>
  <si>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</si>
  <si>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</si>
  <si>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</si>
  <si>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</si>
  <si>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</si>
  <si>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</si>
  <si>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</si>
  <si>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</si>
  <si>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</si>
  <si>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</si>
  <si>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</si>
  <si>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</si>
  <si>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</si>
  <si>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</si>
  <si>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</si>
  <si>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</si>
  <si>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</si>
  <si>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</si>
  <si>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</si>
  <si>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</si>
  <si>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</si>
  <si>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</si>
  <si>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</si>
  <si>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</si>
  <si>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</si>
  <si>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</si>
  <si>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</si>
  <si>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</si>
  <si>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</si>
  <si>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</si>
  <si>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</si>
  <si>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</si>
  <si>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</si>
  <si>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</si>
  <si>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</si>
  <si>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</si>
  <si>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</si>
  <si>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</si>
  <si>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</si>
  <si>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</si>
  <si>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</si>
  <si>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</si>
  <si>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</si>
  <si>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</si>
  <si>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</si>
  <si>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</si>
  <si>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</si>
  <si>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</si>
  <si>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</si>
  <si>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</si>
  <si>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</si>
  <si>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</si>
  <si>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</si>
  <si>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</si>
  <si>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</si>
  <si>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</si>
  <si>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</si>
  <si>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</si>
  <si>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</si>
  <si>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</si>
  <si>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</si>
  <si>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</si>
  <si>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</si>
  <si>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</si>
  <si>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</si>
  <si>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</si>
  <si>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</si>
  <si>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</si>
  <si>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</si>
  <si>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</si>
  <si>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</si>
  <si>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</si>
  <si>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</si>
  <si>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</si>
  <si>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</si>
  <si>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</si>
  <si>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</si>
  <si>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</si>
  <si>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</si>
  <si>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</si>
  <si>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</si>
  <si>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</si>
  <si>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</si>
  <si>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</si>
  <si>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</si>
  <si>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</si>
  <si>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</si>
  <si>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</si>
  <si>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</si>
  <si>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</si>
  <si>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</si>
  <si>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</si>
  <si>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</si>
  <si>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</si>
  <si>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</si>
  <si>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</si>
  <si>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</si>
  <si>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</si>
  <si>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</si>
  <si>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</si>
  <si>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</si>
  <si>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</si>
  <si>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</si>
  <si>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</si>
  <si>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</si>
  <si>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</si>
  <si>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</si>
  <si>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</si>
  <si>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</si>
  <si>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</si>
  <si>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</si>
  <si>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</si>
  <si>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</si>
  <si>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</si>
  <si>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</si>
  <si>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</si>
  <si>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</si>
  <si>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</si>
  <si>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</si>
  <si>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</si>
  <si>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</si>
  <si>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</si>
  <si>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</si>
  <si>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</si>
  <si>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</si>
  <si>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</si>
  <si>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</si>
  <si>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</si>
  <si>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</si>
  <si>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</si>
  <si>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</si>
  <si>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</si>
  <si>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</si>
  <si>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</si>
  <si>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</si>
  <si>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</si>
  <si>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</si>
  <si>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</si>
  <si>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</si>
  <si>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</si>
  <si>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</si>
  <si>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</si>
  <si>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</si>
  <si>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</si>
  <si>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</si>
  <si>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</si>
  <si>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</si>
  <si>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</si>
  <si>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</si>
  <si>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</si>
  <si>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</si>
  <si>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</si>
  <si>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</si>
  <si>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</si>
  <si>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</si>
  <si>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</si>
  <si>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</si>
  <si>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</si>
  <si>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</si>
  <si>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</si>
  <si>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</si>
  <si>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</si>
  <si>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</si>
  <si>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</si>
  <si>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</si>
  <si>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</si>
  <si>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</si>
  <si>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</si>
  <si>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</si>
  <si>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</si>
  <si>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</si>
  <si>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</si>
  <si>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</si>
  <si>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</si>
  <si>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</si>
  <si>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</si>
  <si>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</si>
  <si>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</si>
  <si>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</si>
  <si>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</si>
  <si>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</si>
  <si>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</si>
  <si>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</si>
  <si>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</si>
  <si>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</si>
  <si>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</si>
  <si>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</si>
  <si>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</si>
  <si>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</si>
  <si>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</si>
  <si>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</si>
  <si>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</si>
  <si>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</si>
  <si>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</si>
  <si>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</si>
  <si>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</si>
  <si>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</si>
  <si>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</si>
  <si>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</si>
  <si>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</si>
  <si>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</si>
  <si>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</si>
  <si>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</si>
  <si>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</si>
  <si>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</si>
  <si>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</si>
  <si>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</si>
  <si>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</si>
  <si>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</si>
  <si>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</si>
  <si>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</si>
  <si>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</si>
  <si>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</si>
  <si>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</si>
  <si>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</si>
  <si>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</si>
  <si>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</si>
  <si>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</si>
  <si>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</si>
  <si>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</si>
  <si>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</si>
  <si>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</si>
  <si>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</si>
  <si>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</si>
  <si>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</si>
  <si>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</si>
  <si>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</si>
  <si>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</si>
  <si>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</si>
  <si>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</si>
  <si>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</si>
  <si>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</si>
  <si>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</si>
  <si>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</si>
  <si>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</si>
  <si>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</si>
  <si>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</si>
  <si>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</si>
  <si>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</si>
  <si>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</si>
  <si>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</si>
  <si>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</si>
  <si>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</si>
  <si>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</si>
  <si>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</si>
  <si>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</si>
  <si>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</si>
  <si>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</si>
  <si>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</si>
  <si>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</si>
  <si>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</si>
  <si>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</si>
  <si>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</si>
  <si>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</si>
  <si>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</si>
  <si>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</si>
  <si>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</si>
  <si>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</si>
  <si>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</si>
  <si>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</si>
  <si>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</si>
  <si>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</si>
  <si>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</si>
  <si>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</si>
  <si>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</si>
  <si>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</si>
  <si>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</si>
  <si>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</si>
  <si>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</si>
  <si>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</si>
  <si>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</si>
  <si>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</si>
  <si>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</si>
  <si>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</si>
  <si>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</si>
  <si>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</si>
  <si>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</si>
  <si>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</si>
  <si>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</si>
  <si>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</si>
  <si>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</si>
  <si>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</si>
  <si>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</si>
  <si>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</si>
  <si>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</si>
  <si>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</si>
  <si>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</si>
  <si>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</si>
  <si>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</si>
  <si>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</si>
  <si>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</si>
  <si>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</si>
  <si>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</si>
  <si>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</si>
  <si>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</si>
  <si>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</si>
  <si>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</si>
  <si>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</si>
  <si>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</si>
  <si>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</si>
  <si>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</si>
  <si>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</si>
  <si>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</si>
  <si>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</si>
  <si>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</si>
  <si>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</si>
  <si>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</si>
  <si>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</si>
  <si>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</si>
  <si>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</si>
  <si>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</si>
  <si>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</si>
  <si>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</si>
  <si>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</si>
  <si>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</si>
  <si>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</si>
  <si>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</si>
  <si>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</si>
  <si>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</si>
  <si>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</si>
  <si>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</si>
  <si>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</si>
  <si>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</si>
  <si>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</si>
  <si>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</si>
  <si>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</si>
  <si>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</si>
  <si>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</si>
  <si>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</si>
  <si>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</si>
  <si>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</si>
  <si>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</si>
  <si>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</si>
  <si>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</si>
  <si>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</si>
  <si>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</si>
  <si>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</si>
  <si>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</si>
  <si>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</si>
  <si>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</si>
  <si>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</si>
  <si>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</si>
  <si>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</si>
  <si>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</si>
  <si>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</si>
  <si>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</si>
  <si>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</si>
  <si>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</si>
  <si>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</si>
  <si>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</si>
  <si>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</si>
  <si>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</si>
  <si>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</si>
  <si>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</si>
  <si>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</si>
  <si>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</si>
  <si>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</si>
  <si>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</si>
  <si>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</si>
  <si>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</si>
  <si>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</si>
  <si>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</si>
  <si>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</si>
  <si>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</si>
  <si>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</si>
  <si>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</si>
  <si>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</si>
  <si>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</si>
  <si>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</si>
  <si>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</si>
  <si>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</si>
  <si>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</si>
  <si>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</si>
  <si>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</si>
  <si>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</si>
  <si>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</si>
  <si>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</si>
  <si>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</si>
  <si>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</si>
  <si>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</si>
  <si>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</si>
  <si>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</si>
  <si>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</si>
  <si>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</si>
  <si>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</si>
  <si>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</si>
  <si>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</si>
  <si>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</si>
  <si>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</si>
  <si>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</si>
  <si>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</si>
  <si>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</si>
  <si>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</si>
  <si>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</si>
  <si>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</si>
  <si>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</si>
  <si>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</si>
  <si>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</si>
  <si>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</si>
  <si>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</si>
  <si>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</si>
  <si>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</si>
  <si>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</si>
  <si>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</si>
  <si>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</si>
  <si>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</si>
  <si>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</si>
  <si>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</si>
  <si>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</si>
  <si>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</si>
  <si>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</si>
  <si>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</si>
  <si>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</si>
  <si>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</si>
  <si>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</si>
  <si>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</si>
  <si>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</si>
  <si>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</si>
  <si>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</si>
  <si>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</si>
  <si>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</si>
  <si>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</si>
  <si>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</si>
  <si>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</si>
  <si>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</si>
  <si>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</si>
  <si>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</si>
  <si>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</si>
  <si>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</si>
  <si>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</si>
  <si>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</si>
  <si>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</si>
  <si>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</si>
  <si>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</si>
  <si>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</si>
  <si>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</si>
  <si>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</si>
  <si>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</si>
  <si>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</si>
  <si>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</si>
  <si>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</si>
  <si>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</si>
  <si>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</si>
  <si>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</si>
  <si>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</si>
  <si>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</si>
  <si>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</si>
  <si>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</si>
  <si>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</si>
  <si>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</si>
  <si>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</si>
  <si>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</si>
  <si>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</si>
  <si>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</si>
  <si>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</si>
  <si>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</si>
  <si>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</si>
  <si>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</si>
  <si>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</si>
  <si>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</si>
  <si>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</si>
  <si>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</si>
  <si>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</si>
  <si>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</si>
  <si>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</si>
  <si>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</si>
  <si>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</si>
  <si>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</si>
  <si>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</si>
  <si>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</si>
  <si>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</si>
  <si>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</si>
  <si>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</si>
  <si>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</si>
  <si>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</si>
  <si>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</si>
  <si>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</si>
  <si>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</si>
  <si>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</si>
  <si>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</si>
  <si>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</si>
  <si>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</si>
  <si>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</si>
  <si>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</si>
  <si>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</si>
  <si>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</si>
  <si>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</si>
  <si>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</si>
  <si>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</si>
  <si>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</si>
  <si>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</si>
  <si>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</si>
  <si>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</si>
  <si>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</si>
  <si>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</si>
  <si>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</si>
  <si>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</si>
  <si>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</si>
  <si>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</si>
  <si>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</si>
  <si>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</si>
  <si>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</si>
  <si>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</si>
  <si>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</si>
  <si>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</si>
  <si>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</si>
  <si>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</si>
  <si>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</si>
  <si>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</si>
  <si>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</si>
  <si>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</si>
  <si>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</si>
  <si>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</si>
  <si>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</si>
  <si>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</si>
  <si>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</si>
  <si>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</si>
  <si>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</si>
  <si>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</si>
  <si>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</si>
  <si>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</si>
  <si>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</si>
  <si>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</si>
  <si>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</si>
  <si>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</si>
  <si>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</si>
  <si>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</si>
  <si>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</si>
  <si>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</si>
  <si>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</si>
  <si>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</si>
  <si>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</si>
  <si>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</si>
  <si>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</si>
  <si>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</si>
  <si>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</si>
  <si>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</si>
  <si>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</si>
  <si>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</si>
  <si>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</si>
  <si>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</si>
  <si>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</si>
  <si>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</si>
  <si>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</si>
  <si>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</si>
  <si>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</si>
  <si>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</si>
  <si>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</si>
  <si>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</si>
  <si>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</si>
  <si>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</si>
  <si>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</si>
  <si>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</si>
  <si>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</si>
  <si>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</si>
  <si>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</si>
  <si>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</si>
  <si>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</si>
  <si>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</si>
  <si>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</si>
  <si>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</si>
  <si>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</si>
  <si>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</si>
  <si>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</si>
  <si>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</si>
  <si>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</si>
  <si>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</si>
  <si>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</si>
  <si>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</si>
  <si>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</si>
  <si>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</si>
  <si>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</si>
  <si>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</si>
  <si>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</si>
  <si>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</si>
  <si>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</si>
  <si>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</si>
  <si>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</si>
  <si>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</si>
  <si>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</si>
  <si>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</si>
  <si>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</si>
  <si>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</si>
  <si>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</si>
  <si>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</si>
  <si>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</si>
  <si>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</si>
  <si>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</si>
  <si>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</si>
  <si>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</si>
  <si>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</si>
  <si>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</si>
  <si>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</si>
  <si>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</si>
  <si>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</si>
  <si>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</si>
  <si>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</si>
  <si>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</si>
  <si>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</si>
  <si>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</si>
  <si>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</si>
  <si>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</si>
  <si>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</si>
  <si>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</si>
  <si>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</si>
  <si>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</si>
  <si>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</si>
  <si>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</si>
  <si>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</si>
  <si>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</si>
  <si>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</si>
  <si>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</si>
  <si>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</si>
  <si>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</si>
  <si>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</si>
  <si>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</si>
  <si>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</si>
  <si>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</si>
  <si>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</si>
  <si>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</si>
  <si>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</si>
  <si>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</si>
  <si>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</si>
  <si>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</si>
  <si>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</si>
  <si>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</si>
  <si>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</si>
  <si>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</si>
  <si>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</si>
  <si>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</si>
  <si>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</si>
  <si>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</si>
  <si>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</si>
  <si>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</si>
  <si>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</si>
  <si>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</si>
  <si>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</si>
  <si>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</si>
  <si>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</si>
  <si>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</si>
  <si>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</si>
  <si>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</si>
  <si>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</si>
  <si>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</si>
  <si>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</si>
  <si>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</si>
  <si>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</si>
  <si>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</si>
  <si>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</si>
  <si>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</si>
  <si>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</si>
  <si>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</si>
  <si>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</si>
  <si>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</si>
  <si>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</si>
  <si>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</si>
  <si>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</si>
  <si>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</si>
  <si>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</si>
  <si>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</si>
  <si>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</si>
  <si>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</si>
  <si>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</si>
  <si>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</si>
  <si>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</si>
  <si>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</si>
  <si>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</si>
  <si>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</si>
  <si>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</si>
  <si>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</si>
  <si>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</si>
  <si>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</si>
  <si>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</si>
  <si>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</si>
  <si>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</si>
  <si>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</si>
  <si>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</si>
  <si>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</si>
  <si>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</si>
  <si>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</si>
  <si>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</si>
  <si>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</si>
  <si>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</si>
  <si>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</si>
  <si>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</si>
  <si>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</si>
  <si>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</si>
  <si>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</si>
  <si>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</si>
  <si>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</si>
  <si>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</si>
  <si>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</si>
  <si>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</si>
  <si>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</si>
  <si>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</si>
  <si>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</si>
  <si>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</si>
  <si>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</si>
  <si>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</si>
  <si>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</si>
  <si>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</si>
  <si>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</si>
  <si>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</si>
  <si>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</si>
  <si>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</si>
  <si>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</si>
  <si>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</si>
  <si>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</si>
  <si>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</si>
  <si>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</si>
  <si>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</si>
  <si>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</si>
  <si>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</si>
  <si>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</si>
  <si>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</si>
  <si>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</si>
  <si>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</si>
  <si>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</si>
  <si>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</si>
  <si>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</si>
  <si>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</si>
  <si>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</si>
  <si>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</si>
  <si>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</si>
  <si>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</si>
  <si>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</si>
  <si>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</si>
  <si>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</si>
  <si>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</si>
  <si>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</si>
  <si>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</si>
  <si>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</si>
  <si>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</si>
  <si>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</si>
  <si>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</si>
  <si>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</si>
  <si>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</si>
  <si>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</si>
  <si>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</si>
  <si>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</si>
  <si>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</si>
  <si>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</si>
  <si>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</si>
  <si>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</si>
  <si>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</si>
  <si>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</si>
  <si>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</si>
  <si>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</si>
  <si>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</si>
  <si>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</si>
  <si>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</si>
  <si>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</si>
  <si>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</si>
  <si>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</si>
  <si>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</si>
  <si>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</si>
  <si>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</si>
  <si>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</si>
  <si>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</si>
  <si>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</si>
  <si>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</si>
  <si>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</si>
  <si>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</si>
  <si>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</si>
  <si>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</si>
  <si>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</si>
  <si>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</si>
  <si>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</si>
  <si>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</si>
  <si>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</si>
  <si>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</si>
  <si>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</si>
  <si>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</si>
  <si>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</si>
  <si>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</si>
  <si>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</si>
  <si>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</si>
  <si>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</si>
  <si>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</si>
  <si>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</si>
  <si>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</si>
  <si>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</si>
  <si>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</si>
  <si>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</si>
  <si>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</si>
  <si>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</si>
  <si>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</si>
  <si>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</si>
  <si>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</si>
  <si>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</si>
  <si>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</si>
  <si>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</si>
  <si>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</si>
  <si>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</si>
  <si>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</si>
  <si>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</si>
  <si>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</si>
  <si>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</si>
  <si>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</si>
  <si>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</si>
  <si>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</si>
  <si>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</si>
  <si>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</si>
  <si>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</si>
  <si>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</si>
  <si>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</si>
  <si>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</si>
  <si>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</si>
  <si>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</si>
  <si>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</si>
  <si>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</si>
  <si>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</si>
  <si>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</si>
  <si>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</si>
  <si>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</si>
  <si>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</si>
  <si>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</si>
  <si>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</si>
  <si>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</si>
  <si>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</si>
  <si>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</si>
  <si>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</si>
  <si>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</si>
  <si>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</si>
  <si>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</si>
  <si>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</si>
  <si>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</si>
  <si>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</si>
  <si>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</si>
  <si>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</si>
  <si>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</si>
  <si>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</si>
  <si>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</si>
  <si>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</si>
  <si>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</si>
  <si>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</si>
  <si>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</si>
  <si>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</si>
  <si>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</si>
  <si>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</si>
  <si>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</si>
  <si>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</si>
  <si>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</si>
  <si>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</si>
  <si>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</si>
  <si>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</si>
  <si>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</si>
  <si>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</si>
  <si>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</si>
  <si>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</si>
  <si>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</si>
  <si>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</si>
  <si>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</si>
  <si>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</si>
  <si>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</si>
  <si>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</si>
  <si>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</si>
  <si>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</si>
  <si>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</si>
  <si>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</si>
  <si>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</si>
  <si>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</si>
  <si>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</si>
  <si>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</si>
  <si>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</si>
  <si>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</si>
  <si>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</si>
  <si>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</si>
  <si>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</si>
  <si>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</si>
  <si>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</si>
  <si>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</si>
  <si>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</si>
  <si>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</si>
  <si>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</si>
  <si>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</si>
  <si>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</si>
  <si>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</si>
  <si>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</si>
  <si>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</si>
  <si>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</si>
  <si>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</si>
  <si>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</si>
  <si>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</si>
  <si>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</si>
  <si>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</si>
  <si>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</si>
  <si>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</si>
  <si>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</si>
  <si>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</si>
  <si>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</si>
  <si>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</si>
  <si>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</si>
  <si>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</si>
  <si>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</si>
  <si>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</si>
  <si>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</si>
  <si>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</si>
  <si>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</si>
  <si>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</si>
  <si>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</si>
  <si>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</si>
  <si>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</si>
  <si>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</si>
  <si>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</si>
  <si>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</si>
  <si>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</si>
  <si>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</si>
  <si>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</si>
  <si>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</si>
  <si>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</si>
  <si>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</si>
  <si>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</si>
  <si>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</si>
  <si>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</si>
  <si>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</si>
  <si>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</si>
  <si>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</si>
  <si>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</si>
  <si>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</si>
  <si>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</si>
  <si>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</si>
  <si>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</si>
  <si>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</si>
  <si>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</si>
  <si>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</si>
  <si>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</si>
  <si>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</si>
  <si>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</si>
  <si>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</si>
  <si>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</si>
  <si>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</si>
  <si>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</si>
  <si>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</si>
  <si>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</si>
  <si>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</si>
  <si>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</si>
  <si>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</si>
  <si>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</si>
  <si>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</si>
  <si>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</si>
  <si>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</si>
  <si>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</si>
  <si>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</si>
  <si>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</si>
  <si>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</si>
  <si>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</si>
  <si>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</si>
  <si>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</si>
  <si>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</si>
  <si>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</si>
  <si>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</si>
  <si>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</si>
  <si>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</si>
  <si>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</si>
  <si>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</si>
  <si>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</si>
  <si>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</si>
  <si>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</si>
  <si>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</si>
  <si>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</si>
  <si>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</si>
  <si>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</si>
  <si>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</si>
  <si>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</si>
  <si>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</si>
  <si>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</si>
  <si>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</si>
  <si>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</si>
  <si>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</si>
  <si>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</si>
  <si>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</si>
  <si>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</si>
  <si>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</si>
  <si>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</si>
  <si>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</si>
  <si>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</si>
  <si>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</si>
  <si>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</si>
  <si>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</si>
  <si>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</si>
  <si>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</si>
  <si>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</si>
  <si>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</si>
  <si>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</si>
  <si>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</si>
  <si>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</si>
  <si>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</si>
  <si>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</si>
  <si>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</si>
  <si>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</si>
  <si>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</si>
  <si>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</si>
  <si>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</si>
  <si>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</si>
  <si>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</si>
  <si>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</si>
  <si>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</si>
  <si>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</si>
  <si>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</si>
  <si>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</si>
  <si>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</si>
  <si>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</si>
  <si>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</si>
  <si>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</si>
  <si>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</si>
  <si>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</si>
  <si>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</si>
  <si>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</si>
  <si>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</si>
  <si>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</si>
  <si>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</si>
  <si>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</si>
  <si>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</si>
  <si>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</si>
  <si>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</si>
  <si>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</si>
  <si>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</si>
  <si>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</si>
  <si>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</si>
  <si>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</si>
  <si>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</si>
  <si>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</si>
  <si>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</si>
  <si>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</si>
  <si>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</si>
  <si>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</si>
  <si>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</si>
  <si>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</si>
  <si>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</si>
  <si>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</si>
  <si>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</si>
  <si>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</si>
  <si>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</si>
  <si>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</si>
  <si>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</si>
  <si>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</si>
  <si>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</si>
  <si>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</si>
  <si>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</si>
  <si>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</si>
  <si>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</si>
  <si>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</si>
  <si>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</si>
  <si>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</si>
  <si>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</si>
  <si>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</si>
  <si>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</si>
  <si>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</si>
  <si>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</si>
  <si>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</si>
  <si>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</si>
  <si>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</si>
  <si>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</si>
  <si>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</si>
  <si>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</si>
  <si>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</si>
  <si>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</si>
  <si>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</si>
  <si>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</si>
  <si>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</si>
  <si>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</si>
  <si>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</si>
  <si>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</si>
  <si>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</si>
  <si>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</si>
  <si>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</si>
  <si>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</si>
  <si>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</si>
  <si>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</si>
  <si>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</si>
  <si>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</si>
  <si>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</si>
  <si>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</si>
  <si>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</si>
  <si>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</si>
  <si>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</si>
  <si>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</si>
  <si>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</si>
  <si>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</si>
  <si>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</si>
  <si>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</si>
  <si>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</si>
  <si>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</si>
  <si>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</si>
  <si>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</si>
  <si>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</si>
  <si>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</si>
  <si>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</si>
  <si>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</si>
  <si>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</si>
  <si>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</si>
  <si>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</si>
  <si>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</si>
  <si>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</si>
  <si>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</si>
  <si>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</si>
  <si>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</si>
  <si>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</si>
  <si>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</si>
  <si>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</si>
  <si>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</si>
  <si>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</si>
  <si>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</si>
  <si>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</si>
  <si>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</si>
  <si>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</si>
  <si>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</si>
  <si>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</si>
  <si>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</si>
  <si>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</si>
  <si>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</si>
  <si>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</si>
  <si>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</si>
  <si>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</si>
  <si>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</si>
  <si>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</si>
  <si>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</si>
  <si>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</si>
  <si>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</si>
  <si>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</si>
  <si>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</si>
  <si>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</si>
  <si>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</si>
  <si>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</si>
  <si>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</si>
  <si>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</si>
  <si>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</si>
  <si>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</si>
  <si>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</si>
  <si>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</si>
  <si>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</si>
  <si>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</si>
  <si>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</si>
  <si>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</si>
  <si>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</si>
  <si>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</si>
  <si>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</si>
  <si>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</si>
  <si>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</si>
  <si>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</si>
  <si>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</si>
  <si>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</si>
  <si>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</si>
  <si>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</si>
  <si>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</si>
  <si>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</si>
  <si>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</si>
  <si>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</si>
  <si>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</si>
  <si>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</si>
  <si>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</si>
  <si>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</si>
  <si>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</si>
  <si>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</si>
  <si>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</si>
  <si>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</si>
  <si>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</si>
  <si>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</si>
  <si>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</si>
  <si>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</si>
  <si>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</si>
  <si>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</si>
  <si>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</si>
  <si>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</si>
  <si>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</si>
  <si>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</si>
  <si>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</si>
  <si>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</si>
  <si>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</si>
  <si>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</si>
  <si>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</si>
  <si>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</si>
  <si>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</si>
  <si>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</si>
  <si>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</si>
  <si>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</si>
  <si>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</si>
  <si>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</si>
  <si>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</si>
  <si>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</si>
  <si>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</si>
  <si>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</si>
  <si>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</si>
  <si>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</si>
  <si>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</si>
  <si>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</si>
  <si>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</si>
  <si>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</si>
  <si>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</si>
  <si>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</si>
  <si>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</si>
  <si>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</si>
  <si>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</si>
  <si>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</si>
  <si>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</si>
  <si>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</si>
  <si>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</si>
  <si>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</si>
  <si>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</si>
  <si>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</si>
  <si>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</si>
  <si>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</si>
  <si>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</si>
  <si>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</si>
  <si>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</si>
  <si>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</si>
  <si>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</si>
  <si>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</si>
  <si>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</si>
  <si>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</si>
  <si>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</si>
  <si>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</si>
  <si>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</si>
  <si>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</si>
  <si>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</si>
  <si>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</si>
  <si>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</si>
  <si>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</si>
  <si>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</si>
  <si>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</si>
  <si>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</si>
  <si>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</si>
  <si>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</si>
  <si>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</si>
  <si>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</si>
  <si>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</si>
  <si>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</si>
  <si>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</si>
  <si>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</si>
  <si>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</si>
  <si>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</si>
  <si>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</si>
  <si>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</si>
  <si>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</si>
  <si>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</si>
  <si>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</si>
  <si>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</si>
  <si>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</si>
  <si>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</si>
  <si>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</si>
  <si>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</si>
  <si>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</si>
  <si>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</si>
  <si>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</si>
  <si>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</si>
  <si>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</si>
  <si>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</si>
  <si>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</si>
  <si>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</si>
  <si>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</si>
  <si>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</si>
  <si>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</si>
  <si>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</si>
  <si>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</si>
  <si>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</si>
  <si>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</si>
  <si>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</si>
  <si>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</si>
  <si>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</si>
  <si>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</si>
  <si>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</si>
  <si>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</si>
  <si>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</si>
  <si>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</si>
  <si>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</si>
  <si>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</si>
  <si>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</si>
  <si>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</si>
  <si>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</si>
  <si>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</si>
  <si>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</si>
  <si>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</si>
  <si>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</si>
  <si>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</si>
  <si>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</si>
  <si>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</si>
  <si>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</si>
  <si>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</si>
  <si>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</si>
  <si>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</si>
  <si>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</si>
  <si>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</si>
  <si>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</si>
  <si>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</si>
  <si>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</si>
  <si>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</si>
  <si>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</si>
  <si>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</si>
  <si>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</si>
  <si>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</si>
  <si>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</si>
  <si>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</si>
  <si>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</si>
  <si>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</si>
  <si>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</si>
  <si>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</si>
  <si>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</si>
  <si>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</si>
  <si>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</si>
  <si>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</si>
  <si>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</si>
  <si>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</si>
  <si>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</si>
  <si>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</si>
  <si>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</si>
  <si>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</si>
  <si>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</si>
  <si>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</si>
  <si>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</si>
  <si>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</si>
  <si>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</si>
  <si>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</si>
  <si>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</si>
  <si>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</si>
  <si>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</si>
  <si>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</si>
  <si>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</si>
  <si>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</si>
  <si>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</si>
  <si>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</si>
  <si>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</si>
  <si>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</si>
  <si>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</si>
  <si>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</si>
  <si>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</si>
  <si>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</si>
  <si>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</si>
  <si>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</si>
  <si>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</si>
  <si>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</si>
  <si>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</si>
  <si>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</si>
  <si>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</si>
  <si>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</si>
  <si>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</si>
  <si>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</si>
  <si>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</si>
  <si>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</si>
  <si>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</si>
  <si>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</si>
  <si>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</si>
  <si>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</si>
  <si>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</si>
  <si>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</si>
  <si>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</si>
  <si>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</si>
  <si>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</si>
  <si>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</si>
  <si>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</si>
  <si>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</si>
  <si>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</si>
  <si>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</si>
  <si>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</si>
  <si>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</si>
  <si>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</si>
  <si>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</si>
  <si>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</si>
  <si>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</si>
  <si>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</si>
  <si>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</si>
  <si>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</si>
  <si>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</si>
  <si>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</si>
  <si>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</si>
  <si>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</si>
  <si>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</si>
  <si>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</si>
  <si>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</si>
  <si>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</si>
  <si>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</si>
  <si>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</si>
  <si>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</si>
  <si>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</si>
  <si>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</si>
  <si>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</si>
  <si>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</si>
  <si>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</si>
  <si>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</si>
  <si>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</si>
  <si>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</si>
  <si>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</si>
  <si>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</si>
  <si>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</si>
  <si>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</si>
  <si>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</si>
  <si>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</si>
  <si>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</si>
  <si>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</si>
  <si>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</si>
  <si>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</si>
  <si>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</si>
  <si>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</si>
  <si>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</si>
  <si>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</si>
  <si>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</si>
  <si>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</si>
  <si>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</si>
  <si>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</si>
  <si>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</si>
  <si>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</si>
  <si>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</si>
  <si>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</si>
  <si>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</si>
  <si>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</si>
  <si>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</si>
  <si>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</si>
  <si>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</si>
  <si>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</si>
  <si>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</si>
  <si>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</si>
  <si>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</si>
  <si>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</si>
  <si>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</si>
  <si>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</si>
  <si>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</si>
  <si>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</si>
  <si>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</si>
  <si>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</si>
  <si>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</si>
  <si>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</si>
  <si>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</si>
  <si>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</si>
  <si>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</si>
  <si>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</si>
  <si>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</si>
  <si>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</si>
  <si>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</si>
  <si>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</si>
  <si>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</si>
  <si>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</si>
  <si>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</si>
  <si>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</si>
  <si>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</si>
  <si>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</si>
  <si>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</si>
  <si>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</si>
  <si>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</si>
  <si>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</si>
  <si>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</si>
  <si>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</si>
  <si>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</si>
  <si>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</si>
  <si>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</si>
  <si>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</si>
  <si>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</si>
  <si>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</si>
  <si>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</si>
  <si>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</si>
  <si>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</si>
  <si>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</si>
  <si>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</si>
  <si>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</si>
  <si>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</si>
  <si>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</si>
  <si>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</si>
  <si>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</si>
  <si>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</si>
  <si>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</si>
  <si>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</si>
  <si>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</si>
  <si>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</si>
  <si>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</si>
  <si>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</si>
  <si>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</si>
  <si>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</si>
  <si>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</si>
  <si>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</si>
  <si>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</si>
  <si>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</si>
  <si>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</si>
  <si>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</si>
  <si>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</si>
  <si>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</si>
  <si>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</si>
  <si>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</si>
  <si>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</si>
  <si>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</si>
  <si>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</si>
  <si>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</si>
  <si>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</si>
  <si>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</si>
  <si>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</si>
  <si>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</si>
  <si>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</si>
  <si>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</si>
  <si>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</si>
  <si>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</si>
  <si>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</si>
  <si>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</si>
  <si>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</si>
  <si>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</si>
  <si>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</si>
  <si>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</si>
  <si>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</si>
  <si>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</si>
  <si>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</si>
  <si>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</si>
  <si>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</si>
  <si>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</si>
  <si>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</si>
  <si>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</si>
  <si>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</si>
  <si>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</si>
  <si>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</si>
  <si>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</si>
  <si>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</si>
  <si>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</si>
  <si>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</si>
  <si>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</si>
  <si>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</si>
  <si>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</si>
  <si>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</si>
  <si>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</si>
  <si>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</si>
  <si>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</si>
  <si>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</si>
  <si>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</si>
  <si>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</si>
  <si>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</si>
  <si>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</si>
  <si>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</si>
  <si>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</si>
  <si>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</si>
  <si>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</si>
  <si>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</si>
  <si>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</si>
  <si>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</si>
  <si>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</si>
  <si>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</si>
  <si>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</si>
  <si>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</si>
  <si>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</si>
  <si>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</si>
  <si>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</si>
  <si>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</si>
  <si>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</si>
  <si>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</si>
  <si>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</si>
  <si>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</si>
  <si>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</si>
  <si>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</si>
  <si>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</si>
  <si>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</si>
  <si>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</si>
  <si>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</si>
  <si>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</si>
  <si>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</si>
  <si>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</si>
  <si>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</si>
  <si>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</si>
  <si>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</si>
  <si>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</si>
  <si>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</si>
  <si>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</si>
  <si>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</si>
  <si>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</si>
  <si>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</si>
  <si>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</si>
  <si>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</si>
  <si>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</si>
  <si>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</si>
  <si>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</si>
  <si>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</si>
  <si>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</si>
  <si>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</si>
  <si>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</si>
  <si>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</si>
  <si>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</si>
  <si>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</si>
  <si>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</si>
  <si>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</si>
  <si>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</si>
  <si>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</si>
  <si>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</si>
  <si>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</si>
  <si>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</si>
  <si>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</si>
  <si>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</si>
  <si>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</si>
  <si>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</si>
  <si>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</si>
  <si>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</si>
  <si>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</si>
  <si>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</si>
  <si>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</si>
  <si>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</si>
  <si>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</si>
  <si>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</si>
  <si>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</si>
  <si>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</si>
  <si>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</si>
  <si>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</si>
  <si>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</si>
  <si>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</si>
  <si>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</si>
  <si>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</si>
  <si>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</si>
  <si>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</si>
  <si>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</si>
  <si>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</si>
  <si>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</si>
  <si>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</si>
  <si>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</si>
  <si>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</si>
  <si>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</si>
  <si>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</si>
  <si>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</si>
  <si>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</si>
  <si>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</si>
  <si>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</si>
  <si>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</si>
  <si>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</si>
  <si>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</si>
  <si>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</si>
  <si>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</si>
  <si>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</si>
  <si>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</si>
  <si>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</si>
  <si>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</si>
  <si>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</si>
  <si>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</si>
  <si>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</si>
  <si>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</si>
  <si>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</si>
  <si>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</si>
  <si>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</si>
  <si>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</si>
  <si>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</si>
  <si>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</si>
  <si>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</si>
  <si>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</si>
  <si>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</si>
  <si>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</si>
  <si>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</si>
  <si>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</si>
  <si>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</si>
  <si>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</si>
  <si>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</si>
  <si>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</si>
  <si>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</si>
  <si>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</si>
  <si>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</si>
  <si>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</si>
  <si>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</si>
  <si>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</si>
  <si>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</si>
  <si>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</si>
  <si>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</si>
  <si>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</si>
  <si>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</si>
  <si>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</si>
  <si>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</si>
  <si>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</si>
  <si>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</si>
  <si>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</si>
  <si>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</si>
  <si>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</si>
  <si>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</si>
  <si>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</si>
  <si>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</si>
  <si>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</si>
  <si>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</si>
  <si>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</si>
  <si>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</si>
  <si>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</si>
  <si>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</si>
  <si>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</si>
  <si>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</si>
  <si>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</si>
  <si>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</si>
  <si>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</si>
  <si>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</si>
  <si>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</si>
  <si>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</si>
  <si>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</si>
  <si>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</si>
  <si>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</si>
  <si>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</si>
  <si>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</si>
  <si>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</si>
  <si>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</si>
  <si>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</si>
  <si>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</si>
  <si>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</si>
  <si>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</si>
  <si>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</si>
  <si>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</si>
  <si>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</si>
  <si>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</si>
  <si>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</si>
  <si>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</si>
  <si>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</si>
  <si>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</si>
  <si>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</si>
  <si>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</si>
  <si>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</si>
  <si>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</si>
  <si>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</si>
  <si>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</si>
  <si>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</si>
  <si>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</si>
  <si>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</si>
  <si>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</si>
  <si>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</si>
  <si>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</si>
  <si>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</si>
  <si>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</si>
  <si>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</si>
  <si>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</si>
  <si>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</si>
  <si>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</si>
  <si>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</si>
  <si>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</si>
  <si>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</si>
  <si>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</si>
  <si>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</si>
  <si>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</si>
  <si>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</si>
  <si>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</si>
  <si>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</si>
  <si>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</si>
  <si>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</si>
  <si>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</si>
  <si>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</si>
  <si>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</si>
  <si>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</si>
  <si>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</si>
  <si>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</si>
  <si>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</si>
  <si>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</si>
  <si>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</si>
  <si>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</si>
  <si>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</si>
  <si>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</si>
  <si>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</si>
  <si>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</si>
  <si>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</si>
  <si>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</si>
  <si>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</si>
  <si>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</si>
  <si>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</si>
  <si>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</si>
  <si>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</si>
  <si>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</si>
  <si>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</si>
  <si>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</si>
  <si>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</si>
  <si>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</si>
  <si>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</si>
  <si>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</si>
  <si>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</si>
  <si>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</si>
  <si>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</si>
  <si>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</si>
  <si>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</si>
  <si>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</si>
  <si>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</si>
  <si>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</si>
  <si>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</si>
  <si>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</si>
  <si>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</si>
  <si>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</si>
  <si>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</si>
  <si>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</si>
  <si>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</si>
  <si>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</si>
  <si>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</si>
  <si>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</si>
  <si>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</si>
  <si>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</si>
  <si>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</si>
  <si>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</si>
  <si>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</si>
  <si>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</si>
  <si>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</si>
  <si>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</si>
  <si>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</si>
  <si>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</si>
  <si>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</si>
  <si>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</si>
  <si>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</si>
  <si>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</si>
  <si>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</si>
  <si>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</si>
  <si>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</si>
  <si>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</si>
  <si>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</si>
  <si>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</si>
  <si>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</si>
  <si>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</si>
  <si>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</si>
  <si>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</si>
  <si>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</si>
  <si>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</si>
  <si>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</si>
  <si>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</si>
  <si>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</si>
  <si>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</si>
  <si>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</si>
  <si>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</si>
  <si>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</si>
  <si>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</si>
  <si>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</si>
  <si>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</si>
  <si>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</si>
  <si>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</si>
  <si>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</si>
  <si>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</si>
  <si>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</si>
  <si>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</si>
  <si>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</si>
  <si>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</si>
  <si>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</si>
  <si>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</si>
  <si>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</si>
  <si>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</si>
  <si>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</si>
  <si>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</si>
  <si>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</si>
  <si>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</si>
  <si>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</si>
  <si>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</si>
  <si>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</si>
  <si>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</si>
  <si>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</si>
  <si>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</si>
  <si>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</si>
  <si>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</si>
  <si>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</si>
  <si>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</si>
  <si>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</si>
  <si>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</si>
  <si>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</si>
  <si>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</si>
  <si>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</si>
  <si>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</si>
  <si>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</si>
  <si>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</si>
  <si>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</si>
  <si>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</si>
  <si>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</si>
  <si>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</si>
  <si>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</si>
  <si>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</si>
  <si>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</si>
  <si>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</si>
  <si>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</si>
  <si>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</si>
  <si>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</si>
  <si>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</si>
  <si>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</si>
  <si>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</si>
  <si>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</si>
  <si>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</si>
  <si>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</si>
  <si>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</si>
  <si>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</si>
  <si>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</si>
  <si>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</si>
  <si>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</si>
  <si>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</si>
  <si>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</si>
  <si>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</si>
  <si>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</si>
  <si>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</si>
  <si>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</si>
  <si>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</si>
  <si>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</si>
  <si>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</si>
  <si>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</si>
  <si>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</si>
  <si>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</si>
  <si>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</si>
  <si>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</si>
  <si>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</si>
  <si>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</si>
  <si>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</si>
  <si>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</si>
  <si>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</si>
  <si>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</si>
  <si>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</si>
  <si>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</si>
  <si>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</si>
  <si>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</si>
  <si>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</si>
  <si>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</si>
  <si>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</si>
  <si>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</si>
  <si>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</si>
  <si>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</si>
  <si>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</si>
  <si>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</si>
  <si>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</si>
  <si>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</si>
  <si>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</si>
  <si>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</si>
  <si>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</si>
  <si>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</si>
  <si>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1390禮包</t>
  </si>
  <si>
    <t>840禮包</t>
  </si>
  <si>
    <t>640禮包</t>
  </si>
  <si>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</si>
  <si>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</si>
  <si>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</si>
  <si>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</si>
  <si>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</si>
  <si>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</si>
  <si>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</si>
  <si>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</si>
  <si>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</si>
  <si>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</si>
  <si>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</si>
  <si>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</si>
  <si>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</si>
  <si>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</si>
  <si>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</si>
  <si>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</si>
  <si>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</si>
  <si>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</si>
  <si>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</si>
  <si>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</si>
  <si>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</si>
  <si>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</si>
  <si>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</si>
  <si>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</si>
  <si>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</si>
  <si>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</si>
  <si>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</si>
  <si>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</si>
  <si>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</si>
  <si>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</si>
  <si>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</si>
  <si>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</si>
  <si>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</si>
  <si>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</si>
  <si>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</si>
  <si>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</si>
  <si>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</si>
  <si>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</si>
  <si>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</si>
  <si>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</si>
  <si>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</si>
  <si>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</si>
  <si>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</si>
  <si>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</si>
  <si>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</si>
  <si>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</si>
  <si>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</si>
  <si>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</si>
  <si>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</si>
  <si>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</si>
  <si>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</si>
  <si>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</si>
  <si>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</si>
  <si>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</si>
  <si>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</si>
  <si>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</si>
  <si>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</si>
  <si>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</si>
  <si>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</si>
  <si>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</si>
  <si>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</si>
  <si>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</si>
  <si>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</si>
  <si>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</si>
  <si>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</si>
  <si>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</si>
  <si>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</si>
  <si>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</si>
  <si>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</si>
  <si>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</si>
  <si>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</si>
  <si>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</si>
  <si>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</si>
  <si>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</si>
  <si>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</si>
  <si>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</si>
  <si>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</si>
  <si>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</si>
  <si>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</si>
  <si>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</si>
  <si>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</si>
  <si>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</si>
  <si>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</si>
  <si>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</si>
  <si>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</si>
  <si>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</si>
  <si>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</si>
  <si>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</si>
  <si>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</si>
  <si>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</si>
  <si>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</si>
  <si>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</si>
  <si>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</si>
  <si>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</si>
  <si>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</si>
  <si>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</si>
  <si>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</si>
  <si>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</si>
  <si>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</si>
  <si>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</si>
  <si>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</si>
  <si>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</si>
  <si>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</si>
  <si>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</si>
  <si>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</si>
  <si>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</si>
  <si>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</si>
  <si>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</si>
  <si>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</si>
  <si>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</si>
  <si>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</si>
  <si>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</si>
  <si>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</si>
  <si>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</si>
  <si>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</si>
  <si>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</si>
  <si>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</si>
  <si>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</si>
  <si>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</si>
  <si>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</si>
  <si>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點選主畫面左上角</t>
    <phoneticPr fontId="2" type="noConversion"/>
  </si>
  <si>
    <t>點選個人資料頁面左下角的按鈕</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</si>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</sst>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printerSettings" Target="../printerSettings/printerSettings1.bin"/><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3"/>
  <sheetViews>
    <sheetView zoomScaleNormal="100" workbookViewId="0">
      <pane xSplit="1" ySplit="1" topLeftCell="K306" activePane="bottomRight" state="frozen"/>
      <selection pane="topRight" activeCell="B1" sqref="B1"/>
      <selection pane="bottomLeft" activeCell="A2" sqref="A2"/>
      <selection pane="bottomRight" activeCell="A316" sqref="A316"/>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5704</v>
      </c>
      <c r="M291" s="59">
        <v>2585</v>
      </c>
      <c r="N291" s="1" t="s">
        <v>5705</v>
      </c>
      <c r="O291" s="59">
        <v>1295</v>
      </c>
      <c r="P291" s="1" t="s">
        <v>5706</v>
      </c>
      <c r="Q291" s="59">
        <v>800</v>
      </c>
      <c r="R291" s="1" t="s">
        <v>5707</v>
      </c>
      <c r="S291" s="59">
        <v>400</v>
      </c>
      <c r="T291" s="1" t="s">
        <v>5708</v>
      </c>
      <c r="U291" s="59">
        <v>139</v>
      </c>
      <c r="V291" s="1" t="s">
        <v>5709</v>
      </c>
      <c r="W291" s="59">
        <v>29</v>
      </c>
      <c r="X291" s="1" t="s">
        <v>5710</v>
      </c>
      <c r="Y291" s="59">
        <v>533</v>
      </c>
      <c r="Z291" s="1" t="s">
        <v>5711</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5684</v>
      </c>
      <c r="M304" s="59">
        <v>2539</v>
      </c>
      <c r="N304" s="1" t="s">
        <v>5685</v>
      </c>
      <c r="O304" s="59">
        <v>1289</v>
      </c>
      <c r="P304" s="1" t="s">
        <v>5686</v>
      </c>
      <c r="Q304" s="59">
        <v>864</v>
      </c>
      <c r="R304" s="1" t="s">
        <v>5687</v>
      </c>
      <c r="S304" s="59">
        <v>602</v>
      </c>
      <c r="T304" s="1" t="s">
        <v>5688</v>
      </c>
      <c r="U304" s="59">
        <v>279</v>
      </c>
      <c r="V304" s="1" t="s">
        <v>5689</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5690</v>
      </c>
      <c r="M306" s="59">
        <v>2793</v>
      </c>
      <c r="N306" s="1" t="s">
        <v>5691</v>
      </c>
      <c r="O306" s="59">
        <v>1462</v>
      </c>
      <c r="P306" s="1" t="s">
        <v>5692</v>
      </c>
      <c r="Q306" s="59">
        <v>585</v>
      </c>
      <c r="R306" s="1" t="s">
        <v>5693</v>
      </c>
      <c r="S306" s="59">
        <v>288</v>
      </c>
      <c r="T306" s="1" t="s">
        <v>5694</v>
      </c>
      <c r="U306" s="59">
        <v>155</v>
      </c>
      <c r="V306" s="1" t="s">
        <v>5695</v>
      </c>
      <c r="W306" s="59">
        <v>31</v>
      </c>
      <c r="X306" s="1" t="s">
        <v>5696</v>
      </c>
      <c r="Y306" s="59">
        <v>288</v>
      </c>
      <c r="Z306" s="1" t="s">
        <v>5697</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5670</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5671</v>
      </c>
      <c r="J308" s="2" t="s">
        <v>5424</v>
      </c>
      <c r="K308" s="88" t="s">
        <v>5454</v>
      </c>
      <c r="L308" s="1" t="s">
        <v>5661</v>
      </c>
      <c r="M308" s="59">
        <v>2793</v>
      </c>
      <c r="N308" s="1" t="s">
        <v>5662</v>
      </c>
      <c r="O308" s="59">
        <v>1462</v>
      </c>
      <c r="P308" s="1" t="s">
        <v>5663</v>
      </c>
      <c r="Q308" s="59">
        <v>864</v>
      </c>
      <c r="R308" s="1" t="s">
        <v>5664</v>
      </c>
      <c r="S308" s="59">
        <v>428</v>
      </c>
      <c r="T308" s="1" t="s">
        <v>5665</v>
      </c>
      <c r="U308" s="59">
        <v>155</v>
      </c>
      <c r="V308" s="1" t="s">
        <v>5666</v>
      </c>
      <c r="W308" s="59">
        <v>31</v>
      </c>
      <c r="X308" s="1" t="s">
        <v>5667</v>
      </c>
      <c r="Y308" s="59">
        <v>2793</v>
      </c>
      <c r="Z308" s="1" t="s">
        <v>5668</v>
      </c>
      <c r="AA308" s="59">
        <v>1462</v>
      </c>
      <c r="AB308" s="94" t="s">
        <v>5669</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5672</v>
      </c>
      <c r="J309" s="2" t="s">
        <v>5424</v>
      </c>
      <c r="K309" s="88" t="s">
        <v>5454</v>
      </c>
      <c r="L309" s="1" t="s">
        <v>4654</v>
      </c>
      <c r="M309" s="59">
        <v>2867</v>
      </c>
      <c r="N309" s="1" t="s">
        <v>4655</v>
      </c>
      <c r="O309" s="59">
        <v>1500</v>
      </c>
      <c r="P309" s="1" t="s">
        <v>4656</v>
      </c>
      <c r="Q309" s="59">
        <v>887</v>
      </c>
      <c r="R309" s="1" t="s">
        <v>5811</v>
      </c>
      <c r="S309" s="59">
        <v>439</v>
      </c>
      <c r="T309" s="1" t="s">
        <v>4657</v>
      </c>
      <c r="U309" s="59">
        <v>159</v>
      </c>
      <c r="V309" s="1" t="s">
        <v>4658</v>
      </c>
      <c r="W309" s="59">
        <v>32</v>
      </c>
      <c r="X309" s="1" t="s">
        <v>5812</v>
      </c>
      <c r="Y309" s="59">
        <v>159</v>
      </c>
      <c r="Z309" s="1" t="s">
        <v>5813</v>
      </c>
      <c r="AA309" s="59">
        <v>296</v>
      </c>
      <c r="AB309" s="1" t="s">
        <v>5814</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5673</v>
      </c>
      <c r="J310" s="2" t="s">
        <v>5424</v>
      </c>
      <c r="K310" s="88" t="s">
        <v>5454</v>
      </c>
      <c r="L310" s="1" t="s">
        <v>4987</v>
      </c>
      <c r="M310" s="59">
        <v>2793</v>
      </c>
      <c r="N310" s="1" t="s">
        <v>1676</v>
      </c>
      <c r="O310" s="59">
        <v>1462</v>
      </c>
      <c r="P310" s="1" t="s">
        <v>5658</v>
      </c>
      <c r="Q310" s="59">
        <v>1202</v>
      </c>
      <c r="R310" s="1" t="s">
        <v>151</v>
      </c>
      <c r="S310" s="59">
        <v>864</v>
      </c>
      <c r="T310" s="1" t="s">
        <v>5659</v>
      </c>
      <c r="U310" s="59">
        <v>733</v>
      </c>
      <c r="V310" s="1" t="s">
        <v>5660</v>
      </c>
      <c r="W310" s="59">
        <v>559</v>
      </c>
      <c r="X310" s="1" t="s">
        <v>153</v>
      </c>
      <c r="Y310" s="59">
        <v>428</v>
      </c>
      <c r="Z310" s="1" t="s">
        <v>1680</v>
      </c>
      <c r="AA310" s="59">
        <v>288</v>
      </c>
      <c r="AB310" s="1" t="s">
        <v>1682</v>
      </c>
      <c r="AC310" s="59">
        <v>155</v>
      </c>
      <c r="AD310" s="1" t="s">
        <v>1683</v>
      </c>
      <c r="AE310" s="59">
        <v>31</v>
      </c>
    </row>
    <row r="311" spans="1:31" ht="22.5" customHeight="1" thickBot="1">
      <c r="A311" s="37" t="s">
        <v>5701</v>
      </c>
      <c r="C311" s="37" t="s">
        <v>5700</v>
      </c>
      <c r="D311" s="38" t="s">
        <v>5699</v>
      </c>
      <c r="E311" s="38" t="s">
        <v>5698</v>
      </c>
      <c r="F311" s="37" t="str">
        <f t="shared" si="12"/>
        <v>gift-codes.html?game=NBA籃球世界</v>
      </c>
      <c r="G311" s="2" t="s">
        <v>5702</v>
      </c>
      <c r="H311" s="38" t="str">
        <f t="shared" si="13"/>
        <v>https://www.ssbuy.tw/game-detail.html?game=NBA籃球世界</v>
      </c>
      <c r="I311" s="39" t="s">
        <v>5703</v>
      </c>
      <c r="J311" s="2" t="s">
        <v>5424</v>
      </c>
      <c r="K311" s="88" t="s">
        <v>5454</v>
      </c>
      <c r="L311" s="1" t="s">
        <v>5748</v>
      </c>
      <c r="M311" s="59">
        <v>2591</v>
      </c>
      <c r="N311" s="1" t="s">
        <v>5749</v>
      </c>
      <c r="O311" s="59">
        <v>1315</v>
      </c>
      <c r="P311" s="1" t="s">
        <v>5750</v>
      </c>
      <c r="Q311" s="59">
        <v>882</v>
      </c>
      <c r="R311" s="1" t="s">
        <v>5751</v>
      </c>
      <c r="S311" s="59">
        <v>437</v>
      </c>
      <c r="T311" s="1" t="s">
        <v>5752</v>
      </c>
      <c r="U311" s="59">
        <v>158</v>
      </c>
      <c r="V311" s="1" t="s">
        <v>5753</v>
      </c>
      <c r="W311" s="59">
        <v>32</v>
      </c>
      <c r="X311" s="1" t="s">
        <v>98</v>
      </c>
      <c r="Y311" s="59">
        <v>158</v>
      </c>
      <c r="Z311" s="1" t="s">
        <v>5754</v>
      </c>
      <c r="AA311" s="59">
        <v>93</v>
      </c>
      <c r="AB311" s="1"/>
      <c r="AC311" s="59"/>
      <c r="AD311" s="1"/>
      <c r="AE311" s="59"/>
    </row>
    <row r="312" spans="1:31" ht="22.5" customHeight="1" thickBot="1">
      <c r="A312" s="93" t="s">
        <v>5736</v>
      </c>
      <c r="C312" s="37" t="s">
        <v>5733</v>
      </c>
      <c r="D312" s="38" t="s">
        <v>5734</v>
      </c>
      <c r="E312" s="38" t="s">
        <v>5735</v>
      </c>
      <c r="F312" s="37" t="str">
        <f t="shared" ref="F312:F372" si="14">IF(A312="", "", "gift-codes.html?game=" &amp; A312)</f>
        <v>gift-codes.html?game=英雄來搞鬼</v>
      </c>
      <c r="G312" s="2" t="s">
        <v>5737</v>
      </c>
      <c r="H312" s="38" t="str">
        <f t="shared" ref="H312:H372" si="15">IF(A312="", "", "https://www.ssbuy.tw/game-detail.html?game="&amp;A312)</f>
        <v>https://www.ssbuy.tw/game-detail.html?game=英雄來搞鬼</v>
      </c>
      <c r="I312" s="39" t="s">
        <v>5738</v>
      </c>
      <c r="J312" s="2" t="s">
        <v>5424</v>
      </c>
      <c r="K312" s="88" t="s">
        <v>5454</v>
      </c>
      <c r="L312" s="1" t="s">
        <v>5739</v>
      </c>
      <c r="M312" s="59">
        <v>2851</v>
      </c>
      <c r="N312" s="1" t="s">
        <v>5740</v>
      </c>
      <c r="O312" s="59">
        <v>1492</v>
      </c>
      <c r="P312" s="1" t="s">
        <v>5741</v>
      </c>
      <c r="Q312" s="59">
        <v>882</v>
      </c>
      <c r="R312" s="1" t="s">
        <v>5742</v>
      </c>
      <c r="S312" s="59">
        <v>775</v>
      </c>
      <c r="T312" s="1" t="s">
        <v>5743</v>
      </c>
      <c r="U312" s="59">
        <v>597</v>
      </c>
      <c r="V312" s="1" t="s">
        <v>5744</v>
      </c>
      <c r="W312" s="59">
        <v>437</v>
      </c>
      <c r="X312" s="1" t="s">
        <v>5745</v>
      </c>
      <c r="Y312" s="59">
        <v>294</v>
      </c>
      <c r="Z312" s="1" t="s">
        <v>5746</v>
      </c>
      <c r="AA312" s="59">
        <v>224</v>
      </c>
      <c r="AB312" s="1" t="s">
        <v>5747</v>
      </c>
      <c r="AC312" s="59">
        <v>158</v>
      </c>
    </row>
    <row r="313" spans="1:31" ht="22.5" customHeight="1" thickBot="1">
      <c r="A313" s="59" t="s">
        <v>5794</v>
      </c>
      <c r="C313" s="37" t="s">
        <v>5770</v>
      </c>
      <c r="D313" s="38" t="s">
        <v>5776</v>
      </c>
      <c r="E313" s="38" t="s">
        <v>5777</v>
      </c>
      <c r="F313" s="37" t="str">
        <f t="shared" si="14"/>
        <v>gift-codes.html?game=RO新世代：攜手同行</v>
      </c>
      <c r="G313" s="2" t="s">
        <v>5798</v>
      </c>
      <c r="H313" s="38" t="str">
        <f t="shared" si="15"/>
        <v>https://www.ssbuy.tw/game-detail.html?game=RO新世代：攜手同行</v>
      </c>
      <c r="I313" s="39" t="s">
        <v>5815</v>
      </c>
      <c r="J313" s="2" t="s">
        <v>5424</v>
      </c>
      <c r="K313" s="88" t="s">
        <v>5454</v>
      </c>
    </row>
    <row r="314" spans="1:31" ht="22.5" customHeight="1" thickBot="1">
      <c r="A314" s="83" t="s">
        <v>5795</v>
      </c>
      <c r="C314" s="37" t="s">
        <v>5767</v>
      </c>
      <c r="D314" s="38" t="s">
        <v>5768</v>
      </c>
      <c r="E314" s="38" t="s">
        <v>5769</v>
      </c>
      <c r="F314" s="37" t="str">
        <f t="shared" si="14"/>
        <v>gift-codes.html?game=星落</v>
      </c>
      <c r="G314" s="2" t="s">
        <v>5799</v>
      </c>
      <c r="H314" s="38" t="str">
        <f t="shared" si="15"/>
        <v>https://www.ssbuy.tw/game-detail.html?game=星落</v>
      </c>
      <c r="I314" s="39" t="s">
        <v>5817</v>
      </c>
      <c r="J314" s="2" t="s">
        <v>5424</v>
      </c>
      <c r="K314" s="88" t="s">
        <v>5454</v>
      </c>
    </row>
    <row r="315" spans="1:31" ht="22.5" customHeight="1" thickBot="1">
      <c r="A315" s="83" t="s">
        <v>5796</v>
      </c>
      <c r="C315" s="37" t="s">
        <v>5771</v>
      </c>
      <c r="D315" s="38" t="s">
        <v>5772</v>
      </c>
      <c r="E315" s="38" t="s">
        <v>5778</v>
      </c>
      <c r="F315" s="37" t="str">
        <f t="shared" si="14"/>
        <v>gift-codes.html?game=超自然行動組</v>
      </c>
      <c r="G315" s="2" t="s">
        <v>5800</v>
      </c>
      <c r="H315" s="38" t="str">
        <f t="shared" si="15"/>
        <v>https://www.ssbuy.tw/game-detail.html?game=超自然行動組</v>
      </c>
      <c r="I315" s="39" t="s">
        <v>5818</v>
      </c>
      <c r="J315" s="2" t="s">
        <v>5424</v>
      </c>
      <c r="K315" s="88" t="s">
        <v>5454</v>
      </c>
      <c r="L315" s="1" t="s">
        <v>5802</v>
      </c>
      <c r="M315" s="59">
        <v>2605</v>
      </c>
      <c r="N315" s="1" t="s">
        <v>5803</v>
      </c>
      <c r="O315" s="59">
        <v>1323</v>
      </c>
      <c r="P315" s="1" t="s">
        <v>5804</v>
      </c>
      <c r="Q315" s="59">
        <v>797</v>
      </c>
      <c r="R315" s="1" t="s">
        <v>5805</v>
      </c>
      <c r="S315" s="59">
        <v>600</v>
      </c>
      <c r="T315" s="1" t="s">
        <v>5806</v>
      </c>
      <c r="U315" s="59">
        <v>281</v>
      </c>
      <c r="V315" s="1" t="s">
        <v>5807</v>
      </c>
      <c r="W315" s="59">
        <v>140</v>
      </c>
      <c r="X315" s="1" t="s">
        <v>5808</v>
      </c>
      <c r="Y315" s="59">
        <v>86</v>
      </c>
      <c r="Z315" s="1" t="s">
        <v>5809</v>
      </c>
      <c r="AA315" s="59">
        <v>591</v>
      </c>
      <c r="AB315" s="1" t="s">
        <v>5810</v>
      </c>
      <c r="AC315" s="59">
        <v>314</v>
      </c>
    </row>
    <row r="316" spans="1:31" ht="22.5" customHeight="1" thickBot="1">
      <c r="A316" s="83" t="s">
        <v>5797</v>
      </c>
      <c r="C316" s="37" t="s">
        <v>5773</v>
      </c>
      <c r="D316" s="38" t="s">
        <v>5774</v>
      </c>
      <c r="E316" s="38" t="s">
        <v>5775</v>
      </c>
      <c r="F316" s="37" t="str">
        <f t="shared" si="14"/>
        <v>gift-codes.html?game=問劍長生</v>
      </c>
      <c r="G316" s="2" t="s">
        <v>5801</v>
      </c>
      <c r="H316" s="38" t="str">
        <f t="shared" si="15"/>
        <v>https://www.ssbuy.tw/game-detail.html?game=問劍長生</v>
      </c>
      <c r="I316" s="39" t="s">
        <v>5816</v>
      </c>
      <c r="J316" s="2" t="s">
        <v>5424</v>
      </c>
      <c r="K316" s="88" t="s">
        <v>5454</v>
      </c>
    </row>
    <row r="317" spans="1:31" ht="22.5" customHeight="1" thickBot="1">
      <c r="A317" s="83" t="s">
        <v>5833</v>
      </c>
      <c r="C317" s="37" t="s">
        <v>5826</v>
      </c>
      <c r="D317" s="38" t="s">
        <v>5827</v>
      </c>
      <c r="E317" s="38" t="s">
        <v>5828</v>
      </c>
      <c r="F317" s="37" t="str">
        <f t="shared" si="14"/>
        <v>gift-codes.html?game=道友你好劍：群英集結</v>
      </c>
      <c r="G317" s="38" t="s">
        <v>5829</v>
      </c>
      <c r="H317" s="38" t="str">
        <f t="shared" si="15"/>
        <v>https://www.ssbuy.tw/game-detail.html?game=道友你好劍：群英集結</v>
      </c>
      <c r="I317" s="39" t="s">
        <v>5836</v>
      </c>
      <c r="J317" s="2" t="s">
        <v>5424</v>
      </c>
      <c r="K317" s="88" t="s">
        <v>5454</v>
      </c>
      <c r="L317" s="1" t="s">
        <v>5845</v>
      </c>
      <c r="M317" s="59">
        <v>2867</v>
      </c>
      <c r="N317" s="1" t="s">
        <v>5846</v>
      </c>
      <c r="O317" s="59">
        <v>1500</v>
      </c>
      <c r="P317" s="1" t="s">
        <v>5847</v>
      </c>
      <c r="Q317" s="59">
        <v>887</v>
      </c>
      <c r="R317" s="1" t="s">
        <v>5848</v>
      </c>
      <c r="S317" s="59">
        <v>573</v>
      </c>
      <c r="T317" s="1" t="s">
        <v>5849</v>
      </c>
      <c r="U317" s="59">
        <v>296</v>
      </c>
      <c r="V317" s="1" t="s">
        <v>5850</v>
      </c>
      <c r="W317" s="59">
        <v>159</v>
      </c>
      <c r="X317" s="1" t="s">
        <v>5851</v>
      </c>
      <c r="Y317" s="59">
        <v>32</v>
      </c>
    </row>
    <row r="318" spans="1:31" ht="22.5" customHeight="1" thickBot="1">
      <c r="A318" s="83" t="s">
        <v>5834</v>
      </c>
      <c r="C318" s="37" t="s">
        <v>5830</v>
      </c>
      <c r="D318" s="38" t="s">
        <v>5831</v>
      </c>
      <c r="E318" s="38" t="s">
        <v>5832</v>
      </c>
      <c r="F318" s="37" t="str">
        <f t="shared" si="14"/>
        <v>gift-codes.html?game=荒島求生：重建家園</v>
      </c>
      <c r="G318" s="2" t="s">
        <v>5835</v>
      </c>
      <c r="H318" s="38" t="str">
        <f t="shared" si="15"/>
        <v>https://www.ssbuy.tw/game-detail.html?game=荒島求生：重建家園</v>
      </c>
      <c r="I318" s="39" t="s">
        <v>5837</v>
      </c>
      <c r="J318" s="2" t="s">
        <v>5424</v>
      </c>
      <c r="K318" s="88" t="s">
        <v>5454</v>
      </c>
      <c r="L318" s="1" t="s">
        <v>5838</v>
      </c>
      <c r="M318" s="59">
        <v>2605</v>
      </c>
      <c r="N318" s="1" t="s">
        <v>63</v>
      </c>
      <c r="O318" s="59">
        <v>1323</v>
      </c>
      <c r="P318" s="1" t="s">
        <v>1326</v>
      </c>
      <c r="Q318" s="59">
        <v>618</v>
      </c>
      <c r="R318" s="1" t="s">
        <v>5839</v>
      </c>
      <c r="S318" s="59">
        <v>287</v>
      </c>
      <c r="T318" s="1" t="s">
        <v>5840</v>
      </c>
      <c r="U318" s="59">
        <v>140</v>
      </c>
      <c r="V318" s="1" t="s">
        <v>7</v>
      </c>
      <c r="W318" s="59">
        <v>58</v>
      </c>
      <c r="X318" s="1" t="s">
        <v>3847</v>
      </c>
      <c r="Y318" s="59">
        <v>287</v>
      </c>
      <c r="Z318" s="1" t="s">
        <v>5841</v>
      </c>
      <c r="AA318" s="59">
        <v>140</v>
      </c>
    </row>
    <row r="319" spans="1:31" ht="22.5" customHeight="1">
      <c r="F319" s="37" t="str">
        <f t="shared" si="14"/>
        <v/>
      </c>
      <c r="H319" s="38" t="str">
        <f t="shared" si="15"/>
        <v/>
      </c>
    </row>
    <row r="320" spans="1:3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ref="F373:F436" si="16">IF(A373="", "", "gift-codes.html?game=" &amp; A373)</f>
        <v/>
      </c>
      <c r="H373" s="38" t="str">
        <f t="shared" ref="H373:H436" si="17">IF(A373="", "", "https://www.ssbuy.tw/game-detail.html?game="&amp;A373)</f>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ref="F437:F500" si="18">IF(A437="", "", "gift-codes.html?game=" &amp; A437)</f>
        <v/>
      </c>
      <c r="H437" s="38" t="str">
        <f t="shared" ref="H437:H500" si="19">IF(A437="", "", "https://www.ssbuy.tw/game-detail.html?game="&amp;A437)</f>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ref="F501:F564" si="20">IF(A501="", "", "gift-codes.html?game=" &amp; A501)</f>
        <v/>
      </c>
      <c r="H501" s="38" t="str">
        <f t="shared" ref="H501:H564" si="21">IF(A501="", "", "https://www.ssbuy.tw/game-detail.html?game="&amp;A501)</f>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IF(A565="", "", "gift-codes.html?game=" &amp; A565)</f>
        <v/>
      </c>
      <c r="H565" s="38" t="str">
        <f t="shared" ref="H565:H623" si="22">IF(A565="", "", "https://www.ssbuy.tw/game-detail.html?game="&amp;A565)</f>
        <v/>
      </c>
    </row>
    <row r="566" spans="6:8">
      <c r="F566" s="37" t="str">
        <f>IF(A566="", "", "gift-codes.html?game=" &amp; A566)</f>
        <v/>
      </c>
      <c r="H566" s="38" t="str">
        <f t="shared" si="22"/>
        <v/>
      </c>
    </row>
    <row r="567" spans="6:8">
      <c r="F567" s="37" t="str">
        <f>IF(A567="", "", "gift-codes.html?game=" &amp; A567)</f>
        <v/>
      </c>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hyperlink ref="G316" r:id="rId292"/>
    <hyperlink ref="G318" r:id="rId293"/>
  </hyperlinks>
  <pageMargins left="0.7" right="0.7" top="0.75" bottom="0.75" header="0.3" footer="0.3"/>
  <pageSetup paperSize="9" orientation="portrait" r:id="rId29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1"/>
  <sheetViews>
    <sheetView tabSelected="1" workbookViewId="0">
      <pane xSplit="1" ySplit="1" topLeftCell="K296" activePane="bottomRight" state="frozen"/>
      <selection pane="topRight" activeCell="B1" sqref="B1"/>
      <selection pane="bottomLeft" activeCell="A2" sqref="A2"/>
      <selection pane="bottomRight" activeCell="M316" sqref="M316"/>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5722</v>
      </c>
      <c r="AN190" s="10" t="s">
        <v>5723</v>
      </c>
      <c r="AO190" s="15" t="s">
        <v>5712</v>
      </c>
      <c r="AP190" s="10" t="s">
        <v>5713</v>
      </c>
      <c r="AQ190" s="15" t="s">
        <v>5714</v>
      </c>
      <c r="AR190" s="10" t="s">
        <v>5715</v>
      </c>
      <c r="AS190" s="15" t="s">
        <v>5716</v>
      </c>
      <c r="AT190" s="10" t="s">
        <v>5717</v>
      </c>
      <c r="AU190" s="15" t="s">
        <v>5718</v>
      </c>
      <c r="AV190" s="10" t="s">
        <v>5719</v>
      </c>
      <c r="AW190" s="15" t="s">
        <v>5720</v>
      </c>
      <c r="AX190" s="10" t="s">
        <v>5721</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5677</v>
      </c>
      <c r="G294" s="10" t="s">
        <v>5678</v>
      </c>
      <c r="H294" s="10" t="s">
        <v>5679</v>
      </c>
      <c r="I294" s="10" t="s">
        <v>2625</v>
      </c>
      <c r="K294" s="89" t="s">
        <v>5510</v>
      </c>
      <c r="L294" s="10" t="s">
        <v>5511</v>
      </c>
      <c r="M294" s="15" t="s">
        <v>5680</v>
      </c>
      <c r="N294" s="10" t="s">
        <v>5681</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5725</v>
      </c>
      <c r="AM296" s="15" t="s">
        <v>5726</v>
      </c>
      <c r="AO296" s="15" t="s">
        <v>5727</v>
      </c>
      <c r="AQ296" s="15" t="s">
        <v>5728</v>
      </c>
      <c r="AS296" s="89" t="s">
        <v>5724</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5683</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5674</v>
      </c>
      <c r="G304" s="10" t="s">
        <v>5675</v>
      </c>
      <c r="H304" s="10" t="s">
        <v>2625</v>
      </c>
      <c r="K304" s="89" t="s">
        <v>5510</v>
      </c>
      <c r="L304" s="10" t="s">
        <v>5511</v>
      </c>
      <c r="M304" s="15" t="s">
        <v>5676</v>
      </c>
      <c r="N304" s="10" t="s">
        <v>5682</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5761</v>
      </c>
      <c r="G309" s="10" t="s">
        <v>5762</v>
      </c>
      <c r="H309" s="10" t="s">
        <v>2625</v>
      </c>
      <c r="K309" s="89" t="s">
        <v>5510</v>
      </c>
      <c r="L309" s="10" t="s">
        <v>5511</v>
      </c>
      <c r="M309" s="15" t="s">
        <v>5755</v>
      </c>
      <c r="N309" s="10" t="s">
        <v>5756</v>
      </c>
      <c r="O309" s="15" t="s">
        <v>5757</v>
      </c>
      <c r="P309" s="10" t="s">
        <v>5758</v>
      </c>
      <c r="Q309" s="15" t="s">
        <v>5759</v>
      </c>
      <c r="R309" s="10" t="s">
        <v>5760</v>
      </c>
      <c r="S309" s="15" t="s">
        <v>5763</v>
      </c>
      <c r="U309" s="15" t="s">
        <v>5765</v>
      </c>
      <c r="W309" s="15" t="s">
        <v>5764</v>
      </c>
      <c r="Y309" s="15" t="s">
        <v>5766</v>
      </c>
      <c r="AA309" s="15" t="s">
        <v>5863</v>
      </c>
      <c r="AC309" s="15" t="s">
        <v>5864</v>
      </c>
      <c r="AE309" s="15" t="s">
        <v>5865</v>
      </c>
      <c r="AG309" s="15" t="s">
        <v>5866</v>
      </c>
      <c r="AI309" s="15" t="s">
        <v>5867</v>
      </c>
      <c r="AK309" s="15" t="s">
        <v>5868</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5238</v>
      </c>
      <c r="K310" s="89" t="s">
        <v>5510</v>
      </c>
      <c r="L310" s="10" t="s">
        <v>5511</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2" si="14">IF(A312="","", "giftcodesbanner/" &amp; A312 &amp; "-禮包碼.jpg")</f>
        <v>giftcodesbanner/英雄來搞鬼-禮包碼.jpg</v>
      </c>
      <c r="D312" s="10" t="str">
        <f t="shared" ref="D312:D372"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5731</v>
      </c>
      <c r="G312" s="10" t="s">
        <v>5732</v>
      </c>
      <c r="H312" s="10" t="s">
        <v>2625</v>
      </c>
      <c r="K312" s="89" t="s">
        <v>5510</v>
      </c>
      <c r="L312" s="10" t="s">
        <v>5511</v>
      </c>
      <c r="M312" s="15" t="s">
        <v>5729</v>
      </c>
      <c r="N312" s="10" t="s">
        <v>5730</v>
      </c>
      <c r="O312" s="15" t="s">
        <v>5819</v>
      </c>
      <c r="Q312" s="15" t="s">
        <v>5820</v>
      </c>
      <c r="S312" s="15" t="s">
        <v>5821</v>
      </c>
      <c r="U312" s="15" t="s">
        <v>5822</v>
      </c>
      <c r="W312" s="15" t="s">
        <v>5823</v>
      </c>
      <c r="Y312" s="15" t="s">
        <v>5824</v>
      </c>
      <c r="AA312" s="15" t="s">
        <v>5825</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5784</v>
      </c>
      <c r="O313" s="15" t="s">
        <v>5785</v>
      </c>
      <c r="Q313" s="15" t="s">
        <v>5786</v>
      </c>
      <c r="S313" s="15" t="s">
        <v>5787</v>
      </c>
      <c r="U313" s="15" t="s">
        <v>5788</v>
      </c>
      <c r="W313" s="15" t="s">
        <v>5789</v>
      </c>
      <c r="Y313" s="15" t="s">
        <v>5790</v>
      </c>
      <c r="AA313" s="15" t="s">
        <v>5791</v>
      </c>
      <c r="AC313" s="15" t="s">
        <v>5792</v>
      </c>
      <c r="AE313" s="15" t="s">
        <v>5793</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5781</v>
      </c>
      <c r="G314" s="10" t="s">
        <v>5782</v>
      </c>
      <c r="H314" s="10" t="s">
        <v>5861</v>
      </c>
      <c r="K314" s="89" t="s">
        <v>5510</v>
      </c>
      <c r="L314" s="10" t="s">
        <v>5511</v>
      </c>
      <c r="M314" s="15" t="s">
        <v>5783</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5779</v>
      </c>
      <c r="G316" s="10" t="s">
        <v>5780</v>
      </c>
      <c r="H316" s="10" t="s">
        <v>5869</v>
      </c>
      <c r="I316" s="10" t="s">
        <v>2625</v>
      </c>
      <c r="K316" s="89" t="s">
        <v>5510</v>
      </c>
      <c r="L316" s="10" t="s">
        <v>5511</v>
      </c>
      <c r="M316" s="15" t="s">
        <v>5870</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5859</v>
      </c>
      <c r="G317" s="10" t="s">
        <v>5860</v>
      </c>
      <c r="H317" s="10" t="s">
        <v>5862</v>
      </c>
      <c r="K317" s="89" t="s">
        <v>5510</v>
      </c>
      <c r="L317" s="10" t="s">
        <v>5511</v>
      </c>
      <c r="M317" s="15" t="s">
        <v>5842</v>
      </c>
      <c r="N317" s="10" t="s">
        <v>5852</v>
      </c>
      <c r="O317" s="15" t="s">
        <v>5843</v>
      </c>
      <c r="P317" s="10" t="s">
        <v>5853</v>
      </c>
      <c r="Q317" s="15" t="s">
        <v>5844</v>
      </c>
      <c r="R317" s="10" t="s">
        <v>5854</v>
      </c>
      <c r="S317" s="15" t="s">
        <v>3218</v>
      </c>
      <c r="T317" s="10" t="s">
        <v>5855</v>
      </c>
      <c r="U317" s="15" t="s">
        <v>3222</v>
      </c>
      <c r="V317" s="10" t="s">
        <v>5856</v>
      </c>
      <c r="W317" s="15" t="s">
        <v>5857</v>
      </c>
      <c r="X317" s="10" t="s">
        <v>5858</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5859</v>
      </c>
      <c r="G318" s="10" t="s">
        <v>5860</v>
      </c>
      <c r="H318" s="10" t="s">
        <v>5862</v>
      </c>
      <c r="K318" s="89" t="s">
        <v>5510</v>
      </c>
      <c r="L318" s="10" t="s">
        <v>5511</v>
      </c>
    </row>
    <row r="319" spans="1:37">
      <c r="A319" s="10" t="str">
        <f>IF(games!A319="", "", games!A319)</f>
        <v/>
      </c>
      <c r="C319" s="10" t="str">
        <f t="shared" si="14"/>
        <v/>
      </c>
      <c r="D319" s="10" t="str">
        <f t="shared" si="15"/>
        <v/>
      </c>
      <c r="E319" s="11" t="str">
        <f>IF(games!I319&lt;&gt;"", games!I319, "")</f>
        <v/>
      </c>
    </row>
    <row r="320" spans="1:37">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ref="C373:C431" si="16">IF(A373="","", "giftcodesbanner/" &amp; A373 &amp; "-禮包碼.jpg")</f>
        <v/>
      </c>
      <c r="D373" s="10" t="str">
        <f t="shared" ref="D373:D431" si="17">IF(A373="","", "https://www.ssbuy.tw/gift-codes.html?game="&amp;A373)</f>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s>
  <pageMargins left="0.7" right="0.7" top="0.75" bottom="0.75" header="0.3" footer="0.3"/>
  <pageSetup paperSize="9" orientation="portrait" r:id="rId5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2025-11-27T12:52:12Z</dcterms:modified>
</cp:coreProperties>
</file>